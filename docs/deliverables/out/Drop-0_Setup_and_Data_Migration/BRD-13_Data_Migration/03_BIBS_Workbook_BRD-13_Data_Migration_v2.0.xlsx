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P03 Renewal advices already sen" sheetId="26" state="visible" r:id="rId26"/>
    <sheet xmlns:r="http://schemas.openxmlformats.org/officeDocument/2006/relationships" name="F01 Open legacy invoices - head" sheetId="27" state="visible" r:id="rId27"/>
    <sheet xmlns:r="http://schemas.openxmlformats.org/officeDocument/2006/relationships" name="F01S Open legacy invoices - ins" sheetId="28" state="visible" r:id="rId28"/>
    <sheet xmlns:r="http://schemas.openxmlformats.org/officeDocument/2006/relationships" name="F01C Open legacy invoices - com" sheetId="29" state="visible" r:id="rId29"/>
    <sheet xmlns:r="http://schemas.openxmlformats.org/officeDocument/2006/relationships" name="F02 Unapplied premium payments" sheetId="30" state="visible" r:id="rId30"/>
    <sheet xmlns:r="http://schemas.openxmlformats.org/officeDocument/2006/relationships" name="F03 Open collection state" sheetId="31" state="visible" r:id="rId31"/>
    <sheet xmlns:r="http://schemas.openxmlformats.org/officeDocument/2006/relationships" name="F04 Remittance in flight" sheetId="32" state="visible" r:id="rId32"/>
    <sheet xmlns:r="http://schemas.openxmlformats.org/officeDocument/2006/relationships" name="F06 PDCs, check pick-ups and re" sheetId="33" state="visible" r:id="rId33"/>
    <sheet xmlns:r="http://schemas.openxmlformats.org/officeDocument/2006/relationships" name="G01 GL opening trial balance" sheetId="34" state="visible" r:id="rId34"/>
    <sheet xmlns:r="http://schemas.openxmlformats.org/officeDocument/2006/relationships" name="G03 FY2027 true-up - legacy adj" sheetId="35" state="visible" r:id="rId35"/>
    <sheet xmlns:r="http://schemas.openxmlformats.org/officeDocument/2006/relationships" name="G03D FY2027 true-up - open-item" sheetId="36" state="visible" r:id="rId36"/>
    <sheet xmlns:r="http://schemas.openxmlformats.org/officeDocument/2006/relationships" name="H01 Archive records (closed tra" sheetId="37" state="visible" r:id="rId37"/>
    <sheet xmlns:r="http://schemas.openxmlformats.org/officeDocument/2006/relationships" name="H02 Archive documents index" sheetId="38" state="visible" r:id="rId38"/>
    <sheet xmlns:r="http://schemas.openxmlformats.org/officeDocument/2006/relationships" name="Control file" sheetId="39" state="visible" r:id="rId39"/>
    <sheet xmlns:r="http://schemas.openxmlformats.org/officeDocument/2006/relationships" name="Control example" sheetId="40" state="visible" r:id="rId40"/>
    <sheet xmlns:r="http://schemas.openxmlformats.org/officeDocument/2006/relationships" name="Control totals" sheetId="41" state="visible" r:id="rId41"/>
    <sheet xmlns:r="http://schemas.openxmlformats.org/officeDocument/2006/relationships" name="Code maps" sheetId="42" state="visible" r:id="rId42"/>
    <sheet xmlns:r="http://schemas.openxmlformats.org/officeDocument/2006/relationships" name="Code map template" sheetId="43" state="visible" r:id="rId43"/>
    <sheet xmlns:r="http://schemas.openxmlformats.org/officeDocument/2006/relationships" name="Validation rules" sheetId="44" state="visible" r:id="rId44"/>
    <sheet xmlns:r="http://schemas.openxmlformats.org/officeDocument/2006/relationships" name="Masking" sheetId="45" state="visible" r:id="rId45"/>
    <sheet xmlns:r="http://schemas.openxmlformats.org/officeDocument/2006/relationships" name="Cut-over tasks" sheetId="46" state="visible" r:id="rId46"/>
    <sheet xmlns:r="http://schemas.openxmlformats.org/officeDocument/2006/relationships" name="Cut-over roles" sheetId="47" state="visible" r:id="rId47"/>
    <sheet xmlns:r="http://schemas.openxmlformats.org/officeDocument/2006/relationships" name="Cut-over calendar" sheetId="48" state="visible" r:id="rId48"/>
    <sheet xmlns:r="http://schemas.openxmlformats.org/officeDocument/2006/relationships" name="Go-no-go checkpoints" sheetId="49" state="visible" r:id="rId49"/>
    <sheet xmlns:r="http://schemas.openxmlformats.org/officeDocument/2006/relationships" name="Freeze windows" sheetId="50" state="visible" r:id="rId50"/>
    <sheet xmlns:r="http://schemas.openxmlformats.org/officeDocument/2006/relationships" name="Rollback" sheetId="51" state="visible" r:id="rId51"/>
    <sheet xmlns:r="http://schemas.openxmlformats.org/officeDocument/2006/relationships" name="Communication" sheetId="52" state="visible" r:id="rId52"/>
    <sheet xmlns:r="http://schemas.openxmlformats.org/officeDocument/2006/relationships" name="Hypercare" sheetId="53" state="visible" r:id="rId53"/>
    <sheet xmlns:r="http://schemas.openxmlformats.org/officeDocument/2006/relationships" name="Decommissioning" sheetId="54" state="visible" r:id="rId54"/>
    <sheet xmlns:r="http://schemas.openxmlformats.org/officeDocument/2006/relationships" name="Reconciliation sign-off" sheetId="55" state="visible" r:id="rId55"/>
    <sheet xmlns:r="http://schemas.openxmlformats.org/officeDocument/2006/relationships" name="Open decisions" sheetId="56" state="visible" r:id="rId56"/>
    <sheet xmlns:r="http://schemas.openxmlformats.org/officeDocument/2006/relationships" name="Proposed rules" sheetId="57" state="visible" r:id="rId57"/>
    <sheet xmlns:r="http://schemas.openxmlformats.org/officeDocument/2006/relationships" name="Screen standards" sheetId="58" state="visible" r:id="rId58"/>
    <sheet xmlns:r="http://schemas.openxmlformats.org/officeDocument/2006/relationships" name="Screen catalogue" sheetId="59" state="visible" r:id="rId59"/>
    <sheet xmlns:r="http://schemas.openxmlformats.org/officeDocument/2006/relationships" name="Field register" sheetId="60" state="visible" r:id="rId60"/>
    <sheet xmlns:r="http://schemas.openxmlformats.org/officeDocument/2006/relationships" name="Actions" sheetId="61" state="visible" r:id="rId61"/>
    <sheet xmlns:r="http://schemas.openxmlformats.org/officeDocument/2006/relationships" name="Business rules" sheetId="62" state="visible" r:id="rId62"/>
    <sheet xmlns:r="http://schemas.openxmlformats.org/officeDocument/2006/relationships" name="Messages" sheetId="63" state="visible" r:id="rId63"/>
    <sheet xmlns:r="http://schemas.openxmlformats.org/officeDocument/2006/relationships" name="Notifications" sheetId="64" state="visible" r:id="rId64"/>
    <sheet xmlns:r="http://schemas.openxmlformats.org/officeDocument/2006/relationships" name="Menu by persona" sheetId="65" state="visible" r:id="rId65"/>
    <sheet xmlns:r="http://schemas.openxmlformats.org/officeDocument/2006/relationships" name="Cross-BRD contract" sheetId="66" state="visible" r:id="rId66"/>
    <sheet xmlns:r="http://schemas.openxmlformats.org/officeDocument/2006/relationships" name="Comments log" sheetId="67" state="visible" r:id="rId67"/>
    <sheet xmlns:r="http://schemas.openxmlformats.org/officeDocument/2006/relationships" name="Meeting minutes" sheetId="68" state="visible" r:id="rId68"/>
    <sheet xmlns:r="http://schemas.openxmlformats.org/officeDocument/2006/relationships" name="Version history" sheetId="69" state="visible" r:id="rId69"/>
    <sheet xmlns:r="http://schemas.openxmlformats.org/officeDocument/2006/relationships" name="Sign-off certificate" sheetId="70" state="visible" r:id="rId70"/>
    <sheet xmlns:r="http://schemas.openxmlformats.org/officeDocument/2006/relationships" name="_lists" sheetId="71" state="hidden" r:id="rId71"/>
  </sheets>
  <definedNames>
    <definedName name="_xlnm._FilterDatabase" localSheetId="1" hidden="1">'README'!$A$4:$D$781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templates'!$A$4:$L$33</definedName>
    <definedName name="_xlnm.Print_Titles" localSheetId="8">'Load templates'!$4:$4</definedName>
    <definedName name="_xlnm._FilterDatabase" localSheetId="9" hidden="1">'R01 Lists of values and MIS val'!$A$4:$N$12</definedName>
    <definedName name="_xlnm.Print_Titles" localSheetId="9">'R01 Lists of values and MIS val'!$4:$4</definedName>
    <definedName name="_xlnm._FilterDatabase" localSheetId="10" hidden="1">'R02 Branches and invoicing bran'!$A$4:$N$9</definedName>
    <definedName name="_xlnm.Print_Titles" localSheetId="10">'R02 Branches and invoicing bran'!$4:$4</definedName>
    <definedName name="_xlnm._FilterDatabase" localSheetId="11" hidden="1">'R03 Sales organisation (units a'!$A$4:$N$15</definedName>
    <definedName name="_xlnm.Print_Titles" localSheetId="11">'R03 Sales organisation (units a'!$4:$4</definedName>
    <definedName name="_xlnm._FilterDatabase" localSheetId="12" hidden="1">'R04 Insurers'!$A$4:$N$14</definedName>
    <definedName name="_xlnm.Print_Titles" localSheetId="12">'R04 Insurers'!$4:$4</definedName>
    <definedName name="_xlnm._FilterDatabase" localSheetId="13" hidden="1">'R04B Insurer branches'!$A$4:$N$11</definedName>
    <definedName name="_xlnm.Print_Titles" localSheetId="13">'R04B Insurer branches'!$4:$4</definedName>
    <definedName name="_xlnm._FilterDatabase" localSheetId="14" hidden="1">'R05 Product lines, cover types,'!$A$4:$N$13</definedName>
    <definedName name="_xlnm.Print_Titles" localSheetId="14">'R05 Product lines, cover types,'!$4:$4</definedName>
    <definedName name="_xlnm._FilterDatabase" localSheetId="15" hidden="1">'R06 Package code map (legacy pa'!$A$4:$N$12</definedName>
    <definedName name="_xlnm.Print_Titles" localSheetId="15">'R06 Package code map (legacy pa'!$4:$4</definedName>
    <definedName name="_xlnm._FilterDatabase" localSheetId="16" hidden="1">'R07 Commission rates by insurer'!$A$4:$N$9</definedName>
    <definedName name="_xlnm.Print_Titles" localSheetId="16">'R07 Commission rates by insurer'!$4:$4</definedName>
    <definedName name="_xlnm._FilterDatabase" localSheetId="17" hidden="1">'R08 Chart of accounts mapping'!$A$4:$N$12</definedName>
    <definedName name="_xlnm.Print_Titles" localSheetId="17">'R08 Chart of accounts mapping'!$4:$4</definedName>
    <definedName name="_xlnm._FilterDatabase" localSheetId="18" hidden="1">'R09 Payees'!$A$4:$N$15</definedName>
    <definedName name="_xlnm.Print_Titles" localSheetId="18">'R09 Payees'!$4:$4</definedName>
    <definedName name="_xlnm._FilterDatabase" localSheetId="19" hidden="1">'R11 Receipt series in use'!$A$4:$N$12</definedName>
    <definedName name="_xlnm.Print_Titles" localSheetId="19">'R11 Receipt series in use'!$4:$4</definedName>
    <definedName name="_xlnm._FilterDatabase" localSheetId="20" hidden="1">'C01 Client master'!$A$4:$N$40</definedName>
    <definedName name="_xlnm.Print_Titles" localSheetId="20">'C01 Client master'!$4:$4</definedName>
    <definedName name="_xlnm._FilterDatabase" localSheetId="21" hidden="1">'C02 Client addresses and contac'!$A$4:$N$17</definedName>
    <definedName name="_xlnm.Print_Titles" localSheetId="21">'C02 Client addresses and contac'!$4:$4</definedName>
    <definedName name="_xlnm._FilterDatabase" localSheetId="22" hidden="1">'C03 Client payout accounts'!$A$4:$N$10</definedName>
    <definedName name="_xlnm.Print_Titles" localSheetId="22">'C03 Client payout accounts'!$4:$4</definedName>
    <definedName name="_xlnm._FilterDatabase" localSheetId="23" hidden="1">'P01 In-force policy headers'!$A$4:$N$35</definedName>
    <definedName name="_xlnm.Print_Titles" localSheetId="23">'P01 In-force policy headers'!$4:$4</definedName>
    <definedName name="_xlnm._FilterDatabase" localSheetId="24" hidden="1">'P01S Policy insurer shares'!$A$4:$N$10</definedName>
    <definedName name="_xlnm.Print_Titles" localSheetId="24">'P01S Policy insurer shares'!$4:$4</definedName>
    <definedName name="_xlnm._FilterDatabase" localSheetId="25" hidden="1">'P03 Renewal advices already sen'!$A$4:$N$17</definedName>
    <definedName name="_xlnm.Print_Titles" localSheetId="25">'P03 Renewal advices already sen'!$4:$4</definedName>
    <definedName name="_xlnm._FilterDatabase" localSheetId="26" hidden="1">'F01 Open legacy invoices - head'!$A$4:$N$42</definedName>
    <definedName name="_xlnm.Print_Titles" localSheetId="26">'F01 Open legacy invoices - head'!$4:$4</definedName>
    <definedName name="_xlnm._FilterDatabase" localSheetId="27" hidden="1">'F01S Open legacy invoices - ins'!$A$4:$N$9</definedName>
    <definedName name="_xlnm.Print_Titles" localSheetId="27">'F01S Open legacy invoices - ins'!$4:$4</definedName>
    <definedName name="_xlnm._FilterDatabase" localSheetId="28" hidden="1">'F01C Open legacy invoices - com'!$A$4:$N$12</definedName>
    <definedName name="_xlnm.Print_Titles" localSheetId="28">'F01C Open legacy invoices - com'!$4:$4</definedName>
    <definedName name="_xlnm._FilterDatabase" localSheetId="29" hidden="1">'F02 Unapplied premium payments'!$A$4:$N$25</definedName>
    <definedName name="_xlnm.Print_Titles" localSheetId="29">'F02 Unapplied premium payments'!$4:$4</definedName>
    <definedName name="_xlnm._FilterDatabase" localSheetId="30" hidden="1">'F03 Open collection state'!$A$4:$N$16</definedName>
    <definedName name="_xlnm.Print_Titles" localSheetId="30">'F03 Open collection state'!$4:$4</definedName>
    <definedName name="_xlnm._FilterDatabase" localSheetId="31" hidden="1">'F04 Remittance in flight'!$A$4:$N$14</definedName>
    <definedName name="_xlnm.Print_Titles" localSheetId="31">'F04 Remittance in flight'!$4:$4</definedName>
    <definedName name="_xlnm._FilterDatabase" localSheetId="32" hidden="1">'F06 PDCs, check pick-ups and re'!$A$4:$N$18</definedName>
    <definedName name="_xlnm.Print_Titles" localSheetId="32">'F06 PDCs, check pick-ups and re'!$4:$4</definedName>
    <definedName name="_xlnm._FilterDatabase" localSheetId="33" hidden="1">'G01 GL opening trial balance'!$A$4:$N$15</definedName>
    <definedName name="_xlnm.Print_Titles" localSheetId="33">'G01 GL opening trial balance'!$4:$4</definedName>
    <definedName name="_xlnm._FilterDatabase" localSheetId="34" hidden="1">'G03 FY2027 true-up - legacy adj'!$A$4:$N$23</definedName>
    <definedName name="_xlnm.Print_Titles" localSheetId="34">'G03 FY2027 true-up - legacy adj'!$4:$4</definedName>
    <definedName name="_xlnm._FilterDatabase" localSheetId="35" hidden="1">'G03D FY2027 true-up - open-item'!$A$4:$N$14</definedName>
    <definedName name="_xlnm.Print_Titles" localSheetId="35">'G03D FY2027 true-up - open-item'!$4:$4</definedName>
    <definedName name="_xlnm._FilterDatabase" localSheetId="36" hidden="1">'H01 Archive records (closed tra'!$A$4:$N$19</definedName>
    <definedName name="_xlnm.Print_Titles" localSheetId="36">'H01 Archive records (closed tra'!$4:$4</definedName>
    <definedName name="_xlnm._FilterDatabase" localSheetId="37" hidden="1">'H02 Archive documents index'!$A$4:$N$12</definedName>
    <definedName name="_xlnm.Print_Titles" localSheetId="37">'H02 Archive documents index'!$4:$4</definedName>
    <definedName name="_xlnm._FilterDatabase" localSheetId="38" hidden="1">'Control file'!$A$4:$F$16</definedName>
    <definedName name="_xlnm.Print_Titles" localSheetId="38">'Control file'!$4:$4</definedName>
    <definedName name="_xlnm._FilterDatabase" localSheetId="39" hidden="1">'Control example'!$A$4:$L$11</definedName>
    <definedName name="_xlnm.Print_Titles" localSheetId="39">'Control example'!$4:$4</definedName>
    <definedName name="_xlnm._FilterDatabase" localSheetId="40" hidden="1">'Control totals'!$A$4:$J$120</definedName>
    <definedName name="_xlnm.Print_Titles" localSheetId="40">'Control totals'!$4:$4</definedName>
    <definedName name="_xlnm._FilterDatabase" localSheetId="41" hidden="1">'Code maps'!$A$4:$K$38</definedName>
    <definedName name="_xlnm.Print_Titles" localSheetId="41">'Code maps'!$4:$4</definedName>
    <definedName name="_xlnm._FilterDatabase" localSheetId="42" hidden="1">'Code map template'!$A$4:$J$15</definedName>
    <definedName name="_xlnm.Print_Titles" localSheetId="42">'Code map template'!$4:$4</definedName>
    <definedName name="_xlnm._FilterDatabase" localSheetId="43" hidden="1">'Validation rules'!$A$4:$L$58</definedName>
    <definedName name="_xlnm.Print_Titles" localSheetId="43">'Validation rules'!$4:$4</definedName>
    <definedName name="_xlnm._FilterDatabase" localSheetId="44" hidden="1">'Masking'!$A$4:$G$35</definedName>
    <definedName name="_xlnm.Print_Titles" localSheetId="44">'Masking'!$4:$4</definedName>
    <definedName name="_xlnm._FilterDatabase" localSheetId="45" hidden="1">'Cut-over tasks'!$A$4:$P$99</definedName>
    <definedName name="_xlnm.Print_Titles" localSheetId="45">'Cut-over tasks'!$4:$4</definedName>
    <definedName name="_xlnm._FilterDatabase" localSheetId="46" hidden="1">'Cut-over roles'!$A$4:$D$20</definedName>
    <definedName name="_xlnm.Print_Titles" localSheetId="46">'Cut-over roles'!$4:$4</definedName>
    <definedName name="_xlnm._FilterDatabase" localSheetId="47" hidden="1">'Cut-over calendar'!$A$4:$C$30</definedName>
    <definedName name="_xlnm.Print_Titles" localSheetId="47">'Cut-over calendar'!$4:$4</definedName>
    <definedName name="_xlnm._FilterDatabase" localSheetId="48" hidden="1">'Go-no-go checkpoints'!$A$4:$K$39</definedName>
    <definedName name="_xlnm.Print_Titles" localSheetId="48">'Go-no-go checkpoints'!$4:$4</definedName>
    <definedName name="_xlnm._FilterDatabase" localSheetId="49" hidden="1">'Freeze windows'!$A$4:$I$10</definedName>
    <definedName name="_xlnm.Print_Titles" localSheetId="49">'Freeze windows'!$4:$4</definedName>
    <definedName name="_xlnm._FilterDatabase" localSheetId="50" hidden="1">'Rollback'!$A$4:$I$12</definedName>
    <definedName name="_xlnm.Print_Titles" localSheetId="50">'Rollback'!$4:$4</definedName>
    <definedName name="_xlnm._FilterDatabase" localSheetId="51" hidden="1">'Communication'!$A$4:$G$16</definedName>
    <definedName name="_xlnm.Print_Titles" localSheetId="51">'Communication'!$4:$4</definedName>
    <definedName name="_xlnm._FilterDatabase" localSheetId="52" hidden="1">'Hypercare'!$A$4:$E$21</definedName>
    <definedName name="_xlnm.Print_Titles" localSheetId="52">'Hypercare'!$4:$4</definedName>
    <definedName name="_xlnm._FilterDatabase" localSheetId="53" hidden="1">'Decommissioning'!$A$4:$J$35</definedName>
    <definedName name="_xlnm.Print_Titles" localSheetId="53">'Decommissioning'!$4:$4</definedName>
    <definedName name="_xlnm._FilterDatabase" localSheetId="54" hidden="1">'Reconciliation sign-off'!$A$4:$Q$27</definedName>
    <definedName name="_xlnm.Print_Titles" localSheetId="54">'Reconciliation sign-off'!$4:$4</definedName>
    <definedName name="_xlnm._FilterDatabase" localSheetId="55" hidden="1">'Open decisions'!$A$4:$I$46</definedName>
    <definedName name="_xlnm.Print_Titles" localSheetId="55">'Open decisions'!$4:$4</definedName>
    <definedName name="_xlnm._FilterDatabase" localSheetId="56" hidden="1">'Proposed rules'!$A$4:$K$32</definedName>
    <definedName name="_xlnm.Print_Titles" localSheetId="56">'Proposed rules'!$4:$4</definedName>
    <definedName name="_xlnm._FilterDatabase" localSheetId="57" hidden="1">'Screen standards'!$A$4:$G$13</definedName>
    <definedName name="_xlnm.Print_Titles" localSheetId="57">'Screen standards'!$4:$4</definedName>
    <definedName name="_xlnm._FilterDatabase" localSheetId="58" hidden="1">'Screen catalogue'!$A$4:$R$24</definedName>
    <definedName name="_xlnm.Print_Titles" localSheetId="58">'Screen catalogue'!$4:$4</definedName>
    <definedName name="_xlnm._FilterDatabase" localSheetId="59" hidden="1">'Field register'!$A$4:$Q$193</definedName>
    <definedName name="_xlnm.Print_Titles" localSheetId="59">'Field register'!$4:$4</definedName>
    <definedName name="_xlnm._FilterDatabase" localSheetId="60" hidden="1">'Actions'!$A$4:$H$90</definedName>
    <definedName name="_xlnm.Print_Titles" localSheetId="60">'Actions'!$4:$4</definedName>
    <definedName name="_xlnm._FilterDatabase" localSheetId="61" hidden="1">'Business rules'!$A$4:$I$71</definedName>
    <definedName name="_xlnm.Print_Titles" localSheetId="61">'Business rules'!$4:$4</definedName>
    <definedName name="_xlnm._FilterDatabase" localSheetId="62" hidden="1">'Messages'!$A$4:$K$220</definedName>
    <definedName name="_xlnm.Print_Titles" localSheetId="62">'Messages'!$4:$4</definedName>
    <definedName name="_xlnm._FilterDatabase" localSheetId="63" hidden="1">'Notifications'!$A$4:$H$14</definedName>
    <definedName name="_xlnm.Print_Titles" localSheetId="63">'Notifications'!$4:$4</definedName>
    <definedName name="_xlnm._FilterDatabase" localSheetId="64" hidden="1">'Menu by persona'!$A$4:$F$441</definedName>
    <definedName name="_xlnm.Print_Titles" localSheetId="64">'Menu by persona'!$4:$4</definedName>
    <definedName name="_xlnm._FilterDatabase" localSheetId="65" hidden="1">'Cross-BRD contract'!$A$4:$H$16</definedName>
    <definedName name="_xlnm.Print_Titles" localSheetId="65">'Cross-BRD contract'!$4:$4</definedName>
    <definedName name="_xlnm._FilterDatabase" localSheetId="66" hidden="1">'Comments log'!$A$4:$I$54</definedName>
    <definedName name="_xlnm.Print_Titles" localSheetId="66">'Comments log'!$4:$4</definedName>
    <definedName name="_xlnm._FilterDatabase" localSheetId="67" hidden="1">'Meeting minutes'!$A$4:$I$7</definedName>
    <definedName name="_xlnm.Print_Titles" localSheetId="67">'Meeting minutes'!$4:$4</definedName>
    <definedName name="_xlnm._FilterDatabase" localSheetId="68" hidden="1">'Version history'!$A$4:$E$5</definedName>
    <definedName name="_xlnm.Print_Titles" localSheetId="68">'Version history'!$4:$4</definedName>
    <definedName name="_xlnm._FilterDatabase" localSheetId="69" hidden="1">'Sign-off certificate'!$A$4:$J$21</definedName>
    <definedName name="_xlnm.Print_Titles" localSheetId="69">'Sign-off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cellXfs>
  <cellStyles count="1">
    <cellStyle name="Normal" xfId="0" builtinId="0" hidden="0"/>
  </cellStyles>
  <dxfs count="6">
    <dxf>
      <fill>
        <patternFill patternType="solid">
          <fgColor rgb="00E5F5FF"/>
          <bgColor rgb="00E5F5FF"/>
        </patternFill>
      </fill>
    </dxf>
    <dxf>
      <font>
        <b val="1"/>
        <color rgb="008A5A00"/>
      </font>
      <fill>
        <patternFill patternType="solid">
          <fgColor rgb="00FFF4D6"/>
          <bgColor rgb="00FFF4D6"/>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styles" Target="styles.xml" Id="rId72"/><Relationship Type="http://schemas.openxmlformats.org/officeDocument/2006/relationships/theme" Target="theme/theme1.xml" Id="rId7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P03 Renewal advices already sen'!A1" TargetMode="External" Id="rId25"/><Relationship Type="http://schemas.openxmlformats.org/officeDocument/2006/relationships/hyperlink" Target="#'F01 Open legacy invoices - head'!A1" TargetMode="External" Id="rId26"/><Relationship Type="http://schemas.openxmlformats.org/officeDocument/2006/relationships/hyperlink" Target="#'F01S Open legacy invoices - ins'!A1" TargetMode="External" Id="rId27"/><Relationship Type="http://schemas.openxmlformats.org/officeDocument/2006/relationships/hyperlink" Target="#'F01C Open legacy invoices - com'!A1" TargetMode="External" Id="rId28"/><Relationship Type="http://schemas.openxmlformats.org/officeDocument/2006/relationships/hyperlink" Target="#'F02 Unapplied premium payments'!A1" TargetMode="External" Id="rId29"/><Relationship Type="http://schemas.openxmlformats.org/officeDocument/2006/relationships/hyperlink" Target="#'F03 Open collection state'!A1" TargetMode="External" Id="rId30"/><Relationship Type="http://schemas.openxmlformats.org/officeDocument/2006/relationships/hyperlink" Target="#'F04 Remittance in flight'!A1" TargetMode="External" Id="rId31"/><Relationship Type="http://schemas.openxmlformats.org/officeDocument/2006/relationships/hyperlink" Target="#'F06 PDCs, check pick-ups and re'!A1" TargetMode="External" Id="rId32"/><Relationship Type="http://schemas.openxmlformats.org/officeDocument/2006/relationships/hyperlink" Target="#'G01 GL opening trial balance'!A1" TargetMode="External" Id="rId33"/><Relationship Type="http://schemas.openxmlformats.org/officeDocument/2006/relationships/hyperlink" Target="#'G03 FY2027 true-up - legacy adj'!A1" TargetMode="External" Id="rId34"/><Relationship Type="http://schemas.openxmlformats.org/officeDocument/2006/relationships/hyperlink" Target="#'G03D FY2027 true-up - open-item'!A1" TargetMode="External" Id="rId35"/><Relationship Type="http://schemas.openxmlformats.org/officeDocument/2006/relationships/hyperlink" Target="#'H01 Archive records (closed tra'!A1" TargetMode="External" Id="rId36"/><Relationship Type="http://schemas.openxmlformats.org/officeDocument/2006/relationships/hyperlink" Target="#'H02 Archive documents index'!A1" TargetMode="External" Id="rId37"/><Relationship Type="http://schemas.openxmlformats.org/officeDocument/2006/relationships/hyperlink" Target="#'Control file'!A1" TargetMode="External" Id="rId38"/><Relationship Type="http://schemas.openxmlformats.org/officeDocument/2006/relationships/hyperlink" Target="#'Control example'!A1" TargetMode="External" Id="rId39"/><Relationship Type="http://schemas.openxmlformats.org/officeDocument/2006/relationships/hyperlink" Target="#'Control totals'!A1" TargetMode="External" Id="rId40"/><Relationship Type="http://schemas.openxmlformats.org/officeDocument/2006/relationships/hyperlink" Target="#'Code maps'!A1" TargetMode="External" Id="rId41"/><Relationship Type="http://schemas.openxmlformats.org/officeDocument/2006/relationships/hyperlink" Target="#'Code map template'!A1" TargetMode="External" Id="rId42"/><Relationship Type="http://schemas.openxmlformats.org/officeDocument/2006/relationships/hyperlink" Target="#'Validation rules'!A1" TargetMode="External" Id="rId43"/><Relationship Type="http://schemas.openxmlformats.org/officeDocument/2006/relationships/hyperlink" Target="#'Masking'!A1" TargetMode="External" Id="rId44"/><Relationship Type="http://schemas.openxmlformats.org/officeDocument/2006/relationships/hyperlink" Target="#'Cut-over tasks'!A1" TargetMode="External" Id="rId45"/><Relationship Type="http://schemas.openxmlformats.org/officeDocument/2006/relationships/hyperlink" Target="#'Cut-over roles'!A1" TargetMode="External" Id="rId46"/><Relationship Type="http://schemas.openxmlformats.org/officeDocument/2006/relationships/hyperlink" Target="#'Cut-over calendar'!A1" TargetMode="External" Id="rId47"/><Relationship Type="http://schemas.openxmlformats.org/officeDocument/2006/relationships/hyperlink" Target="#'Go-no-go checkpoints'!A1" TargetMode="External" Id="rId48"/><Relationship Type="http://schemas.openxmlformats.org/officeDocument/2006/relationships/hyperlink" Target="#'Freeze windows'!A1" TargetMode="External" Id="rId49"/><Relationship Type="http://schemas.openxmlformats.org/officeDocument/2006/relationships/hyperlink" Target="#'Rollback'!A1" TargetMode="External" Id="rId50"/><Relationship Type="http://schemas.openxmlformats.org/officeDocument/2006/relationships/hyperlink" Target="#'Communication'!A1" TargetMode="External" Id="rId51"/><Relationship Type="http://schemas.openxmlformats.org/officeDocument/2006/relationships/hyperlink" Target="#'Hypercare'!A1" TargetMode="External" Id="rId52"/><Relationship Type="http://schemas.openxmlformats.org/officeDocument/2006/relationships/hyperlink" Target="#'Decommissioning'!A1" TargetMode="External" Id="rId53"/><Relationship Type="http://schemas.openxmlformats.org/officeDocument/2006/relationships/hyperlink" Target="#'Reconciliation sign-off'!A1" TargetMode="External" Id="rId54"/><Relationship Type="http://schemas.openxmlformats.org/officeDocument/2006/relationships/hyperlink" Target="#'Open decisions'!A1" TargetMode="External" Id="rId55"/><Relationship Type="http://schemas.openxmlformats.org/officeDocument/2006/relationships/hyperlink" Target="#'Proposed rules'!A1" TargetMode="External" Id="rId56"/><Relationship Type="http://schemas.openxmlformats.org/officeDocument/2006/relationships/hyperlink" Target="#'Screen standards'!A1" TargetMode="External" Id="rId57"/><Relationship Type="http://schemas.openxmlformats.org/officeDocument/2006/relationships/hyperlink" Target="#'Screen catalogue'!A1" TargetMode="External" Id="rId58"/><Relationship Type="http://schemas.openxmlformats.org/officeDocument/2006/relationships/hyperlink" Target="#'Field register'!A1" TargetMode="External" Id="rId59"/><Relationship Type="http://schemas.openxmlformats.org/officeDocument/2006/relationships/hyperlink" Target="#'Actions'!A1" TargetMode="External" Id="rId60"/><Relationship Type="http://schemas.openxmlformats.org/officeDocument/2006/relationships/hyperlink" Target="#'Business rules'!A1" TargetMode="External" Id="rId61"/><Relationship Type="http://schemas.openxmlformats.org/officeDocument/2006/relationships/hyperlink" Target="#'Messages'!A1" TargetMode="External" Id="rId62"/><Relationship Type="http://schemas.openxmlformats.org/officeDocument/2006/relationships/hyperlink" Target="#'Notifications'!A1" TargetMode="External" Id="rId63"/><Relationship Type="http://schemas.openxmlformats.org/officeDocument/2006/relationships/hyperlink" Target="#'Menu by persona'!A1" TargetMode="External" Id="rId64"/><Relationship Type="http://schemas.openxmlformats.org/officeDocument/2006/relationships/hyperlink" Target="#'Cross-BRD contract'!A1" TargetMode="External" Id="rId65"/><Relationship Type="http://schemas.openxmlformats.org/officeDocument/2006/relationships/hyperlink" Target="#'Comments log'!A1" TargetMode="External" Id="rId66"/><Relationship Type="http://schemas.openxmlformats.org/officeDocument/2006/relationships/hyperlink" Target="#'Meeting minutes'!A1" TargetMode="External" Id="rId67"/><Relationship Type="http://schemas.openxmlformats.org/officeDocument/2006/relationships/hyperlink" Target="#'Version history'!A1" TargetMode="External" Id="rId68"/><Relationship Type="http://schemas.openxmlformats.org/officeDocument/2006/relationships/hyperlink" Target="#'Sign-off certificate'!A1" TargetMode="External" Id="rId69"/><Relationship Type="http://schemas.openxmlformats.org/officeDocument/2006/relationships/drawing" Target="/xl/drawings/drawing1.xml" Id="rId70"/></Relationships>
</file>

<file path=xl/worksheets/sheet1.xml><?xml version="1.0" encoding="utf-8"?>
<worksheet xmlns="http://schemas.openxmlformats.org/spreadsheetml/2006/main">
  <sheetPr>
    <outlinePr summaryBelow="1" summaryRight="1"/>
    <pageSetUpPr fitToPage="1"/>
  </sheetPr>
  <dimension ref="B4:E9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How to fill sheet of the console workbook, then the rules of the migration</t>
        </is>
      </c>
      <c r="D26" s="12" t="n">
        <v>11</v>
      </c>
    </row>
    <row r="27">
      <c r="B27" s="13" t="inlineStr">
        <is>
          <t>Load templates</t>
        </is>
      </c>
      <c r="C27" s="14" t="inlineStr">
        <is>
          <t>The extract layouts in force; each has a sheet below and a CSV template exported by the Migration Console (Layouts and Rules)</t>
        </is>
      </c>
      <c r="D27" s="14" t="n">
        <v>29</v>
      </c>
    </row>
    <row r="28">
      <c r="B28" s="11" t="inlineStr">
        <is>
          <t>R01 Lists of values and MIS val</t>
        </is>
      </c>
      <c r="C28" s="12" t="inlineStr">
        <is>
          <t>Layout R01 v1 of object R01: Lists of values and MIS values. Key list_type, code. Template R01_template.csv.</t>
        </is>
      </c>
      <c r="D28" s="12" t="n">
        <v>8</v>
      </c>
    </row>
    <row r="29">
      <c r="B29" s="13" t="inlineStr">
        <is>
          <t>R02 Branches and invoicing bran</t>
        </is>
      </c>
      <c r="C29" s="14" t="inlineStr">
        <is>
          <t>Layout R02 v1 of object R02: Branches and invoicing branches. Key branch_code. Template R02_template.csv.</t>
        </is>
      </c>
      <c r="D29" s="14" t="n">
        <v>5</v>
      </c>
    </row>
    <row r="30">
      <c r="B30" s="11" t="inlineStr">
        <is>
          <t>R03 Sales organisation (units a</t>
        </is>
      </c>
      <c r="C30" s="12" t="inlineStr">
        <is>
          <t>Layout R03 v1 of object R03: Sales organisation (units and account officers). Key record_type, unit_code, ao_user_id. Template R03_template.csv.</t>
        </is>
      </c>
      <c r="D30" s="12" t="n">
        <v>11</v>
      </c>
    </row>
    <row r="31">
      <c r="B31" s="13" t="inlineStr">
        <is>
          <t>R04 Insurers</t>
        </is>
      </c>
      <c r="C31" s="14" t="inlineStr">
        <is>
          <t>Layout R04 v1 of object R04: Insurers. Key insurer_code. Template R04_template.csv.</t>
        </is>
      </c>
      <c r="D31" s="14" t="n">
        <v>10</v>
      </c>
    </row>
    <row r="32">
      <c r="B32" s="11" t="inlineStr">
        <is>
          <t>R04B Insurer branches</t>
        </is>
      </c>
      <c r="C32" s="12" t="inlineStr">
        <is>
          <t>Layout R04B v1 of object R04: Insurer branches. Key insurer_code, branch_code. Template R04B_template.csv.</t>
        </is>
      </c>
      <c r="D32" s="12" t="n">
        <v>7</v>
      </c>
    </row>
    <row r="33">
      <c r="B33" s="13" t="inlineStr">
        <is>
          <t>R05 Product lines, cover types,</t>
        </is>
      </c>
      <c r="C33" s="14" t="inlineStr">
        <is>
          <t>Layout R05 v1 of object R05: Product lines, cover types, products and risk codes. Key risk_code. Template R05_template.csv.</t>
        </is>
      </c>
      <c r="D33" s="14" t="n">
        <v>9</v>
      </c>
    </row>
    <row r="34">
      <c r="B34" s="11" t="inlineStr">
        <is>
          <t>R06 Package code map (legacy pa</t>
        </is>
      </c>
      <c r="C34" s="12" t="inlineStr">
        <is>
          <t>Layout R06 v1 of object R06: Package code map (legacy package to BIBS package version). Key legacy_package_code, legacy_package_version, qualifier, qualifier_value. Template R06_template.csv.</t>
        </is>
      </c>
      <c r="D34" s="12" t="n">
        <v>8</v>
      </c>
    </row>
    <row r="35">
      <c r="B35" s="13" t="inlineStr">
        <is>
          <t>R07 Commission rates by insurer</t>
        </is>
      </c>
      <c r="C35" s="14" t="inlineStr">
        <is>
          <t>Layout R07 v1 of object R07: Commission rates by insurer and product. Key insurer_code, risk_code, effective_from. Template R07_template.csv.</t>
        </is>
      </c>
      <c r="D35" s="14" t="n">
        <v>5</v>
      </c>
    </row>
    <row r="36">
      <c r="B36" s="11" t="inlineStr">
        <is>
          <t>R08 Chart of accounts mapping</t>
        </is>
      </c>
      <c r="C36" s="12" t="inlineStr">
        <is>
          <t>Layout R08 v1 of object R08: Chart of accounts mapping. Key legacy_account_code. Template R08_template.csv.</t>
        </is>
      </c>
      <c r="D36" s="12" t="n">
        <v>8</v>
      </c>
    </row>
    <row r="37">
      <c r="B37" s="13" t="inlineStr">
        <is>
          <t>R09 Payees</t>
        </is>
      </c>
      <c r="C37" s="14" t="inlineStr">
        <is>
          <t>Layout R09 v1 of object R09: Payees. Key payee_code. Template R09_template.csv.</t>
        </is>
      </c>
      <c r="D37" s="14" t="n">
        <v>11</v>
      </c>
    </row>
    <row r="38">
      <c r="B38" s="11" t="inlineStr">
        <is>
          <t>R11 Receipt series in use</t>
        </is>
      </c>
      <c r="C38" s="12" t="inlineStr">
        <is>
          <t>Layout R11 v1 of object R11: Receipt series in use. Key branch_code, kind, prefix. Template R11_template.csv.</t>
        </is>
      </c>
      <c r="D38" s="12" t="n">
        <v>8</v>
      </c>
    </row>
    <row r="39">
      <c r="B39" s="13" t="inlineStr">
        <is>
          <t>C01 Client master</t>
        </is>
      </c>
      <c r="C39" s="14" t="inlineStr">
        <is>
          <t>Layout C01 v1 of object C01: Client master. Key legacy_client_no. Template C01_template.csv.</t>
        </is>
      </c>
      <c r="D39" s="14" t="n">
        <v>36</v>
      </c>
    </row>
    <row r="40">
      <c r="B40" s="11" t="inlineStr">
        <is>
          <t>C02 Client addresses and contac</t>
        </is>
      </c>
      <c r="C40" s="12" t="inlineStr">
        <is>
          <t>Layout C02 v1 of object C01: Client addresses and contacts. Key legacy_client_no, record_type, seq_no. Template C02_template.csv.</t>
        </is>
      </c>
      <c r="D40" s="12" t="n">
        <v>13</v>
      </c>
    </row>
    <row r="41">
      <c r="B41" s="13" t="inlineStr">
        <is>
          <t>C03 Client payout accounts</t>
        </is>
      </c>
      <c r="C41" s="14" t="inlineStr">
        <is>
          <t>Layout C03 v1 of object C03: Client payout accounts. Key legacy_client_no, account_no. Template C03_template.csv.</t>
        </is>
      </c>
      <c r="D41" s="14" t="n">
        <v>6</v>
      </c>
    </row>
    <row r="42">
      <c r="B42" s="11" t="inlineStr">
        <is>
          <t>P01 In-force policy headers</t>
        </is>
      </c>
      <c r="C42" s="12" t="inlineStr">
        <is>
          <t>Layout P01 v1 of object P01: In-force policy headers. Key legacy_policy_ref. Template P01_template.csv.</t>
        </is>
      </c>
      <c r="D42" s="12" t="n">
        <v>31</v>
      </c>
    </row>
    <row r="43">
      <c r="B43" s="13" t="inlineStr">
        <is>
          <t>P01S Policy insurer shares</t>
        </is>
      </c>
      <c r="C43" s="14" t="inlineStr">
        <is>
          <t>Layout P01S v1 of object P01: Policy insurer shares. Key legacy_policy_ref, share_seq. Template P01S_template.csv.</t>
        </is>
      </c>
      <c r="D43" s="14" t="n">
        <v>6</v>
      </c>
    </row>
    <row r="44">
      <c r="B44" s="11" t="inlineStr">
        <is>
          <t>P03 Renewal advices already sen</t>
        </is>
      </c>
      <c r="C44" s="12" t="inlineStr">
        <is>
          <t>Layout P03 v1 of object P03: Renewal advices already sent before go-live (RA-sent file). Key legacy_policy_ref. Template P03_template.csv.</t>
        </is>
      </c>
      <c r="D44" s="12" t="n">
        <v>13</v>
      </c>
    </row>
    <row r="45">
      <c r="B45" s="13" t="inlineStr">
        <is>
          <t>F01 Open legacy invoices - head</t>
        </is>
      </c>
      <c r="C45" s="14" t="inlineStr">
        <is>
          <t>Layout F01 v1 of object F01: Open legacy invoices - header. Key legacy_invoice_no. Template F01_template.csv.</t>
        </is>
      </c>
      <c r="D45" s="14" t="n">
        <v>38</v>
      </c>
    </row>
    <row r="46">
      <c r="B46" s="11" t="inlineStr">
        <is>
          <t>F01S Open legacy invoices - ins</t>
        </is>
      </c>
      <c r="C46" s="12" t="inlineStr">
        <is>
          <t>Layout F01S v1 of object F01: Open legacy invoices - insurer shares. Key legacy_invoice_no, share_seq. Template F01S_template.csv.</t>
        </is>
      </c>
      <c r="D46" s="12" t="n">
        <v>5</v>
      </c>
    </row>
    <row r="47">
      <c r="B47" s="13" t="inlineStr">
        <is>
          <t>F01C Open legacy invoices - com</t>
        </is>
      </c>
      <c r="C47" s="14" t="inlineStr">
        <is>
          <t>Layout F01C v1 of object F01: Open legacy invoices - components and positions. Key legacy_invoice_no, component. Template F01C_template.csv.</t>
        </is>
      </c>
      <c r="D47" s="14" t="n">
        <v>8</v>
      </c>
    </row>
    <row r="48">
      <c r="B48" s="11" t="inlineStr">
        <is>
          <t>F02 Unapplied premium payments</t>
        </is>
      </c>
      <c r="C48" s="12" t="inlineStr">
        <is>
          <t>Layout F02 v1 of object F02: Unapplied premium payments (UPP). Key legacy_upp_ref. Template F02_template.csv.</t>
        </is>
      </c>
      <c r="D48" s="12" t="n">
        <v>21</v>
      </c>
    </row>
    <row r="49">
      <c r="B49" s="13" t="inlineStr">
        <is>
          <t>F03 Open collection state</t>
        </is>
      </c>
      <c r="C49" s="14" t="inlineStr">
        <is>
          <t>Layout F03 v1 of object F03: Open collection state. Key legacy_invoice_no, record_type, seq_no. Template F03_template.csv.</t>
        </is>
      </c>
      <c r="D49" s="14" t="n">
        <v>12</v>
      </c>
    </row>
    <row r="50">
      <c r="B50" s="11" t="inlineStr">
        <is>
          <t>F04 Remittance in flight</t>
        </is>
      </c>
      <c r="C50" s="12" t="inlineStr">
        <is>
          <t>Layout F04 v1 of object F04: Remittance in flight. Key legacy_batch_no, legacy_invoice_no. Template F04_template.csv.</t>
        </is>
      </c>
      <c r="D50" s="12" t="n">
        <v>10</v>
      </c>
    </row>
    <row r="51">
      <c r="B51" s="13" t="inlineStr">
        <is>
          <t>F06 PDCs, check pick-ups and re</t>
        </is>
      </c>
      <c r="C51" s="14" t="inlineStr">
        <is>
          <t>Layout F06 v1 of object F06: PDCs, check pick-ups and refunds in process. Key record_type, reference. Template F06_template.csv.</t>
        </is>
      </c>
      <c r="D51" s="14" t="n">
        <v>14</v>
      </c>
    </row>
    <row r="52">
      <c r="B52" s="11" t="inlineStr">
        <is>
          <t>G01 GL opening trial balance</t>
        </is>
      </c>
      <c r="C52" s="12" t="inlineStr">
        <is>
          <t>Layout G01 v1 of object G01: GL opening trial balance. Key tb_version, branch_code, currency, legacy_account_code, cost_center. Template G01_template.csv.</t>
        </is>
      </c>
      <c r="D52" s="12" t="n">
        <v>11</v>
      </c>
    </row>
    <row r="53">
      <c r="B53" s="13" t="inlineStr">
        <is>
          <t>G03 FY2027 true-up - legacy adj</t>
        </is>
      </c>
      <c r="C53" s="14" t="inlineStr">
        <is>
          <t>Layout G03 v1 of object G03: FY2027 true-up - legacy adjustment journal lines after the freeze. Key legacy_journal_no, line_no. Template G03_template.csv.</t>
        </is>
      </c>
      <c r="D53" s="14" t="n">
        <v>19</v>
      </c>
    </row>
    <row r="54">
      <c r="B54" s="11" t="inlineStr">
        <is>
          <t>G03D FY2027 true-up - open-item</t>
        </is>
      </c>
      <c r="C54" s="12" t="inlineStr">
        <is>
          <t>Layout G03D v1 of object G03: FY2027 true-up - open-item detail of the lines on legacy control accounts. Key legacy_journal_no, line_no, item_ref, component. Template G03D_template.csv.</t>
        </is>
      </c>
      <c r="D54" s="12" t="n">
        <v>10</v>
      </c>
    </row>
    <row r="55">
      <c r="B55" s="13" t="inlineStr">
        <is>
          <t>H01 Archive records (closed tra</t>
        </is>
      </c>
      <c r="C55" s="14" t="inlineStr">
        <is>
          <t>Layout H01 v1 of object H01: Archive records (closed transactions and history). Key record_type, legacy_key. Template H01_template.csv.</t>
        </is>
      </c>
      <c r="D55" s="14" t="n">
        <v>15</v>
      </c>
    </row>
    <row r="56">
      <c r="B56" s="11" t="inlineStr">
        <is>
          <t>H02 Archive documents index</t>
        </is>
      </c>
      <c r="C56" s="12" t="inlineStr">
        <is>
          <t>Layout H02 v1 of object H02: Archive documents index. Key record_type, legacy_key, file_name. Template H02_template.csv.</t>
        </is>
      </c>
      <c r="D56" s="12" t="n">
        <v>8</v>
      </c>
    </row>
    <row r="57">
      <c r="B57" s="13" t="inlineStr">
        <is>
          <t>Control file</t>
        </is>
      </c>
      <c r="C57" s="14" t="inlineStr">
        <is>
          <t>The control file sent with every data file (&lt;data file name&gt;.ctl.csv): one row per measure</t>
        </is>
      </c>
      <c r="D57" s="14" t="n">
        <v>12</v>
      </c>
    </row>
    <row r="58">
      <c r="B58" s="11" t="inlineStr">
        <is>
          <t>Control example</t>
        </is>
      </c>
      <c r="C58" s="12" t="inlineStr">
        <is>
          <t>Example control file of F01C (made-up values)</t>
        </is>
      </c>
      <c r="D58" s="12" t="n">
        <v>7</v>
      </c>
    </row>
    <row r="59">
      <c r="B59" s="13" t="inlineStr">
        <is>
          <t>Control totals</t>
        </is>
      </c>
      <c r="C59" s="14" t="inlineStr">
        <is>
          <t>Control totals per layout; the tie-out sheet of reconciliation levels L1 to L3 in each run</t>
        </is>
      </c>
      <c r="D59" s="14" t="n">
        <v>116</v>
      </c>
    </row>
    <row r="60">
      <c r="B60" s="11" t="inlineStr">
        <is>
          <t>Code maps</t>
        </is>
      </c>
      <c r="C60" s="12" t="inlineStr">
        <is>
          <t>Code map sets of the Migration Console (BRID 3.1): one per domain, versioned and approved by the business owner</t>
        </is>
      </c>
      <c r="D60" s="12" t="n">
        <v>34</v>
      </c>
    </row>
    <row r="61">
      <c r="B61" s="13" t="inlineStr">
        <is>
          <t>Code map template</t>
        </is>
      </c>
      <c r="C61" s="14" t="inlineStr">
        <is>
          <t>Columns of a code map version as exported and imported in Excel on the Code Maps screen (the columns source_system to remarks; illustrative rows)</t>
        </is>
      </c>
      <c r="D61" s="14" t="n">
        <v>11</v>
      </c>
    </row>
    <row r="62">
      <c r="B62" s="11" t="inlineStr">
        <is>
          <t>Validation rules</t>
        </is>
      </c>
      <c r="C62" s="12" t="inlineStr">
        <is>
          <t>Data-quality rules applied to every staged row (Layouts and Rules, Data-Quality Rules). Thresholds: master data 0.5 percent rejected or waived; financial objects none</t>
        </is>
      </c>
      <c r="D62" s="12" t="n">
        <v>54</v>
      </c>
    </row>
    <row r="63">
      <c r="B63" s="13" t="inlineStr">
        <is>
          <t>Masking</t>
        </is>
      </c>
      <c r="C63" s="14" t="inlineStr">
        <is>
          <t>Personal data masked when a file is received in any environment other than production</t>
        </is>
      </c>
      <c r="D63" s="14" t="n">
        <v>31</v>
      </c>
    </row>
    <row r="64">
      <c r="B64" s="11" t="inlineStr">
        <is>
          <t>Cut-over tasks</t>
        </is>
      </c>
      <c r="C64" s="12" t="inlineStr">
        <is>
          <t>The production cut-over plan from T-30 to the close of the opening-balance adjustments</t>
        </is>
      </c>
      <c r="D64" s="12" t="n">
        <v>95</v>
      </c>
    </row>
    <row r="65">
      <c r="B65" s="13" t="inlineStr">
        <is>
          <t>Cut-over roles</t>
        </is>
      </c>
      <c r="C65" s="14" t="inlineStr">
        <is>
          <t>Owner roles of the task plan</t>
        </is>
      </c>
      <c r="D65" s="14" t="n">
        <v>16</v>
      </c>
    </row>
    <row r="66">
      <c r="B66" s="11" t="inlineStr">
        <is>
          <t>Cut-over calendar</t>
        </is>
      </c>
      <c r="C66" s="12" t="inlineStr">
        <is>
          <t>Relative days on the calendar of the proposed go-live (DMQ25, DMQ39)</t>
        </is>
      </c>
      <c r="D66" s="12" t="n">
        <v>26</v>
      </c>
    </row>
    <row r="67">
      <c r="B67" s="13" t="inlineStr">
        <is>
          <t>Go-no-go checkpoints</t>
        </is>
      </c>
      <c r="C67" s="14" t="inlineStr">
        <is>
          <t>Go / no-go checkpoints and their criteria</t>
        </is>
      </c>
      <c r="D67" s="14" t="n">
        <v>35</v>
      </c>
    </row>
    <row r="68">
      <c r="B68" s="11" t="inlineStr">
        <is>
          <t>Freeze windows</t>
        </is>
      </c>
      <c r="C68" s="12" t="inlineStr">
        <is>
          <t>Freeze windows of the legacy systems and of BIBS</t>
        </is>
      </c>
      <c r="D68" s="12" t="n">
        <v>6</v>
      </c>
    </row>
    <row r="69">
      <c r="B69" s="13" t="inlineStr">
        <is>
          <t>Rollback</t>
        </is>
      </c>
      <c r="C69" s="14" t="inlineStr">
        <is>
          <t>Rollback procedure (only on NO-GO, before the point of no return)</t>
        </is>
      </c>
      <c r="D69" s="14" t="n">
        <v>8</v>
      </c>
    </row>
    <row r="70">
      <c r="B70" s="11" t="inlineStr">
        <is>
          <t>Communication</t>
        </is>
      </c>
      <c r="C70" s="12" t="inlineStr">
        <is>
          <t>Communication plan of the cut-over</t>
        </is>
      </c>
      <c r="D70" s="12" t="n">
        <v>12</v>
      </c>
    </row>
    <row r="71">
      <c r="B71" s="13" t="inlineStr">
        <is>
          <t>Hypercare</t>
        </is>
      </c>
      <c r="C71" s="14" t="inlineStr">
        <is>
          <t>Hypercare roster and exit criteria</t>
        </is>
      </c>
      <c r="D71" s="14" t="n">
        <v>17</v>
      </c>
    </row>
    <row r="72">
      <c r="B72" s="11" t="inlineStr">
        <is>
          <t>Decommissioning</t>
        </is>
      </c>
      <c r="C72" s="12" t="inlineStr">
        <is>
          <t>Checklist per legacy system and for the legacy context (BRID 12.1; DMQ27)</t>
        </is>
      </c>
      <c r="D72" s="12" t="n">
        <v>31</v>
      </c>
    </row>
    <row r="73">
      <c r="B73" s="13" t="inlineStr">
        <is>
          <t>Reconciliation sign-off</t>
        </is>
      </c>
      <c r="C73" s="14" t="inlineStr">
        <is>
          <t>Reconciliation and acceptance of every object with a load template: what each level proves and who signs (Handbook Part C)</t>
        </is>
      </c>
      <c r="D73" s="14" t="n">
        <v>23</v>
      </c>
    </row>
    <row r="74">
      <c r="B74" s="11" t="inlineStr">
        <is>
          <t>Open decisions</t>
        </is>
      </c>
      <c r="C74" s="12" t="inlineStr">
        <is>
          <t>Decisions of BDOI that the migration waits for, with the date each is needed by</t>
        </is>
      </c>
      <c r="D74" s="12" t="n">
        <v>42</v>
      </c>
    </row>
    <row r="75">
      <c r="B75" s="13" t="inlineStr">
        <is>
          <t>Proposed rules</t>
        </is>
      </c>
      <c r="C75" s="14" t="inlineStr">
        <is>
          <t>Proposed business rules and clarifications for confirmation (Handbook chapter of the same name)</t>
        </is>
      </c>
      <c r="D75" s="14" t="n">
        <v>28</v>
      </c>
    </row>
    <row r="76">
      <c r="B76" s="11" t="inlineStr">
        <is>
          <t>Screen standards</t>
        </is>
      </c>
      <c r="C76" s="12" t="inlineStr">
        <is>
          <t>Elements and standards shared by every screen (workflow stepper and history, pills, dates, uploads, messages, notifications); described once, not repeated per screen</t>
        </is>
      </c>
      <c r="D76" s="12" t="n">
        <v>9</v>
      </c>
    </row>
    <row r="77">
      <c r="B77" s="13" t="inlineStr">
        <is>
          <t>Screen catalogue</t>
        </is>
      </c>
      <c r="C77" s="14" t="inlineStr">
        <is>
          <t>One row per Data Migration screen</t>
        </is>
      </c>
      <c r="D77" s="14" t="n">
        <v>20</v>
      </c>
    </row>
    <row r="78">
      <c r="B78" s="11" t="inlineStr">
        <is>
          <t>Field register</t>
        </is>
      </c>
      <c r="C78" s="12" t="inlineStr">
        <is>
          <t>Every field and list column of every screen</t>
        </is>
      </c>
      <c r="D78" s="12" t="n">
        <v>189</v>
      </c>
    </row>
    <row r="79">
      <c r="B79" s="13" t="inlineStr">
        <is>
          <t>Actions</t>
        </is>
      </c>
      <c r="C79" s="14" t="inlineStr">
        <is>
          <t>Every action (button) of every screen</t>
        </is>
      </c>
      <c r="D79" s="14" t="n">
        <v>86</v>
      </c>
    </row>
    <row r="80">
      <c r="B80" s="11" t="inlineStr">
        <is>
          <t>Business rules</t>
        </is>
      </c>
      <c r="C80" s="12" t="inlineStr">
        <is>
          <t>The business rules stated on the screens</t>
        </is>
      </c>
      <c r="D80" s="12" t="n">
        <v>67</v>
      </c>
    </row>
    <row r="81">
      <c r="B81" s="13" t="inlineStr">
        <is>
          <t>Messages</t>
        </is>
      </c>
      <c r="C81" s="14" t="inlineStr">
        <is>
          <t>Every validation, error, warning and confirmation message</t>
        </is>
      </c>
      <c r="D81" s="14" t="n">
        <v>216</v>
      </c>
    </row>
    <row r="82">
      <c r="B82" s="11" t="inlineStr">
        <is>
          <t>Notifications</t>
        </is>
      </c>
      <c r="C82" s="12" t="inlineStr">
        <is>
          <t>In-app notifications and e-mails</t>
        </is>
      </c>
      <c r="D82" s="12" t="n">
        <v>10</v>
      </c>
    </row>
    <row r="83">
      <c r="B83" s="13" t="inlineStr">
        <is>
          <t>Menu by persona</t>
        </is>
      </c>
      <c r="C83" s="14" t="inlineStr">
        <is>
          <t>What each Data Migration persona sees in the sidebar (from the role grants)</t>
        </is>
      </c>
      <c r="D83" s="14" t="n">
        <v>437</v>
      </c>
    </row>
    <row r="84">
      <c r="B84" s="11" t="inlineStr">
        <is>
          <t>Cross-BRD contract</t>
        </is>
      </c>
      <c r="C84" s="12" t="inlineStr">
        <is>
          <t>What Data Migration takes from and hands to the other BRDs and systems; a change is a change request</t>
        </is>
      </c>
      <c r="D84" s="12" t="n">
        <v>12</v>
      </c>
    </row>
    <row r="85">
      <c r="B85" s="13" t="inlineStr">
        <is>
          <t>Comments log</t>
        </is>
      </c>
      <c r="C85" s="14" t="inlineStr">
        <is>
          <t>Questions, corrections and change requests raised during the review, with the answer</t>
        </is>
      </c>
      <c r="D85" s="14" t="n">
        <v>50</v>
      </c>
    </row>
    <row r="86">
      <c r="B86" s="11" t="inlineStr">
        <is>
          <t>Meeting minutes</t>
        </is>
      </c>
      <c r="C86" s="12" t="inlineStr">
        <is>
          <t>Minutes of the review sessions</t>
        </is>
      </c>
      <c r="D86" s="12" t="n">
        <v>3</v>
      </c>
    </row>
    <row r="87">
      <c r="B87" s="13" t="inlineStr">
        <is>
          <t>Version history</t>
        </is>
      </c>
      <c r="C87" s="14" t="inlineStr">
        <is>
          <t>Versions of this release set (a revision after review is v2.1; after sign-off, a change request)</t>
        </is>
      </c>
      <c r="D87" s="14" t="n">
        <v>1</v>
      </c>
    </row>
    <row r="88">
      <c r="B88" s="11" t="inlineStr">
        <is>
          <t>Sign-off certificate</t>
        </is>
      </c>
      <c r="C88" s="12" t="inlineStr">
        <is>
          <t>By signing, the signatories confirm the BRD-13 Data Migration – Business Sign-off Pack v2.0: its content, screens and navigation are frozen; the screenshots use fictitious seed data; later changes go through the Change Management Register</t>
        </is>
      </c>
      <c r="D88" s="12" t="n">
        <v>17</v>
      </c>
    </row>
    <row r="90">
      <c r="B90" s="9" t="inlineStr">
        <is>
          <t>Legend</t>
        </is>
      </c>
    </row>
    <row r="91">
      <c r="B91" s="15" t="inlineStr">
        <is>
          <t>Accept</t>
        </is>
      </c>
      <c r="C91" s="16" t="inlineStr">
        <is>
          <t>The row is correct as specified</t>
        </is>
      </c>
    </row>
    <row r="92">
      <c r="B92" s="15" t="inlineStr">
        <is>
          <t>Change requested</t>
        </is>
      </c>
      <c r="C92" s="16" t="inlineStr">
        <is>
          <t>The row must change: describe the change in BU comment</t>
        </is>
      </c>
    </row>
    <row r="93">
      <c r="B93" s="15" t="inlineStr">
        <is>
          <t>Comment</t>
        </is>
      </c>
      <c r="C93" s="16" t="inlineStr">
        <is>
          <t>A remark that does not change the row</t>
        </is>
      </c>
    </row>
    <row r="95">
      <c r="B95" s="17" t="inlineStr">
        <is>
          <t>Issued on 05-Oct-2026 with the Data Migration Handbook v2.0. The load template sheets are the layouts of the Migration Console column for column: the console exports the same templates (Layouts and Rules).</t>
        </is>
      </c>
    </row>
    <row r="96">
      <c r="B96" s="17" t="inlineStr">
        <is>
          <t>Fill in the BU review columns and, on the Proposed rules sheet, the BDOI decision. After sign-off the objects, decisions, layouts, screens and rules are frozen; later changes go through the Change Management Register.</t>
        </is>
      </c>
    </row>
    <row r="98" ht="26" customHeight="1">
      <c r="B9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0"/>
</worksheet>
</file>

<file path=xl/worksheets/sheet2.xml><?xml version="1.0" encoding="utf-8"?>
<worksheet xmlns="http://schemas.openxmlformats.org/spreadsheetml/2006/main">
  <sheetPr>
    <outlinePr summaryBelow="1" summaryRight="1"/>
    <pageSetUpPr fitToPage="1"/>
  </sheetPr>
  <dimension ref="A1:D78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Load templates</t>
        </is>
      </c>
      <c r="B60" s="21" t="inlineStr">
        <is>
          <t>Layout</t>
        </is>
      </c>
      <c r="C60" s="14" t="inlineStr">
        <is>
          <t>Layout code; starts the file name</t>
        </is>
      </c>
      <c r="D60" s="14" t="inlineStr"/>
    </row>
    <row r="61">
      <c r="A61" s="12" t="inlineStr">
        <is>
          <t>Load templates</t>
        </is>
      </c>
      <c r="B61" s="20" t="inlineStr">
        <is>
          <t>Content</t>
        </is>
      </c>
      <c r="C61" s="12" t="inlineStr">
        <is>
          <t>What one row of the file holds</t>
        </is>
      </c>
      <c r="D61" s="12" t="inlineStr"/>
    </row>
    <row r="62">
      <c r="A62" s="14" t="inlineStr">
        <is>
          <t>Load templates</t>
        </is>
      </c>
      <c r="B62" s="21" t="inlineStr">
        <is>
          <t>Object</t>
        </is>
      </c>
      <c r="C62" s="14" t="inlineStr">
        <is>
          <t>Data object</t>
        </is>
      </c>
      <c r="D62" s="14" t="inlineStr"/>
    </row>
    <row r="63">
      <c r="A63" s="12" t="inlineStr">
        <is>
          <t>Load templates</t>
        </is>
      </c>
      <c r="B63" s="20" t="inlineStr">
        <is>
          <t>Decision</t>
        </is>
      </c>
      <c r="C63" s="12" t="inlineStr">
        <is>
          <t>Proposed decision of the object</t>
        </is>
      </c>
      <c r="D63" s="12" t="inlineStr"/>
    </row>
    <row r="64">
      <c r="A64" s="14" t="inlineStr">
        <is>
          <t>Load templates</t>
        </is>
      </c>
      <c r="B64" s="21" t="inlineStr">
        <is>
          <t>Sheet</t>
        </is>
      </c>
      <c r="C64" s="14" t="inlineStr">
        <is>
          <t>Sheet of this workbook and of the console workbook</t>
        </is>
      </c>
      <c r="D64" s="14" t="inlineStr"/>
    </row>
    <row r="65">
      <c r="A65" s="12" t="inlineStr">
        <is>
          <t>Load templates</t>
        </is>
      </c>
      <c r="B65" s="20" t="inlineStr">
        <is>
          <t>CSV template</t>
        </is>
      </c>
      <c r="C65" s="12" t="inlineStr">
        <is>
          <t>Template the console exports (header row only)</t>
        </is>
      </c>
      <c r="D65" s="12" t="inlineStr"/>
    </row>
    <row r="66">
      <c r="A66" s="14" t="inlineStr">
        <is>
          <t>Load templates</t>
        </is>
      </c>
      <c r="B66" s="21" t="inlineStr">
        <is>
          <t>Columns</t>
        </is>
      </c>
      <c r="C66" s="14" t="inlineStr">
        <is>
          <t>Columns of the layout</t>
        </is>
      </c>
      <c r="D66" s="14" t="inlineStr"/>
    </row>
    <row r="67">
      <c r="A67" s="12" t="inlineStr">
        <is>
          <t>Load templates</t>
        </is>
      </c>
      <c r="B67" s="20" t="inlineStr">
        <is>
          <t>Mandatory</t>
        </is>
      </c>
      <c r="C67" s="12" t="inlineStr">
        <is>
          <t>Mandatory columns</t>
        </is>
      </c>
      <c r="D67" s="12" t="inlineStr"/>
    </row>
    <row r="68">
      <c r="A68" s="14" t="inlineStr">
        <is>
          <t>Load templates</t>
        </is>
      </c>
      <c r="B68" s="21" t="inlineStr">
        <is>
          <t>Key</t>
        </is>
      </c>
      <c r="C68" s="14" t="inlineStr">
        <is>
          <t>Legacy key of a row</t>
        </is>
      </c>
      <c r="D68" s="14" t="inlineStr"/>
    </row>
    <row r="69">
      <c r="A69" s="12" t="inlineStr">
        <is>
          <t>Load templates</t>
        </is>
      </c>
      <c r="B69" s="20" t="inlineStr">
        <is>
          <t>Hash total</t>
        </is>
      </c>
      <c r="C69" s="12" t="inlineStr">
        <is>
          <t>How the hash total of the control file is computed</t>
        </is>
      </c>
      <c r="D69" s="12" t="inlineStr"/>
    </row>
    <row r="70">
      <c r="A70" s="14" t="inlineStr">
        <is>
          <t>Load templates</t>
        </is>
      </c>
      <c r="B70" s="21" t="inlineStr">
        <is>
          <t>Amount totals</t>
        </is>
      </c>
      <c r="C70" s="14" t="inlineStr">
        <is>
          <t>Amount columns totalled per currency in the control file</t>
        </is>
      </c>
      <c r="D70" s="14" t="inlineStr"/>
    </row>
    <row r="71">
      <c r="A71" s="12" t="inlineStr">
        <is>
          <t>Load templates</t>
        </is>
      </c>
      <c r="B71" s="20" t="inlineStr">
        <is>
          <t>Version</t>
        </is>
      </c>
      <c r="C71" s="12" t="inlineStr">
        <is>
          <t>Layout version in force</t>
        </is>
      </c>
      <c r="D71" s="12" t="inlineStr"/>
    </row>
    <row r="72">
      <c r="A72" s="14" t="inlineStr">
        <is>
          <t>R01 Lists of values and MIS val</t>
        </is>
      </c>
      <c r="B72" s="21" t="inlineStr">
        <is>
          <t>No.</t>
        </is>
      </c>
      <c r="C72" s="14" t="inlineStr">
        <is>
          <t>Column position in the file</t>
        </is>
      </c>
      <c r="D72" s="14" t="inlineStr"/>
    </row>
    <row r="73">
      <c r="A73" s="12" t="inlineStr">
        <is>
          <t>R01 Lists of values and MIS val</t>
        </is>
      </c>
      <c r="B73" s="20" t="inlineStr">
        <is>
          <t>Column</t>
        </is>
      </c>
      <c r="C73" s="12" t="inlineStr">
        <is>
          <t>Column name in the header row of the file, exactly as written</t>
        </is>
      </c>
      <c r="D73" s="12" t="inlineStr"/>
    </row>
    <row r="74">
      <c r="A74" s="14" t="inlineStr">
        <is>
          <t>R01 Lists of values and MIS val</t>
        </is>
      </c>
      <c r="B74" s="21" t="inlineStr">
        <is>
          <t>Description</t>
        </is>
      </c>
      <c r="C74" s="14" t="inlineStr">
        <is>
          <t>What the column holds</t>
        </is>
      </c>
      <c r="D74" s="14" t="inlineStr"/>
    </row>
    <row r="75">
      <c r="A75" s="12" t="inlineStr">
        <is>
          <t>R01 Lists of values and MIS val</t>
        </is>
      </c>
      <c r="B75" s="20" t="inlineStr">
        <is>
          <t>Type</t>
        </is>
      </c>
      <c r="C75" s="12" t="inlineStr">
        <is>
          <t>Text, Code, Date, Timestamp, Amount (2 decimals), Integer, Decimal, Flag (Y or N)</t>
        </is>
      </c>
      <c r="D75" s="12" t="inlineStr"/>
    </row>
    <row r="76">
      <c r="A76" s="14" t="inlineStr">
        <is>
          <t>R01 Lists of values and MIS val</t>
        </is>
      </c>
      <c r="B76" s="21" t="inlineStr">
        <is>
          <t>Length</t>
        </is>
      </c>
      <c r="C76" s="14" t="inlineStr">
        <is>
          <t>Maximum characters; for numbers the digits and decimals</t>
        </is>
      </c>
      <c r="D76" s="14" t="inlineStr"/>
    </row>
    <row r="77">
      <c r="A77" s="12" t="inlineStr">
        <is>
          <t>R01 Lists of values and MIS val</t>
        </is>
      </c>
      <c r="B77" s="20" t="inlineStr">
        <is>
          <t>Mandatory</t>
        </is>
      </c>
      <c r="C77" s="12" t="inlineStr">
        <is>
          <t>Y always; N optional; C when its condition holds (Validation)</t>
        </is>
      </c>
      <c r="D77" s="12" t="inlineStr">
        <is>
          <t>Y, N, C</t>
        </is>
      </c>
    </row>
    <row r="78">
      <c r="A78" s="14" t="inlineStr">
        <is>
          <t>R01 Lists of values and MIS val</t>
        </is>
      </c>
      <c r="B78" s="21" t="inlineStr">
        <is>
          <t>Allowed values or code map</t>
        </is>
      </c>
      <c r="C78" s="14" t="inlineStr">
        <is>
          <t>Closed list of values, or the code map that maps the legacy value</t>
        </is>
      </c>
      <c r="D78" s="14" t="inlineStr"/>
    </row>
    <row r="79">
      <c r="A79" s="12" t="inlineStr">
        <is>
          <t>R01 Lists of values and MIS val</t>
        </is>
      </c>
      <c r="B79" s="20" t="inlineStr">
        <is>
          <t>Format</t>
        </is>
      </c>
      <c r="C79" s="12" t="inlineStr">
        <is>
          <t>How the value is written in the file</t>
        </is>
      </c>
      <c r="D79" s="12" t="inlineStr"/>
    </row>
    <row r="80">
      <c r="A80" s="14" t="inlineStr">
        <is>
          <t>R01 Lists of values and MIS val</t>
        </is>
      </c>
      <c r="B80" s="21" t="inlineStr">
        <is>
          <t>Example</t>
        </is>
      </c>
      <c r="C80" s="14" t="inlineStr">
        <is>
          <t>A made-up example</t>
        </is>
      </c>
      <c r="D80" s="14" t="inlineStr"/>
    </row>
    <row r="81">
      <c r="A81" s="12" t="inlineStr">
        <is>
          <t>R01 Lists of values and MIS val</t>
        </is>
      </c>
      <c r="B81" s="20" t="inlineStr">
        <is>
          <t>Validation</t>
        </is>
      </c>
      <c r="C81" s="12" t="inlineStr">
        <is>
          <t>Check applied when the file is validated</t>
        </is>
      </c>
      <c r="D81" s="12" t="inlineStr"/>
    </row>
    <row r="82">
      <c r="A82" s="14" t="inlineStr">
        <is>
          <t>R01 Lists of values and MIS val</t>
        </is>
      </c>
      <c r="B82" s="21" t="inlineStr">
        <is>
          <t>BU review</t>
        </is>
      </c>
      <c r="C82" s="14" t="inlineStr">
        <is>
          <t>Business unit decision on the row</t>
        </is>
      </c>
      <c r="D82" s="14" t="inlineStr">
        <is>
          <t>Accept, Change requested, Comment</t>
        </is>
      </c>
    </row>
    <row r="83">
      <c r="A83" s="12" t="inlineStr">
        <is>
          <t>R01 Lists of values and MIS val</t>
        </is>
      </c>
      <c r="B83" s="20" t="inlineStr">
        <is>
          <t>BU comment</t>
        </is>
      </c>
      <c r="C83" s="12" t="inlineStr">
        <is>
          <t>What should change, or the comment</t>
        </is>
      </c>
      <c r="D83" s="12" t="inlineStr"/>
    </row>
    <row r="84">
      <c r="A84" s="14" t="inlineStr">
        <is>
          <t>R01 Lists of values and MIS val</t>
        </is>
      </c>
      <c r="B84" s="21" t="inlineStr">
        <is>
          <t>Reviewer</t>
        </is>
      </c>
      <c r="C84" s="14" t="inlineStr">
        <is>
          <t>Name of the BU reviewer</t>
        </is>
      </c>
      <c r="D84" s="14" t="inlineStr"/>
    </row>
    <row r="85">
      <c r="A85" s="12" t="inlineStr">
        <is>
          <t>R01 Lists of values and MIS val</t>
        </is>
      </c>
      <c r="B85" s="20" t="inlineStr">
        <is>
          <t>Review date</t>
        </is>
      </c>
      <c r="C85" s="12" t="inlineStr">
        <is>
          <t>Date of the review (dd-mmm-yyyy)</t>
        </is>
      </c>
      <c r="D85" s="12" t="inlineStr"/>
    </row>
    <row r="86">
      <c r="A86" s="14" t="inlineStr">
        <is>
          <t>R02 Branches and invoicing bran</t>
        </is>
      </c>
      <c r="B86" s="21" t="inlineStr">
        <is>
          <t>No.</t>
        </is>
      </c>
      <c r="C86" s="14" t="inlineStr">
        <is>
          <t>Column position in the file</t>
        </is>
      </c>
      <c r="D86" s="14" t="inlineStr"/>
    </row>
    <row r="87">
      <c r="A87" s="12" t="inlineStr">
        <is>
          <t>R02 Branches and invoicing bran</t>
        </is>
      </c>
      <c r="B87" s="20" t="inlineStr">
        <is>
          <t>Column</t>
        </is>
      </c>
      <c r="C87" s="12" t="inlineStr">
        <is>
          <t>Column name in the header row of the file, exactly as written</t>
        </is>
      </c>
      <c r="D87" s="12" t="inlineStr"/>
    </row>
    <row r="88">
      <c r="A88" s="14" t="inlineStr">
        <is>
          <t>R02 Branches and invoicing bran</t>
        </is>
      </c>
      <c r="B88" s="21" t="inlineStr">
        <is>
          <t>Description</t>
        </is>
      </c>
      <c r="C88" s="14" t="inlineStr">
        <is>
          <t>What the column holds</t>
        </is>
      </c>
      <c r="D88" s="14" t="inlineStr"/>
    </row>
    <row r="89">
      <c r="A89" s="12" t="inlineStr">
        <is>
          <t>R02 Branches and invoicing bran</t>
        </is>
      </c>
      <c r="B89" s="20" t="inlineStr">
        <is>
          <t>Type</t>
        </is>
      </c>
      <c r="C89" s="12" t="inlineStr">
        <is>
          <t>Text, Code, Date, Timestamp, Amount (2 decimals), Integer, Decimal, Flag (Y or N)</t>
        </is>
      </c>
      <c r="D89" s="12" t="inlineStr"/>
    </row>
    <row r="90">
      <c r="A90" s="14" t="inlineStr">
        <is>
          <t>R02 Branches and invoicing bran</t>
        </is>
      </c>
      <c r="B90" s="21" t="inlineStr">
        <is>
          <t>Length</t>
        </is>
      </c>
      <c r="C90" s="14" t="inlineStr">
        <is>
          <t>Maximum characters; for numbers the digits and decimals</t>
        </is>
      </c>
      <c r="D90" s="14" t="inlineStr"/>
    </row>
    <row r="91">
      <c r="A91" s="12" t="inlineStr">
        <is>
          <t>R02 Branches and invoicing bran</t>
        </is>
      </c>
      <c r="B91" s="20" t="inlineStr">
        <is>
          <t>Mandatory</t>
        </is>
      </c>
      <c r="C91" s="12" t="inlineStr">
        <is>
          <t>Y always; N optional; C when its condition holds (Validation)</t>
        </is>
      </c>
      <c r="D91" s="12" t="inlineStr">
        <is>
          <t>Y, N, C</t>
        </is>
      </c>
    </row>
    <row r="92">
      <c r="A92" s="14" t="inlineStr">
        <is>
          <t>R02 Branches and invoicing bran</t>
        </is>
      </c>
      <c r="B92" s="21" t="inlineStr">
        <is>
          <t>Allowed values or code map</t>
        </is>
      </c>
      <c r="C92" s="14" t="inlineStr">
        <is>
          <t>Closed list of values, or the code map that maps the legacy value</t>
        </is>
      </c>
      <c r="D92" s="14" t="inlineStr"/>
    </row>
    <row r="93">
      <c r="A93" s="12" t="inlineStr">
        <is>
          <t>R02 Branches and invoicing bran</t>
        </is>
      </c>
      <c r="B93" s="20" t="inlineStr">
        <is>
          <t>Format</t>
        </is>
      </c>
      <c r="C93" s="12" t="inlineStr">
        <is>
          <t>How the value is written in the file</t>
        </is>
      </c>
      <c r="D93" s="12" t="inlineStr"/>
    </row>
    <row r="94">
      <c r="A94" s="14" t="inlineStr">
        <is>
          <t>R02 Branches and invoicing bran</t>
        </is>
      </c>
      <c r="B94" s="21" t="inlineStr">
        <is>
          <t>Example</t>
        </is>
      </c>
      <c r="C94" s="14" t="inlineStr">
        <is>
          <t>A made-up example</t>
        </is>
      </c>
      <c r="D94" s="14" t="inlineStr"/>
    </row>
    <row r="95">
      <c r="A95" s="12" t="inlineStr">
        <is>
          <t>R02 Branches and invoicing bran</t>
        </is>
      </c>
      <c r="B95" s="20" t="inlineStr">
        <is>
          <t>Validation</t>
        </is>
      </c>
      <c r="C95" s="12" t="inlineStr">
        <is>
          <t>Check applied when the file is validated</t>
        </is>
      </c>
      <c r="D95" s="12" t="inlineStr"/>
    </row>
    <row r="96">
      <c r="A96" s="14" t="inlineStr">
        <is>
          <t>R02 Branches and invoicing bran</t>
        </is>
      </c>
      <c r="B96" s="21" t="inlineStr">
        <is>
          <t>BU review</t>
        </is>
      </c>
      <c r="C96" s="14" t="inlineStr">
        <is>
          <t>Business unit decision on the row</t>
        </is>
      </c>
      <c r="D96" s="14" t="inlineStr">
        <is>
          <t>Accept, Change requested, Comment</t>
        </is>
      </c>
    </row>
    <row r="97">
      <c r="A97" s="12" t="inlineStr">
        <is>
          <t>R02 Branches and invoicing bran</t>
        </is>
      </c>
      <c r="B97" s="20" t="inlineStr">
        <is>
          <t>BU comment</t>
        </is>
      </c>
      <c r="C97" s="12" t="inlineStr">
        <is>
          <t>What should change, or the comment</t>
        </is>
      </c>
      <c r="D97" s="12" t="inlineStr"/>
    </row>
    <row r="98">
      <c r="A98" s="14" t="inlineStr">
        <is>
          <t>R02 Branches and invoicing bran</t>
        </is>
      </c>
      <c r="B98" s="21" t="inlineStr">
        <is>
          <t>Reviewer</t>
        </is>
      </c>
      <c r="C98" s="14" t="inlineStr">
        <is>
          <t>Name of the BU reviewer</t>
        </is>
      </c>
      <c r="D98" s="14" t="inlineStr"/>
    </row>
    <row r="99">
      <c r="A99" s="12" t="inlineStr">
        <is>
          <t>R02 Branches and invoicing bran</t>
        </is>
      </c>
      <c r="B99" s="20" t="inlineStr">
        <is>
          <t>Review date</t>
        </is>
      </c>
      <c r="C99" s="12" t="inlineStr">
        <is>
          <t>Date of the review (dd-mmm-yyyy)</t>
        </is>
      </c>
      <c r="D99" s="12" t="inlineStr"/>
    </row>
    <row r="100">
      <c r="A100" s="14" t="inlineStr">
        <is>
          <t>R03 Sales organisation (units a</t>
        </is>
      </c>
      <c r="B100" s="21" t="inlineStr">
        <is>
          <t>No.</t>
        </is>
      </c>
      <c r="C100" s="14" t="inlineStr">
        <is>
          <t>Column position in the file</t>
        </is>
      </c>
      <c r="D100" s="14" t="inlineStr"/>
    </row>
    <row r="101">
      <c r="A101" s="12" t="inlineStr">
        <is>
          <t>R03 Sales organisation (units a</t>
        </is>
      </c>
      <c r="B101" s="20" t="inlineStr">
        <is>
          <t>Column</t>
        </is>
      </c>
      <c r="C101" s="12" t="inlineStr">
        <is>
          <t>Column name in the header row of the file, exactly as written</t>
        </is>
      </c>
      <c r="D101" s="12" t="inlineStr"/>
    </row>
    <row r="102">
      <c r="A102" s="14" t="inlineStr">
        <is>
          <t>R03 Sales organisation (units a</t>
        </is>
      </c>
      <c r="B102" s="21" t="inlineStr">
        <is>
          <t>Description</t>
        </is>
      </c>
      <c r="C102" s="14" t="inlineStr">
        <is>
          <t>What the column holds</t>
        </is>
      </c>
      <c r="D102" s="14" t="inlineStr"/>
    </row>
    <row r="103">
      <c r="A103" s="12" t="inlineStr">
        <is>
          <t>R03 Sales organisation (units a</t>
        </is>
      </c>
      <c r="B103" s="20" t="inlineStr">
        <is>
          <t>Type</t>
        </is>
      </c>
      <c r="C103" s="12" t="inlineStr">
        <is>
          <t>Text, Code, Date, Timestamp, Amount (2 decimals), Integer, Decimal, Flag (Y or N)</t>
        </is>
      </c>
      <c r="D103" s="12" t="inlineStr"/>
    </row>
    <row r="104">
      <c r="A104" s="14" t="inlineStr">
        <is>
          <t>R03 Sales organisation (units a</t>
        </is>
      </c>
      <c r="B104" s="21" t="inlineStr">
        <is>
          <t>Length</t>
        </is>
      </c>
      <c r="C104" s="14" t="inlineStr">
        <is>
          <t>Maximum characters; for numbers the digits and decimals</t>
        </is>
      </c>
      <c r="D104" s="14" t="inlineStr"/>
    </row>
    <row r="105">
      <c r="A105" s="12" t="inlineStr">
        <is>
          <t>R03 Sales organisation (units a</t>
        </is>
      </c>
      <c r="B105" s="20" t="inlineStr">
        <is>
          <t>Mandatory</t>
        </is>
      </c>
      <c r="C105" s="12" t="inlineStr">
        <is>
          <t>Y always; N optional; C when its condition holds (Validation)</t>
        </is>
      </c>
      <c r="D105" s="12" t="inlineStr">
        <is>
          <t>Y, N, C</t>
        </is>
      </c>
    </row>
    <row r="106">
      <c r="A106" s="14" t="inlineStr">
        <is>
          <t>R03 Sales organisation (units a</t>
        </is>
      </c>
      <c r="B106" s="21" t="inlineStr">
        <is>
          <t>Allowed values or code map</t>
        </is>
      </c>
      <c r="C106" s="14" t="inlineStr">
        <is>
          <t>Closed list of values, or the code map that maps the legacy value</t>
        </is>
      </c>
      <c r="D106" s="14" t="inlineStr"/>
    </row>
    <row r="107">
      <c r="A107" s="12" t="inlineStr">
        <is>
          <t>R03 Sales organisation (units a</t>
        </is>
      </c>
      <c r="B107" s="20" t="inlineStr">
        <is>
          <t>Format</t>
        </is>
      </c>
      <c r="C107" s="12" t="inlineStr">
        <is>
          <t>How the value is written in the file</t>
        </is>
      </c>
      <c r="D107" s="12" t="inlineStr"/>
    </row>
    <row r="108">
      <c r="A108" s="14" t="inlineStr">
        <is>
          <t>R03 Sales organisation (units a</t>
        </is>
      </c>
      <c r="B108" s="21" t="inlineStr">
        <is>
          <t>Example</t>
        </is>
      </c>
      <c r="C108" s="14" t="inlineStr">
        <is>
          <t>A made-up example</t>
        </is>
      </c>
      <c r="D108" s="14" t="inlineStr"/>
    </row>
    <row r="109">
      <c r="A109" s="12" t="inlineStr">
        <is>
          <t>R03 Sales organisation (units a</t>
        </is>
      </c>
      <c r="B109" s="20" t="inlineStr">
        <is>
          <t>Validation</t>
        </is>
      </c>
      <c r="C109" s="12" t="inlineStr">
        <is>
          <t>Check applied when the file is validated</t>
        </is>
      </c>
      <c r="D109" s="12" t="inlineStr"/>
    </row>
    <row r="110">
      <c r="A110" s="14" t="inlineStr">
        <is>
          <t>R03 Sales organisation (units a</t>
        </is>
      </c>
      <c r="B110" s="21" t="inlineStr">
        <is>
          <t>BU review</t>
        </is>
      </c>
      <c r="C110" s="14" t="inlineStr">
        <is>
          <t>Business unit decision on the row</t>
        </is>
      </c>
      <c r="D110" s="14" t="inlineStr">
        <is>
          <t>Accept, Change requested, Comment</t>
        </is>
      </c>
    </row>
    <row r="111">
      <c r="A111" s="12" t="inlineStr">
        <is>
          <t>R03 Sales organisation (units a</t>
        </is>
      </c>
      <c r="B111" s="20" t="inlineStr">
        <is>
          <t>BU comment</t>
        </is>
      </c>
      <c r="C111" s="12" t="inlineStr">
        <is>
          <t>What should change, or the comment</t>
        </is>
      </c>
      <c r="D111" s="12" t="inlineStr"/>
    </row>
    <row r="112">
      <c r="A112" s="14" t="inlineStr">
        <is>
          <t>R03 Sales organisation (units a</t>
        </is>
      </c>
      <c r="B112" s="21" t="inlineStr">
        <is>
          <t>Reviewer</t>
        </is>
      </c>
      <c r="C112" s="14" t="inlineStr">
        <is>
          <t>Name of the BU reviewer</t>
        </is>
      </c>
      <c r="D112" s="14" t="inlineStr"/>
    </row>
    <row r="113">
      <c r="A113" s="12" t="inlineStr">
        <is>
          <t>R03 Sales organisation (units a</t>
        </is>
      </c>
      <c r="B113" s="20" t="inlineStr">
        <is>
          <t>Review date</t>
        </is>
      </c>
      <c r="C113" s="12" t="inlineStr">
        <is>
          <t>Date of the review (dd-mmm-yyyy)</t>
        </is>
      </c>
      <c r="D113" s="12" t="inlineStr"/>
    </row>
    <row r="114">
      <c r="A114" s="14" t="inlineStr">
        <is>
          <t>R04 Insurers</t>
        </is>
      </c>
      <c r="B114" s="21" t="inlineStr">
        <is>
          <t>No.</t>
        </is>
      </c>
      <c r="C114" s="14" t="inlineStr">
        <is>
          <t>Column position in the file</t>
        </is>
      </c>
      <c r="D114" s="14" t="inlineStr"/>
    </row>
    <row r="115">
      <c r="A115" s="12" t="inlineStr">
        <is>
          <t>R04 Insurers</t>
        </is>
      </c>
      <c r="B115" s="20" t="inlineStr">
        <is>
          <t>Column</t>
        </is>
      </c>
      <c r="C115" s="12" t="inlineStr">
        <is>
          <t>Column name in the header row of the file, exactly as written</t>
        </is>
      </c>
      <c r="D115" s="12" t="inlineStr"/>
    </row>
    <row r="116">
      <c r="A116" s="14" t="inlineStr">
        <is>
          <t>R04 Insurers</t>
        </is>
      </c>
      <c r="B116" s="21" t="inlineStr">
        <is>
          <t>Description</t>
        </is>
      </c>
      <c r="C116" s="14" t="inlineStr">
        <is>
          <t>What the column holds</t>
        </is>
      </c>
      <c r="D116" s="14" t="inlineStr"/>
    </row>
    <row r="117">
      <c r="A117" s="12" t="inlineStr">
        <is>
          <t>R04 Insurers</t>
        </is>
      </c>
      <c r="B117" s="20" t="inlineStr">
        <is>
          <t>Type</t>
        </is>
      </c>
      <c r="C117" s="12" t="inlineStr">
        <is>
          <t>Text, Code, Date, Timestamp, Amount (2 decimals), Integer, Decimal, Flag (Y or N)</t>
        </is>
      </c>
      <c r="D117" s="12" t="inlineStr"/>
    </row>
    <row r="118">
      <c r="A118" s="14" t="inlineStr">
        <is>
          <t>R04 Insurers</t>
        </is>
      </c>
      <c r="B118" s="21" t="inlineStr">
        <is>
          <t>Length</t>
        </is>
      </c>
      <c r="C118" s="14" t="inlineStr">
        <is>
          <t>Maximum characters; for numbers the digits and decimals</t>
        </is>
      </c>
      <c r="D118" s="14" t="inlineStr"/>
    </row>
    <row r="119">
      <c r="A119" s="12" t="inlineStr">
        <is>
          <t>R04 Insurers</t>
        </is>
      </c>
      <c r="B119" s="20" t="inlineStr">
        <is>
          <t>Mandatory</t>
        </is>
      </c>
      <c r="C119" s="12" t="inlineStr">
        <is>
          <t>Y always; N optional; C when its condition holds (Validation)</t>
        </is>
      </c>
      <c r="D119" s="12" t="inlineStr">
        <is>
          <t>Y, N, C</t>
        </is>
      </c>
    </row>
    <row r="120">
      <c r="A120" s="14" t="inlineStr">
        <is>
          <t>R04 Insurers</t>
        </is>
      </c>
      <c r="B120" s="21" t="inlineStr">
        <is>
          <t>Allowed values or code map</t>
        </is>
      </c>
      <c r="C120" s="14" t="inlineStr">
        <is>
          <t>Closed list of values, or the code map that maps the legacy value</t>
        </is>
      </c>
      <c r="D120" s="14" t="inlineStr"/>
    </row>
    <row r="121">
      <c r="A121" s="12" t="inlineStr">
        <is>
          <t>R04 Insurers</t>
        </is>
      </c>
      <c r="B121" s="20" t="inlineStr">
        <is>
          <t>Format</t>
        </is>
      </c>
      <c r="C121" s="12" t="inlineStr">
        <is>
          <t>How the value is written in the file</t>
        </is>
      </c>
      <c r="D121" s="12" t="inlineStr"/>
    </row>
    <row r="122">
      <c r="A122" s="14" t="inlineStr">
        <is>
          <t>R04 Insurers</t>
        </is>
      </c>
      <c r="B122" s="21" t="inlineStr">
        <is>
          <t>Example</t>
        </is>
      </c>
      <c r="C122" s="14" t="inlineStr">
        <is>
          <t>A made-up example</t>
        </is>
      </c>
      <c r="D122" s="14" t="inlineStr"/>
    </row>
    <row r="123">
      <c r="A123" s="12" t="inlineStr">
        <is>
          <t>R04 Insurers</t>
        </is>
      </c>
      <c r="B123" s="20" t="inlineStr">
        <is>
          <t>Validation</t>
        </is>
      </c>
      <c r="C123" s="12" t="inlineStr">
        <is>
          <t>Check applied when the file is validated</t>
        </is>
      </c>
      <c r="D123" s="12" t="inlineStr"/>
    </row>
    <row r="124">
      <c r="A124" s="14" t="inlineStr">
        <is>
          <t>R04 Insurers</t>
        </is>
      </c>
      <c r="B124" s="21" t="inlineStr">
        <is>
          <t>BU review</t>
        </is>
      </c>
      <c r="C124" s="14" t="inlineStr">
        <is>
          <t>Business unit decision on the row</t>
        </is>
      </c>
      <c r="D124" s="14" t="inlineStr">
        <is>
          <t>Accept, Change requested, Comment</t>
        </is>
      </c>
    </row>
    <row r="125">
      <c r="A125" s="12" t="inlineStr">
        <is>
          <t>R04 Insurers</t>
        </is>
      </c>
      <c r="B125" s="20" t="inlineStr">
        <is>
          <t>BU comment</t>
        </is>
      </c>
      <c r="C125" s="12" t="inlineStr">
        <is>
          <t>What should change, or the comment</t>
        </is>
      </c>
      <c r="D125" s="12" t="inlineStr"/>
    </row>
    <row r="126">
      <c r="A126" s="14" t="inlineStr">
        <is>
          <t>R04 Insurers</t>
        </is>
      </c>
      <c r="B126" s="21" t="inlineStr">
        <is>
          <t>Reviewer</t>
        </is>
      </c>
      <c r="C126" s="14" t="inlineStr">
        <is>
          <t>Name of the BU reviewer</t>
        </is>
      </c>
      <c r="D126" s="14" t="inlineStr"/>
    </row>
    <row r="127">
      <c r="A127" s="12" t="inlineStr">
        <is>
          <t>R04 Insurers</t>
        </is>
      </c>
      <c r="B127" s="20" t="inlineStr">
        <is>
          <t>Review date</t>
        </is>
      </c>
      <c r="C127" s="12" t="inlineStr">
        <is>
          <t>Date of the review (dd-mmm-yyyy)</t>
        </is>
      </c>
      <c r="D127" s="12" t="inlineStr"/>
    </row>
    <row r="128">
      <c r="A128" s="14" t="inlineStr">
        <is>
          <t>R04B Insurer branches</t>
        </is>
      </c>
      <c r="B128" s="21" t="inlineStr">
        <is>
          <t>No.</t>
        </is>
      </c>
      <c r="C128" s="14" t="inlineStr">
        <is>
          <t>Column position in the file</t>
        </is>
      </c>
      <c r="D128" s="14" t="inlineStr"/>
    </row>
    <row r="129">
      <c r="A129" s="12" t="inlineStr">
        <is>
          <t>R04B Insurer branches</t>
        </is>
      </c>
      <c r="B129" s="20" t="inlineStr">
        <is>
          <t>Column</t>
        </is>
      </c>
      <c r="C129" s="12" t="inlineStr">
        <is>
          <t>Column name in the header row of the file, exactly as written</t>
        </is>
      </c>
      <c r="D129" s="12" t="inlineStr"/>
    </row>
    <row r="130">
      <c r="A130" s="14" t="inlineStr">
        <is>
          <t>R04B Insurer branches</t>
        </is>
      </c>
      <c r="B130" s="21" t="inlineStr">
        <is>
          <t>Description</t>
        </is>
      </c>
      <c r="C130" s="14" t="inlineStr">
        <is>
          <t>What the column holds</t>
        </is>
      </c>
      <c r="D130" s="14" t="inlineStr"/>
    </row>
    <row r="131">
      <c r="A131" s="12" t="inlineStr">
        <is>
          <t>R04B Insurer branches</t>
        </is>
      </c>
      <c r="B131" s="20" t="inlineStr">
        <is>
          <t>Type</t>
        </is>
      </c>
      <c r="C131" s="12" t="inlineStr">
        <is>
          <t>Text, Code, Date, Timestamp, Amount (2 decimals), Integer, Decimal, Flag (Y or N)</t>
        </is>
      </c>
      <c r="D131" s="12" t="inlineStr"/>
    </row>
    <row r="132">
      <c r="A132" s="14" t="inlineStr">
        <is>
          <t>R04B Insurer branches</t>
        </is>
      </c>
      <c r="B132" s="21" t="inlineStr">
        <is>
          <t>Length</t>
        </is>
      </c>
      <c r="C132" s="14" t="inlineStr">
        <is>
          <t>Maximum characters; for numbers the digits and decimals</t>
        </is>
      </c>
      <c r="D132" s="14" t="inlineStr"/>
    </row>
    <row r="133">
      <c r="A133" s="12" t="inlineStr">
        <is>
          <t>R04B Insurer branches</t>
        </is>
      </c>
      <c r="B133" s="20" t="inlineStr">
        <is>
          <t>Mandatory</t>
        </is>
      </c>
      <c r="C133" s="12" t="inlineStr">
        <is>
          <t>Y always; N optional; C when its condition holds (Validation)</t>
        </is>
      </c>
      <c r="D133" s="12" t="inlineStr">
        <is>
          <t>Y, N, C</t>
        </is>
      </c>
    </row>
    <row r="134">
      <c r="A134" s="14" t="inlineStr">
        <is>
          <t>R04B Insurer branches</t>
        </is>
      </c>
      <c r="B134" s="21" t="inlineStr">
        <is>
          <t>Allowed values or code map</t>
        </is>
      </c>
      <c r="C134" s="14" t="inlineStr">
        <is>
          <t>Closed list of values, or the code map that maps the legacy value</t>
        </is>
      </c>
      <c r="D134" s="14" t="inlineStr"/>
    </row>
    <row r="135">
      <c r="A135" s="12" t="inlineStr">
        <is>
          <t>R04B Insurer branches</t>
        </is>
      </c>
      <c r="B135" s="20" t="inlineStr">
        <is>
          <t>Format</t>
        </is>
      </c>
      <c r="C135" s="12" t="inlineStr">
        <is>
          <t>How the value is written in the file</t>
        </is>
      </c>
      <c r="D135" s="12" t="inlineStr"/>
    </row>
    <row r="136">
      <c r="A136" s="14" t="inlineStr">
        <is>
          <t>R04B Insurer branches</t>
        </is>
      </c>
      <c r="B136" s="21" t="inlineStr">
        <is>
          <t>Example</t>
        </is>
      </c>
      <c r="C136" s="14" t="inlineStr">
        <is>
          <t>A made-up example</t>
        </is>
      </c>
      <c r="D136" s="14" t="inlineStr"/>
    </row>
    <row r="137">
      <c r="A137" s="12" t="inlineStr">
        <is>
          <t>R04B Insurer branches</t>
        </is>
      </c>
      <c r="B137" s="20" t="inlineStr">
        <is>
          <t>Validation</t>
        </is>
      </c>
      <c r="C137" s="12" t="inlineStr">
        <is>
          <t>Check applied when the file is validated</t>
        </is>
      </c>
      <c r="D137" s="12" t="inlineStr"/>
    </row>
    <row r="138">
      <c r="A138" s="14" t="inlineStr">
        <is>
          <t>R04B Insurer branches</t>
        </is>
      </c>
      <c r="B138" s="21" t="inlineStr">
        <is>
          <t>BU review</t>
        </is>
      </c>
      <c r="C138" s="14" t="inlineStr">
        <is>
          <t>Business unit decision on the row</t>
        </is>
      </c>
      <c r="D138" s="14" t="inlineStr">
        <is>
          <t>Accept, Change requested, Comment</t>
        </is>
      </c>
    </row>
    <row r="139">
      <c r="A139" s="12" t="inlineStr">
        <is>
          <t>R04B Insurer branches</t>
        </is>
      </c>
      <c r="B139" s="20" t="inlineStr">
        <is>
          <t>BU comment</t>
        </is>
      </c>
      <c r="C139" s="12" t="inlineStr">
        <is>
          <t>What should change, or the comment</t>
        </is>
      </c>
      <c r="D139" s="12" t="inlineStr"/>
    </row>
    <row r="140">
      <c r="A140" s="14" t="inlineStr">
        <is>
          <t>R04B Insurer branches</t>
        </is>
      </c>
      <c r="B140" s="21" t="inlineStr">
        <is>
          <t>Reviewer</t>
        </is>
      </c>
      <c r="C140" s="14" t="inlineStr">
        <is>
          <t>Name of the BU reviewer</t>
        </is>
      </c>
      <c r="D140" s="14" t="inlineStr"/>
    </row>
    <row r="141">
      <c r="A141" s="12" t="inlineStr">
        <is>
          <t>R04B Insurer branches</t>
        </is>
      </c>
      <c r="B141" s="20" t="inlineStr">
        <is>
          <t>Review date</t>
        </is>
      </c>
      <c r="C141" s="12" t="inlineStr">
        <is>
          <t>Date of the review (dd-mmm-yyyy)</t>
        </is>
      </c>
      <c r="D141" s="12" t="inlineStr"/>
    </row>
    <row r="142">
      <c r="A142" s="14" t="inlineStr">
        <is>
          <t>R05 Product lines, cover types,</t>
        </is>
      </c>
      <c r="B142" s="21" t="inlineStr">
        <is>
          <t>No.</t>
        </is>
      </c>
      <c r="C142" s="14" t="inlineStr">
        <is>
          <t>Column position in the file</t>
        </is>
      </c>
      <c r="D142" s="14" t="inlineStr"/>
    </row>
    <row r="143">
      <c r="A143" s="12" t="inlineStr">
        <is>
          <t>R05 Product lines, cover types,</t>
        </is>
      </c>
      <c r="B143" s="20" t="inlineStr">
        <is>
          <t>Column</t>
        </is>
      </c>
      <c r="C143" s="12" t="inlineStr">
        <is>
          <t>Column name in the header row of the file, exactly as written</t>
        </is>
      </c>
      <c r="D143" s="12" t="inlineStr"/>
    </row>
    <row r="144">
      <c r="A144" s="14" t="inlineStr">
        <is>
          <t>R05 Product lines, cover types,</t>
        </is>
      </c>
      <c r="B144" s="21" t="inlineStr">
        <is>
          <t>Description</t>
        </is>
      </c>
      <c r="C144" s="14" t="inlineStr">
        <is>
          <t>What the column holds</t>
        </is>
      </c>
      <c r="D144" s="14" t="inlineStr"/>
    </row>
    <row r="145">
      <c r="A145" s="12" t="inlineStr">
        <is>
          <t>R05 Product lines, cover types,</t>
        </is>
      </c>
      <c r="B145" s="20" t="inlineStr">
        <is>
          <t>Type</t>
        </is>
      </c>
      <c r="C145" s="12" t="inlineStr">
        <is>
          <t>Text, Code, Date, Timestamp, Amount (2 decimals), Integer, Decimal, Flag (Y or N)</t>
        </is>
      </c>
      <c r="D145" s="12" t="inlineStr"/>
    </row>
    <row r="146">
      <c r="A146" s="14" t="inlineStr">
        <is>
          <t>R05 Product lines, cover types,</t>
        </is>
      </c>
      <c r="B146" s="21" t="inlineStr">
        <is>
          <t>Length</t>
        </is>
      </c>
      <c r="C146" s="14" t="inlineStr">
        <is>
          <t>Maximum characters; for numbers the digits and decimals</t>
        </is>
      </c>
      <c r="D146" s="14" t="inlineStr"/>
    </row>
    <row r="147">
      <c r="A147" s="12" t="inlineStr">
        <is>
          <t>R05 Product lines, cover types,</t>
        </is>
      </c>
      <c r="B147" s="20" t="inlineStr">
        <is>
          <t>Mandatory</t>
        </is>
      </c>
      <c r="C147" s="12" t="inlineStr">
        <is>
          <t>Y always; N optional; C when its condition holds (Validation)</t>
        </is>
      </c>
      <c r="D147" s="12" t="inlineStr">
        <is>
          <t>Y, N, C</t>
        </is>
      </c>
    </row>
    <row r="148">
      <c r="A148" s="14" t="inlineStr">
        <is>
          <t>R05 Product lines, cover types,</t>
        </is>
      </c>
      <c r="B148" s="21" t="inlineStr">
        <is>
          <t>Allowed values or code map</t>
        </is>
      </c>
      <c r="C148" s="14" t="inlineStr">
        <is>
          <t>Closed list of values, or the code map that maps the legacy value</t>
        </is>
      </c>
      <c r="D148" s="14" t="inlineStr"/>
    </row>
    <row r="149">
      <c r="A149" s="12" t="inlineStr">
        <is>
          <t>R05 Product lines, cover types,</t>
        </is>
      </c>
      <c r="B149" s="20" t="inlineStr">
        <is>
          <t>Format</t>
        </is>
      </c>
      <c r="C149" s="12" t="inlineStr">
        <is>
          <t>How the value is written in the file</t>
        </is>
      </c>
      <c r="D149" s="12" t="inlineStr"/>
    </row>
    <row r="150">
      <c r="A150" s="14" t="inlineStr">
        <is>
          <t>R05 Product lines, cover types,</t>
        </is>
      </c>
      <c r="B150" s="21" t="inlineStr">
        <is>
          <t>Example</t>
        </is>
      </c>
      <c r="C150" s="14" t="inlineStr">
        <is>
          <t>A made-up example</t>
        </is>
      </c>
      <c r="D150" s="14" t="inlineStr"/>
    </row>
    <row r="151">
      <c r="A151" s="12" t="inlineStr">
        <is>
          <t>R05 Product lines, cover types,</t>
        </is>
      </c>
      <c r="B151" s="20" t="inlineStr">
        <is>
          <t>Validation</t>
        </is>
      </c>
      <c r="C151" s="12" t="inlineStr">
        <is>
          <t>Check applied when the file is validated</t>
        </is>
      </c>
      <c r="D151" s="12" t="inlineStr"/>
    </row>
    <row r="152">
      <c r="A152" s="14" t="inlineStr">
        <is>
          <t>R05 Product lines, cover types,</t>
        </is>
      </c>
      <c r="B152" s="21" t="inlineStr">
        <is>
          <t>BU review</t>
        </is>
      </c>
      <c r="C152" s="14" t="inlineStr">
        <is>
          <t>Business unit decision on the row</t>
        </is>
      </c>
      <c r="D152" s="14" t="inlineStr">
        <is>
          <t>Accept, Change requested, Comment</t>
        </is>
      </c>
    </row>
    <row r="153">
      <c r="A153" s="12" t="inlineStr">
        <is>
          <t>R05 Product lines, cover types,</t>
        </is>
      </c>
      <c r="B153" s="20" t="inlineStr">
        <is>
          <t>BU comment</t>
        </is>
      </c>
      <c r="C153" s="12" t="inlineStr">
        <is>
          <t>What should change, or the comment</t>
        </is>
      </c>
      <c r="D153" s="12" t="inlineStr"/>
    </row>
    <row r="154">
      <c r="A154" s="14" t="inlineStr">
        <is>
          <t>R05 Product lines, cover types,</t>
        </is>
      </c>
      <c r="B154" s="21" t="inlineStr">
        <is>
          <t>Reviewer</t>
        </is>
      </c>
      <c r="C154" s="14" t="inlineStr">
        <is>
          <t>Name of the BU reviewer</t>
        </is>
      </c>
      <c r="D154" s="14" t="inlineStr"/>
    </row>
    <row r="155">
      <c r="A155" s="12" t="inlineStr">
        <is>
          <t>R05 Product lines, cover types,</t>
        </is>
      </c>
      <c r="B155" s="20" t="inlineStr">
        <is>
          <t>Review date</t>
        </is>
      </c>
      <c r="C155" s="12" t="inlineStr">
        <is>
          <t>Date of the review (dd-mmm-yyyy)</t>
        </is>
      </c>
      <c r="D155" s="12" t="inlineStr"/>
    </row>
    <row r="156">
      <c r="A156" s="14" t="inlineStr">
        <is>
          <t>R06 Package code map (legacy pa</t>
        </is>
      </c>
      <c r="B156" s="21" t="inlineStr">
        <is>
          <t>No.</t>
        </is>
      </c>
      <c r="C156" s="14" t="inlineStr">
        <is>
          <t>Column position in the file</t>
        </is>
      </c>
      <c r="D156" s="14" t="inlineStr"/>
    </row>
    <row r="157">
      <c r="A157" s="12" t="inlineStr">
        <is>
          <t>R06 Package code map (legacy pa</t>
        </is>
      </c>
      <c r="B157" s="20" t="inlineStr">
        <is>
          <t>Column</t>
        </is>
      </c>
      <c r="C157" s="12" t="inlineStr">
        <is>
          <t>Column name in the header row of the file, exactly as written</t>
        </is>
      </c>
      <c r="D157" s="12" t="inlineStr"/>
    </row>
    <row r="158">
      <c r="A158" s="14" t="inlineStr">
        <is>
          <t>R06 Package code map (legacy pa</t>
        </is>
      </c>
      <c r="B158" s="21" t="inlineStr">
        <is>
          <t>Description</t>
        </is>
      </c>
      <c r="C158" s="14" t="inlineStr">
        <is>
          <t>What the column holds</t>
        </is>
      </c>
      <c r="D158" s="14" t="inlineStr"/>
    </row>
    <row r="159">
      <c r="A159" s="12" t="inlineStr">
        <is>
          <t>R06 Package code map (legacy pa</t>
        </is>
      </c>
      <c r="B159" s="20" t="inlineStr">
        <is>
          <t>Type</t>
        </is>
      </c>
      <c r="C159" s="12" t="inlineStr">
        <is>
          <t>Text, Code, Date, Timestamp, Amount (2 decimals), Integer, Decimal, Flag (Y or N)</t>
        </is>
      </c>
      <c r="D159" s="12" t="inlineStr"/>
    </row>
    <row r="160">
      <c r="A160" s="14" t="inlineStr">
        <is>
          <t>R06 Package code map (legacy pa</t>
        </is>
      </c>
      <c r="B160" s="21" t="inlineStr">
        <is>
          <t>Length</t>
        </is>
      </c>
      <c r="C160" s="14" t="inlineStr">
        <is>
          <t>Maximum characters; for numbers the digits and decimals</t>
        </is>
      </c>
      <c r="D160" s="14" t="inlineStr"/>
    </row>
    <row r="161">
      <c r="A161" s="12" t="inlineStr">
        <is>
          <t>R06 Package code map (legacy pa</t>
        </is>
      </c>
      <c r="B161" s="20" t="inlineStr">
        <is>
          <t>Mandatory</t>
        </is>
      </c>
      <c r="C161" s="12" t="inlineStr">
        <is>
          <t>Y always; N optional; C when its condition holds (Validation)</t>
        </is>
      </c>
      <c r="D161" s="12" t="inlineStr">
        <is>
          <t>Y, N, C</t>
        </is>
      </c>
    </row>
    <row r="162">
      <c r="A162" s="14" t="inlineStr">
        <is>
          <t>R06 Package code map (legacy pa</t>
        </is>
      </c>
      <c r="B162" s="21" t="inlineStr">
        <is>
          <t>Allowed values or code map</t>
        </is>
      </c>
      <c r="C162" s="14" t="inlineStr">
        <is>
          <t>Closed list of values, or the code map that maps the legacy value</t>
        </is>
      </c>
      <c r="D162" s="14" t="inlineStr"/>
    </row>
    <row r="163">
      <c r="A163" s="12" t="inlineStr">
        <is>
          <t>R06 Package code map (legacy pa</t>
        </is>
      </c>
      <c r="B163" s="20" t="inlineStr">
        <is>
          <t>Format</t>
        </is>
      </c>
      <c r="C163" s="12" t="inlineStr">
        <is>
          <t>How the value is written in the file</t>
        </is>
      </c>
      <c r="D163" s="12" t="inlineStr"/>
    </row>
    <row r="164">
      <c r="A164" s="14" t="inlineStr">
        <is>
          <t>R06 Package code map (legacy pa</t>
        </is>
      </c>
      <c r="B164" s="21" t="inlineStr">
        <is>
          <t>Example</t>
        </is>
      </c>
      <c r="C164" s="14" t="inlineStr">
        <is>
          <t>A made-up example</t>
        </is>
      </c>
      <c r="D164" s="14" t="inlineStr"/>
    </row>
    <row r="165">
      <c r="A165" s="12" t="inlineStr">
        <is>
          <t>R06 Package code map (legacy pa</t>
        </is>
      </c>
      <c r="B165" s="20" t="inlineStr">
        <is>
          <t>Validation</t>
        </is>
      </c>
      <c r="C165" s="12" t="inlineStr">
        <is>
          <t>Check applied when the file is validated</t>
        </is>
      </c>
      <c r="D165" s="12" t="inlineStr"/>
    </row>
    <row r="166">
      <c r="A166" s="14" t="inlineStr">
        <is>
          <t>R06 Package code map (legacy pa</t>
        </is>
      </c>
      <c r="B166" s="21" t="inlineStr">
        <is>
          <t>BU review</t>
        </is>
      </c>
      <c r="C166" s="14" t="inlineStr">
        <is>
          <t>Business unit decision on the row</t>
        </is>
      </c>
      <c r="D166" s="14" t="inlineStr">
        <is>
          <t>Accept, Change requested, Comment</t>
        </is>
      </c>
    </row>
    <row r="167">
      <c r="A167" s="12" t="inlineStr">
        <is>
          <t>R06 Package code map (legacy pa</t>
        </is>
      </c>
      <c r="B167" s="20" t="inlineStr">
        <is>
          <t>BU comment</t>
        </is>
      </c>
      <c r="C167" s="12" t="inlineStr">
        <is>
          <t>What should change, or the comment</t>
        </is>
      </c>
      <c r="D167" s="12" t="inlineStr"/>
    </row>
    <row r="168">
      <c r="A168" s="14" t="inlineStr">
        <is>
          <t>R06 Package code map (legacy pa</t>
        </is>
      </c>
      <c r="B168" s="21" t="inlineStr">
        <is>
          <t>Reviewer</t>
        </is>
      </c>
      <c r="C168" s="14" t="inlineStr">
        <is>
          <t>Name of the BU reviewer</t>
        </is>
      </c>
      <c r="D168" s="14" t="inlineStr"/>
    </row>
    <row r="169">
      <c r="A169" s="12" t="inlineStr">
        <is>
          <t>R06 Package code map (legacy pa</t>
        </is>
      </c>
      <c r="B169" s="20" t="inlineStr">
        <is>
          <t>Review date</t>
        </is>
      </c>
      <c r="C169" s="12" t="inlineStr">
        <is>
          <t>Date of the review (dd-mmm-yyyy)</t>
        </is>
      </c>
      <c r="D169" s="12" t="inlineStr"/>
    </row>
    <row r="170">
      <c r="A170" s="14" t="inlineStr">
        <is>
          <t>R07 Commission rates by insurer</t>
        </is>
      </c>
      <c r="B170" s="21" t="inlineStr">
        <is>
          <t>No.</t>
        </is>
      </c>
      <c r="C170" s="14" t="inlineStr">
        <is>
          <t>Column position in the file</t>
        </is>
      </c>
      <c r="D170" s="14" t="inlineStr"/>
    </row>
    <row r="171">
      <c r="A171" s="12" t="inlineStr">
        <is>
          <t>R07 Commission rates by insurer</t>
        </is>
      </c>
      <c r="B171" s="20" t="inlineStr">
        <is>
          <t>Column</t>
        </is>
      </c>
      <c r="C171" s="12" t="inlineStr">
        <is>
          <t>Column name in the header row of the file, exactly as written</t>
        </is>
      </c>
      <c r="D171" s="12" t="inlineStr"/>
    </row>
    <row r="172">
      <c r="A172" s="14" t="inlineStr">
        <is>
          <t>R07 Commission rates by insurer</t>
        </is>
      </c>
      <c r="B172" s="21" t="inlineStr">
        <is>
          <t>Description</t>
        </is>
      </c>
      <c r="C172" s="14" t="inlineStr">
        <is>
          <t>What the column holds</t>
        </is>
      </c>
      <c r="D172" s="14" t="inlineStr"/>
    </row>
    <row r="173">
      <c r="A173" s="12" t="inlineStr">
        <is>
          <t>R07 Commission rates by insurer</t>
        </is>
      </c>
      <c r="B173" s="20" t="inlineStr">
        <is>
          <t>Type</t>
        </is>
      </c>
      <c r="C173" s="12" t="inlineStr">
        <is>
          <t>Text, Code, Date, Timestamp, Amount (2 decimals), Integer, Decimal, Flag (Y or N)</t>
        </is>
      </c>
      <c r="D173" s="12" t="inlineStr"/>
    </row>
    <row r="174">
      <c r="A174" s="14" t="inlineStr">
        <is>
          <t>R07 Commission rates by insurer</t>
        </is>
      </c>
      <c r="B174" s="21" t="inlineStr">
        <is>
          <t>Length</t>
        </is>
      </c>
      <c r="C174" s="14" t="inlineStr">
        <is>
          <t>Maximum characters; for numbers the digits and decimals</t>
        </is>
      </c>
      <c r="D174" s="14" t="inlineStr"/>
    </row>
    <row r="175">
      <c r="A175" s="12" t="inlineStr">
        <is>
          <t>R07 Commission rates by insurer</t>
        </is>
      </c>
      <c r="B175" s="20" t="inlineStr">
        <is>
          <t>Mandatory</t>
        </is>
      </c>
      <c r="C175" s="12" t="inlineStr">
        <is>
          <t>Y always; N optional; C when its condition holds (Validation)</t>
        </is>
      </c>
      <c r="D175" s="12" t="inlineStr">
        <is>
          <t>Y, N, C</t>
        </is>
      </c>
    </row>
    <row r="176">
      <c r="A176" s="14" t="inlineStr">
        <is>
          <t>R07 Commission rates by insurer</t>
        </is>
      </c>
      <c r="B176" s="21" t="inlineStr">
        <is>
          <t>Allowed values or code map</t>
        </is>
      </c>
      <c r="C176" s="14" t="inlineStr">
        <is>
          <t>Closed list of values, or the code map that maps the legacy value</t>
        </is>
      </c>
      <c r="D176" s="14" t="inlineStr"/>
    </row>
    <row r="177">
      <c r="A177" s="12" t="inlineStr">
        <is>
          <t>R07 Commission rates by insurer</t>
        </is>
      </c>
      <c r="B177" s="20" t="inlineStr">
        <is>
          <t>Format</t>
        </is>
      </c>
      <c r="C177" s="12" t="inlineStr">
        <is>
          <t>How the value is written in the file</t>
        </is>
      </c>
      <c r="D177" s="12" t="inlineStr"/>
    </row>
    <row r="178">
      <c r="A178" s="14" t="inlineStr">
        <is>
          <t>R07 Commission rates by insurer</t>
        </is>
      </c>
      <c r="B178" s="21" t="inlineStr">
        <is>
          <t>Example</t>
        </is>
      </c>
      <c r="C178" s="14" t="inlineStr">
        <is>
          <t>A made-up example</t>
        </is>
      </c>
      <c r="D178" s="14" t="inlineStr"/>
    </row>
    <row r="179">
      <c r="A179" s="12" t="inlineStr">
        <is>
          <t>R07 Commission rates by insurer</t>
        </is>
      </c>
      <c r="B179" s="20" t="inlineStr">
        <is>
          <t>Validation</t>
        </is>
      </c>
      <c r="C179" s="12" t="inlineStr">
        <is>
          <t>Check applied when the file is validated</t>
        </is>
      </c>
      <c r="D179" s="12" t="inlineStr"/>
    </row>
    <row r="180">
      <c r="A180" s="14" t="inlineStr">
        <is>
          <t>R07 Commission rates by insurer</t>
        </is>
      </c>
      <c r="B180" s="21" t="inlineStr">
        <is>
          <t>BU review</t>
        </is>
      </c>
      <c r="C180" s="14" t="inlineStr">
        <is>
          <t>Business unit decision on the row</t>
        </is>
      </c>
      <c r="D180" s="14" t="inlineStr">
        <is>
          <t>Accept, Change requested, Comment</t>
        </is>
      </c>
    </row>
    <row r="181">
      <c r="A181" s="12" t="inlineStr">
        <is>
          <t>R07 Commission rates by insurer</t>
        </is>
      </c>
      <c r="B181" s="20" t="inlineStr">
        <is>
          <t>BU comment</t>
        </is>
      </c>
      <c r="C181" s="12" t="inlineStr">
        <is>
          <t>What should change, or the comment</t>
        </is>
      </c>
      <c r="D181" s="12" t="inlineStr"/>
    </row>
    <row r="182">
      <c r="A182" s="14" t="inlineStr">
        <is>
          <t>R07 Commission rates by insurer</t>
        </is>
      </c>
      <c r="B182" s="21" t="inlineStr">
        <is>
          <t>Reviewer</t>
        </is>
      </c>
      <c r="C182" s="14" t="inlineStr">
        <is>
          <t>Name of the BU reviewer</t>
        </is>
      </c>
      <c r="D182" s="14" t="inlineStr"/>
    </row>
    <row r="183">
      <c r="A183" s="12" t="inlineStr">
        <is>
          <t>R07 Commission rates by insurer</t>
        </is>
      </c>
      <c r="B183" s="20" t="inlineStr">
        <is>
          <t>Review date</t>
        </is>
      </c>
      <c r="C183" s="12" t="inlineStr">
        <is>
          <t>Date of the review (dd-mmm-yyyy)</t>
        </is>
      </c>
      <c r="D183" s="12" t="inlineStr"/>
    </row>
    <row r="184">
      <c r="A184" s="14" t="inlineStr">
        <is>
          <t>R08 Chart of accounts mapping</t>
        </is>
      </c>
      <c r="B184" s="21" t="inlineStr">
        <is>
          <t>No.</t>
        </is>
      </c>
      <c r="C184" s="14" t="inlineStr">
        <is>
          <t>Column position in the file</t>
        </is>
      </c>
      <c r="D184" s="14" t="inlineStr"/>
    </row>
    <row r="185">
      <c r="A185" s="12" t="inlineStr">
        <is>
          <t>R08 Chart of accounts mapping</t>
        </is>
      </c>
      <c r="B185" s="20" t="inlineStr">
        <is>
          <t>Column</t>
        </is>
      </c>
      <c r="C185" s="12" t="inlineStr">
        <is>
          <t>Column name in the header row of the file, exactly as written</t>
        </is>
      </c>
      <c r="D185" s="12" t="inlineStr"/>
    </row>
    <row r="186">
      <c r="A186" s="14" t="inlineStr">
        <is>
          <t>R08 Chart of accounts mapping</t>
        </is>
      </c>
      <c r="B186" s="21" t="inlineStr">
        <is>
          <t>Description</t>
        </is>
      </c>
      <c r="C186" s="14" t="inlineStr">
        <is>
          <t>What the column holds</t>
        </is>
      </c>
      <c r="D186" s="14" t="inlineStr"/>
    </row>
    <row r="187">
      <c r="A187" s="12" t="inlineStr">
        <is>
          <t>R08 Chart of accounts mapping</t>
        </is>
      </c>
      <c r="B187" s="20" t="inlineStr">
        <is>
          <t>Type</t>
        </is>
      </c>
      <c r="C187" s="12" t="inlineStr">
        <is>
          <t>Text, Code, Date, Timestamp, Amount (2 decimals), Integer, Decimal, Flag (Y or N)</t>
        </is>
      </c>
      <c r="D187" s="12" t="inlineStr"/>
    </row>
    <row r="188">
      <c r="A188" s="14" t="inlineStr">
        <is>
          <t>R08 Chart of accounts mapping</t>
        </is>
      </c>
      <c r="B188" s="21" t="inlineStr">
        <is>
          <t>Length</t>
        </is>
      </c>
      <c r="C188" s="14" t="inlineStr">
        <is>
          <t>Maximum characters; for numbers the digits and decimals</t>
        </is>
      </c>
      <c r="D188" s="14" t="inlineStr"/>
    </row>
    <row r="189">
      <c r="A189" s="12" t="inlineStr">
        <is>
          <t>R08 Chart of accounts mapping</t>
        </is>
      </c>
      <c r="B189" s="20" t="inlineStr">
        <is>
          <t>Mandatory</t>
        </is>
      </c>
      <c r="C189" s="12" t="inlineStr">
        <is>
          <t>Y always; N optional; C when its condition holds (Validation)</t>
        </is>
      </c>
      <c r="D189" s="12" t="inlineStr">
        <is>
          <t>Y, N, C</t>
        </is>
      </c>
    </row>
    <row r="190">
      <c r="A190" s="14" t="inlineStr">
        <is>
          <t>R08 Chart of accounts mapping</t>
        </is>
      </c>
      <c r="B190" s="21" t="inlineStr">
        <is>
          <t>Allowed values or code map</t>
        </is>
      </c>
      <c r="C190" s="14" t="inlineStr">
        <is>
          <t>Closed list of values, or the code map that maps the legacy value</t>
        </is>
      </c>
      <c r="D190" s="14" t="inlineStr"/>
    </row>
    <row r="191">
      <c r="A191" s="12" t="inlineStr">
        <is>
          <t>R08 Chart of accounts mapping</t>
        </is>
      </c>
      <c r="B191" s="20" t="inlineStr">
        <is>
          <t>Format</t>
        </is>
      </c>
      <c r="C191" s="12" t="inlineStr">
        <is>
          <t>How the value is written in the file</t>
        </is>
      </c>
      <c r="D191" s="12" t="inlineStr"/>
    </row>
    <row r="192">
      <c r="A192" s="14" t="inlineStr">
        <is>
          <t>R08 Chart of accounts mapping</t>
        </is>
      </c>
      <c r="B192" s="21" t="inlineStr">
        <is>
          <t>Example</t>
        </is>
      </c>
      <c r="C192" s="14" t="inlineStr">
        <is>
          <t>A made-up example</t>
        </is>
      </c>
      <c r="D192" s="14" t="inlineStr"/>
    </row>
    <row r="193">
      <c r="A193" s="12" t="inlineStr">
        <is>
          <t>R08 Chart of accounts mapping</t>
        </is>
      </c>
      <c r="B193" s="20" t="inlineStr">
        <is>
          <t>Validation</t>
        </is>
      </c>
      <c r="C193" s="12" t="inlineStr">
        <is>
          <t>Check applied when the file is validated</t>
        </is>
      </c>
      <c r="D193" s="12" t="inlineStr"/>
    </row>
    <row r="194">
      <c r="A194" s="14" t="inlineStr">
        <is>
          <t>R08 Chart of accounts mapping</t>
        </is>
      </c>
      <c r="B194" s="21" t="inlineStr">
        <is>
          <t>BU review</t>
        </is>
      </c>
      <c r="C194" s="14" t="inlineStr">
        <is>
          <t>Business unit decision on the row</t>
        </is>
      </c>
      <c r="D194" s="14" t="inlineStr">
        <is>
          <t>Accept, Change requested, Comment</t>
        </is>
      </c>
    </row>
    <row r="195">
      <c r="A195" s="12" t="inlineStr">
        <is>
          <t>R08 Chart of accounts mapping</t>
        </is>
      </c>
      <c r="B195" s="20" t="inlineStr">
        <is>
          <t>BU comment</t>
        </is>
      </c>
      <c r="C195" s="12" t="inlineStr">
        <is>
          <t>What should change, or the comment</t>
        </is>
      </c>
      <c r="D195" s="12" t="inlineStr"/>
    </row>
    <row r="196">
      <c r="A196" s="14" t="inlineStr">
        <is>
          <t>R08 Chart of accounts mapping</t>
        </is>
      </c>
      <c r="B196" s="21" t="inlineStr">
        <is>
          <t>Reviewer</t>
        </is>
      </c>
      <c r="C196" s="14" t="inlineStr">
        <is>
          <t>Name of the BU reviewer</t>
        </is>
      </c>
      <c r="D196" s="14" t="inlineStr"/>
    </row>
    <row r="197">
      <c r="A197" s="12" t="inlineStr">
        <is>
          <t>R08 Chart of accounts mapping</t>
        </is>
      </c>
      <c r="B197" s="20" t="inlineStr">
        <is>
          <t>Review date</t>
        </is>
      </c>
      <c r="C197" s="12" t="inlineStr">
        <is>
          <t>Date of the review (dd-mmm-yyyy)</t>
        </is>
      </c>
      <c r="D197" s="12" t="inlineStr"/>
    </row>
    <row r="198">
      <c r="A198" s="14" t="inlineStr">
        <is>
          <t>R09 Payees</t>
        </is>
      </c>
      <c r="B198" s="21" t="inlineStr">
        <is>
          <t>No.</t>
        </is>
      </c>
      <c r="C198" s="14" t="inlineStr">
        <is>
          <t>Column position in the file</t>
        </is>
      </c>
      <c r="D198" s="14" t="inlineStr"/>
    </row>
    <row r="199">
      <c r="A199" s="12" t="inlineStr">
        <is>
          <t>R09 Payees</t>
        </is>
      </c>
      <c r="B199" s="20" t="inlineStr">
        <is>
          <t>Column</t>
        </is>
      </c>
      <c r="C199" s="12" t="inlineStr">
        <is>
          <t>Column name in the header row of the file, exactly as written</t>
        </is>
      </c>
      <c r="D199" s="12" t="inlineStr"/>
    </row>
    <row r="200">
      <c r="A200" s="14" t="inlineStr">
        <is>
          <t>R09 Payees</t>
        </is>
      </c>
      <c r="B200" s="21" t="inlineStr">
        <is>
          <t>Description</t>
        </is>
      </c>
      <c r="C200" s="14" t="inlineStr">
        <is>
          <t>What the column holds</t>
        </is>
      </c>
      <c r="D200" s="14" t="inlineStr"/>
    </row>
    <row r="201">
      <c r="A201" s="12" t="inlineStr">
        <is>
          <t>R09 Payees</t>
        </is>
      </c>
      <c r="B201" s="20" t="inlineStr">
        <is>
          <t>Type</t>
        </is>
      </c>
      <c r="C201" s="12" t="inlineStr">
        <is>
          <t>Text, Code, Date, Timestamp, Amount (2 decimals), Integer, Decimal, Flag (Y or N)</t>
        </is>
      </c>
      <c r="D201" s="12" t="inlineStr"/>
    </row>
    <row r="202">
      <c r="A202" s="14" t="inlineStr">
        <is>
          <t>R09 Payees</t>
        </is>
      </c>
      <c r="B202" s="21" t="inlineStr">
        <is>
          <t>Length</t>
        </is>
      </c>
      <c r="C202" s="14" t="inlineStr">
        <is>
          <t>Maximum characters; for numbers the digits and decimals</t>
        </is>
      </c>
      <c r="D202" s="14" t="inlineStr"/>
    </row>
    <row r="203">
      <c r="A203" s="12" t="inlineStr">
        <is>
          <t>R09 Payees</t>
        </is>
      </c>
      <c r="B203" s="20" t="inlineStr">
        <is>
          <t>Mandatory</t>
        </is>
      </c>
      <c r="C203" s="12" t="inlineStr">
        <is>
          <t>Y always; N optional; C when its condition holds (Validation)</t>
        </is>
      </c>
      <c r="D203" s="12" t="inlineStr">
        <is>
          <t>Y, N, C</t>
        </is>
      </c>
    </row>
    <row r="204">
      <c r="A204" s="14" t="inlineStr">
        <is>
          <t>R09 Payees</t>
        </is>
      </c>
      <c r="B204" s="21" t="inlineStr">
        <is>
          <t>Allowed values or code map</t>
        </is>
      </c>
      <c r="C204" s="14" t="inlineStr">
        <is>
          <t>Closed list of values, or the code map that maps the legacy value</t>
        </is>
      </c>
      <c r="D204" s="14" t="inlineStr"/>
    </row>
    <row r="205">
      <c r="A205" s="12" t="inlineStr">
        <is>
          <t>R09 Payees</t>
        </is>
      </c>
      <c r="B205" s="20" t="inlineStr">
        <is>
          <t>Format</t>
        </is>
      </c>
      <c r="C205" s="12" t="inlineStr">
        <is>
          <t>How the value is written in the file</t>
        </is>
      </c>
      <c r="D205" s="12" t="inlineStr"/>
    </row>
    <row r="206">
      <c r="A206" s="14" t="inlineStr">
        <is>
          <t>R09 Payees</t>
        </is>
      </c>
      <c r="B206" s="21" t="inlineStr">
        <is>
          <t>Example</t>
        </is>
      </c>
      <c r="C206" s="14" t="inlineStr">
        <is>
          <t>A made-up example</t>
        </is>
      </c>
      <c r="D206" s="14" t="inlineStr"/>
    </row>
    <row r="207">
      <c r="A207" s="12" t="inlineStr">
        <is>
          <t>R09 Payees</t>
        </is>
      </c>
      <c r="B207" s="20" t="inlineStr">
        <is>
          <t>Validation</t>
        </is>
      </c>
      <c r="C207" s="12" t="inlineStr">
        <is>
          <t>Check applied when the file is validated</t>
        </is>
      </c>
      <c r="D207" s="12" t="inlineStr"/>
    </row>
    <row r="208">
      <c r="A208" s="14" t="inlineStr">
        <is>
          <t>R09 Payees</t>
        </is>
      </c>
      <c r="B208" s="21" t="inlineStr">
        <is>
          <t>BU review</t>
        </is>
      </c>
      <c r="C208" s="14" t="inlineStr">
        <is>
          <t>Business unit decision on the row</t>
        </is>
      </c>
      <c r="D208" s="14" t="inlineStr">
        <is>
          <t>Accept, Change requested, Comment</t>
        </is>
      </c>
    </row>
    <row r="209">
      <c r="A209" s="12" t="inlineStr">
        <is>
          <t>R09 Payees</t>
        </is>
      </c>
      <c r="B209" s="20" t="inlineStr">
        <is>
          <t>BU comment</t>
        </is>
      </c>
      <c r="C209" s="12" t="inlineStr">
        <is>
          <t>What should change, or the comment</t>
        </is>
      </c>
      <c r="D209" s="12" t="inlineStr"/>
    </row>
    <row r="210">
      <c r="A210" s="14" t="inlineStr">
        <is>
          <t>R09 Payees</t>
        </is>
      </c>
      <c r="B210" s="21" t="inlineStr">
        <is>
          <t>Reviewer</t>
        </is>
      </c>
      <c r="C210" s="14" t="inlineStr">
        <is>
          <t>Name of the BU reviewer</t>
        </is>
      </c>
      <c r="D210" s="14" t="inlineStr"/>
    </row>
    <row r="211">
      <c r="A211" s="12" t="inlineStr">
        <is>
          <t>R09 Payees</t>
        </is>
      </c>
      <c r="B211" s="20" t="inlineStr">
        <is>
          <t>Review date</t>
        </is>
      </c>
      <c r="C211" s="12" t="inlineStr">
        <is>
          <t>Date of the review (dd-mmm-yyyy)</t>
        </is>
      </c>
      <c r="D211" s="12" t="inlineStr"/>
    </row>
    <row r="212">
      <c r="A212" s="14" t="inlineStr">
        <is>
          <t>R11 Receipt series in use</t>
        </is>
      </c>
      <c r="B212" s="21" t="inlineStr">
        <is>
          <t>No.</t>
        </is>
      </c>
      <c r="C212" s="14" t="inlineStr">
        <is>
          <t>Column position in the file</t>
        </is>
      </c>
      <c r="D212" s="14" t="inlineStr"/>
    </row>
    <row r="213">
      <c r="A213" s="12" t="inlineStr">
        <is>
          <t>R11 Receipt series in use</t>
        </is>
      </c>
      <c r="B213" s="20" t="inlineStr">
        <is>
          <t>Column</t>
        </is>
      </c>
      <c r="C213" s="12" t="inlineStr">
        <is>
          <t>Column name in the header row of the file, exactly as written</t>
        </is>
      </c>
      <c r="D213" s="12" t="inlineStr"/>
    </row>
    <row r="214">
      <c r="A214" s="14" t="inlineStr">
        <is>
          <t>R11 Receipt series in use</t>
        </is>
      </c>
      <c r="B214" s="21" t="inlineStr">
        <is>
          <t>Description</t>
        </is>
      </c>
      <c r="C214" s="14" t="inlineStr">
        <is>
          <t>What the column holds</t>
        </is>
      </c>
      <c r="D214" s="14" t="inlineStr"/>
    </row>
    <row r="215">
      <c r="A215" s="12" t="inlineStr">
        <is>
          <t>R11 Receipt series in use</t>
        </is>
      </c>
      <c r="B215" s="20" t="inlineStr">
        <is>
          <t>Type</t>
        </is>
      </c>
      <c r="C215" s="12" t="inlineStr">
        <is>
          <t>Text, Code, Date, Timestamp, Amount (2 decimals), Integer, Decimal, Flag (Y or N)</t>
        </is>
      </c>
      <c r="D215" s="12" t="inlineStr"/>
    </row>
    <row r="216">
      <c r="A216" s="14" t="inlineStr">
        <is>
          <t>R11 Receipt series in use</t>
        </is>
      </c>
      <c r="B216" s="21" t="inlineStr">
        <is>
          <t>Length</t>
        </is>
      </c>
      <c r="C216" s="14" t="inlineStr">
        <is>
          <t>Maximum characters; for numbers the digits and decimals</t>
        </is>
      </c>
      <c r="D216" s="14" t="inlineStr"/>
    </row>
    <row r="217">
      <c r="A217" s="12" t="inlineStr">
        <is>
          <t>R11 Receipt series in use</t>
        </is>
      </c>
      <c r="B217" s="20" t="inlineStr">
        <is>
          <t>Mandatory</t>
        </is>
      </c>
      <c r="C217" s="12" t="inlineStr">
        <is>
          <t>Y always; N optional; C when its condition holds (Validation)</t>
        </is>
      </c>
      <c r="D217" s="12" t="inlineStr">
        <is>
          <t>Y, N, C</t>
        </is>
      </c>
    </row>
    <row r="218">
      <c r="A218" s="14" t="inlineStr">
        <is>
          <t>R11 Receipt series in use</t>
        </is>
      </c>
      <c r="B218" s="21" t="inlineStr">
        <is>
          <t>Allowed values or code map</t>
        </is>
      </c>
      <c r="C218" s="14" t="inlineStr">
        <is>
          <t>Closed list of values, or the code map that maps the legacy value</t>
        </is>
      </c>
      <c r="D218" s="14" t="inlineStr"/>
    </row>
    <row r="219">
      <c r="A219" s="12" t="inlineStr">
        <is>
          <t>R11 Receipt series in use</t>
        </is>
      </c>
      <c r="B219" s="20" t="inlineStr">
        <is>
          <t>Format</t>
        </is>
      </c>
      <c r="C219" s="12" t="inlineStr">
        <is>
          <t>How the value is written in the file</t>
        </is>
      </c>
      <c r="D219" s="12" t="inlineStr"/>
    </row>
    <row r="220">
      <c r="A220" s="14" t="inlineStr">
        <is>
          <t>R11 Receipt series in use</t>
        </is>
      </c>
      <c r="B220" s="21" t="inlineStr">
        <is>
          <t>Example</t>
        </is>
      </c>
      <c r="C220" s="14" t="inlineStr">
        <is>
          <t>A made-up example</t>
        </is>
      </c>
      <c r="D220" s="14" t="inlineStr"/>
    </row>
    <row r="221">
      <c r="A221" s="12" t="inlineStr">
        <is>
          <t>R11 Receipt series in use</t>
        </is>
      </c>
      <c r="B221" s="20" t="inlineStr">
        <is>
          <t>Validation</t>
        </is>
      </c>
      <c r="C221" s="12" t="inlineStr">
        <is>
          <t>Check applied when the file is validated</t>
        </is>
      </c>
      <c r="D221" s="12" t="inlineStr"/>
    </row>
    <row r="222">
      <c r="A222" s="14" t="inlineStr">
        <is>
          <t>R11 Receipt series in use</t>
        </is>
      </c>
      <c r="B222" s="21" t="inlineStr">
        <is>
          <t>BU review</t>
        </is>
      </c>
      <c r="C222" s="14" t="inlineStr">
        <is>
          <t>Business unit decision on the row</t>
        </is>
      </c>
      <c r="D222" s="14" t="inlineStr">
        <is>
          <t>Accept, Change requested, Comment</t>
        </is>
      </c>
    </row>
    <row r="223">
      <c r="A223" s="12" t="inlineStr">
        <is>
          <t>R11 Receipt series in use</t>
        </is>
      </c>
      <c r="B223" s="20" t="inlineStr">
        <is>
          <t>BU comment</t>
        </is>
      </c>
      <c r="C223" s="12" t="inlineStr">
        <is>
          <t>What should change, or the comment</t>
        </is>
      </c>
      <c r="D223" s="12" t="inlineStr"/>
    </row>
    <row r="224">
      <c r="A224" s="14" t="inlineStr">
        <is>
          <t>R11 Receipt series in use</t>
        </is>
      </c>
      <c r="B224" s="21" t="inlineStr">
        <is>
          <t>Reviewer</t>
        </is>
      </c>
      <c r="C224" s="14" t="inlineStr">
        <is>
          <t>Name of the BU reviewer</t>
        </is>
      </c>
      <c r="D224" s="14" t="inlineStr"/>
    </row>
    <row r="225">
      <c r="A225" s="12" t="inlineStr">
        <is>
          <t>R11 Receipt series in use</t>
        </is>
      </c>
      <c r="B225" s="20" t="inlineStr">
        <is>
          <t>Review date</t>
        </is>
      </c>
      <c r="C225" s="12" t="inlineStr">
        <is>
          <t>Date of the review (dd-mmm-yyyy)</t>
        </is>
      </c>
      <c r="D225" s="12" t="inlineStr"/>
    </row>
    <row r="226">
      <c r="A226" s="14" t="inlineStr">
        <is>
          <t>C01 Client master</t>
        </is>
      </c>
      <c r="B226" s="21" t="inlineStr">
        <is>
          <t>No.</t>
        </is>
      </c>
      <c r="C226" s="14" t="inlineStr">
        <is>
          <t>Column position in the file</t>
        </is>
      </c>
      <c r="D226" s="14" t="inlineStr"/>
    </row>
    <row r="227">
      <c r="A227" s="12" t="inlineStr">
        <is>
          <t>C01 Client master</t>
        </is>
      </c>
      <c r="B227" s="20" t="inlineStr">
        <is>
          <t>Column</t>
        </is>
      </c>
      <c r="C227" s="12" t="inlineStr">
        <is>
          <t>Column name in the header row of the file, exactly as written</t>
        </is>
      </c>
      <c r="D227" s="12" t="inlineStr"/>
    </row>
    <row r="228">
      <c r="A228" s="14" t="inlineStr">
        <is>
          <t>C01 Client master</t>
        </is>
      </c>
      <c r="B228" s="21" t="inlineStr">
        <is>
          <t>Description</t>
        </is>
      </c>
      <c r="C228" s="14" t="inlineStr">
        <is>
          <t>What the column holds</t>
        </is>
      </c>
      <c r="D228" s="14" t="inlineStr"/>
    </row>
    <row r="229">
      <c r="A229" s="12" t="inlineStr">
        <is>
          <t>C01 Client master</t>
        </is>
      </c>
      <c r="B229" s="20" t="inlineStr">
        <is>
          <t>Type</t>
        </is>
      </c>
      <c r="C229" s="12" t="inlineStr">
        <is>
          <t>Text, Code, Date, Timestamp, Amount (2 decimals), Integer, Decimal, Flag (Y or N)</t>
        </is>
      </c>
      <c r="D229" s="12" t="inlineStr"/>
    </row>
    <row r="230">
      <c r="A230" s="14" t="inlineStr">
        <is>
          <t>C01 Client master</t>
        </is>
      </c>
      <c r="B230" s="21" t="inlineStr">
        <is>
          <t>Length</t>
        </is>
      </c>
      <c r="C230" s="14" t="inlineStr">
        <is>
          <t>Maximum characters; for numbers the digits and decimals</t>
        </is>
      </c>
      <c r="D230" s="14" t="inlineStr"/>
    </row>
    <row r="231">
      <c r="A231" s="12" t="inlineStr">
        <is>
          <t>C01 Client master</t>
        </is>
      </c>
      <c r="B231" s="20" t="inlineStr">
        <is>
          <t>Mandatory</t>
        </is>
      </c>
      <c r="C231" s="12" t="inlineStr">
        <is>
          <t>Y always; N optional; C when its condition holds (Validation)</t>
        </is>
      </c>
      <c r="D231" s="12" t="inlineStr">
        <is>
          <t>Y, N, C</t>
        </is>
      </c>
    </row>
    <row r="232">
      <c r="A232" s="14" t="inlineStr">
        <is>
          <t>C01 Client master</t>
        </is>
      </c>
      <c r="B232" s="21" t="inlineStr">
        <is>
          <t>Allowed values or code map</t>
        </is>
      </c>
      <c r="C232" s="14" t="inlineStr">
        <is>
          <t>Closed list of values, or the code map that maps the legacy value</t>
        </is>
      </c>
      <c r="D232" s="14" t="inlineStr"/>
    </row>
    <row r="233">
      <c r="A233" s="12" t="inlineStr">
        <is>
          <t>C01 Client master</t>
        </is>
      </c>
      <c r="B233" s="20" t="inlineStr">
        <is>
          <t>Format</t>
        </is>
      </c>
      <c r="C233" s="12" t="inlineStr">
        <is>
          <t>How the value is written in the file</t>
        </is>
      </c>
      <c r="D233" s="12" t="inlineStr"/>
    </row>
    <row r="234">
      <c r="A234" s="14" t="inlineStr">
        <is>
          <t>C01 Client master</t>
        </is>
      </c>
      <c r="B234" s="21" t="inlineStr">
        <is>
          <t>Example</t>
        </is>
      </c>
      <c r="C234" s="14" t="inlineStr">
        <is>
          <t>A made-up example</t>
        </is>
      </c>
      <c r="D234" s="14" t="inlineStr"/>
    </row>
    <row r="235">
      <c r="A235" s="12" t="inlineStr">
        <is>
          <t>C01 Client master</t>
        </is>
      </c>
      <c r="B235" s="20" t="inlineStr">
        <is>
          <t>Validation</t>
        </is>
      </c>
      <c r="C235" s="12" t="inlineStr">
        <is>
          <t>Check applied when the file is validated</t>
        </is>
      </c>
      <c r="D235" s="12" t="inlineStr"/>
    </row>
    <row r="236">
      <c r="A236" s="14" t="inlineStr">
        <is>
          <t>C01 Client master</t>
        </is>
      </c>
      <c r="B236" s="21" t="inlineStr">
        <is>
          <t>BU review</t>
        </is>
      </c>
      <c r="C236" s="14" t="inlineStr">
        <is>
          <t>Business unit decision on the row</t>
        </is>
      </c>
      <c r="D236" s="14" t="inlineStr">
        <is>
          <t>Accept, Change requested, Comment</t>
        </is>
      </c>
    </row>
    <row r="237">
      <c r="A237" s="12" t="inlineStr">
        <is>
          <t>C01 Client master</t>
        </is>
      </c>
      <c r="B237" s="20" t="inlineStr">
        <is>
          <t>BU comment</t>
        </is>
      </c>
      <c r="C237" s="12" t="inlineStr">
        <is>
          <t>What should change, or the comment</t>
        </is>
      </c>
      <c r="D237" s="12" t="inlineStr"/>
    </row>
    <row r="238">
      <c r="A238" s="14" t="inlineStr">
        <is>
          <t>C01 Client master</t>
        </is>
      </c>
      <c r="B238" s="21" t="inlineStr">
        <is>
          <t>Reviewer</t>
        </is>
      </c>
      <c r="C238" s="14" t="inlineStr">
        <is>
          <t>Name of the BU reviewer</t>
        </is>
      </c>
      <c r="D238" s="14" t="inlineStr"/>
    </row>
    <row r="239">
      <c r="A239" s="12" t="inlineStr">
        <is>
          <t>C01 Client master</t>
        </is>
      </c>
      <c r="B239" s="20" t="inlineStr">
        <is>
          <t>Review date</t>
        </is>
      </c>
      <c r="C239" s="12" t="inlineStr">
        <is>
          <t>Date of the review (dd-mmm-yyyy)</t>
        </is>
      </c>
      <c r="D239" s="12" t="inlineStr"/>
    </row>
    <row r="240">
      <c r="A240" s="14" t="inlineStr">
        <is>
          <t>C02 Client addresses and contac</t>
        </is>
      </c>
      <c r="B240" s="21" t="inlineStr">
        <is>
          <t>No.</t>
        </is>
      </c>
      <c r="C240" s="14" t="inlineStr">
        <is>
          <t>Column position in the file</t>
        </is>
      </c>
      <c r="D240" s="14" t="inlineStr"/>
    </row>
    <row r="241">
      <c r="A241" s="12" t="inlineStr">
        <is>
          <t>C02 Client addresses and contac</t>
        </is>
      </c>
      <c r="B241" s="20" t="inlineStr">
        <is>
          <t>Column</t>
        </is>
      </c>
      <c r="C241" s="12" t="inlineStr">
        <is>
          <t>Column name in the header row of the file, exactly as written</t>
        </is>
      </c>
      <c r="D241" s="12" t="inlineStr"/>
    </row>
    <row r="242">
      <c r="A242" s="14" t="inlineStr">
        <is>
          <t>C02 Client addresses and contac</t>
        </is>
      </c>
      <c r="B242" s="21" t="inlineStr">
        <is>
          <t>Description</t>
        </is>
      </c>
      <c r="C242" s="14" t="inlineStr">
        <is>
          <t>What the column holds</t>
        </is>
      </c>
      <c r="D242" s="14" t="inlineStr"/>
    </row>
    <row r="243">
      <c r="A243" s="12" t="inlineStr">
        <is>
          <t>C02 Client addresses and contac</t>
        </is>
      </c>
      <c r="B243" s="20" t="inlineStr">
        <is>
          <t>Type</t>
        </is>
      </c>
      <c r="C243" s="12" t="inlineStr">
        <is>
          <t>Text, Code, Date, Timestamp, Amount (2 decimals), Integer, Decimal, Flag (Y or N)</t>
        </is>
      </c>
      <c r="D243" s="12" t="inlineStr"/>
    </row>
    <row r="244">
      <c r="A244" s="14" t="inlineStr">
        <is>
          <t>C02 Client addresses and contac</t>
        </is>
      </c>
      <c r="B244" s="21" t="inlineStr">
        <is>
          <t>Length</t>
        </is>
      </c>
      <c r="C244" s="14" t="inlineStr">
        <is>
          <t>Maximum characters; for numbers the digits and decimals</t>
        </is>
      </c>
      <c r="D244" s="14" t="inlineStr"/>
    </row>
    <row r="245">
      <c r="A245" s="12" t="inlineStr">
        <is>
          <t>C02 Client addresses and contac</t>
        </is>
      </c>
      <c r="B245" s="20" t="inlineStr">
        <is>
          <t>Mandatory</t>
        </is>
      </c>
      <c r="C245" s="12" t="inlineStr">
        <is>
          <t>Y always; N optional; C when its condition holds (Validation)</t>
        </is>
      </c>
      <c r="D245" s="12" t="inlineStr">
        <is>
          <t>Y, N, C</t>
        </is>
      </c>
    </row>
    <row r="246">
      <c r="A246" s="14" t="inlineStr">
        <is>
          <t>C02 Client addresses and contac</t>
        </is>
      </c>
      <c r="B246" s="21" t="inlineStr">
        <is>
          <t>Allowed values or code map</t>
        </is>
      </c>
      <c r="C246" s="14" t="inlineStr">
        <is>
          <t>Closed list of values, or the code map that maps the legacy value</t>
        </is>
      </c>
      <c r="D246" s="14" t="inlineStr"/>
    </row>
    <row r="247">
      <c r="A247" s="12" t="inlineStr">
        <is>
          <t>C02 Client addresses and contac</t>
        </is>
      </c>
      <c r="B247" s="20" t="inlineStr">
        <is>
          <t>Format</t>
        </is>
      </c>
      <c r="C247" s="12" t="inlineStr">
        <is>
          <t>How the value is written in the file</t>
        </is>
      </c>
      <c r="D247" s="12" t="inlineStr"/>
    </row>
    <row r="248">
      <c r="A248" s="14" t="inlineStr">
        <is>
          <t>C02 Client addresses and contac</t>
        </is>
      </c>
      <c r="B248" s="21" t="inlineStr">
        <is>
          <t>Example</t>
        </is>
      </c>
      <c r="C248" s="14" t="inlineStr">
        <is>
          <t>A made-up example</t>
        </is>
      </c>
      <c r="D248" s="14" t="inlineStr"/>
    </row>
    <row r="249">
      <c r="A249" s="12" t="inlineStr">
        <is>
          <t>C02 Client addresses and contac</t>
        </is>
      </c>
      <c r="B249" s="20" t="inlineStr">
        <is>
          <t>Validation</t>
        </is>
      </c>
      <c r="C249" s="12" t="inlineStr">
        <is>
          <t>Check applied when the file is validated</t>
        </is>
      </c>
      <c r="D249" s="12" t="inlineStr"/>
    </row>
    <row r="250">
      <c r="A250" s="14" t="inlineStr">
        <is>
          <t>C02 Client addresses and contac</t>
        </is>
      </c>
      <c r="B250" s="21" t="inlineStr">
        <is>
          <t>BU review</t>
        </is>
      </c>
      <c r="C250" s="14" t="inlineStr">
        <is>
          <t>Business unit decision on the row</t>
        </is>
      </c>
      <c r="D250" s="14" t="inlineStr">
        <is>
          <t>Accept, Change requested, Comment</t>
        </is>
      </c>
    </row>
    <row r="251">
      <c r="A251" s="12" t="inlineStr">
        <is>
          <t>C02 Client addresses and contac</t>
        </is>
      </c>
      <c r="B251" s="20" t="inlineStr">
        <is>
          <t>BU comment</t>
        </is>
      </c>
      <c r="C251" s="12" t="inlineStr">
        <is>
          <t>What should change, or the comment</t>
        </is>
      </c>
      <c r="D251" s="12" t="inlineStr"/>
    </row>
    <row r="252">
      <c r="A252" s="14" t="inlineStr">
        <is>
          <t>C02 Client addresses and contac</t>
        </is>
      </c>
      <c r="B252" s="21" t="inlineStr">
        <is>
          <t>Reviewer</t>
        </is>
      </c>
      <c r="C252" s="14" t="inlineStr">
        <is>
          <t>Name of the BU reviewer</t>
        </is>
      </c>
      <c r="D252" s="14" t="inlineStr"/>
    </row>
    <row r="253">
      <c r="A253" s="12" t="inlineStr">
        <is>
          <t>C02 Client addresses and contac</t>
        </is>
      </c>
      <c r="B253" s="20" t="inlineStr">
        <is>
          <t>Review date</t>
        </is>
      </c>
      <c r="C253" s="12" t="inlineStr">
        <is>
          <t>Date of the review (dd-mmm-yyyy)</t>
        </is>
      </c>
      <c r="D253" s="12" t="inlineStr"/>
    </row>
    <row r="254">
      <c r="A254" s="14" t="inlineStr">
        <is>
          <t>C03 Client payout accounts</t>
        </is>
      </c>
      <c r="B254" s="21" t="inlineStr">
        <is>
          <t>No.</t>
        </is>
      </c>
      <c r="C254" s="14" t="inlineStr">
        <is>
          <t>Column position in the file</t>
        </is>
      </c>
      <c r="D254" s="14" t="inlineStr"/>
    </row>
    <row r="255">
      <c r="A255" s="12" t="inlineStr">
        <is>
          <t>C03 Client payout accounts</t>
        </is>
      </c>
      <c r="B255" s="20" t="inlineStr">
        <is>
          <t>Column</t>
        </is>
      </c>
      <c r="C255" s="12" t="inlineStr">
        <is>
          <t>Column name in the header row of the file, exactly as written</t>
        </is>
      </c>
      <c r="D255" s="12" t="inlineStr"/>
    </row>
    <row r="256">
      <c r="A256" s="14" t="inlineStr">
        <is>
          <t>C03 Client payout accounts</t>
        </is>
      </c>
      <c r="B256" s="21" t="inlineStr">
        <is>
          <t>Description</t>
        </is>
      </c>
      <c r="C256" s="14" t="inlineStr">
        <is>
          <t>What the column holds</t>
        </is>
      </c>
      <c r="D256" s="14" t="inlineStr"/>
    </row>
    <row r="257">
      <c r="A257" s="12" t="inlineStr">
        <is>
          <t>C03 Client payout accounts</t>
        </is>
      </c>
      <c r="B257" s="20" t="inlineStr">
        <is>
          <t>Type</t>
        </is>
      </c>
      <c r="C257" s="12" t="inlineStr">
        <is>
          <t>Text, Code, Date, Timestamp, Amount (2 decimals), Integer, Decimal, Flag (Y or N)</t>
        </is>
      </c>
      <c r="D257" s="12" t="inlineStr"/>
    </row>
    <row r="258">
      <c r="A258" s="14" t="inlineStr">
        <is>
          <t>C03 Client payout accounts</t>
        </is>
      </c>
      <c r="B258" s="21" t="inlineStr">
        <is>
          <t>Length</t>
        </is>
      </c>
      <c r="C258" s="14" t="inlineStr">
        <is>
          <t>Maximum characters; for numbers the digits and decimals</t>
        </is>
      </c>
      <c r="D258" s="14" t="inlineStr"/>
    </row>
    <row r="259">
      <c r="A259" s="12" t="inlineStr">
        <is>
          <t>C03 Client payout accounts</t>
        </is>
      </c>
      <c r="B259" s="20" t="inlineStr">
        <is>
          <t>Mandatory</t>
        </is>
      </c>
      <c r="C259" s="12" t="inlineStr">
        <is>
          <t>Y always; N optional; C when its condition holds (Validation)</t>
        </is>
      </c>
      <c r="D259" s="12" t="inlineStr">
        <is>
          <t>Y, N, C</t>
        </is>
      </c>
    </row>
    <row r="260">
      <c r="A260" s="14" t="inlineStr">
        <is>
          <t>C03 Client payout accounts</t>
        </is>
      </c>
      <c r="B260" s="21" t="inlineStr">
        <is>
          <t>Allowed values or code map</t>
        </is>
      </c>
      <c r="C260" s="14" t="inlineStr">
        <is>
          <t>Closed list of values, or the code map that maps the legacy value</t>
        </is>
      </c>
      <c r="D260" s="14" t="inlineStr"/>
    </row>
    <row r="261">
      <c r="A261" s="12" t="inlineStr">
        <is>
          <t>C03 Client payout accounts</t>
        </is>
      </c>
      <c r="B261" s="20" t="inlineStr">
        <is>
          <t>Format</t>
        </is>
      </c>
      <c r="C261" s="12" t="inlineStr">
        <is>
          <t>How the value is written in the file</t>
        </is>
      </c>
      <c r="D261" s="12" t="inlineStr"/>
    </row>
    <row r="262">
      <c r="A262" s="14" t="inlineStr">
        <is>
          <t>C03 Client payout accounts</t>
        </is>
      </c>
      <c r="B262" s="21" t="inlineStr">
        <is>
          <t>Example</t>
        </is>
      </c>
      <c r="C262" s="14" t="inlineStr">
        <is>
          <t>A made-up example</t>
        </is>
      </c>
      <c r="D262" s="14" t="inlineStr"/>
    </row>
    <row r="263">
      <c r="A263" s="12" t="inlineStr">
        <is>
          <t>C03 Client payout accounts</t>
        </is>
      </c>
      <c r="B263" s="20" t="inlineStr">
        <is>
          <t>Validation</t>
        </is>
      </c>
      <c r="C263" s="12" t="inlineStr">
        <is>
          <t>Check applied when the file is validated</t>
        </is>
      </c>
      <c r="D263" s="12" t="inlineStr"/>
    </row>
    <row r="264">
      <c r="A264" s="14" t="inlineStr">
        <is>
          <t>C03 Client payout accounts</t>
        </is>
      </c>
      <c r="B264" s="21" t="inlineStr">
        <is>
          <t>BU review</t>
        </is>
      </c>
      <c r="C264" s="14" t="inlineStr">
        <is>
          <t>Business unit decision on the row</t>
        </is>
      </c>
      <c r="D264" s="14" t="inlineStr">
        <is>
          <t>Accept, Change requested, Comment</t>
        </is>
      </c>
    </row>
    <row r="265">
      <c r="A265" s="12" t="inlineStr">
        <is>
          <t>C03 Client payout accounts</t>
        </is>
      </c>
      <c r="B265" s="20" t="inlineStr">
        <is>
          <t>BU comment</t>
        </is>
      </c>
      <c r="C265" s="12" t="inlineStr">
        <is>
          <t>What should change, or the comment</t>
        </is>
      </c>
      <c r="D265" s="12" t="inlineStr"/>
    </row>
    <row r="266">
      <c r="A266" s="14" t="inlineStr">
        <is>
          <t>C03 Client payout accounts</t>
        </is>
      </c>
      <c r="B266" s="21" t="inlineStr">
        <is>
          <t>Reviewer</t>
        </is>
      </c>
      <c r="C266" s="14" t="inlineStr">
        <is>
          <t>Name of the BU reviewer</t>
        </is>
      </c>
      <c r="D266" s="14" t="inlineStr"/>
    </row>
    <row r="267">
      <c r="A267" s="12" t="inlineStr">
        <is>
          <t>C03 Client payout accounts</t>
        </is>
      </c>
      <c r="B267" s="20" t="inlineStr">
        <is>
          <t>Review date</t>
        </is>
      </c>
      <c r="C267" s="12" t="inlineStr">
        <is>
          <t>Date of the review (dd-mmm-yyyy)</t>
        </is>
      </c>
      <c r="D267" s="12" t="inlineStr"/>
    </row>
    <row r="268">
      <c r="A268" s="14" t="inlineStr">
        <is>
          <t>P01 In-force policy headers</t>
        </is>
      </c>
      <c r="B268" s="21" t="inlineStr">
        <is>
          <t>No.</t>
        </is>
      </c>
      <c r="C268" s="14" t="inlineStr">
        <is>
          <t>Column position in the file</t>
        </is>
      </c>
      <c r="D268" s="14" t="inlineStr"/>
    </row>
    <row r="269">
      <c r="A269" s="12" t="inlineStr">
        <is>
          <t>P01 In-force policy headers</t>
        </is>
      </c>
      <c r="B269" s="20" t="inlineStr">
        <is>
          <t>Column</t>
        </is>
      </c>
      <c r="C269" s="12" t="inlineStr">
        <is>
          <t>Column name in the header row of the file, exactly as written</t>
        </is>
      </c>
      <c r="D269" s="12" t="inlineStr"/>
    </row>
    <row r="270">
      <c r="A270" s="14" t="inlineStr">
        <is>
          <t>P01 In-force policy headers</t>
        </is>
      </c>
      <c r="B270" s="21" t="inlineStr">
        <is>
          <t>Description</t>
        </is>
      </c>
      <c r="C270" s="14" t="inlineStr">
        <is>
          <t>What the column holds</t>
        </is>
      </c>
      <c r="D270" s="14" t="inlineStr"/>
    </row>
    <row r="271">
      <c r="A271" s="12" t="inlineStr">
        <is>
          <t>P01 In-force policy headers</t>
        </is>
      </c>
      <c r="B271" s="20" t="inlineStr">
        <is>
          <t>Type</t>
        </is>
      </c>
      <c r="C271" s="12" t="inlineStr">
        <is>
          <t>Text, Code, Date, Timestamp, Amount (2 decimals), Integer, Decimal, Flag (Y or N)</t>
        </is>
      </c>
      <c r="D271" s="12" t="inlineStr"/>
    </row>
    <row r="272">
      <c r="A272" s="14" t="inlineStr">
        <is>
          <t>P01 In-force policy headers</t>
        </is>
      </c>
      <c r="B272" s="21" t="inlineStr">
        <is>
          <t>Length</t>
        </is>
      </c>
      <c r="C272" s="14" t="inlineStr">
        <is>
          <t>Maximum characters; for numbers the digits and decimals</t>
        </is>
      </c>
      <c r="D272" s="14" t="inlineStr"/>
    </row>
    <row r="273">
      <c r="A273" s="12" t="inlineStr">
        <is>
          <t>P01 In-force policy headers</t>
        </is>
      </c>
      <c r="B273" s="20" t="inlineStr">
        <is>
          <t>Mandatory</t>
        </is>
      </c>
      <c r="C273" s="12" t="inlineStr">
        <is>
          <t>Y always; N optional; C when its condition holds (Validation)</t>
        </is>
      </c>
      <c r="D273" s="12" t="inlineStr">
        <is>
          <t>Y, N, C</t>
        </is>
      </c>
    </row>
    <row r="274">
      <c r="A274" s="14" t="inlineStr">
        <is>
          <t>P01 In-force policy headers</t>
        </is>
      </c>
      <c r="B274" s="21" t="inlineStr">
        <is>
          <t>Allowed values or code map</t>
        </is>
      </c>
      <c r="C274" s="14" t="inlineStr">
        <is>
          <t>Closed list of values, or the code map that maps the legacy value</t>
        </is>
      </c>
      <c r="D274" s="14" t="inlineStr"/>
    </row>
    <row r="275">
      <c r="A275" s="12" t="inlineStr">
        <is>
          <t>P01 In-force policy headers</t>
        </is>
      </c>
      <c r="B275" s="20" t="inlineStr">
        <is>
          <t>Format</t>
        </is>
      </c>
      <c r="C275" s="12" t="inlineStr">
        <is>
          <t>How the value is written in the file</t>
        </is>
      </c>
      <c r="D275" s="12" t="inlineStr"/>
    </row>
    <row r="276">
      <c r="A276" s="14" t="inlineStr">
        <is>
          <t>P01 In-force policy headers</t>
        </is>
      </c>
      <c r="B276" s="21" t="inlineStr">
        <is>
          <t>Example</t>
        </is>
      </c>
      <c r="C276" s="14" t="inlineStr">
        <is>
          <t>A made-up example</t>
        </is>
      </c>
      <c r="D276" s="14" t="inlineStr"/>
    </row>
    <row r="277">
      <c r="A277" s="12" t="inlineStr">
        <is>
          <t>P01 In-force policy headers</t>
        </is>
      </c>
      <c r="B277" s="20" t="inlineStr">
        <is>
          <t>Validation</t>
        </is>
      </c>
      <c r="C277" s="12" t="inlineStr">
        <is>
          <t>Check applied when the file is validated</t>
        </is>
      </c>
      <c r="D277" s="12" t="inlineStr"/>
    </row>
    <row r="278">
      <c r="A278" s="14" t="inlineStr">
        <is>
          <t>P01 In-force policy headers</t>
        </is>
      </c>
      <c r="B278" s="21" t="inlineStr">
        <is>
          <t>BU review</t>
        </is>
      </c>
      <c r="C278" s="14" t="inlineStr">
        <is>
          <t>Business unit decision on the row</t>
        </is>
      </c>
      <c r="D278" s="14" t="inlineStr">
        <is>
          <t>Accept, Change requested, Comment</t>
        </is>
      </c>
    </row>
    <row r="279">
      <c r="A279" s="12" t="inlineStr">
        <is>
          <t>P01 In-force policy headers</t>
        </is>
      </c>
      <c r="B279" s="20" t="inlineStr">
        <is>
          <t>BU comment</t>
        </is>
      </c>
      <c r="C279" s="12" t="inlineStr">
        <is>
          <t>What should change, or the comment</t>
        </is>
      </c>
      <c r="D279" s="12" t="inlineStr"/>
    </row>
    <row r="280">
      <c r="A280" s="14" t="inlineStr">
        <is>
          <t>P01 In-force policy headers</t>
        </is>
      </c>
      <c r="B280" s="21" t="inlineStr">
        <is>
          <t>Reviewer</t>
        </is>
      </c>
      <c r="C280" s="14" t="inlineStr">
        <is>
          <t>Name of the BU reviewer</t>
        </is>
      </c>
      <c r="D280" s="14" t="inlineStr"/>
    </row>
    <row r="281">
      <c r="A281" s="12" t="inlineStr">
        <is>
          <t>P01 In-force policy headers</t>
        </is>
      </c>
      <c r="B281" s="20" t="inlineStr">
        <is>
          <t>Review date</t>
        </is>
      </c>
      <c r="C281" s="12" t="inlineStr">
        <is>
          <t>Date of the review (dd-mmm-yyyy)</t>
        </is>
      </c>
      <c r="D281" s="12" t="inlineStr"/>
    </row>
    <row r="282">
      <c r="A282" s="14" t="inlineStr">
        <is>
          <t>P01S Policy insurer shares</t>
        </is>
      </c>
      <c r="B282" s="21" t="inlineStr">
        <is>
          <t>No.</t>
        </is>
      </c>
      <c r="C282" s="14" t="inlineStr">
        <is>
          <t>Column position in the file</t>
        </is>
      </c>
      <c r="D282" s="14" t="inlineStr"/>
    </row>
    <row r="283">
      <c r="A283" s="12" t="inlineStr">
        <is>
          <t>P01S Policy insurer shares</t>
        </is>
      </c>
      <c r="B283" s="20" t="inlineStr">
        <is>
          <t>Column</t>
        </is>
      </c>
      <c r="C283" s="12" t="inlineStr">
        <is>
          <t>Column name in the header row of the file, exactly as written</t>
        </is>
      </c>
      <c r="D283" s="12" t="inlineStr"/>
    </row>
    <row r="284">
      <c r="A284" s="14" t="inlineStr">
        <is>
          <t>P01S Policy insurer shares</t>
        </is>
      </c>
      <c r="B284" s="21" t="inlineStr">
        <is>
          <t>Description</t>
        </is>
      </c>
      <c r="C284" s="14" t="inlineStr">
        <is>
          <t>What the column holds</t>
        </is>
      </c>
      <c r="D284" s="14" t="inlineStr"/>
    </row>
    <row r="285">
      <c r="A285" s="12" t="inlineStr">
        <is>
          <t>P01S Policy insurer shares</t>
        </is>
      </c>
      <c r="B285" s="20" t="inlineStr">
        <is>
          <t>Type</t>
        </is>
      </c>
      <c r="C285" s="12" t="inlineStr">
        <is>
          <t>Text, Code, Date, Timestamp, Amount (2 decimals), Integer, Decimal, Flag (Y or N)</t>
        </is>
      </c>
      <c r="D285" s="12" t="inlineStr"/>
    </row>
    <row r="286">
      <c r="A286" s="14" t="inlineStr">
        <is>
          <t>P01S Policy insurer shares</t>
        </is>
      </c>
      <c r="B286" s="21" t="inlineStr">
        <is>
          <t>Length</t>
        </is>
      </c>
      <c r="C286" s="14" t="inlineStr">
        <is>
          <t>Maximum characters; for numbers the digits and decimals</t>
        </is>
      </c>
      <c r="D286" s="14" t="inlineStr"/>
    </row>
    <row r="287">
      <c r="A287" s="12" t="inlineStr">
        <is>
          <t>P01S Policy insurer shares</t>
        </is>
      </c>
      <c r="B287" s="20" t="inlineStr">
        <is>
          <t>Mandatory</t>
        </is>
      </c>
      <c r="C287" s="12" t="inlineStr">
        <is>
          <t>Y always; N optional; C when its condition holds (Validation)</t>
        </is>
      </c>
      <c r="D287" s="12" t="inlineStr">
        <is>
          <t>Y, N, C</t>
        </is>
      </c>
    </row>
    <row r="288">
      <c r="A288" s="14" t="inlineStr">
        <is>
          <t>P01S Policy insurer shares</t>
        </is>
      </c>
      <c r="B288" s="21" t="inlineStr">
        <is>
          <t>Allowed values or code map</t>
        </is>
      </c>
      <c r="C288" s="14" t="inlineStr">
        <is>
          <t>Closed list of values, or the code map that maps the legacy value</t>
        </is>
      </c>
      <c r="D288" s="14" t="inlineStr"/>
    </row>
    <row r="289">
      <c r="A289" s="12" t="inlineStr">
        <is>
          <t>P01S Policy insurer shares</t>
        </is>
      </c>
      <c r="B289" s="20" t="inlineStr">
        <is>
          <t>Format</t>
        </is>
      </c>
      <c r="C289" s="12" t="inlineStr">
        <is>
          <t>How the value is written in the file</t>
        </is>
      </c>
      <c r="D289" s="12" t="inlineStr"/>
    </row>
    <row r="290">
      <c r="A290" s="14" t="inlineStr">
        <is>
          <t>P01S Policy insurer shares</t>
        </is>
      </c>
      <c r="B290" s="21" t="inlineStr">
        <is>
          <t>Example</t>
        </is>
      </c>
      <c r="C290" s="14" t="inlineStr">
        <is>
          <t>A made-up example</t>
        </is>
      </c>
      <c r="D290" s="14" t="inlineStr"/>
    </row>
    <row r="291">
      <c r="A291" s="12" t="inlineStr">
        <is>
          <t>P01S Policy insurer shares</t>
        </is>
      </c>
      <c r="B291" s="20" t="inlineStr">
        <is>
          <t>Validation</t>
        </is>
      </c>
      <c r="C291" s="12" t="inlineStr">
        <is>
          <t>Check applied when the file is validated</t>
        </is>
      </c>
      <c r="D291" s="12" t="inlineStr"/>
    </row>
    <row r="292">
      <c r="A292" s="14" t="inlineStr">
        <is>
          <t>P01S Policy insurer shares</t>
        </is>
      </c>
      <c r="B292" s="21" t="inlineStr">
        <is>
          <t>BU review</t>
        </is>
      </c>
      <c r="C292" s="14" t="inlineStr">
        <is>
          <t>Business unit decision on the row</t>
        </is>
      </c>
      <c r="D292" s="14" t="inlineStr">
        <is>
          <t>Accept, Change requested, Comment</t>
        </is>
      </c>
    </row>
    <row r="293">
      <c r="A293" s="12" t="inlineStr">
        <is>
          <t>P01S Policy insurer shares</t>
        </is>
      </c>
      <c r="B293" s="20" t="inlineStr">
        <is>
          <t>BU comment</t>
        </is>
      </c>
      <c r="C293" s="12" t="inlineStr">
        <is>
          <t>What should change, or the comment</t>
        </is>
      </c>
      <c r="D293" s="12" t="inlineStr"/>
    </row>
    <row r="294">
      <c r="A294" s="14" t="inlineStr">
        <is>
          <t>P01S Policy insurer shares</t>
        </is>
      </c>
      <c r="B294" s="21" t="inlineStr">
        <is>
          <t>Reviewer</t>
        </is>
      </c>
      <c r="C294" s="14" t="inlineStr">
        <is>
          <t>Name of the BU reviewer</t>
        </is>
      </c>
      <c r="D294" s="14" t="inlineStr"/>
    </row>
    <row r="295">
      <c r="A295" s="12" t="inlineStr">
        <is>
          <t>P01S Policy insurer shares</t>
        </is>
      </c>
      <c r="B295" s="20" t="inlineStr">
        <is>
          <t>Review date</t>
        </is>
      </c>
      <c r="C295" s="12" t="inlineStr">
        <is>
          <t>Date of the review (dd-mmm-yyyy)</t>
        </is>
      </c>
      <c r="D295" s="12" t="inlineStr"/>
    </row>
    <row r="296">
      <c r="A296" s="14" t="inlineStr">
        <is>
          <t>P03 Renewal advices already sen</t>
        </is>
      </c>
      <c r="B296" s="21" t="inlineStr">
        <is>
          <t>No.</t>
        </is>
      </c>
      <c r="C296" s="14" t="inlineStr">
        <is>
          <t>Column position in the file</t>
        </is>
      </c>
      <c r="D296" s="14" t="inlineStr"/>
    </row>
    <row r="297">
      <c r="A297" s="12" t="inlineStr">
        <is>
          <t>P03 Renewal advices already sen</t>
        </is>
      </c>
      <c r="B297" s="20" t="inlineStr">
        <is>
          <t>Column</t>
        </is>
      </c>
      <c r="C297" s="12" t="inlineStr">
        <is>
          <t>Column name in the header row of the file, exactly as written</t>
        </is>
      </c>
      <c r="D297" s="12" t="inlineStr"/>
    </row>
    <row r="298">
      <c r="A298" s="14" t="inlineStr">
        <is>
          <t>P03 Renewal advices already sen</t>
        </is>
      </c>
      <c r="B298" s="21" t="inlineStr">
        <is>
          <t>Description</t>
        </is>
      </c>
      <c r="C298" s="14" t="inlineStr">
        <is>
          <t>What the column holds</t>
        </is>
      </c>
      <c r="D298" s="14" t="inlineStr"/>
    </row>
    <row r="299">
      <c r="A299" s="12" t="inlineStr">
        <is>
          <t>P03 Renewal advices already sen</t>
        </is>
      </c>
      <c r="B299" s="20" t="inlineStr">
        <is>
          <t>Type</t>
        </is>
      </c>
      <c r="C299" s="12" t="inlineStr">
        <is>
          <t>Text, Code, Date, Timestamp, Amount (2 decimals), Integer, Decimal, Flag (Y or N)</t>
        </is>
      </c>
      <c r="D299" s="12" t="inlineStr"/>
    </row>
    <row r="300">
      <c r="A300" s="14" t="inlineStr">
        <is>
          <t>P03 Renewal advices already sen</t>
        </is>
      </c>
      <c r="B300" s="21" t="inlineStr">
        <is>
          <t>Length</t>
        </is>
      </c>
      <c r="C300" s="14" t="inlineStr">
        <is>
          <t>Maximum characters; for numbers the digits and decimals</t>
        </is>
      </c>
      <c r="D300" s="14" t="inlineStr"/>
    </row>
    <row r="301">
      <c r="A301" s="12" t="inlineStr">
        <is>
          <t>P03 Renewal advices already sen</t>
        </is>
      </c>
      <c r="B301" s="20" t="inlineStr">
        <is>
          <t>Mandatory</t>
        </is>
      </c>
      <c r="C301" s="12" t="inlineStr">
        <is>
          <t>Y always; N optional; C when its condition holds (Validation)</t>
        </is>
      </c>
      <c r="D301" s="12" t="inlineStr">
        <is>
          <t>Y, N, C</t>
        </is>
      </c>
    </row>
    <row r="302">
      <c r="A302" s="14" t="inlineStr">
        <is>
          <t>P03 Renewal advices already sen</t>
        </is>
      </c>
      <c r="B302" s="21" t="inlineStr">
        <is>
          <t>Allowed values or code map</t>
        </is>
      </c>
      <c r="C302" s="14" t="inlineStr">
        <is>
          <t>Closed list of values, or the code map that maps the legacy value</t>
        </is>
      </c>
      <c r="D302" s="14" t="inlineStr"/>
    </row>
    <row r="303">
      <c r="A303" s="12" t="inlineStr">
        <is>
          <t>P03 Renewal advices already sen</t>
        </is>
      </c>
      <c r="B303" s="20" t="inlineStr">
        <is>
          <t>Format</t>
        </is>
      </c>
      <c r="C303" s="12" t="inlineStr">
        <is>
          <t>How the value is written in the file</t>
        </is>
      </c>
      <c r="D303" s="12" t="inlineStr"/>
    </row>
    <row r="304">
      <c r="A304" s="14" t="inlineStr">
        <is>
          <t>P03 Renewal advices already sen</t>
        </is>
      </c>
      <c r="B304" s="21" t="inlineStr">
        <is>
          <t>Example</t>
        </is>
      </c>
      <c r="C304" s="14" t="inlineStr">
        <is>
          <t>A made-up example</t>
        </is>
      </c>
      <c r="D304" s="14" t="inlineStr"/>
    </row>
    <row r="305">
      <c r="A305" s="12" t="inlineStr">
        <is>
          <t>P03 Renewal advices already sen</t>
        </is>
      </c>
      <c r="B305" s="20" t="inlineStr">
        <is>
          <t>Validation</t>
        </is>
      </c>
      <c r="C305" s="12" t="inlineStr">
        <is>
          <t>Check applied when the file is validated</t>
        </is>
      </c>
      <c r="D305" s="12" t="inlineStr"/>
    </row>
    <row r="306">
      <c r="A306" s="14" t="inlineStr">
        <is>
          <t>P03 Renewal advices already sen</t>
        </is>
      </c>
      <c r="B306" s="21" t="inlineStr">
        <is>
          <t>BU review</t>
        </is>
      </c>
      <c r="C306" s="14" t="inlineStr">
        <is>
          <t>Business unit decision on the row</t>
        </is>
      </c>
      <c r="D306" s="14" t="inlineStr">
        <is>
          <t>Accept, Change requested, Comment</t>
        </is>
      </c>
    </row>
    <row r="307">
      <c r="A307" s="12" t="inlineStr">
        <is>
          <t>P03 Renewal advices already sen</t>
        </is>
      </c>
      <c r="B307" s="20" t="inlineStr">
        <is>
          <t>BU comment</t>
        </is>
      </c>
      <c r="C307" s="12" t="inlineStr">
        <is>
          <t>What should change, or the comment</t>
        </is>
      </c>
      <c r="D307" s="12" t="inlineStr"/>
    </row>
    <row r="308">
      <c r="A308" s="14" t="inlineStr">
        <is>
          <t>P03 Renewal advices already sen</t>
        </is>
      </c>
      <c r="B308" s="21" t="inlineStr">
        <is>
          <t>Reviewer</t>
        </is>
      </c>
      <c r="C308" s="14" t="inlineStr">
        <is>
          <t>Name of the BU reviewer</t>
        </is>
      </c>
      <c r="D308" s="14" t="inlineStr"/>
    </row>
    <row r="309">
      <c r="A309" s="12" t="inlineStr">
        <is>
          <t>P03 Renewal advices already sen</t>
        </is>
      </c>
      <c r="B309" s="20" t="inlineStr">
        <is>
          <t>Review date</t>
        </is>
      </c>
      <c r="C309" s="12" t="inlineStr">
        <is>
          <t>Date of the review (dd-mmm-yyyy)</t>
        </is>
      </c>
      <c r="D309" s="12" t="inlineStr"/>
    </row>
    <row r="310">
      <c r="A310" s="14" t="inlineStr">
        <is>
          <t>F01 Open legacy invoices - head</t>
        </is>
      </c>
      <c r="B310" s="21" t="inlineStr">
        <is>
          <t>No.</t>
        </is>
      </c>
      <c r="C310" s="14" t="inlineStr">
        <is>
          <t>Column position in the file</t>
        </is>
      </c>
      <c r="D310" s="14" t="inlineStr"/>
    </row>
    <row r="311">
      <c r="A311" s="12" t="inlineStr">
        <is>
          <t>F01 Open legacy invoices - head</t>
        </is>
      </c>
      <c r="B311" s="20" t="inlineStr">
        <is>
          <t>Column</t>
        </is>
      </c>
      <c r="C311" s="12" t="inlineStr">
        <is>
          <t>Column name in the header row of the file, exactly as written</t>
        </is>
      </c>
      <c r="D311" s="12" t="inlineStr"/>
    </row>
    <row r="312">
      <c r="A312" s="14" t="inlineStr">
        <is>
          <t>F01 Open legacy invoices - head</t>
        </is>
      </c>
      <c r="B312" s="21" t="inlineStr">
        <is>
          <t>Description</t>
        </is>
      </c>
      <c r="C312" s="14" t="inlineStr">
        <is>
          <t>What the column holds</t>
        </is>
      </c>
      <c r="D312" s="14" t="inlineStr"/>
    </row>
    <row r="313">
      <c r="A313" s="12" t="inlineStr">
        <is>
          <t>F01 Open legacy invoices - head</t>
        </is>
      </c>
      <c r="B313" s="20" t="inlineStr">
        <is>
          <t>Type</t>
        </is>
      </c>
      <c r="C313" s="12" t="inlineStr">
        <is>
          <t>Text, Code, Date, Timestamp, Amount (2 decimals), Integer, Decimal, Flag (Y or N)</t>
        </is>
      </c>
      <c r="D313" s="12" t="inlineStr"/>
    </row>
    <row r="314">
      <c r="A314" s="14" t="inlineStr">
        <is>
          <t>F01 Open legacy invoices - head</t>
        </is>
      </c>
      <c r="B314" s="21" t="inlineStr">
        <is>
          <t>Length</t>
        </is>
      </c>
      <c r="C314" s="14" t="inlineStr">
        <is>
          <t>Maximum characters; for numbers the digits and decimals</t>
        </is>
      </c>
      <c r="D314" s="14" t="inlineStr"/>
    </row>
    <row r="315">
      <c r="A315" s="12" t="inlineStr">
        <is>
          <t>F01 Open legacy invoices - head</t>
        </is>
      </c>
      <c r="B315" s="20" t="inlineStr">
        <is>
          <t>Mandatory</t>
        </is>
      </c>
      <c r="C315" s="12" t="inlineStr">
        <is>
          <t>Y always; N optional; C when its condition holds (Validation)</t>
        </is>
      </c>
      <c r="D315" s="12" t="inlineStr">
        <is>
          <t>Y, N, C</t>
        </is>
      </c>
    </row>
    <row r="316">
      <c r="A316" s="14" t="inlineStr">
        <is>
          <t>F01 Open legacy invoices - head</t>
        </is>
      </c>
      <c r="B316" s="21" t="inlineStr">
        <is>
          <t>Allowed values or code map</t>
        </is>
      </c>
      <c r="C316" s="14" t="inlineStr">
        <is>
          <t>Closed list of values, or the code map that maps the legacy value</t>
        </is>
      </c>
      <c r="D316" s="14" t="inlineStr"/>
    </row>
    <row r="317">
      <c r="A317" s="12" t="inlineStr">
        <is>
          <t>F01 Open legacy invoices - head</t>
        </is>
      </c>
      <c r="B317" s="20" t="inlineStr">
        <is>
          <t>Format</t>
        </is>
      </c>
      <c r="C317" s="12" t="inlineStr">
        <is>
          <t>How the value is written in the file</t>
        </is>
      </c>
      <c r="D317" s="12" t="inlineStr"/>
    </row>
    <row r="318">
      <c r="A318" s="14" t="inlineStr">
        <is>
          <t>F01 Open legacy invoices - head</t>
        </is>
      </c>
      <c r="B318" s="21" t="inlineStr">
        <is>
          <t>Example</t>
        </is>
      </c>
      <c r="C318" s="14" t="inlineStr">
        <is>
          <t>A made-up example</t>
        </is>
      </c>
      <c r="D318" s="14" t="inlineStr"/>
    </row>
    <row r="319">
      <c r="A319" s="12" t="inlineStr">
        <is>
          <t>F01 Open legacy invoices - head</t>
        </is>
      </c>
      <c r="B319" s="20" t="inlineStr">
        <is>
          <t>Validation</t>
        </is>
      </c>
      <c r="C319" s="12" t="inlineStr">
        <is>
          <t>Check applied when the file is validated</t>
        </is>
      </c>
      <c r="D319" s="12" t="inlineStr"/>
    </row>
    <row r="320">
      <c r="A320" s="14" t="inlineStr">
        <is>
          <t>F01 Open legacy invoices - head</t>
        </is>
      </c>
      <c r="B320" s="21" t="inlineStr">
        <is>
          <t>BU review</t>
        </is>
      </c>
      <c r="C320" s="14" t="inlineStr">
        <is>
          <t>Business unit decision on the row</t>
        </is>
      </c>
      <c r="D320" s="14" t="inlineStr">
        <is>
          <t>Accept, Change requested, Comment</t>
        </is>
      </c>
    </row>
    <row r="321">
      <c r="A321" s="12" t="inlineStr">
        <is>
          <t>F01 Open legacy invoices - head</t>
        </is>
      </c>
      <c r="B321" s="20" t="inlineStr">
        <is>
          <t>BU comment</t>
        </is>
      </c>
      <c r="C321" s="12" t="inlineStr">
        <is>
          <t>What should change, or the comment</t>
        </is>
      </c>
      <c r="D321" s="12" t="inlineStr"/>
    </row>
    <row r="322">
      <c r="A322" s="14" t="inlineStr">
        <is>
          <t>F01 Open legacy invoices - head</t>
        </is>
      </c>
      <c r="B322" s="21" t="inlineStr">
        <is>
          <t>Reviewer</t>
        </is>
      </c>
      <c r="C322" s="14" t="inlineStr">
        <is>
          <t>Name of the BU reviewer</t>
        </is>
      </c>
      <c r="D322" s="14" t="inlineStr"/>
    </row>
    <row r="323">
      <c r="A323" s="12" t="inlineStr">
        <is>
          <t>F01 Open legacy invoices - head</t>
        </is>
      </c>
      <c r="B323" s="20" t="inlineStr">
        <is>
          <t>Review date</t>
        </is>
      </c>
      <c r="C323" s="12" t="inlineStr">
        <is>
          <t>Date of the review (dd-mmm-yyyy)</t>
        </is>
      </c>
      <c r="D323" s="12" t="inlineStr"/>
    </row>
    <row r="324">
      <c r="A324" s="14" t="inlineStr">
        <is>
          <t>F01S Open legacy invoices - ins</t>
        </is>
      </c>
      <c r="B324" s="21" t="inlineStr">
        <is>
          <t>No.</t>
        </is>
      </c>
      <c r="C324" s="14" t="inlineStr">
        <is>
          <t>Column position in the file</t>
        </is>
      </c>
      <c r="D324" s="14" t="inlineStr"/>
    </row>
    <row r="325">
      <c r="A325" s="12" t="inlineStr">
        <is>
          <t>F01S Open legacy invoices - ins</t>
        </is>
      </c>
      <c r="B325" s="20" t="inlineStr">
        <is>
          <t>Column</t>
        </is>
      </c>
      <c r="C325" s="12" t="inlineStr">
        <is>
          <t>Column name in the header row of the file, exactly as written</t>
        </is>
      </c>
      <c r="D325" s="12" t="inlineStr"/>
    </row>
    <row r="326">
      <c r="A326" s="14" t="inlineStr">
        <is>
          <t>F01S Open legacy invoices - ins</t>
        </is>
      </c>
      <c r="B326" s="21" t="inlineStr">
        <is>
          <t>Description</t>
        </is>
      </c>
      <c r="C326" s="14" t="inlineStr">
        <is>
          <t>What the column holds</t>
        </is>
      </c>
      <c r="D326" s="14" t="inlineStr"/>
    </row>
    <row r="327">
      <c r="A327" s="12" t="inlineStr">
        <is>
          <t>F01S Open legacy invoices - ins</t>
        </is>
      </c>
      <c r="B327" s="20" t="inlineStr">
        <is>
          <t>Type</t>
        </is>
      </c>
      <c r="C327" s="12" t="inlineStr">
        <is>
          <t>Text, Code, Date, Timestamp, Amount (2 decimals), Integer, Decimal, Flag (Y or N)</t>
        </is>
      </c>
      <c r="D327" s="12" t="inlineStr"/>
    </row>
    <row r="328">
      <c r="A328" s="14" t="inlineStr">
        <is>
          <t>F01S Open legacy invoices - ins</t>
        </is>
      </c>
      <c r="B328" s="21" t="inlineStr">
        <is>
          <t>Length</t>
        </is>
      </c>
      <c r="C328" s="14" t="inlineStr">
        <is>
          <t>Maximum characters; for numbers the digits and decimals</t>
        </is>
      </c>
      <c r="D328" s="14" t="inlineStr"/>
    </row>
    <row r="329">
      <c r="A329" s="12" t="inlineStr">
        <is>
          <t>F01S Open legacy invoices - ins</t>
        </is>
      </c>
      <c r="B329" s="20" t="inlineStr">
        <is>
          <t>Mandatory</t>
        </is>
      </c>
      <c r="C329" s="12" t="inlineStr">
        <is>
          <t>Y always; N optional; C when its condition holds (Validation)</t>
        </is>
      </c>
      <c r="D329" s="12" t="inlineStr">
        <is>
          <t>Y, N, C</t>
        </is>
      </c>
    </row>
    <row r="330">
      <c r="A330" s="14" t="inlineStr">
        <is>
          <t>F01S Open legacy invoices - ins</t>
        </is>
      </c>
      <c r="B330" s="21" t="inlineStr">
        <is>
          <t>Allowed values or code map</t>
        </is>
      </c>
      <c r="C330" s="14" t="inlineStr">
        <is>
          <t>Closed list of values, or the code map that maps the legacy value</t>
        </is>
      </c>
      <c r="D330" s="14" t="inlineStr"/>
    </row>
    <row r="331">
      <c r="A331" s="12" t="inlineStr">
        <is>
          <t>F01S Open legacy invoices - ins</t>
        </is>
      </c>
      <c r="B331" s="20" t="inlineStr">
        <is>
          <t>Format</t>
        </is>
      </c>
      <c r="C331" s="12" t="inlineStr">
        <is>
          <t>How the value is written in the file</t>
        </is>
      </c>
      <c r="D331" s="12" t="inlineStr"/>
    </row>
    <row r="332">
      <c r="A332" s="14" t="inlineStr">
        <is>
          <t>F01S Open legacy invoices - ins</t>
        </is>
      </c>
      <c r="B332" s="21" t="inlineStr">
        <is>
          <t>Example</t>
        </is>
      </c>
      <c r="C332" s="14" t="inlineStr">
        <is>
          <t>A made-up example</t>
        </is>
      </c>
      <c r="D332" s="14" t="inlineStr"/>
    </row>
    <row r="333">
      <c r="A333" s="12" t="inlineStr">
        <is>
          <t>F01S Open legacy invoices - ins</t>
        </is>
      </c>
      <c r="B333" s="20" t="inlineStr">
        <is>
          <t>Validation</t>
        </is>
      </c>
      <c r="C333" s="12" t="inlineStr">
        <is>
          <t>Check applied when the file is validated</t>
        </is>
      </c>
      <c r="D333" s="12" t="inlineStr"/>
    </row>
    <row r="334">
      <c r="A334" s="14" t="inlineStr">
        <is>
          <t>F01S Open legacy invoices - ins</t>
        </is>
      </c>
      <c r="B334" s="21" t="inlineStr">
        <is>
          <t>BU review</t>
        </is>
      </c>
      <c r="C334" s="14" t="inlineStr">
        <is>
          <t>Business unit decision on the row</t>
        </is>
      </c>
      <c r="D334" s="14" t="inlineStr">
        <is>
          <t>Accept, Change requested, Comment</t>
        </is>
      </c>
    </row>
    <row r="335">
      <c r="A335" s="12" t="inlineStr">
        <is>
          <t>F01S Open legacy invoices - ins</t>
        </is>
      </c>
      <c r="B335" s="20" t="inlineStr">
        <is>
          <t>BU comment</t>
        </is>
      </c>
      <c r="C335" s="12" t="inlineStr">
        <is>
          <t>What should change, or the comment</t>
        </is>
      </c>
      <c r="D335" s="12" t="inlineStr"/>
    </row>
    <row r="336">
      <c r="A336" s="14" t="inlineStr">
        <is>
          <t>F01S Open legacy invoices - ins</t>
        </is>
      </c>
      <c r="B336" s="21" t="inlineStr">
        <is>
          <t>Reviewer</t>
        </is>
      </c>
      <c r="C336" s="14" t="inlineStr">
        <is>
          <t>Name of the BU reviewer</t>
        </is>
      </c>
      <c r="D336" s="14" t="inlineStr"/>
    </row>
    <row r="337">
      <c r="A337" s="12" t="inlineStr">
        <is>
          <t>F01S Open legacy invoices - ins</t>
        </is>
      </c>
      <c r="B337" s="20" t="inlineStr">
        <is>
          <t>Review date</t>
        </is>
      </c>
      <c r="C337" s="12" t="inlineStr">
        <is>
          <t>Date of the review (dd-mmm-yyyy)</t>
        </is>
      </c>
      <c r="D337" s="12" t="inlineStr"/>
    </row>
    <row r="338">
      <c r="A338" s="14" t="inlineStr">
        <is>
          <t>F01C Open legacy invoices - com</t>
        </is>
      </c>
      <c r="B338" s="21" t="inlineStr">
        <is>
          <t>No.</t>
        </is>
      </c>
      <c r="C338" s="14" t="inlineStr">
        <is>
          <t>Column position in the file</t>
        </is>
      </c>
      <c r="D338" s="14" t="inlineStr"/>
    </row>
    <row r="339">
      <c r="A339" s="12" t="inlineStr">
        <is>
          <t>F01C Open legacy invoices - com</t>
        </is>
      </c>
      <c r="B339" s="20" t="inlineStr">
        <is>
          <t>Column</t>
        </is>
      </c>
      <c r="C339" s="12" t="inlineStr">
        <is>
          <t>Column name in the header row of the file, exactly as written</t>
        </is>
      </c>
      <c r="D339" s="12" t="inlineStr"/>
    </row>
    <row r="340">
      <c r="A340" s="14" t="inlineStr">
        <is>
          <t>F01C Open legacy invoices - com</t>
        </is>
      </c>
      <c r="B340" s="21" t="inlineStr">
        <is>
          <t>Description</t>
        </is>
      </c>
      <c r="C340" s="14" t="inlineStr">
        <is>
          <t>What the column holds</t>
        </is>
      </c>
      <c r="D340" s="14" t="inlineStr"/>
    </row>
    <row r="341">
      <c r="A341" s="12" t="inlineStr">
        <is>
          <t>F01C Open legacy invoices - com</t>
        </is>
      </c>
      <c r="B341" s="20" t="inlineStr">
        <is>
          <t>Type</t>
        </is>
      </c>
      <c r="C341" s="12" t="inlineStr">
        <is>
          <t>Text, Code, Date, Timestamp, Amount (2 decimals), Integer, Decimal, Flag (Y or N)</t>
        </is>
      </c>
      <c r="D341" s="12" t="inlineStr"/>
    </row>
    <row r="342">
      <c r="A342" s="14" t="inlineStr">
        <is>
          <t>F01C Open legacy invoices - com</t>
        </is>
      </c>
      <c r="B342" s="21" t="inlineStr">
        <is>
          <t>Length</t>
        </is>
      </c>
      <c r="C342" s="14" t="inlineStr">
        <is>
          <t>Maximum characters; for numbers the digits and decimals</t>
        </is>
      </c>
      <c r="D342" s="14" t="inlineStr"/>
    </row>
    <row r="343">
      <c r="A343" s="12" t="inlineStr">
        <is>
          <t>F01C Open legacy invoices - com</t>
        </is>
      </c>
      <c r="B343" s="20" t="inlineStr">
        <is>
          <t>Mandatory</t>
        </is>
      </c>
      <c r="C343" s="12" t="inlineStr">
        <is>
          <t>Y always; N optional; C when its condition holds (Validation)</t>
        </is>
      </c>
      <c r="D343" s="12" t="inlineStr">
        <is>
          <t>Y, N, C</t>
        </is>
      </c>
    </row>
    <row r="344">
      <c r="A344" s="14" t="inlineStr">
        <is>
          <t>F01C Open legacy invoices - com</t>
        </is>
      </c>
      <c r="B344" s="21" t="inlineStr">
        <is>
          <t>Allowed values or code map</t>
        </is>
      </c>
      <c r="C344" s="14" t="inlineStr">
        <is>
          <t>Closed list of values, or the code map that maps the legacy value</t>
        </is>
      </c>
      <c r="D344" s="14" t="inlineStr"/>
    </row>
    <row r="345">
      <c r="A345" s="12" t="inlineStr">
        <is>
          <t>F01C Open legacy invoices - com</t>
        </is>
      </c>
      <c r="B345" s="20" t="inlineStr">
        <is>
          <t>Format</t>
        </is>
      </c>
      <c r="C345" s="12" t="inlineStr">
        <is>
          <t>How the value is written in the file</t>
        </is>
      </c>
      <c r="D345" s="12" t="inlineStr"/>
    </row>
    <row r="346">
      <c r="A346" s="14" t="inlineStr">
        <is>
          <t>F01C Open legacy invoices - com</t>
        </is>
      </c>
      <c r="B346" s="21" t="inlineStr">
        <is>
          <t>Example</t>
        </is>
      </c>
      <c r="C346" s="14" t="inlineStr">
        <is>
          <t>A made-up example</t>
        </is>
      </c>
      <c r="D346" s="14" t="inlineStr"/>
    </row>
    <row r="347">
      <c r="A347" s="12" t="inlineStr">
        <is>
          <t>F01C Open legacy invoices - com</t>
        </is>
      </c>
      <c r="B347" s="20" t="inlineStr">
        <is>
          <t>Validation</t>
        </is>
      </c>
      <c r="C347" s="12" t="inlineStr">
        <is>
          <t>Check applied when the file is validated</t>
        </is>
      </c>
      <c r="D347" s="12" t="inlineStr"/>
    </row>
    <row r="348">
      <c r="A348" s="14" t="inlineStr">
        <is>
          <t>F01C Open legacy invoices - com</t>
        </is>
      </c>
      <c r="B348" s="21" t="inlineStr">
        <is>
          <t>BU review</t>
        </is>
      </c>
      <c r="C348" s="14" t="inlineStr">
        <is>
          <t>Business unit decision on the row</t>
        </is>
      </c>
      <c r="D348" s="14" t="inlineStr">
        <is>
          <t>Accept, Change requested, Comment</t>
        </is>
      </c>
    </row>
    <row r="349">
      <c r="A349" s="12" t="inlineStr">
        <is>
          <t>F01C Open legacy invoices - com</t>
        </is>
      </c>
      <c r="B349" s="20" t="inlineStr">
        <is>
          <t>BU comment</t>
        </is>
      </c>
      <c r="C349" s="12" t="inlineStr">
        <is>
          <t>What should change, or the comment</t>
        </is>
      </c>
      <c r="D349" s="12" t="inlineStr"/>
    </row>
    <row r="350">
      <c r="A350" s="14" t="inlineStr">
        <is>
          <t>F01C Open legacy invoices - com</t>
        </is>
      </c>
      <c r="B350" s="21" t="inlineStr">
        <is>
          <t>Reviewer</t>
        </is>
      </c>
      <c r="C350" s="14" t="inlineStr">
        <is>
          <t>Name of the BU reviewer</t>
        </is>
      </c>
      <c r="D350" s="14" t="inlineStr"/>
    </row>
    <row r="351">
      <c r="A351" s="12" t="inlineStr">
        <is>
          <t>F01C Open legacy invoices - com</t>
        </is>
      </c>
      <c r="B351" s="20" t="inlineStr">
        <is>
          <t>Review date</t>
        </is>
      </c>
      <c r="C351" s="12" t="inlineStr">
        <is>
          <t>Date of the review (dd-mmm-yyyy)</t>
        </is>
      </c>
      <c r="D351" s="12" t="inlineStr"/>
    </row>
    <row r="352">
      <c r="A352" s="14" t="inlineStr">
        <is>
          <t>F02 Unapplied premium payments</t>
        </is>
      </c>
      <c r="B352" s="21" t="inlineStr">
        <is>
          <t>No.</t>
        </is>
      </c>
      <c r="C352" s="14" t="inlineStr">
        <is>
          <t>Column position in the file</t>
        </is>
      </c>
      <c r="D352" s="14" t="inlineStr"/>
    </row>
    <row r="353">
      <c r="A353" s="12" t="inlineStr">
        <is>
          <t>F02 Unapplied premium payments</t>
        </is>
      </c>
      <c r="B353" s="20" t="inlineStr">
        <is>
          <t>Column</t>
        </is>
      </c>
      <c r="C353" s="12" t="inlineStr">
        <is>
          <t>Column name in the header row of the file, exactly as written</t>
        </is>
      </c>
      <c r="D353" s="12" t="inlineStr"/>
    </row>
    <row r="354">
      <c r="A354" s="14" t="inlineStr">
        <is>
          <t>F02 Unapplied premium payments</t>
        </is>
      </c>
      <c r="B354" s="21" t="inlineStr">
        <is>
          <t>Description</t>
        </is>
      </c>
      <c r="C354" s="14" t="inlineStr">
        <is>
          <t>What the column holds</t>
        </is>
      </c>
      <c r="D354" s="14" t="inlineStr"/>
    </row>
    <row r="355">
      <c r="A355" s="12" t="inlineStr">
        <is>
          <t>F02 Unapplied premium payments</t>
        </is>
      </c>
      <c r="B355" s="20" t="inlineStr">
        <is>
          <t>Type</t>
        </is>
      </c>
      <c r="C355" s="12" t="inlineStr">
        <is>
          <t>Text, Code, Date, Timestamp, Amount (2 decimals), Integer, Decimal, Flag (Y or N)</t>
        </is>
      </c>
      <c r="D355" s="12" t="inlineStr"/>
    </row>
    <row r="356">
      <c r="A356" s="14" t="inlineStr">
        <is>
          <t>F02 Unapplied premium payments</t>
        </is>
      </c>
      <c r="B356" s="21" t="inlineStr">
        <is>
          <t>Length</t>
        </is>
      </c>
      <c r="C356" s="14" t="inlineStr">
        <is>
          <t>Maximum characters; for numbers the digits and decimals</t>
        </is>
      </c>
      <c r="D356" s="14" t="inlineStr"/>
    </row>
    <row r="357">
      <c r="A357" s="12" t="inlineStr">
        <is>
          <t>F02 Unapplied premium payments</t>
        </is>
      </c>
      <c r="B357" s="20" t="inlineStr">
        <is>
          <t>Mandatory</t>
        </is>
      </c>
      <c r="C357" s="12" t="inlineStr">
        <is>
          <t>Y always; N optional; C when its condition holds (Validation)</t>
        </is>
      </c>
      <c r="D357" s="12" t="inlineStr">
        <is>
          <t>Y, N, C</t>
        </is>
      </c>
    </row>
    <row r="358">
      <c r="A358" s="14" t="inlineStr">
        <is>
          <t>F02 Unapplied premium payments</t>
        </is>
      </c>
      <c r="B358" s="21" t="inlineStr">
        <is>
          <t>Allowed values or code map</t>
        </is>
      </c>
      <c r="C358" s="14" t="inlineStr">
        <is>
          <t>Closed list of values, or the code map that maps the legacy value</t>
        </is>
      </c>
      <c r="D358" s="14" t="inlineStr"/>
    </row>
    <row r="359">
      <c r="A359" s="12" t="inlineStr">
        <is>
          <t>F02 Unapplied premium payments</t>
        </is>
      </c>
      <c r="B359" s="20" t="inlineStr">
        <is>
          <t>Format</t>
        </is>
      </c>
      <c r="C359" s="12" t="inlineStr">
        <is>
          <t>How the value is written in the file</t>
        </is>
      </c>
      <c r="D359" s="12" t="inlineStr"/>
    </row>
    <row r="360">
      <c r="A360" s="14" t="inlineStr">
        <is>
          <t>F02 Unapplied premium payments</t>
        </is>
      </c>
      <c r="B360" s="21" t="inlineStr">
        <is>
          <t>Example</t>
        </is>
      </c>
      <c r="C360" s="14" t="inlineStr">
        <is>
          <t>A made-up example</t>
        </is>
      </c>
      <c r="D360" s="14" t="inlineStr"/>
    </row>
    <row r="361">
      <c r="A361" s="12" t="inlineStr">
        <is>
          <t>F02 Unapplied premium payments</t>
        </is>
      </c>
      <c r="B361" s="20" t="inlineStr">
        <is>
          <t>Validation</t>
        </is>
      </c>
      <c r="C361" s="12" t="inlineStr">
        <is>
          <t>Check applied when the file is validated</t>
        </is>
      </c>
      <c r="D361" s="12" t="inlineStr"/>
    </row>
    <row r="362">
      <c r="A362" s="14" t="inlineStr">
        <is>
          <t>F02 Unapplied premium payments</t>
        </is>
      </c>
      <c r="B362" s="21" t="inlineStr">
        <is>
          <t>BU review</t>
        </is>
      </c>
      <c r="C362" s="14" t="inlineStr">
        <is>
          <t>Business unit decision on the row</t>
        </is>
      </c>
      <c r="D362" s="14" t="inlineStr">
        <is>
          <t>Accept, Change requested, Comment</t>
        </is>
      </c>
    </row>
    <row r="363">
      <c r="A363" s="12" t="inlineStr">
        <is>
          <t>F02 Unapplied premium payments</t>
        </is>
      </c>
      <c r="B363" s="20" t="inlineStr">
        <is>
          <t>BU comment</t>
        </is>
      </c>
      <c r="C363" s="12" t="inlineStr">
        <is>
          <t>What should change, or the comment</t>
        </is>
      </c>
      <c r="D363" s="12" t="inlineStr"/>
    </row>
    <row r="364">
      <c r="A364" s="14" t="inlineStr">
        <is>
          <t>F02 Unapplied premium payments</t>
        </is>
      </c>
      <c r="B364" s="21" t="inlineStr">
        <is>
          <t>Reviewer</t>
        </is>
      </c>
      <c r="C364" s="14" t="inlineStr">
        <is>
          <t>Name of the BU reviewer</t>
        </is>
      </c>
      <c r="D364" s="14" t="inlineStr"/>
    </row>
    <row r="365">
      <c r="A365" s="12" t="inlineStr">
        <is>
          <t>F02 Unapplied premium payments</t>
        </is>
      </c>
      <c r="B365" s="20" t="inlineStr">
        <is>
          <t>Review date</t>
        </is>
      </c>
      <c r="C365" s="12" t="inlineStr">
        <is>
          <t>Date of the review (dd-mmm-yyyy)</t>
        </is>
      </c>
      <c r="D365" s="12" t="inlineStr"/>
    </row>
    <row r="366">
      <c r="A366" s="14" t="inlineStr">
        <is>
          <t>F03 Open collection state</t>
        </is>
      </c>
      <c r="B366" s="21" t="inlineStr">
        <is>
          <t>No.</t>
        </is>
      </c>
      <c r="C366" s="14" t="inlineStr">
        <is>
          <t>Column position in the file</t>
        </is>
      </c>
      <c r="D366" s="14" t="inlineStr"/>
    </row>
    <row r="367">
      <c r="A367" s="12" t="inlineStr">
        <is>
          <t>F03 Open collection state</t>
        </is>
      </c>
      <c r="B367" s="20" t="inlineStr">
        <is>
          <t>Column</t>
        </is>
      </c>
      <c r="C367" s="12" t="inlineStr">
        <is>
          <t>Column name in the header row of the file, exactly as written</t>
        </is>
      </c>
      <c r="D367" s="12" t="inlineStr"/>
    </row>
    <row r="368">
      <c r="A368" s="14" t="inlineStr">
        <is>
          <t>F03 Open collection state</t>
        </is>
      </c>
      <c r="B368" s="21" t="inlineStr">
        <is>
          <t>Description</t>
        </is>
      </c>
      <c r="C368" s="14" t="inlineStr">
        <is>
          <t>What the column holds</t>
        </is>
      </c>
      <c r="D368" s="14" t="inlineStr"/>
    </row>
    <row r="369">
      <c r="A369" s="12" t="inlineStr">
        <is>
          <t>F03 Open collection state</t>
        </is>
      </c>
      <c r="B369" s="20" t="inlineStr">
        <is>
          <t>Type</t>
        </is>
      </c>
      <c r="C369" s="12" t="inlineStr">
        <is>
          <t>Text, Code, Date, Timestamp, Amount (2 decimals), Integer, Decimal, Flag (Y or N)</t>
        </is>
      </c>
      <c r="D369" s="12" t="inlineStr"/>
    </row>
    <row r="370">
      <c r="A370" s="14" t="inlineStr">
        <is>
          <t>F03 Open collection state</t>
        </is>
      </c>
      <c r="B370" s="21" t="inlineStr">
        <is>
          <t>Length</t>
        </is>
      </c>
      <c r="C370" s="14" t="inlineStr">
        <is>
          <t>Maximum characters; for numbers the digits and decimals</t>
        </is>
      </c>
      <c r="D370" s="14" t="inlineStr"/>
    </row>
    <row r="371">
      <c r="A371" s="12" t="inlineStr">
        <is>
          <t>F03 Open collection state</t>
        </is>
      </c>
      <c r="B371" s="20" t="inlineStr">
        <is>
          <t>Mandatory</t>
        </is>
      </c>
      <c r="C371" s="12" t="inlineStr">
        <is>
          <t>Y always; N optional; C when its condition holds (Validation)</t>
        </is>
      </c>
      <c r="D371" s="12" t="inlineStr">
        <is>
          <t>Y, N, C</t>
        </is>
      </c>
    </row>
    <row r="372">
      <c r="A372" s="14" t="inlineStr">
        <is>
          <t>F03 Open collection state</t>
        </is>
      </c>
      <c r="B372" s="21" t="inlineStr">
        <is>
          <t>Allowed values or code map</t>
        </is>
      </c>
      <c r="C372" s="14" t="inlineStr">
        <is>
          <t>Closed list of values, or the code map that maps the legacy value</t>
        </is>
      </c>
      <c r="D372" s="14" t="inlineStr"/>
    </row>
    <row r="373">
      <c r="A373" s="12" t="inlineStr">
        <is>
          <t>F03 Open collection state</t>
        </is>
      </c>
      <c r="B373" s="20" t="inlineStr">
        <is>
          <t>Format</t>
        </is>
      </c>
      <c r="C373" s="12" t="inlineStr">
        <is>
          <t>How the value is written in the file</t>
        </is>
      </c>
      <c r="D373" s="12" t="inlineStr"/>
    </row>
    <row r="374">
      <c r="A374" s="14" t="inlineStr">
        <is>
          <t>F03 Open collection state</t>
        </is>
      </c>
      <c r="B374" s="21" t="inlineStr">
        <is>
          <t>Example</t>
        </is>
      </c>
      <c r="C374" s="14" t="inlineStr">
        <is>
          <t>A made-up example</t>
        </is>
      </c>
      <c r="D374" s="14" t="inlineStr"/>
    </row>
    <row r="375">
      <c r="A375" s="12" t="inlineStr">
        <is>
          <t>F03 Open collection state</t>
        </is>
      </c>
      <c r="B375" s="20" t="inlineStr">
        <is>
          <t>Validation</t>
        </is>
      </c>
      <c r="C375" s="12" t="inlineStr">
        <is>
          <t>Check applied when the file is validated</t>
        </is>
      </c>
      <c r="D375" s="12" t="inlineStr"/>
    </row>
    <row r="376">
      <c r="A376" s="14" t="inlineStr">
        <is>
          <t>F03 Open collection state</t>
        </is>
      </c>
      <c r="B376" s="21" t="inlineStr">
        <is>
          <t>BU review</t>
        </is>
      </c>
      <c r="C376" s="14" t="inlineStr">
        <is>
          <t>Business unit decision on the row</t>
        </is>
      </c>
      <c r="D376" s="14" t="inlineStr">
        <is>
          <t>Accept, Change requested, Comment</t>
        </is>
      </c>
    </row>
    <row r="377">
      <c r="A377" s="12" t="inlineStr">
        <is>
          <t>F03 Open collection state</t>
        </is>
      </c>
      <c r="B377" s="20" t="inlineStr">
        <is>
          <t>BU comment</t>
        </is>
      </c>
      <c r="C377" s="12" t="inlineStr">
        <is>
          <t>What should change, or the comment</t>
        </is>
      </c>
      <c r="D377" s="12" t="inlineStr"/>
    </row>
    <row r="378">
      <c r="A378" s="14" t="inlineStr">
        <is>
          <t>F03 Open collection state</t>
        </is>
      </c>
      <c r="B378" s="21" t="inlineStr">
        <is>
          <t>Reviewer</t>
        </is>
      </c>
      <c r="C378" s="14" t="inlineStr">
        <is>
          <t>Name of the BU reviewer</t>
        </is>
      </c>
      <c r="D378" s="14" t="inlineStr"/>
    </row>
    <row r="379">
      <c r="A379" s="12" t="inlineStr">
        <is>
          <t>F03 Open collection state</t>
        </is>
      </c>
      <c r="B379" s="20" t="inlineStr">
        <is>
          <t>Review date</t>
        </is>
      </c>
      <c r="C379" s="12" t="inlineStr">
        <is>
          <t>Date of the review (dd-mmm-yyyy)</t>
        </is>
      </c>
      <c r="D379" s="12" t="inlineStr"/>
    </row>
    <row r="380">
      <c r="A380" s="14" t="inlineStr">
        <is>
          <t>F04 Remittance in flight</t>
        </is>
      </c>
      <c r="B380" s="21" t="inlineStr">
        <is>
          <t>No.</t>
        </is>
      </c>
      <c r="C380" s="14" t="inlineStr">
        <is>
          <t>Column position in the file</t>
        </is>
      </c>
      <c r="D380" s="14" t="inlineStr"/>
    </row>
    <row r="381">
      <c r="A381" s="12" t="inlineStr">
        <is>
          <t>F04 Remittance in flight</t>
        </is>
      </c>
      <c r="B381" s="20" t="inlineStr">
        <is>
          <t>Column</t>
        </is>
      </c>
      <c r="C381" s="12" t="inlineStr">
        <is>
          <t>Column name in the header row of the file, exactly as written</t>
        </is>
      </c>
      <c r="D381" s="12" t="inlineStr"/>
    </row>
    <row r="382">
      <c r="A382" s="14" t="inlineStr">
        <is>
          <t>F04 Remittance in flight</t>
        </is>
      </c>
      <c r="B382" s="21" t="inlineStr">
        <is>
          <t>Description</t>
        </is>
      </c>
      <c r="C382" s="14" t="inlineStr">
        <is>
          <t>What the column holds</t>
        </is>
      </c>
      <c r="D382" s="14" t="inlineStr"/>
    </row>
    <row r="383">
      <c r="A383" s="12" t="inlineStr">
        <is>
          <t>F04 Remittance in flight</t>
        </is>
      </c>
      <c r="B383" s="20" t="inlineStr">
        <is>
          <t>Type</t>
        </is>
      </c>
      <c r="C383" s="12" t="inlineStr">
        <is>
          <t>Text, Code, Date, Timestamp, Amount (2 decimals), Integer, Decimal, Flag (Y or N)</t>
        </is>
      </c>
      <c r="D383" s="12" t="inlineStr"/>
    </row>
    <row r="384">
      <c r="A384" s="14" t="inlineStr">
        <is>
          <t>F04 Remittance in flight</t>
        </is>
      </c>
      <c r="B384" s="21" t="inlineStr">
        <is>
          <t>Length</t>
        </is>
      </c>
      <c r="C384" s="14" t="inlineStr">
        <is>
          <t>Maximum characters; for numbers the digits and decimals</t>
        </is>
      </c>
      <c r="D384" s="14" t="inlineStr"/>
    </row>
    <row r="385">
      <c r="A385" s="12" t="inlineStr">
        <is>
          <t>F04 Remittance in flight</t>
        </is>
      </c>
      <c r="B385" s="20" t="inlineStr">
        <is>
          <t>Mandatory</t>
        </is>
      </c>
      <c r="C385" s="12" t="inlineStr">
        <is>
          <t>Y always; N optional; C when its condition holds (Validation)</t>
        </is>
      </c>
      <c r="D385" s="12" t="inlineStr">
        <is>
          <t>Y, N, C</t>
        </is>
      </c>
    </row>
    <row r="386">
      <c r="A386" s="14" t="inlineStr">
        <is>
          <t>F04 Remittance in flight</t>
        </is>
      </c>
      <c r="B386" s="21" t="inlineStr">
        <is>
          <t>Allowed values or code map</t>
        </is>
      </c>
      <c r="C386" s="14" t="inlineStr">
        <is>
          <t>Closed list of values, or the code map that maps the legacy value</t>
        </is>
      </c>
      <c r="D386" s="14" t="inlineStr"/>
    </row>
    <row r="387">
      <c r="A387" s="12" t="inlineStr">
        <is>
          <t>F04 Remittance in flight</t>
        </is>
      </c>
      <c r="B387" s="20" t="inlineStr">
        <is>
          <t>Format</t>
        </is>
      </c>
      <c r="C387" s="12" t="inlineStr">
        <is>
          <t>How the value is written in the file</t>
        </is>
      </c>
      <c r="D387" s="12" t="inlineStr"/>
    </row>
    <row r="388">
      <c r="A388" s="14" t="inlineStr">
        <is>
          <t>F04 Remittance in flight</t>
        </is>
      </c>
      <c r="B388" s="21" t="inlineStr">
        <is>
          <t>Example</t>
        </is>
      </c>
      <c r="C388" s="14" t="inlineStr">
        <is>
          <t>A made-up example</t>
        </is>
      </c>
      <c r="D388" s="14" t="inlineStr"/>
    </row>
    <row r="389">
      <c r="A389" s="12" t="inlineStr">
        <is>
          <t>F04 Remittance in flight</t>
        </is>
      </c>
      <c r="B389" s="20" t="inlineStr">
        <is>
          <t>Validation</t>
        </is>
      </c>
      <c r="C389" s="12" t="inlineStr">
        <is>
          <t>Check applied when the file is validated</t>
        </is>
      </c>
      <c r="D389" s="12" t="inlineStr"/>
    </row>
    <row r="390">
      <c r="A390" s="14" t="inlineStr">
        <is>
          <t>F04 Remittance in flight</t>
        </is>
      </c>
      <c r="B390" s="21" t="inlineStr">
        <is>
          <t>BU review</t>
        </is>
      </c>
      <c r="C390" s="14" t="inlineStr">
        <is>
          <t>Business unit decision on the row</t>
        </is>
      </c>
      <c r="D390" s="14" t="inlineStr">
        <is>
          <t>Accept, Change requested, Comment</t>
        </is>
      </c>
    </row>
    <row r="391">
      <c r="A391" s="12" t="inlineStr">
        <is>
          <t>F04 Remittance in flight</t>
        </is>
      </c>
      <c r="B391" s="20" t="inlineStr">
        <is>
          <t>BU comment</t>
        </is>
      </c>
      <c r="C391" s="12" t="inlineStr">
        <is>
          <t>What should change, or the comment</t>
        </is>
      </c>
      <c r="D391" s="12" t="inlineStr"/>
    </row>
    <row r="392">
      <c r="A392" s="14" t="inlineStr">
        <is>
          <t>F04 Remittance in flight</t>
        </is>
      </c>
      <c r="B392" s="21" t="inlineStr">
        <is>
          <t>Reviewer</t>
        </is>
      </c>
      <c r="C392" s="14" t="inlineStr">
        <is>
          <t>Name of the BU reviewer</t>
        </is>
      </c>
      <c r="D392" s="14" t="inlineStr"/>
    </row>
    <row r="393">
      <c r="A393" s="12" t="inlineStr">
        <is>
          <t>F04 Remittance in flight</t>
        </is>
      </c>
      <c r="B393" s="20" t="inlineStr">
        <is>
          <t>Review date</t>
        </is>
      </c>
      <c r="C393" s="12" t="inlineStr">
        <is>
          <t>Date of the review (dd-mmm-yyyy)</t>
        </is>
      </c>
      <c r="D393" s="12" t="inlineStr"/>
    </row>
    <row r="394">
      <c r="A394" s="14" t="inlineStr">
        <is>
          <t>F06 PDCs, check pick-ups and re</t>
        </is>
      </c>
      <c r="B394" s="21" t="inlineStr">
        <is>
          <t>No.</t>
        </is>
      </c>
      <c r="C394" s="14" t="inlineStr">
        <is>
          <t>Column position in the file</t>
        </is>
      </c>
      <c r="D394" s="14" t="inlineStr"/>
    </row>
    <row r="395">
      <c r="A395" s="12" t="inlineStr">
        <is>
          <t>F06 PDCs, check pick-ups and re</t>
        </is>
      </c>
      <c r="B395" s="20" t="inlineStr">
        <is>
          <t>Column</t>
        </is>
      </c>
      <c r="C395" s="12" t="inlineStr">
        <is>
          <t>Column name in the header row of the file, exactly as written</t>
        </is>
      </c>
      <c r="D395" s="12" t="inlineStr"/>
    </row>
    <row r="396">
      <c r="A396" s="14" t="inlineStr">
        <is>
          <t>F06 PDCs, check pick-ups and re</t>
        </is>
      </c>
      <c r="B396" s="21" t="inlineStr">
        <is>
          <t>Description</t>
        </is>
      </c>
      <c r="C396" s="14" t="inlineStr">
        <is>
          <t>What the column holds</t>
        </is>
      </c>
      <c r="D396" s="14" t="inlineStr"/>
    </row>
    <row r="397">
      <c r="A397" s="12" t="inlineStr">
        <is>
          <t>F06 PDCs, check pick-ups and re</t>
        </is>
      </c>
      <c r="B397" s="20" t="inlineStr">
        <is>
          <t>Type</t>
        </is>
      </c>
      <c r="C397" s="12" t="inlineStr">
        <is>
          <t>Text, Code, Date, Timestamp, Amount (2 decimals), Integer, Decimal, Flag (Y or N)</t>
        </is>
      </c>
      <c r="D397" s="12" t="inlineStr"/>
    </row>
    <row r="398">
      <c r="A398" s="14" t="inlineStr">
        <is>
          <t>F06 PDCs, check pick-ups and re</t>
        </is>
      </c>
      <c r="B398" s="21" t="inlineStr">
        <is>
          <t>Length</t>
        </is>
      </c>
      <c r="C398" s="14" t="inlineStr">
        <is>
          <t>Maximum characters; for numbers the digits and decimals</t>
        </is>
      </c>
      <c r="D398" s="14" t="inlineStr"/>
    </row>
    <row r="399">
      <c r="A399" s="12" t="inlineStr">
        <is>
          <t>F06 PDCs, check pick-ups and re</t>
        </is>
      </c>
      <c r="B399" s="20" t="inlineStr">
        <is>
          <t>Mandatory</t>
        </is>
      </c>
      <c r="C399" s="12" t="inlineStr">
        <is>
          <t>Y always; N optional; C when its condition holds (Validation)</t>
        </is>
      </c>
      <c r="D399" s="12" t="inlineStr">
        <is>
          <t>Y, N, C</t>
        </is>
      </c>
    </row>
    <row r="400">
      <c r="A400" s="14" t="inlineStr">
        <is>
          <t>F06 PDCs, check pick-ups and re</t>
        </is>
      </c>
      <c r="B400" s="21" t="inlineStr">
        <is>
          <t>Allowed values or code map</t>
        </is>
      </c>
      <c r="C400" s="14" t="inlineStr">
        <is>
          <t>Closed list of values, or the code map that maps the legacy value</t>
        </is>
      </c>
      <c r="D400" s="14" t="inlineStr"/>
    </row>
    <row r="401">
      <c r="A401" s="12" t="inlineStr">
        <is>
          <t>F06 PDCs, check pick-ups and re</t>
        </is>
      </c>
      <c r="B401" s="20" t="inlineStr">
        <is>
          <t>Format</t>
        </is>
      </c>
      <c r="C401" s="12" t="inlineStr">
        <is>
          <t>How the value is written in the file</t>
        </is>
      </c>
      <c r="D401" s="12" t="inlineStr"/>
    </row>
    <row r="402">
      <c r="A402" s="14" t="inlineStr">
        <is>
          <t>F06 PDCs, check pick-ups and re</t>
        </is>
      </c>
      <c r="B402" s="21" t="inlineStr">
        <is>
          <t>Example</t>
        </is>
      </c>
      <c r="C402" s="14" t="inlineStr">
        <is>
          <t>A made-up example</t>
        </is>
      </c>
      <c r="D402" s="14" t="inlineStr"/>
    </row>
    <row r="403">
      <c r="A403" s="12" t="inlineStr">
        <is>
          <t>F06 PDCs, check pick-ups and re</t>
        </is>
      </c>
      <c r="B403" s="20" t="inlineStr">
        <is>
          <t>Validation</t>
        </is>
      </c>
      <c r="C403" s="12" t="inlineStr">
        <is>
          <t>Check applied when the file is validated</t>
        </is>
      </c>
      <c r="D403" s="12" t="inlineStr"/>
    </row>
    <row r="404">
      <c r="A404" s="14" t="inlineStr">
        <is>
          <t>F06 PDCs, check pick-ups and re</t>
        </is>
      </c>
      <c r="B404" s="21" t="inlineStr">
        <is>
          <t>BU review</t>
        </is>
      </c>
      <c r="C404" s="14" t="inlineStr">
        <is>
          <t>Business unit decision on the row</t>
        </is>
      </c>
      <c r="D404" s="14" t="inlineStr">
        <is>
          <t>Accept, Change requested, Comment</t>
        </is>
      </c>
    </row>
    <row r="405">
      <c r="A405" s="12" t="inlineStr">
        <is>
          <t>F06 PDCs, check pick-ups and re</t>
        </is>
      </c>
      <c r="B405" s="20" t="inlineStr">
        <is>
          <t>BU comment</t>
        </is>
      </c>
      <c r="C405" s="12" t="inlineStr">
        <is>
          <t>What should change, or the comment</t>
        </is>
      </c>
      <c r="D405" s="12" t="inlineStr"/>
    </row>
    <row r="406">
      <c r="A406" s="14" t="inlineStr">
        <is>
          <t>F06 PDCs, check pick-ups and re</t>
        </is>
      </c>
      <c r="B406" s="21" t="inlineStr">
        <is>
          <t>Reviewer</t>
        </is>
      </c>
      <c r="C406" s="14" t="inlineStr">
        <is>
          <t>Name of the BU reviewer</t>
        </is>
      </c>
      <c r="D406" s="14" t="inlineStr"/>
    </row>
    <row r="407">
      <c r="A407" s="12" t="inlineStr">
        <is>
          <t>F06 PDCs, check pick-ups and re</t>
        </is>
      </c>
      <c r="B407" s="20" t="inlineStr">
        <is>
          <t>Review date</t>
        </is>
      </c>
      <c r="C407" s="12" t="inlineStr">
        <is>
          <t>Date of the review (dd-mmm-yyyy)</t>
        </is>
      </c>
      <c r="D407" s="12" t="inlineStr"/>
    </row>
    <row r="408">
      <c r="A408" s="14" t="inlineStr">
        <is>
          <t>G01 GL opening trial balance</t>
        </is>
      </c>
      <c r="B408" s="21" t="inlineStr">
        <is>
          <t>No.</t>
        </is>
      </c>
      <c r="C408" s="14" t="inlineStr">
        <is>
          <t>Column position in the file</t>
        </is>
      </c>
      <c r="D408" s="14" t="inlineStr"/>
    </row>
    <row r="409">
      <c r="A409" s="12" t="inlineStr">
        <is>
          <t>G01 GL opening trial balance</t>
        </is>
      </c>
      <c r="B409" s="20" t="inlineStr">
        <is>
          <t>Column</t>
        </is>
      </c>
      <c r="C409" s="12" t="inlineStr">
        <is>
          <t>Column name in the header row of the file, exactly as written</t>
        </is>
      </c>
      <c r="D409" s="12" t="inlineStr"/>
    </row>
    <row r="410">
      <c r="A410" s="14" t="inlineStr">
        <is>
          <t>G01 GL opening trial balance</t>
        </is>
      </c>
      <c r="B410" s="21" t="inlineStr">
        <is>
          <t>Description</t>
        </is>
      </c>
      <c r="C410" s="14" t="inlineStr">
        <is>
          <t>What the column holds</t>
        </is>
      </c>
      <c r="D410" s="14" t="inlineStr"/>
    </row>
    <row r="411">
      <c r="A411" s="12" t="inlineStr">
        <is>
          <t>G01 GL opening trial balance</t>
        </is>
      </c>
      <c r="B411" s="20" t="inlineStr">
        <is>
          <t>Type</t>
        </is>
      </c>
      <c r="C411" s="12" t="inlineStr">
        <is>
          <t>Text, Code, Date, Timestamp, Amount (2 decimals), Integer, Decimal, Flag (Y or N)</t>
        </is>
      </c>
      <c r="D411" s="12" t="inlineStr"/>
    </row>
    <row r="412">
      <c r="A412" s="14" t="inlineStr">
        <is>
          <t>G01 GL opening trial balance</t>
        </is>
      </c>
      <c r="B412" s="21" t="inlineStr">
        <is>
          <t>Length</t>
        </is>
      </c>
      <c r="C412" s="14" t="inlineStr">
        <is>
          <t>Maximum characters; for numbers the digits and decimals</t>
        </is>
      </c>
      <c r="D412" s="14" t="inlineStr"/>
    </row>
    <row r="413">
      <c r="A413" s="12" t="inlineStr">
        <is>
          <t>G01 GL opening trial balance</t>
        </is>
      </c>
      <c r="B413" s="20" t="inlineStr">
        <is>
          <t>Mandatory</t>
        </is>
      </c>
      <c r="C413" s="12" t="inlineStr">
        <is>
          <t>Y always; N optional; C when its condition holds (Validation)</t>
        </is>
      </c>
      <c r="D413" s="12" t="inlineStr">
        <is>
          <t>Y, N, C</t>
        </is>
      </c>
    </row>
    <row r="414">
      <c r="A414" s="14" t="inlineStr">
        <is>
          <t>G01 GL opening trial balance</t>
        </is>
      </c>
      <c r="B414" s="21" t="inlineStr">
        <is>
          <t>Allowed values or code map</t>
        </is>
      </c>
      <c r="C414" s="14" t="inlineStr">
        <is>
          <t>Closed list of values, or the code map that maps the legacy value</t>
        </is>
      </c>
      <c r="D414" s="14" t="inlineStr"/>
    </row>
    <row r="415">
      <c r="A415" s="12" t="inlineStr">
        <is>
          <t>G01 GL opening trial balance</t>
        </is>
      </c>
      <c r="B415" s="20" t="inlineStr">
        <is>
          <t>Format</t>
        </is>
      </c>
      <c r="C415" s="12" t="inlineStr">
        <is>
          <t>How the value is written in the file</t>
        </is>
      </c>
      <c r="D415" s="12" t="inlineStr"/>
    </row>
    <row r="416">
      <c r="A416" s="14" t="inlineStr">
        <is>
          <t>G01 GL opening trial balance</t>
        </is>
      </c>
      <c r="B416" s="21" t="inlineStr">
        <is>
          <t>Example</t>
        </is>
      </c>
      <c r="C416" s="14" t="inlineStr">
        <is>
          <t>A made-up example</t>
        </is>
      </c>
      <c r="D416" s="14" t="inlineStr"/>
    </row>
    <row r="417">
      <c r="A417" s="12" t="inlineStr">
        <is>
          <t>G01 GL opening trial balance</t>
        </is>
      </c>
      <c r="B417" s="20" t="inlineStr">
        <is>
          <t>Validation</t>
        </is>
      </c>
      <c r="C417" s="12" t="inlineStr">
        <is>
          <t>Check applied when the file is validated</t>
        </is>
      </c>
      <c r="D417" s="12" t="inlineStr"/>
    </row>
    <row r="418">
      <c r="A418" s="14" t="inlineStr">
        <is>
          <t>G01 GL opening trial balance</t>
        </is>
      </c>
      <c r="B418" s="21" t="inlineStr">
        <is>
          <t>BU review</t>
        </is>
      </c>
      <c r="C418" s="14" t="inlineStr">
        <is>
          <t>Business unit decision on the row</t>
        </is>
      </c>
      <c r="D418" s="14" t="inlineStr">
        <is>
          <t>Accept, Change requested, Comment</t>
        </is>
      </c>
    </row>
    <row r="419">
      <c r="A419" s="12" t="inlineStr">
        <is>
          <t>G01 GL opening trial balance</t>
        </is>
      </c>
      <c r="B419" s="20" t="inlineStr">
        <is>
          <t>BU comment</t>
        </is>
      </c>
      <c r="C419" s="12" t="inlineStr">
        <is>
          <t>What should change, or the comment</t>
        </is>
      </c>
      <c r="D419" s="12" t="inlineStr"/>
    </row>
    <row r="420">
      <c r="A420" s="14" t="inlineStr">
        <is>
          <t>G01 GL opening trial balance</t>
        </is>
      </c>
      <c r="B420" s="21" t="inlineStr">
        <is>
          <t>Reviewer</t>
        </is>
      </c>
      <c r="C420" s="14" t="inlineStr">
        <is>
          <t>Name of the BU reviewer</t>
        </is>
      </c>
      <c r="D420" s="14" t="inlineStr"/>
    </row>
    <row r="421">
      <c r="A421" s="12" t="inlineStr">
        <is>
          <t>G01 GL opening trial balance</t>
        </is>
      </c>
      <c r="B421" s="20" t="inlineStr">
        <is>
          <t>Review date</t>
        </is>
      </c>
      <c r="C421" s="12" t="inlineStr">
        <is>
          <t>Date of the review (dd-mmm-yyyy)</t>
        </is>
      </c>
      <c r="D421" s="12" t="inlineStr"/>
    </row>
    <row r="422">
      <c r="A422" s="14" t="inlineStr">
        <is>
          <t>G03 FY2027 true-up - legacy adj</t>
        </is>
      </c>
      <c r="B422" s="21" t="inlineStr">
        <is>
          <t>No.</t>
        </is>
      </c>
      <c r="C422" s="14" t="inlineStr">
        <is>
          <t>Column position in the file</t>
        </is>
      </c>
      <c r="D422" s="14" t="inlineStr"/>
    </row>
    <row r="423">
      <c r="A423" s="12" t="inlineStr">
        <is>
          <t>G03 FY2027 true-up - legacy adj</t>
        </is>
      </c>
      <c r="B423" s="20" t="inlineStr">
        <is>
          <t>Column</t>
        </is>
      </c>
      <c r="C423" s="12" t="inlineStr">
        <is>
          <t>Column name in the header row of the file, exactly as written</t>
        </is>
      </c>
      <c r="D423" s="12" t="inlineStr"/>
    </row>
    <row r="424">
      <c r="A424" s="14" t="inlineStr">
        <is>
          <t>G03 FY2027 true-up - legacy adj</t>
        </is>
      </c>
      <c r="B424" s="21" t="inlineStr">
        <is>
          <t>Description</t>
        </is>
      </c>
      <c r="C424" s="14" t="inlineStr">
        <is>
          <t>What the column holds</t>
        </is>
      </c>
      <c r="D424" s="14" t="inlineStr"/>
    </row>
    <row r="425">
      <c r="A425" s="12" t="inlineStr">
        <is>
          <t>G03 FY2027 true-up - legacy adj</t>
        </is>
      </c>
      <c r="B425" s="20" t="inlineStr">
        <is>
          <t>Type</t>
        </is>
      </c>
      <c r="C425" s="12" t="inlineStr">
        <is>
          <t>Text, Code, Date, Timestamp, Amount (2 decimals), Integer, Decimal, Flag (Y or N)</t>
        </is>
      </c>
      <c r="D425" s="12" t="inlineStr"/>
    </row>
    <row r="426">
      <c r="A426" s="14" t="inlineStr">
        <is>
          <t>G03 FY2027 true-up - legacy adj</t>
        </is>
      </c>
      <c r="B426" s="21" t="inlineStr">
        <is>
          <t>Length</t>
        </is>
      </c>
      <c r="C426" s="14" t="inlineStr">
        <is>
          <t>Maximum characters; for numbers the digits and decimals</t>
        </is>
      </c>
      <c r="D426" s="14" t="inlineStr"/>
    </row>
    <row r="427">
      <c r="A427" s="12" t="inlineStr">
        <is>
          <t>G03 FY2027 true-up - legacy adj</t>
        </is>
      </c>
      <c r="B427" s="20" t="inlineStr">
        <is>
          <t>Mandatory</t>
        </is>
      </c>
      <c r="C427" s="12" t="inlineStr">
        <is>
          <t>Y always; N optional; C when its condition holds (Validation)</t>
        </is>
      </c>
      <c r="D427" s="12" t="inlineStr">
        <is>
          <t>Y, N, C</t>
        </is>
      </c>
    </row>
    <row r="428">
      <c r="A428" s="14" t="inlineStr">
        <is>
          <t>G03 FY2027 true-up - legacy adj</t>
        </is>
      </c>
      <c r="B428" s="21" t="inlineStr">
        <is>
          <t>Allowed values or code map</t>
        </is>
      </c>
      <c r="C428" s="14" t="inlineStr">
        <is>
          <t>Closed list of values, or the code map that maps the legacy value</t>
        </is>
      </c>
      <c r="D428" s="14" t="inlineStr"/>
    </row>
    <row r="429">
      <c r="A429" s="12" t="inlineStr">
        <is>
          <t>G03 FY2027 true-up - legacy adj</t>
        </is>
      </c>
      <c r="B429" s="20" t="inlineStr">
        <is>
          <t>Format</t>
        </is>
      </c>
      <c r="C429" s="12" t="inlineStr">
        <is>
          <t>How the value is written in the file</t>
        </is>
      </c>
      <c r="D429" s="12" t="inlineStr"/>
    </row>
    <row r="430">
      <c r="A430" s="14" t="inlineStr">
        <is>
          <t>G03 FY2027 true-up - legacy adj</t>
        </is>
      </c>
      <c r="B430" s="21" t="inlineStr">
        <is>
          <t>Example</t>
        </is>
      </c>
      <c r="C430" s="14" t="inlineStr">
        <is>
          <t>A made-up example</t>
        </is>
      </c>
      <c r="D430" s="14" t="inlineStr"/>
    </row>
    <row r="431">
      <c r="A431" s="12" t="inlineStr">
        <is>
          <t>G03 FY2027 true-up - legacy adj</t>
        </is>
      </c>
      <c r="B431" s="20" t="inlineStr">
        <is>
          <t>Validation</t>
        </is>
      </c>
      <c r="C431" s="12" t="inlineStr">
        <is>
          <t>Check applied when the file is validated</t>
        </is>
      </c>
      <c r="D431" s="12" t="inlineStr"/>
    </row>
    <row r="432">
      <c r="A432" s="14" t="inlineStr">
        <is>
          <t>G03 FY2027 true-up - legacy adj</t>
        </is>
      </c>
      <c r="B432" s="21" t="inlineStr">
        <is>
          <t>BU review</t>
        </is>
      </c>
      <c r="C432" s="14" t="inlineStr">
        <is>
          <t>Business unit decision on the row</t>
        </is>
      </c>
      <c r="D432" s="14" t="inlineStr">
        <is>
          <t>Accept, Change requested, Comment</t>
        </is>
      </c>
    </row>
    <row r="433">
      <c r="A433" s="12" t="inlineStr">
        <is>
          <t>G03 FY2027 true-up - legacy adj</t>
        </is>
      </c>
      <c r="B433" s="20" t="inlineStr">
        <is>
          <t>BU comment</t>
        </is>
      </c>
      <c r="C433" s="12" t="inlineStr">
        <is>
          <t>What should change, or the comment</t>
        </is>
      </c>
      <c r="D433" s="12" t="inlineStr"/>
    </row>
    <row r="434">
      <c r="A434" s="14" t="inlineStr">
        <is>
          <t>G03 FY2027 true-up - legacy adj</t>
        </is>
      </c>
      <c r="B434" s="21" t="inlineStr">
        <is>
          <t>Reviewer</t>
        </is>
      </c>
      <c r="C434" s="14" t="inlineStr">
        <is>
          <t>Name of the BU reviewer</t>
        </is>
      </c>
      <c r="D434" s="14" t="inlineStr"/>
    </row>
    <row r="435">
      <c r="A435" s="12" t="inlineStr">
        <is>
          <t>G03 FY2027 true-up - legacy adj</t>
        </is>
      </c>
      <c r="B435" s="20" t="inlineStr">
        <is>
          <t>Review date</t>
        </is>
      </c>
      <c r="C435" s="12" t="inlineStr">
        <is>
          <t>Date of the review (dd-mmm-yyyy)</t>
        </is>
      </c>
      <c r="D435" s="12" t="inlineStr"/>
    </row>
    <row r="436">
      <c r="A436" s="14" t="inlineStr">
        <is>
          <t>G03D FY2027 true-up - open-item</t>
        </is>
      </c>
      <c r="B436" s="21" t="inlineStr">
        <is>
          <t>No.</t>
        </is>
      </c>
      <c r="C436" s="14" t="inlineStr">
        <is>
          <t>Column position in the file</t>
        </is>
      </c>
      <c r="D436" s="14" t="inlineStr"/>
    </row>
    <row r="437">
      <c r="A437" s="12" t="inlineStr">
        <is>
          <t>G03D FY2027 true-up - open-item</t>
        </is>
      </c>
      <c r="B437" s="20" t="inlineStr">
        <is>
          <t>Column</t>
        </is>
      </c>
      <c r="C437" s="12" t="inlineStr">
        <is>
          <t>Column name in the header row of the file, exactly as written</t>
        </is>
      </c>
      <c r="D437" s="12" t="inlineStr"/>
    </row>
    <row r="438">
      <c r="A438" s="14" t="inlineStr">
        <is>
          <t>G03D FY2027 true-up - open-item</t>
        </is>
      </c>
      <c r="B438" s="21" t="inlineStr">
        <is>
          <t>Description</t>
        </is>
      </c>
      <c r="C438" s="14" t="inlineStr">
        <is>
          <t>What the column holds</t>
        </is>
      </c>
      <c r="D438" s="14" t="inlineStr"/>
    </row>
    <row r="439">
      <c r="A439" s="12" t="inlineStr">
        <is>
          <t>G03D FY2027 true-up - open-item</t>
        </is>
      </c>
      <c r="B439" s="20" t="inlineStr">
        <is>
          <t>Type</t>
        </is>
      </c>
      <c r="C439" s="12" t="inlineStr">
        <is>
          <t>Text, Code, Date, Timestamp, Amount (2 decimals), Integer, Decimal, Flag (Y or N)</t>
        </is>
      </c>
      <c r="D439" s="12" t="inlineStr"/>
    </row>
    <row r="440">
      <c r="A440" s="14" t="inlineStr">
        <is>
          <t>G03D FY2027 true-up - open-item</t>
        </is>
      </c>
      <c r="B440" s="21" t="inlineStr">
        <is>
          <t>Length</t>
        </is>
      </c>
      <c r="C440" s="14" t="inlineStr">
        <is>
          <t>Maximum characters; for numbers the digits and decimals</t>
        </is>
      </c>
      <c r="D440" s="14" t="inlineStr"/>
    </row>
    <row r="441">
      <c r="A441" s="12" t="inlineStr">
        <is>
          <t>G03D FY2027 true-up - open-item</t>
        </is>
      </c>
      <c r="B441" s="20" t="inlineStr">
        <is>
          <t>Mandatory</t>
        </is>
      </c>
      <c r="C441" s="12" t="inlineStr">
        <is>
          <t>Y always; N optional; C when its condition holds (Validation)</t>
        </is>
      </c>
      <c r="D441" s="12" t="inlineStr">
        <is>
          <t>Y, N, C</t>
        </is>
      </c>
    </row>
    <row r="442">
      <c r="A442" s="14" t="inlineStr">
        <is>
          <t>G03D FY2027 true-up - open-item</t>
        </is>
      </c>
      <c r="B442" s="21" t="inlineStr">
        <is>
          <t>Allowed values or code map</t>
        </is>
      </c>
      <c r="C442" s="14" t="inlineStr">
        <is>
          <t>Closed list of values, or the code map that maps the legacy value</t>
        </is>
      </c>
      <c r="D442" s="14" t="inlineStr"/>
    </row>
    <row r="443">
      <c r="A443" s="12" t="inlineStr">
        <is>
          <t>G03D FY2027 true-up - open-item</t>
        </is>
      </c>
      <c r="B443" s="20" t="inlineStr">
        <is>
          <t>Format</t>
        </is>
      </c>
      <c r="C443" s="12" t="inlineStr">
        <is>
          <t>How the value is written in the file</t>
        </is>
      </c>
      <c r="D443" s="12" t="inlineStr"/>
    </row>
    <row r="444">
      <c r="A444" s="14" t="inlineStr">
        <is>
          <t>G03D FY2027 true-up - open-item</t>
        </is>
      </c>
      <c r="B444" s="21" t="inlineStr">
        <is>
          <t>Example</t>
        </is>
      </c>
      <c r="C444" s="14" t="inlineStr">
        <is>
          <t>A made-up example</t>
        </is>
      </c>
      <c r="D444" s="14" t="inlineStr"/>
    </row>
    <row r="445">
      <c r="A445" s="12" t="inlineStr">
        <is>
          <t>G03D FY2027 true-up - open-item</t>
        </is>
      </c>
      <c r="B445" s="20" t="inlineStr">
        <is>
          <t>Validation</t>
        </is>
      </c>
      <c r="C445" s="12" t="inlineStr">
        <is>
          <t>Check applied when the file is validated</t>
        </is>
      </c>
      <c r="D445" s="12" t="inlineStr"/>
    </row>
    <row r="446">
      <c r="A446" s="14" t="inlineStr">
        <is>
          <t>G03D FY2027 true-up - open-item</t>
        </is>
      </c>
      <c r="B446" s="21" t="inlineStr">
        <is>
          <t>BU review</t>
        </is>
      </c>
      <c r="C446" s="14" t="inlineStr">
        <is>
          <t>Business unit decision on the row</t>
        </is>
      </c>
      <c r="D446" s="14" t="inlineStr">
        <is>
          <t>Accept, Change requested, Comment</t>
        </is>
      </c>
    </row>
    <row r="447">
      <c r="A447" s="12" t="inlineStr">
        <is>
          <t>G03D FY2027 true-up - open-item</t>
        </is>
      </c>
      <c r="B447" s="20" t="inlineStr">
        <is>
          <t>BU comment</t>
        </is>
      </c>
      <c r="C447" s="12" t="inlineStr">
        <is>
          <t>What should change, or the comment</t>
        </is>
      </c>
      <c r="D447" s="12" t="inlineStr"/>
    </row>
    <row r="448">
      <c r="A448" s="14" t="inlineStr">
        <is>
          <t>G03D FY2027 true-up - open-item</t>
        </is>
      </c>
      <c r="B448" s="21" t="inlineStr">
        <is>
          <t>Reviewer</t>
        </is>
      </c>
      <c r="C448" s="14" t="inlineStr">
        <is>
          <t>Name of the BU reviewer</t>
        </is>
      </c>
      <c r="D448" s="14" t="inlineStr"/>
    </row>
    <row r="449">
      <c r="A449" s="12" t="inlineStr">
        <is>
          <t>G03D FY2027 true-up - open-item</t>
        </is>
      </c>
      <c r="B449" s="20" t="inlineStr">
        <is>
          <t>Review date</t>
        </is>
      </c>
      <c r="C449" s="12" t="inlineStr">
        <is>
          <t>Date of the review (dd-mmm-yyyy)</t>
        </is>
      </c>
      <c r="D449" s="12" t="inlineStr"/>
    </row>
    <row r="450">
      <c r="A450" s="14" t="inlineStr">
        <is>
          <t>H01 Archive records (closed tra</t>
        </is>
      </c>
      <c r="B450" s="21" t="inlineStr">
        <is>
          <t>No.</t>
        </is>
      </c>
      <c r="C450" s="14" t="inlineStr">
        <is>
          <t>Column position in the file</t>
        </is>
      </c>
      <c r="D450" s="14" t="inlineStr"/>
    </row>
    <row r="451">
      <c r="A451" s="12" t="inlineStr">
        <is>
          <t>H01 Archive records (closed tra</t>
        </is>
      </c>
      <c r="B451" s="20" t="inlineStr">
        <is>
          <t>Column</t>
        </is>
      </c>
      <c r="C451" s="12" t="inlineStr">
        <is>
          <t>Column name in the header row of the file, exactly as written</t>
        </is>
      </c>
      <c r="D451" s="12" t="inlineStr"/>
    </row>
    <row r="452">
      <c r="A452" s="14" t="inlineStr">
        <is>
          <t>H01 Archive records (closed tra</t>
        </is>
      </c>
      <c r="B452" s="21" t="inlineStr">
        <is>
          <t>Description</t>
        </is>
      </c>
      <c r="C452" s="14" t="inlineStr">
        <is>
          <t>What the column holds</t>
        </is>
      </c>
      <c r="D452" s="14" t="inlineStr"/>
    </row>
    <row r="453">
      <c r="A453" s="12" t="inlineStr">
        <is>
          <t>H01 Archive records (closed tra</t>
        </is>
      </c>
      <c r="B453" s="20" t="inlineStr">
        <is>
          <t>Type</t>
        </is>
      </c>
      <c r="C453" s="12" t="inlineStr">
        <is>
          <t>Text, Code, Date, Timestamp, Amount (2 decimals), Integer, Decimal, Flag (Y or N)</t>
        </is>
      </c>
      <c r="D453" s="12" t="inlineStr"/>
    </row>
    <row r="454">
      <c r="A454" s="14" t="inlineStr">
        <is>
          <t>H01 Archive records (closed tra</t>
        </is>
      </c>
      <c r="B454" s="21" t="inlineStr">
        <is>
          <t>Length</t>
        </is>
      </c>
      <c r="C454" s="14" t="inlineStr">
        <is>
          <t>Maximum characters; for numbers the digits and decimals</t>
        </is>
      </c>
      <c r="D454" s="14" t="inlineStr"/>
    </row>
    <row r="455">
      <c r="A455" s="12" t="inlineStr">
        <is>
          <t>H01 Archive records (closed tra</t>
        </is>
      </c>
      <c r="B455" s="20" t="inlineStr">
        <is>
          <t>Mandatory</t>
        </is>
      </c>
      <c r="C455" s="12" t="inlineStr">
        <is>
          <t>Y always; N optional; C when its condition holds (Validation)</t>
        </is>
      </c>
      <c r="D455" s="12" t="inlineStr">
        <is>
          <t>Y, N, C</t>
        </is>
      </c>
    </row>
    <row r="456">
      <c r="A456" s="14" t="inlineStr">
        <is>
          <t>H01 Archive records (closed tra</t>
        </is>
      </c>
      <c r="B456" s="21" t="inlineStr">
        <is>
          <t>Allowed values or code map</t>
        </is>
      </c>
      <c r="C456" s="14" t="inlineStr">
        <is>
          <t>Closed list of values, or the code map that maps the legacy value</t>
        </is>
      </c>
      <c r="D456" s="14" t="inlineStr"/>
    </row>
    <row r="457">
      <c r="A457" s="12" t="inlineStr">
        <is>
          <t>H01 Archive records (closed tra</t>
        </is>
      </c>
      <c r="B457" s="20" t="inlineStr">
        <is>
          <t>Format</t>
        </is>
      </c>
      <c r="C457" s="12" t="inlineStr">
        <is>
          <t>How the value is written in the file</t>
        </is>
      </c>
      <c r="D457" s="12" t="inlineStr"/>
    </row>
    <row r="458">
      <c r="A458" s="14" t="inlineStr">
        <is>
          <t>H01 Archive records (closed tra</t>
        </is>
      </c>
      <c r="B458" s="21" t="inlineStr">
        <is>
          <t>Example</t>
        </is>
      </c>
      <c r="C458" s="14" t="inlineStr">
        <is>
          <t>A made-up example</t>
        </is>
      </c>
      <c r="D458" s="14" t="inlineStr"/>
    </row>
    <row r="459">
      <c r="A459" s="12" t="inlineStr">
        <is>
          <t>H01 Archive records (closed tra</t>
        </is>
      </c>
      <c r="B459" s="20" t="inlineStr">
        <is>
          <t>Validation</t>
        </is>
      </c>
      <c r="C459" s="12" t="inlineStr">
        <is>
          <t>Check applied when the file is validated</t>
        </is>
      </c>
      <c r="D459" s="12" t="inlineStr"/>
    </row>
    <row r="460">
      <c r="A460" s="14" t="inlineStr">
        <is>
          <t>H01 Archive records (closed tra</t>
        </is>
      </c>
      <c r="B460" s="21" t="inlineStr">
        <is>
          <t>BU review</t>
        </is>
      </c>
      <c r="C460" s="14" t="inlineStr">
        <is>
          <t>Business unit decision on the row</t>
        </is>
      </c>
      <c r="D460" s="14" t="inlineStr">
        <is>
          <t>Accept, Change requested, Comment</t>
        </is>
      </c>
    </row>
    <row r="461">
      <c r="A461" s="12" t="inlineStr">
        <is>
          <t>H01 Archive records (closed tra</t>
        </is>
      </c>
      <c r="B461" s="20" t="inlineStr">
        <is>
          <t>BU comment</t>
        </is>
      </c>
      <c r="C461" s="12" t="inlineStr">
        <is>
          <t>What should change, or the comment</t>
        </is>
      </c>
      <c r="D461" s="12" t="inlineStr"/>
    </row>
    <row r="462">
      <c r="A462" s="14" t="inlineStr">
        <is>
          <t>H01 Archive records (closed tra</t>
        </is>
      </c>
      <c r="B462" s="21" t="inlineStr">
        <is>
          <t>Reviewer</t>
        </is>
      </c>
      <c r="C462" s="14" t="inlineStr">
        <is>
          <t>Name of the BU reviewer</t>
        </is>
      </c>
      <c r="D462" s="14" t="inlineStr"/>
    </row>
    <row r="463">
      <c r="A463" s="12" t="inlineStr">
        <is>
          <t>H01 Archive records (closed tra</t>
        </is>
      </c>
      <c r="B463" s="20" t="inlineStr">
        <is>
          <t>Review date</t>
        </is>
      </c>
      <c r="C463" s="12" t="inlineStr">
        <is>
          <t>Date of the review (dd-mmm-yyyy)</t>
        </is>
      </c>
      <c r="D463" s="12" t="inlineStr"/>
    </row>
    <row r="464">
      <c r="A464" s="14" t="inlineStr">
        <is>
          <t>H02 Archive documents index</t>
        </is>
      </c>
      <c r="B464" s="21" t="inlineStr">
        <is>
          <t>No.</t>
        </is>
      </c>
      <c r="C464" s="14" t="inlineStr">
        <is>
          <t>Column position in the file</t>
        </is>
      </c>
      <c r="D464" s="14" t="inlineStr"/>
    </row>
    <row r="465">
      <c r="A465" s="12" t="inlineStr">
        <is>
          <t>H02 Archive documents index</t>
        </is>
      </c>
      <c r="B465" s="20" t="inlineStr">
        <is>
          <t>Column</t>
        </is>
      </c>
      <c r="C465" s="12" t="inlineStr">
        <is>
          <t>Column name in the header row of the file, exactly as written</t>
        </is>
      </c>
      <c r="D465" s="12" t="inlineStr"/>
    </row>
    <row r="466">
      <c r="A466" s="14" t="inlineStr">
        <is>
          <t>H02 Archive documents index</t>
        </is>
      </c>
      <c r="B466" s="21" t="inlineStr">
        <is>
          <t>Description</t>
        </is>
      </c>
      <c r="C466" s="14" t="inlineStr">
        <is>
          <t>What the column holds</t>
        </is>
      </c>
      <c r="D466" s="14" t="inlineStr"/>
    </row>
    <row r="467">
      <c r="A467" s="12" t="inlineStr">
        <is>
          <t>H02 Archive documents index</t>
        </is>
      </c>
      <c r="B467" s="20" t="inlineStr">
        <is>
          <t>Type</t>
        </is>
      </c>
      <c r="C467" s="12" t="inlineStr">
        <is>
          <t>Text, Code, Date, Timestamp, Amount (2 decimals), Integer, Decimal, Flag (Y or N)</t>
        </is>
      </c>
      <c r="D467" s="12" t="inlineStr"/>
    </row>
    <row r="468">
      <c r="A468" s="14" t="inlineStr">
        <is>
          <t>H02 Archive documents index</t>
        </is>
      </c>
      <c r="B468" s="21" t="inlineStr">
        <is>
          <t>Length</t>
        </is>
      </c>
      <c r="C468" s="14" t="inlineStr">
        <is>
          <t>Maximum characters; for numbers the digits and decimals</t>
        </is>
      </c>
      <c r="D468" s="14" t="inlineStr"/>
    </row>
    <row r="469">
      <c r="A469" s="12" t="inlineStr">
        <is>
          <t>H02 Archive documents index</t>
        </is>
      </c>
      <c r="B469" s="20" t="inlineStr">
        <is>
          <t>Mandatory</t>
        </is>
      </c>
      <c r="C469" s="12" t="inlineStr">
        <is>
          <t>Y always; N optional; C when its condition holds (Validation)</t>
        </is>
      </c>
      <c r="D469" s="12" t="inlineStr">
        <is>
          <t>Y, N, C</t>
        </is>
      </c>
    </row>
    <row r="470">
      <c r="A470" s="14" t="inlineStr">
        <is>
          <t>H02 Archive documents index</t>
        </is>
      </c>
      <c r="B470" s="21" t="inlineStr">
        <is>
          <t>Allowed values or code map</t>
        </is>
      </c>
      <c r="C470" s="14" t="inlineStr">
        <is>
          <t>Closed list of values, or the code map that maps the legacy value</t>
        </is>
      </c>
      <c r="D470" s="14" t="inlineStr"/>
    </row>
    <row r="471">
      <c r="A471" s="12" t="inlineStr">
        <is>
          <t>H02 Archive documents index</t>
        </is>
      </c>
      <c r="B471" s="20" t="inlineStr">
        <is>
          <t>Format</t>
        </is>
      </c>
      <c r="C471" s="12" t="inlineStr">
        <is>
          <t>How the value is written in the file</t>
        </is>
      </c>
      <c r="D471" s="12" t="inlineStr"/>
    </row>
    <row r="472">
      <c r="A472" s="14" t="inlineStr">
        <is>
          <t>H02 Archive documents index</t>
        </is>
      </c>
      <c r="B472" s="21" t="inlineStr">
        <is>
          <t>Example</t>
        </is>
      </c>
      <c r="C472" s="14" t="inlineStr">
        <is>
          <t>A made-up example</t>
        </is>
      </c>
      <c r="D472" s="14" t="inlineStr"/>
    </row>
    <row r="473">
      <c r="A473" s="12" t="inlineStr">
        <is>
          <t>H02 Archive documents index</t>
        </is>
      </c>
      <c r="B473" s="20" t="inlineStr">
        <is>
          <t>Validation</t>
        </is>
      </c>
      <c r="C473" s="12" t="inlineStr">
        <is>
          <t>Check applied when the file is validated</t>
        </is>
      </c>
      <c r="D473" s="12" t="inlineStr"/>
    </row>
    <row r="474">
      <c r="A474" s="14" t="inlineStr">
        <is>
          <t>H02 Archive documents index</t>
        </is>
      </c>
      <c r="B474" s="21" t="inlineStr">
        <is>
          <t>BU review</t>
        </is>
      </c>
      <c r="C474" s="14" t="inlineStr">
        <is>
          <t>Business unit decision on the row</t>
        </is>
      </c>
      <c r="D474" s="14" t="inlineStr">
        <is>
          <t>Accept, Change requested, Comment</t>
        </is>
      </c>
    </row>
    <row r="475">
      <c r="A475" s="12" t="inlineStr">
        <is>
          <t>H02 Archive documents index</t>
        </is>
      </c>
      <c r="B475" s="20" t="inlineStr">
        <is>
          <t>BU comment</t>
        </is>
      </c>
      <c r="C475" s="12" t="inlineStr">
        <is>
          <t>What should change, or the comment</t>
        </is>
      </c>
      <c r="D475" s="12" t="inlineStr"/>
    </row>
    <row r="476">
      <c r="A476" s="14" t="inlineStr">
        <is>
          <t>H02 Archive documents index</t>
        </is>
      </c>
      <c r="B476" s="21" t="inlineStr">
        <is>
          <t>Reviewer</t>
        </is>
      </c>
      <c r="C476" s="14" t="inlineStr">
        <is>
          <t>Name of the BU reviewer</t>
        </is>
      </c>
      <c r="D476" s="14" t="inlineStr"/>
    </row>
    <row r="477">
      <c r="A477" s="12" t="inlineStr">
        <is>
          <t>H02 Archive documents index</t>
        </is>
      </c>
      <c r="B477" s="20" t="inlineStr">
        <is>
          <t>Review date</t>
        </is>
      </c>
      <c r="C477" s="12" t="inlineStr">
        <is>
          <t>Date of the review (dd-mmm-yyyy)</t>
        </is>
      </c>
      <c r="D477" s="12" t="inlineStr"/>
    </row>
    <row r="478">
      <c r="A478" s="14" t="inlineStr">
        <is>
          <t>Control file</t>
        </is>
      </c>
      <c r="B478" s="21" t="inlineStr">
        <is>
          <t>No.</t>
        </is>
      </c>
      <c r="C478" s="14" t="inlineStr">
        <is>
          <t>Column position</t>
        </is>
      </c>
      <c r="D478" s="14" t="inlineStr"/>
    </row>
    <row r="479">
      <c r="A479" s="12" t="inlineStr">
        <is>
          <t>Control file</t>
        </is>
      </c>
      <c r="B479" s="20" t="inlineStr">
        <is>
          <t>Column</t>
        </is>
      </c>
      <c r="C479" s="12" t="inlineStr">
        <is>
          <t>Column name of the control-file template</t>
        </is>
      </c>
      <c r="D479" s="12" t="inlineStr"/>
    </row>
    <row r="480">
      <c r="A480" s="14" t="inlineStr">
        <is>
          <t>Control file</t>
        </is>
      </c>
      <c r="B480" s="21" t="inlineStr">
        <is>
          <t>What it holds</t>
        </is>
      </c>
      <c r="C480" s="14" t="inlineStr">
        <is>
          <t>Content</t>
        </is>
      </c>
      <c r="D480" s="14" t="inlineStr"/>
    </row>
    <row r="481">
      <c r="A481" s="12" t="inlineStr">
        <is>
          <t>Control file</t>
        </is>
      </c>
      <c r="B481" s="20" t="inlineStr">
        <is>
          <t>Mandatory</t>
        </is>
      </c>
      <c r="C481" s="12" t="inlineStr">
        <is>
          <t>Y, N or C (conditional)</t>
        </is>
      </c>
      <c r="D481" s="12" t="inlineStr"/>
    </row>
    <row r="482">
      <c r="A482" s="14" t="inlineStr">
        <is>
          <t>Control file</t>
        </is>
      </c>
      <c r="B482" s="21" t="inlineStr">
        <is>
          <t>Format</t>
        </is>
      </c>
      <c r="C482" s="14" t="inlineStr">
        <is>
          <t>How the value is written</t>
        </is>
      </c>
      <c r="D482" s="14" t="inlineStr"/>
    </row>
    <row r="483">
      <c r="A483" s="12" t="inlineStr">
        <is>
          <t>Control file</t>
        </is>
      </c>
      <c r="B483" s="20" t="inlineStr">
        <is>
          <t>Example</t>
        </is>
      </c>
      <c r="C483" s="12" t="inlineStr">
        <is>
          <t>A made-up example</t>
        </is>
      </c>
      <c r="D483" s="12" t="inlineStr"/>
    </row>
    <row r="484">
      <c r="A484" s="14" t="inlineStr">
        <is>
          <t>Control example</t>
        </is>
      </c>
      <c r="B484" s="21" t="inlineStr">
        <is>
          <t>object</t>
        </is>
      </c>
      <c r="C484" s="14" t="inlineStr">
        <is>
          <t>Object code of the data file</t>
        </is>
      </c>
      <c r="D484" s="14" t="inlineStr"/>
    </row>
    <row r="485">
      <c r="A485" s="12" t="inlineStr">
        <is>
          <t>Control example</t>
        </is>
      </c>
      <c r="B485" s="20" t="inlineStr">
        <is>
          <t>layout</t>
        </is>
      </c>
      <c r="C485" s="12" t="inlineStr">
        <is>
          <t>Layout (template) code</t>
        </is>
      </c>
      <c r="D485" s="12" t="inlineStr"/>
    </row>
    <row r="486">
      <c r="A486" s="14" t="inlineStr">
        <is>
          <t>Control example</t>
        </is>
      </c>
      <c r="B486" s="21" t="inlineStr">
        <is>
          <t>source_system</t>
        </is>
      </c>
      <c r="C486" s="14" t="inlineStr">
        <is>
          <t>Source system: EBIX, QPS, ISYS, CMS or EXCEL</t>
        </is>
      </c>
      <c r="D486" s="14" t="inlineStr"/>
    </row>
    <row r="487">
      <c r="A487" s="12" t="inlineStr">
        <is>
          <t>Control example</t>
        </is>
      </c>
      <c r="B487" s="20" t="inlineStr">
        <is>
          <t>data_file</t>
        </is>
      </c>
      <c r="C487" s="12" t="inlineStr">
        <is>
          <t>Name of the data file the control file belongs to</t>
        </is>
      </c>
      <c r="D487" s="12" t="inlineStr"/>
    </row>
    <row r="488">
      <c r="A488" s="14" t="inlineStr">
        <is>
          <t>Control example</t>
        </is>
      </c>
      <c r="B488" s="21" t="inlineStr">
        <is>
          <t>as_of</t>
        </is>
      </c>
      <c r="C488" s="14" t="inlineStr">
        <is>
          <t>Date and time the data represents</t>
        </is>
      </c>
      <c r="D488" s="14" t="inlineStr"/>
    </row>
    <row r="489">
      <c r="A489" s="12" t="inlineStr">
        <is>
          <t>Control example</t>
        </is>
      </c>
      <c r="B489" s="20" t="inlineStr">
        <is>
          <t>extracted_at</t>
        </is>
      </c>
      <c r="C489" s="12" t="inlineStr">
        <is>
          <t>When the extract ran</t>
        </is>
      </c>
      <c r="D489" s="12" t="inlineStr"/>
    </row>
    <row r="490">
      <c r="A490" s="14" t="inlineStr">
        <is>
          <t>Control example</t>
        </is>
      </c>
      <c r="B490" s="21" t="inlineStr">
        <is>
          <t>extracted_by</t>
        </is>
      </c>
      <c r="C490" s="14" t="inlineStr">
        <is>
          <t>BDOI IT user who ran the extract</t>
        </is>
      </c>
      <c r="D490" s="14" t="inlineStr"/>
    </row>
    <row r="491">
      <c r="A491" s="12" t="inlineStr">
        <is>
          <t>Control example</t>
        </is>
      </c>
      <c r="B491" s="20" t="inlineStr">
        <is>
          <t>measure</t>
        </is>
      </c>
      <c r="C491" s="12" t="inlineStr">
        <is>
          <t>Kind of control: ROW_COUNT, HASH_TOTAL, AMOUNT_TOTAL or SHA256</t>
        </is>
      </c>
      <c r="D491" s="12" t="inlineStr"/>
    </row>
    <row r="492">
      <c r="A492" s="14" t="inlineStr">
        <is>
          <t>Control example</t>
        </is>
      </c>
      <c r="B492" s="21" t="inlineStr">
        <is>
          <t>column_name</t>
        </is>
      </c>
      <c r="C492" s="14" t="inlineStr">
        <is>
          <t>Column the measure applies to</t>
        </is>
      </c>
      <c r="D492" s="14" t="inlineStr"/>
    </row>
    <row r="493">
      <c r="A493" s="12" t="inlineStr">
        <is>
          <t>Control example</t>
        </is>
      </c>
      <c r="B493" s="20" t="inlineStr">
        <is>
          <t>currency</t>
        </is>
      </c>
      <c r="C493" s="12" t="inlineStr">
        <is>
          <t>Currency of an AMOUNT_TOTAL</t>
        </is>
      </c>
      <c r="D493" s="12" t="inlineStr"/>
    </row>
    <row r="494">
      <c r="A494" s="14" t="inlineStr">
        <is>
          <t>Control example</t>
        </is>
      </c>
      <c r="B494" s="21" t="inlineStr">
        <is>
          <t>filter</t>
        </is>
      </c>
      <c r="C494" s="14" t="inlineStr">
        <is>
          <t>Optional filter of the measure</t>
        </is>
      </c>
      <c r="D494" s="14" t="inlineStr"/>
    </row>
    <row r="495">
      <c r="A495" s="12" t="inlineStr">
        <is>
          <t>Control example</t>
        </is>
      </c>
      <c r="B495" s="20" t="inlineStr">
        <is>
          <t>value</t>
        </is>
      </c>
      <c r="C495" s="12" t="inlineStr">
        <is>
          <t>Value of the measure</t>
        </is>
      </c>
      <c r="D495" s="12" t="inlineStr"/>
    </row>
    <row r="496">
      <c r="A496" s="14" t="inlineStr">
        <is>
          <t>Control totals</t>
        </is>
      </c>
      <c r="B496" s="21" t="inlineStr">
        <is>
          <t>Layout</t>
        </is>
      </c>
      <c r="C496" s="14" t="inlineStr">
        <is>
          <t>Layout code</t>
        </is>
      </c>
      <c r="D496" s="14" t="inlineStr"/>
    </row>
    <row r="497">
      <c r="A497" s="12" t="inlineStr">
        <is>
          <t>Control totals</t>
        </is>
      </c>
      <c r="B497" s="20" t="inlineStr">
        <is>
          <t>Object</t>
        </is>
      </c>
      <c r="C497" s="12" t="inlineStr">
        <is>
          <t>Data object</t>
        </is>
      </c>
      <c r="D497" s="12" t="inlineStr"/>
    </row>
    <row r="498">
      <c r="A498" s="14" t="inlineStr">
        <is>
          <t>Control totals</t>
        </is>
      </c>
      <c r="B498" s="21" t="inlineStr">
        <is>
          <t>Measure</t>
        </is>
      </c>
      <c r="C498" s="14" t="inlineStr">
        <is>
          <t>Control measure</t>
        </is>
      </c>
      <c r="D498" s="14" t="inlineStr">
        <is>
          <t>ROW_COUNT, HASH_TOTAL, AMOUNT_TOTAL, SHA256</t>
        </is>
      </c>
    </row>
    <row r="499">
      <c r="A499" s="12" t="inlineStr">
        <is>
          <t>Control totals</t>
        </is>
      </c>
      <c r="B499" s="20" t="inlineStr">
        <is>
          <t>Column</t>
        </is>
      </c>
      <c r="C499" s="12" t="inlineStr">
        <is>
          <t>Column the measure applies to</t>
        </is>
      </c>
      <c r="D499" s="12" t="inlineStr"/>
    </row>
    <row r="500">
      <c r="A500" s="14" t="inlineStr">
        <is>
          <t>Control totals</t>
        </is>
      </c>
      <c r="B500" s="21" t="inlineStr">
        <is>
          <t>Currency</t>
        </is>
      </c>
      <c r="C500" s="14" t="inlineStr">
        <is>
          <t>Per currency or not</t>
        </is>
      </c>
      <c r="D500" s="14" t="inlineStr"/>
    </row>
    <row r="501">
      <c r="A501" s="12" t="inlineStr">
        <is>
          <t>Control totals</t>
        </is>
      </c>
      <c r="B501" s="20" t="inlineStr">
        <is>
          <t>How it is computed</t>
        </is>
      </c>
      <c r="C501" s="12" t="inlineStr">
        <is>
          <t>Computation</t>
        </is>
      </c>
      <c r="D501" s="12" t="inlineStr"/>
    </row>
    <row r="502">
      <c r="A502" s="14" t="inlineStr">
        <is>
          <t>Control totals</t>
        </is>
      </c>
      <c r="B502" s="21" t="inlineStr">
        <is>
          <t>Value from BDOI</t>
        </is>
      </c>
      <c r="C502" s="14" t="inlineStr">
        <is>
          <t>From the control file</t>
        </is>
      </c>
      <c r="D502" s="14" t="inlineStr"/>
    </row>
    <row r="503">
      <c r="A503" s="12" t="inlineStr">
        <is>
          <t>Control totals</t>
        </is>
      </c>
      <c r="B503" s="20" t="inlineStr">
        <is>
          <t>Value in BIBS</t>
        </is>
      </c>
      <c r="C503" s="12" t="inlineStr">
        <is>
          <t>Received, staged or loaded value (Reconciliation Summary)</t>
        </is>
      </c>
      <c r="D503" s="12" t="inlineStr"/>
    </row>
    <row r="504">
      <c r="A504" s="14" t="inlineStr">
        <is>
          <t>Control totals</t>
        </is>
      </c>
      <c r="B504" s="21" t="inlineStr">
        <is>
          <t>Difference</t>
        </is>
      </c>
      <c r="C504" s="14" t="inlineStr">
        <is>
          <t>BDOI value minus BIBS value</t>
        </is>
      </c>
      <c r="D504" s="14" t="inlineStr"/>
    </row>
    <row r="505">
      <c r="A505" s="12" t="inlineStr">
        <is>
          <t>Control totals</t>
        </is>
      </c>
      <c r="B505" s="20" t="inlineStr">
        <is>
          <t>Status</t>
        </is>
      </c>
      <c r="C505" s="12" t="inlineStr">
        <is>
          <t>Matched, Break or Explained</t>
        </is>
      </c>
      <c r="D505" s="12" t="inlineStr">
        <is>
          <t>MATCHED, BREAK, EXPLAINED</t>
        </is>
      </c>
    </row>
    <row r="506">
      <c r="A506" s="14" t="inlineStr">
        <is>
          <t>Code maps</t>
        </is>
      </c>
      <c r="B506" s="21" t="inlineStr">
        <is>
          <t>Code map</t>
        </is>
      </c>
      <c r="C506" s="14" t="inlineStr">
        <is>
          <t>Code map set</t>
        </is>
      </c>
      <c r="D506" s="14" t="inlineStr"/>
    </row>
    <row r="507">
      <c r="A507" s="12" t="inlineStr">
        <is>
          <t>Code maps</t>
        </is>
      </c>
      <c r="B507" s="20" t="inlineStr">
        <is>
          <t>What is mapped</t>
        </is>
      </c>
      <c r="C507" s="12" t="inlineStr">
        <is>
          <t>Legacy codes mapped</t>
        </is>
      </c>
      <c r="D507" s="12" t="inlineStr"/>
    </row>
    <row r="508">
      <c r="A508" s="14" t="inlineStr">
        <is>
          <t>Code maps</t>
        </is>
      </c>
      <c r="B508" s="21" t="inlineStr">
        <is>
          <t>BIBS values</t>
        </is>
      </c>
      <c r="C508" s="14" t="inlineStr">
        <is>
          <t>The BIBS values the codes map to</t>
        </is>
      </c>
      <c r="D508" s="14" t="inlineStr"/>
    </row>
    <row r="509">
      <c r="A509" s="12" t="inlineStr">
        <is>
          <t>Code maps</t>
        </is>
      </c>
      <c r="B509" s="20" t="inlineStr">
        <is>
          <t>Used by layouts</t>
        </is>
      </c>
      <c r="C509" s="12" t="inlineStr">
        <is>
          <t>Layouts whose columns use the set</t>
        </is>
      </c>
      <c r="D509" s="12" t="inlineStr"/>
    </row>
    <row r="510">
      <c r="A510" s="14" t="inlineStr">
        <is>
          <t>Code maps</t>
        </is>
      </c>
      <c r="B510" s="21" t="inlineStr">
        <is>
          <t>Approves (G2)</t>
        </is>
      </c>
      <c r="C510" s="14" t="inlineStr">
        <is>
          <t>Business owner who approves each version</t>
        </is>
      </c>
      <c r="D510" s="14" t="inlineStr"/>
    </row>
    <row r="511">
      <c r="A511" s="12" t="inlineStr">
        <is>
          <t>Code maps</t>
        </is>
      </c>
      <c r="B511" s="20" t="inlineStr">
        <is>
          <t>Prepares</t>
        </is>
      </c>
      <c r="C511" s="12" t="inlineStr">
        <is>
          <t>Data steward who prepares the entries</t>
        </is>
      </c>
      <c r="D511" s="12" t="inlineStr"/>
    </row>
    <row r="512">
      <c r="A512" s="14" t="inlineStr">
        <is>
          <t>Code maps</t>
        </is>
      </c>
      <c r="B512" s="21" t="inlineStr">
        <is>
          <t>First approved version due</t>
        </is>
      </c>
      <c r="C512" s="14" t="inlineStr">
        <is>
          <t>Milestone</t>
        </is>
      </c>
      <c r="D512" s="14" t="inlineStr"/>
    </row>
    <row r="513">
      <c r="A513" s="12" t="inlineStr">
        <is>
          <t>Code maps</t>
        </is>
      </c>
      <c r="B513" s="20" t="inlineStr">
        <is>
          <t>BU review</t>
        </is>
      </c>
      <c r="C513" s="12" t="inlineStr">
        <is>
          <t>Business unit decision on the row</t>
        </is>
      </c>
      <c r="D513" s="12" t="inlineStr">
        <is>
          <t>Accept, Change requested, Comment</t>
        </is>
      </c>
    </row>
    <row r="514">
      <c r="A514" s="14" t="inlineStr">
        <is>
          <t>Code maps</t>
        </is>
      </c>
      <c r="B514" s="21" t="inlineStr">
        <is>
          <t>BU comment</t>
        </is>
      </c>
      <c r="C514" s="14" t="inlineStr">
        <is>
          <t>What should change, or the comment</t>
        </is>
      </c>
      <c r="D514" s="14" t="inlineStr"/>
    </row>
    <row r="515">
      <c r="A515" s="12" t="inlineStr">
        <is>
          <t>Code maps</t>
        </is>
      </c>
      <c r="B515" s="20" t="inlineStr">
        <is>
          <t>Reviewer</t>
        </is>
      </c>
      <c r="C515" s="12" t="inlineStr">
        <is>
          <t>Name of the BU reviewer</t>
        </is>
      </c>
      <c r="D515" s="12" t="inlineStr"/>
    </row>
    <row r="516">
      <c r="A516" s="14" t="inlineStr">
        <is>
          <t>Code maps</t>
        </is>
      </c>
      <c r="B516" s="21" t="inlineStr">
        <is>
          <t>Review date</t>
        </is>
      </c>
      <c r="C516" s="14" t="inlineStr">
        <is>
          <t>Date of the review (dd-mmm-yyyy)</t>
        </is>
      </c>
      <c r="D516" s="14" t="inlineStr"/>
    </row>
    <row r="517">
      <c r="A517" s="12" t="inlineStr">
        <is>
          <t>Code map template</t>
        </is>
      </c>
      <c r="B517" s="20" t="inlineStr">
        <is>
          <t>Code map</t>
        </is>
      </c>
      <c r="C517" s="12" t="inlineStr">
        <is>
          <t>Code map set; the console exports one sheet per set, named after it</t>
        </is>
      </c>
      <c r="D517" s="12" t="inlineStr"/>
    </row>
    <row r="518">
      <c r="A518" s="14" t="inlineStr">
        <is>
          <t>Code map template</t>
        </is>
      </c>
      <c r="B518" s="21" t="inlineStr">
        <is>
          <t>source_system</t>
        </is>
      </c>
      <c r="C518" s="14" t="inlineStr">
        <is>
          <t>Legacy system of the code</t>
        </is>
      </c>
      <c r="D518" s="14" t="inlineStr">
        <is>
          <t>EBIX, QPS, ISYS, CMS, EXCEL</t>
        </is>
      </c>
    </row>
    <row r="519">
      <c r="A519" s="12" t="inlineStr">
        <is>
          <t>Code map template</t>
        </is>
      </c>
      <c r="B519" s="20" t="inlineStr">
        <is>
          <t>legacy_code</t>
        </is>
      </c>
      <c r="C519" s="12" t="inlineStr">
        <is>
          <t>Code as stored in legacy</t>
        </is>
      </c>
      <c r="D519" s="12" t="inlineStr"/>
    </row>
    <row r="520">
      <c r="A520" s="14" t="inlineStr">
        <is>
          <t>Code map template</t>
        </is>
      </c>
      <c r="B520" s="21" t="inlineStr">
        <is>
          <t>legacy_description</t>
        </is>
      </c>
      <c r="C520" s="14" t="inlineStr">
        <is>
          <t>Description in legacy</t>
        </is>
      </c>
      <c r="D520" s="14" t="inlineStr"/>
    </row>
    <row r="521">
      <c r="A521" s="12" t="inlineStr">
        <is>
          <t>Code map template</t>
        </is>
      </c>
      <c r="B521" s="20" t="inlineStr">
        <is>
          <t>qualifier</t>
        </is>
      </c>
      <c r="C521" s="12" t="inlineStr">
        <is>
          <t>Attribute that splits one legacy code into several BIBS values (package code map: RISK_CODE, INSURER or SI_BAND); empty otherwise</t>
        </is>
      </c>
      <c r="D521" s="12" t="inlineStr"/>
    </row>
    <row r="522">
      <c r="A522" s="14" t="inlineStr">
        <is>
          <t>Code map template</t>
        </is>
      </c>
      <c r="B522" s="21" t="inlineStr">
        <is>
          <t>qualifier_value</t>
        </is>
      </c>
      <c r="C522" s="14" t="inlineStr">
        <is>
          <t>Value of the qualifier (a code, or a from-to amount band)</t>
        </is>
      </c>
      <c r="D522" s="14" t="inlineStr"/>
    </row>
    <row r="523">
      <c r="A523" s="12" t="inlineStr">
        <is>
          <t>Code map template</t>
        </is>
      </c>
      <c r="B523" s="20" t="inlineStr">
        <is>
          <t>action</t>
        </is>
      </c>
      <c r="C523" s="12" t="inlineStr">
        <is>
          <t>MAP to a BIBS value, DEFAULT to the default of the set, REJECT the rows, CREATE a new BIBS value</t>
        </is>
      </c>
      <c r="D523" s="12" t="inlineStr">
        <is>
          <t>MAP, DEFAULT, REJECT, CREATE</t>
        </is>
      </c>
    </row>
    <row r="524">
      <c r="A524" s="14" t="inlineStr">
        <is>
          <t>Code map template</t>
        </is>
      </c>
      <c r="B524" s="21" t="inlineStr">
        <is>
          <t>target_code</t>
        </is>
      </c>
      <c r="C524" s="14" t="inlineStr">
        <is>
          <t>BIBS value; mandatory for MAP and CREATE</t>
        </is>
      </c>
      <c r="D524" s="14" t="inlineStr"/>
    </row>
    <row r="525">
      <c r="A525" s="12" t="inlineStr">
        <is>
          <t>Code map template</t>
        </is>
      </c>
      <c r="B525" s="20" t="inlineStr">
        <is>
          <t>remarks</t>
        </is>
      </c>
      <c r="C525" s="12" t="inlineStr">
        <is>
          <t>Reason for DEFAULT, REJECT or CREATE; condition of a conditional entry</t>
        </is>
      </c>
      <c r="D525" s="12" t="inlineStr"/>
    </row>
    <row r="526">
      <c r="A526" s="14" t="inlineStr">
        <is>
          <t>Code map template</t>
        </is>
      </c>
      <c r="B526" s="21" t="inlineStr">
        <is>
          <t>Rows using it</t>
        </is>
      </c>
      <c r="C526" s="14" t="inlineStr">
        <is>
          <t>From the profiling of the extracts (not part of the file)</t>
        </is>
      </c>
      <c r="D526" s="14" t="inlineStr"/>
    </row>
    <row r="527">
      <c r="A527" s="12" t="inlineStr">
        <is>
          <t>Validation rules</t>
        </is>
      </c>
      <c r="B527" s="20" t="inlineStr">
        <is>
          <t>Rule</t>
        </is>
      </c>
      <c r="C527" s="12" t="inlineStr">
        <is>
          <t>Rule ID shown with each issue</t>
        </is>
      </c>
      <c r="D527" s="12" t="inlineStr"/>
    </row>
    <row r="528">
      <c r="A528" s="14" t="inlineStr">
        <is>
          <t>Validation rules</t>
        </is>
      </c>
      <c r="B528" s="21" t="inlineStr">
        <is>
          <t>Layouts</t>
        </is>
      </c>
      <c r="C528" s="14" t="inlineStr">
        <is>
          <t>Layouts checked</t>
        </is>
      </c>
      <c r="D528" s="14" t="inlineStr"/>
    </row>
    <row r="529">
      <c r="A529" s="12" t="inlineStr">
        <is>
          <t>Validation rules</t>
        </is>
      </c>
      <c r="B529" s="20" t="inlineStr">
        <is>
          <t>Columns</t>
        </is>
      </c>
      <c r="C529" s="12" t="inlineStr">
        <is>
          <t>Columns checked</t>
        </is>
      </c>
      <c r="D529" s="12" t="inlineStr"/>
    </row>
    <row r="530">
      <c r="A530" s="14" t="inlineStr">
        <is>
          <t>Validation rules</t>
        </is>
      </c>
      <c r="B530" s="21" t="inlineStr">
        <is>
          <t>Kind</t>
        </is>
      </c>
      <c r="C530" s="14" t="inlineStr">
        <is>
          <t>Kind of rule</t>
        </is>
      </c>
      <c r="D530" s="14" t="inlineStr"/>
    </row>
    <row r="531">
      <c r="A531" s="12" t="inlineStr">
        <is>
          <t>Validation rules</t>
        </is>
      </c>
      <c r="B531" s="20" t="inlineStr">
        <is>
          <t>Rule</t>
        </is>
      </c>
      <c r="C531" s="12" t="inlineStr">
        <is>
          <t>What is checked</t>
        </is>
      </c>
      <c r="D531" s="12" t="inlineStr"/>
    </row>
    <row r="532">
      <c r="A532" s="14" t="inlineStr">
        <is>
          <t>Validation rules</t>
        </is>
      </c>
      <c r="B532" s="21" t="inlineStr">
        <is>
          <t>Severity</t>
        </is>
      </c>
      <c r="C532" s="14" t="inlineStr">
        <is>
          <t>Error: the row is not loaded; Warning: loaded and reported</t>
        </is>
      </c>
      <c r="D532" s="14" t="inlineStr"/>
    </row>
    <row r="533">
      <c r="A533" s="12" t="inlineStr">
        <is>
          <t>Validation rules</t>
        </is>
      </c>
      <c r="B533" s="20" t="inlineStr">
        <is>
          <t>Message</t>
        </is>
      </c>
      <c r="C533" s="12" t="inlineStr">
        <is>
          <t>Message of the issue; {name} is filled in</t>
        </is>
      </c>
      <c r="D533" s="12" t="inlineStr"/>
    </row>
    <row r="534">
      <c r="A534" s="14" t="inlineStr">
        <is>
          <t>Validation rules</t>
        </is>
      </c>
      <c r="B534" s="21" t="inlineStr">
        <is>
          <t>Fixed by</t>
        </is>
      </c>
      <c r="C534" s="14" t="inlineStr">
        <is>
          <t>Who corrects a failing row</t>
        </is>
      </c>
      <c r="D534" s="14" t="inlineStr"/>
    </row>
    <row r="535">
      <c r="A535" s="12" t="inlineStr">
        <is>
          <t>Validation rules</t>
        </is>
      </c>
      <c r="B535" s="20" t="inlineStr">
        <is>
          <t>BU review</t>
        </is>
      </c>
      <c r="C535" s="12" t="inlineStr">
        <is>
          <t>Business unit decision on the row</t>
        </is>
      </c>
      <c r="D535" s="12" t="inlineStr">
        <is>
          <t>Accept, Change requested, Comment</t>
        </is>
      </c>
    </row>
    <row r="536">
      <c r="A536" s="14" t="inlineStr">
        <is>
          <t>Validation rules</t>
        </is>
      </c>
      <c r="B536" s="21" t="inlineStr">
        <is>
          <t>BU comment</t>
        </is>
      </c>
      <c r="C536" s="14" t="inlineStr">
        <is>
          <t>What should change, or the comment</t>
        </is>
      </c>
      <c r="D536" s="14" t="inlineStr"/>
    </row>
    <row r="537">
      <c r="A537" s="12" t="inlineStr">
        <is>
          <t>Validation rules</t>
        </is>
      </c>
      <c r="B537" s="20" t="inlineStr">
        <is>
          <t>Reviewer</t>
        </is>
      </c>
      <c r="C537" s="12" t="inlineStr">
        <is>
          <t>Name of the BU reviewer</t>
        </is>
      </c>
      <c r="D537" s="12" t="inlineStr"/>
    </row>
    <row r="538">
      <c r="A538" s="14" t="inlineStr">
        <is>
          <t>Validation rules</t>
        </is>
      </c>
      <c r="B538" s="21" t="inlineStr">
        <is>
          <t>Review date</t>
        </is>
      </c>
      <c r="C538" s="14" t="inlineStr">
        <is>
          <t>Date of the review (dd-mmm-yyyy)</t>
        </is>
      </c>
      <c r="D538" s="14" t="inlineStr"/>
    </row>
    <row r="539">
      <c r="A539" s="12" t="inlineStr">
        <is>
          <t>Masking</t>
        </is>
      </c>
      <c r="B539" s="20" t="inlineStr">
        <is>
          <t>Layout</t>
        </is>
      </c>
      <c r="C539" s="12" t="inlineStr">
        <is>
          <t>Layout code</t>
        </is>
      </c>
      <c r="D539" s="12" t="inlineStr"/>
    </row>
    <row r="540">
      <c r="A540" s="14" t="inlineStr">
        <is>
          <t>Masking</t>
        </is>
      </c>
      <c r="B540" s="21" t="inlineStr">
        <is>
          <t>Column</t>
        </is>
      </c>
      <c r="C540" s="14" t="inlineStr">
        <is>
          <t>Column masked</t>
        </is>
      </c>
      <c r="D540" s="14" t="inlineStr"/>
    </row>
    <row r="541">
      <c r="A541" s="12" t="inlineStr">
        <is>
          <t>Masking</t>
        </is>
      </c>
      <c r="B541" s="20" t="inlineStr">
        <is>
          <t>Masking outside production</t>
        </is>
      </c>
      <c r="C541" s="12" t="inlineStr">
        <is>
          <t>How the value is replaced (the same value every time)</t>
        </is>
      </c>
      <c r="D541" s="12" t="inlineStr"/>
    </row>
    <row r="542">
      <c r="A542" s="14" t="inlineStr">
        <is>
          <t>Masking</t>
        </is>
      </c>
      <c r="B542" s="21" t="inlineStr">
        <is>
          <t>BU review</t>
        </is>
      </c>
      <c r="C542" s="14" t="inlineStr">
        <is>
          <t>Business unit decision on the row</t>
        </is>
      </c>
      <c r="D542" s="14" t="inlineStr">
        <is>
          <t>Accept, Change requested, Comment</t>
        </is>
      </c>
    </row>
    <row r="543">
      <c r="A543" s="12" t="inlineStr">
        <is>
          <t>Masking</t>
        </is>
      </c>
      <c r="B543" s="20" t="inlineStr">
        <is>
          <t>BU comment</t>
        </is>
      </c>
      <c r="C543" s="12" t="inlineStr">
        <is>
          <t>What should change, or the comment</t>
        </is>
      </c>
      <c r="D543" s="12" t="inlineStr"/>
    </row>
    <row r="544">
      <c r="A544" s="14" t="inlineStr">
        <is>
          <t>Masking</t>
        </is>
      </c>
      <c r="B544" s="21" t="inlineStr">
        <is>
          <t>Reviewer</t>
        </is>
      </c>
      <c r="C544" s="14" t="inlineStr">
        <is>
          <t>Name of the BU reviewer</t>
        </is>
      </c>
      <c r="D544" s="14" t="inlineStr"/>
    </row>
    <row r="545">
      <c r="A545" s="12" t="inlineStr">
        <is>
          <t>Masking</t>
        </is>
      </c>
      <c r="B545" s="20" t="inlineStr">
        <is>
          <t>Review date</t>
        </is>
      </c>
      <c r="C545" s="12" t="inlineStr">
        <is>
          <t>Date of the review (dd-mmm-yyyy)</t>
        </is>
      </c>
      <c r="D545" s="12" t="inlineStr"/>
    </row>
    <row r="546">
      <c r="A546" s="14" t="inlineStr">
        <is>
          <t>Cut-over tasks</t>
        </is>
      </c>
      <c r="B546" s="21" t="inlineStr">
        <is>
          <t>Task</t>
        </is>
      </c>
      <c r="C546" s="14" t="inlineStr">
        <is>
          <t>Task ID</t>
        </is>
      </c>
      <c r="D546" s="14" t="inlineStr"/>
    </row>
    <row r="547">
      <c r="A547" s="12" t="inlineStr">
        <is>
          <t>Cut-over tasks</t>
        </is>
      </c>
      <c r="B547" s="20" t="inlineStr">
        <is>
          <t>Phase</t>
        </is>
      </c>
      <c r="C547" s="12" t="inlineStr">
        <is>
          <t>Phase of the cut-over</t>
        </is>
      </c>
      <c r="D547" s="12" t="inlineStr"/>
    </row>
    <row r="548">
      <c r="A548" s="14" t="inlineStr">
        <is>
          <t>Cut-over tasks</t>
        </is>
      </c>
      <c r="B548" s="21" t="inlineStr">
        <is>
          <t>Day</t>
        </is>
      </c>
      <c r="C548" s="14" t="inlineStr">
        <is>
          <t>Day relative to go-live (T)</t>
        </is>
      </c>
      <c r="D548" s="14" t="inlineStr"/>
    </row>
    <row r="549">
      <c r="A549" s="12" t="inlineStr">
        <is>
          <t>Cut-over tasks</t>
        </is>
      </c>
      <c r="B549" s="20" t="inlineStr">
        <is>
          <t>Start (PHT)</t>
        </is>
      </c>
      <c r="C549" s="12" t="inlineStr">
        <is>
          <t>Planned start</t>
        </is>
      </c>
      <c r="D549" s="12" t="inlineStr"/>
    </row>
    <row r="550">
      <c r="A550" s="14" t="inlineStr">
        <is>
          <t>Cut-over tasks</t>
        </is>
      </c>
      <c r="B550" s="21" t="inlineStr">
        <is>
          <t>Task</t>
        </is>
      </c>
      <c r="C550" s="14" t="inlineStr">
        <is>
          <t>What is done</t>
        </is>
      </c>
      <c r="D550" s="14" t="inlineStr"/>
    </row>
    <row r="551">
      <c r="A551" s="12" t="inlineStr">
        <is>
          <t>Cut-over tasks</t>
        </is>
      </c>
      <c r="B551" s="20" t="inlineStr">
        <is>
          <t>Owner</t>
        </is>
      </c>
      <c r="C551" s="12" t="inlineStr">
        <is>
          <t>Accountable role (sheet Cut-over roles)</t>
        </is>
      </c>
      <c r="D551" s="12" t="inlineStr"/>
    </row>
    <row r="552">
      <c r="A552" s="14" t="inlineStr">
        <is>
          <t>Cut-over tasks</t>
        </is>
      </c>
      <c r="B552" s="21" t="inlineStr">
        <is>
          <t>Hours</t>
        </is>
      </c>
      <c r="C552" s="14" t="inlineStr">
        <is>
          <t>Planned elapsed hours</t>
        </is>
      </c>
      <c r="D552" s="14" t="inlineStr"/>
    </row>
    <row r="553">
      <c r="A553" s="12" t="inlineStr">
        <is>
          <t>Cut-over tasks</t>
        </is>
      </c>
      <c r="B553" s="20" t="inlineStr">
        <is>
          <t>After</t>
        </is>
      </c>
      <c r="C553" s="12" t="inlineStr">
        <is>
          <t>Tasks that must be complete first</t>
        </is>
      </c>
      <c r="D553" s="12" t="inlineStr"/>
    </row>
    <row r="554">
      <c r="A554" s="14" t="inlineStr">
        <is>
          <t>Cut-over tasks</t>
        </is>
      </c>
      <c r="B554" s="21" t="inlineStr">
        <is>
          <t>Verification</t>
        </is>
      </c>
      <c r="C554" s="14" t="inlineStr">
        <is>
          <t>How completion is proven</t>
        </is>
      </c>
      <c r="D554" s="14" t="inlineStr"/>
    </row>
    <row r="555">
      <c r="A555" s="12" t="inlineStr">
        <is>
          <t>Cut-over tasks</t>
        </is>
      </c>
      <c r="B555" s="20" t="inlineStr">
        <is>
          <t>Checkpoint</t>
        </is>
      </c>
      <c r="C555" s="12" t="inlineStr">
        <is>
          <t>Go / no-go checkpoint or milestone</t>
        </is>
      </c>
      <c r="D555" s="12" t="inlineStr"/>
    </row>
    <row r="556">
      <c r="A556" s="14" t="inlineStr">
        <is>
          <t>Cut-over tasks</t>
        </is>
      </c>
      <c r="B556" s="21" t="inlineStr">
        <is>
          <t>Assignee (name)</t>
        </is>
      </c>
      <c r="C556" s="14" t="inlineStr">
        <is>
          <t>Named person</t>
        </is>
      </c>
      <c r="D556" s="14" t="inlineStr"/>
    </row>
    <row r="557">
      <c r="A557" s="12" t="inlineStr">
        <is>
          <t>Cut-over tasks</t>
        </is>
      </c>
      <c r="B557" s="20" t="inlineStr">
        <is>
          <t>Status</t>
        </is>
      </c>
      <c r="C557" s="12" t="inlineStr">
        <is>
          <t>Task status</t>
        </is>
      </c>
      <c r="D557" s="12" t="inlineStr">
        <is>
          <t>NOT STARTED, IN PROGRESS, DONE, BLOCKED, N/A</t>
        </is>
      </c>
    </row>
    <row r="558">
      <c r="A558" s="14" t="inlineStr">
        <is>
          <t>Cut-over tasks</t>
        </is>
      </c>
      <c r="B558" s="21" t="inlineStr">
        <is>
          <t>BU review</t>
        </is>
      </c>
      <c r="C558" s="14" t="inlineStr">
        <is>
          <t>Business unit decision on the row</t>
        </is>
      </c>
      <c r="D558" s="14" t="inlineStr">
        <is>
          <t>Accept, Change requested, Comment</t>
        </is>
      </c>
    </row>
    <row r="559">
      <c r="A559" s="12" t="inlineStr">
        <is>
          <t>Cut-over tasks</t>
        </is>
      </c>
      <c r="B559" s="20" t="inlineStr">
        <is>
          <t>BU comment</t>
        </is>
      </c>
      <c r="C559" s="12" t="inlineStr">
        <is>
          <t>What should change, or the comment</t>
        </is>
      </c>
      <c r="D559" s="12" t="inlineStr"/>
    </row>
    <row r="560">
      <c r="A560" s="14" t="inlineStr">
        <is>
          <t>Cut-over tasks</t>
        </is>
      </c>
      <c r="B560" s="21" t="inlineStr">
        <is>
          <t>Reviewer</t>
        </is>
      </c>
      <c r="C560" s="14" t="inlineStr">
        <is>
          <t>Name of the BU reviewer</t>
        </is>
      </c>
      <c r="D560" s="14" t="inlineStr"/>
    </row>
    <row r="561">
      <c r="A561" s="12" t="inlineStr">
        <is>
          <t>Cut-over tasks</t>
        </is>
      </c>
      <c r="B561" s="20" t="inlineStr">
        <is>
          <t>Review date</t>
        </is>
      </c>
      <c r="C561" s="12" t="inlineStr">
        <is>
          <t>Date of the review (dd-mmm-yyyy)</t>
        </is>
      </c>
      <c r="D561" s="12" t="inlineStr"/>
    </row>
    <row r="562">
      <c r="A562" s="14" t="inlineStr">
        <is>
          <t>Cut-over roles</t>
        </is>
      </c>
      <c r="B562" s="21" t="inlineStr">
        <is>
          <t>Code</t>
        </is>
      </c>
      <c r="C562" s="14" t="inlineStr">
        <is>
          <t>Owner code of the task plan</t>
        </is>
      </c>
      <c r="D562" s="14" t="inlineStr"/>
    </row>
    <row r="563">
      <c r="A563" s="12" t="inlineStr">
        <is>
          <t>Cut-over roles</t>
        </is>
      </c>
      <c r="B563" s="20" t="inlineStr">
        <is>
          <t>Role</t>
        </is>
      </c>
      <c r="C563" s="12" t="inlineStr">
        <is>
          <t>Role</t>
        </is>
      </c>
      <c r="D563" s="12" t="inlineStr"/>
    </row>
    <row r="564">
      <c r="A564" s="14" t="inlineStr">
        <is>
          <t>Cut-over roles</t>
        </is>
      </c>
      <c r="B564" s="21" t="inlineStr">
        <is>
          <t>Organisation</t>
        </is>
      </c>
      <c r="C564" s="14" t="inlineStr">
        <is>
          <t>Organisation</t>
        </is>
      </c>
      <c r="D564" s="14" t="inlineStr"/>
    </row>
    <row r="565">
      <c r="A565" s="12" t="inlineStr">
        <is>
          <t>Cut-over roles</t>
        </is>
      </c>
      <c r="B565" s="20" t="inlineStr">
        <is>
          <t>Name and phone (to fill)</t>
        </is>
      </c>
      <c r="C565" s="12" t="inlineStr">
        <is>
          <t>Named person</t>
        </is>
      </c>
      <c r="D565" s="12" t="inlineStr"/>
    </row>
    <row r="566">
      <c r="A566" s="14" t="inlineStr">
        <is>
          <t>Cut-over calendar</t>
        </is>
      </c>
      <c r="B566" s="21" t="inlineStr">
        <is>
          <t>Day</t>
        </is>
      </c>
      <c r="C566" s="14" t="inlineStr">
        <is>
          <t>Day relative to go-live (T)</t>
        </is>
      </c>
      <c r="D566" s="14" t="inlineStr"/>
    </row>
    <row r="567">
      <c r="A567" s="12" t="inlineStr">
        <is>
          <t>Cut-over calendar</t>
        </is>
      </c>
      <c r="B567" s="20" t="inlineStr">
        <is>
          <t>Date (T = 3-Jan-2028)</t>
        </is>
      </c>
      <c r="C567" s="12" t="inlineStr">
        <is>
          <t>Date for the proposed go-live</t>
        </is>
      </c>
      <c r="D567" s="12" t="inlineStr"/>
    </row>
    <row r="568">
      <c r="A568" s="14" t="inlineStr">
        <is>
          <t>Cut-over calendar</t>
        </is>
      </c>
      <c r="B568" s="21" t="inlineStr">
        <is>
          <t>Note</t>
        </is>
      </c>
      <c r="C568" s="14" t="inlineStr">
        <is>
          <t>Holiday or year-end note</t>
        </is>
      </c>
      <c r="D568" s="14" t="inlineStr"/>
    </row>
    <row r="569">
      <c r="A569" s="12" t="inlineStr">
        <is>
          <t>Go-no-go checkpoints</t>
        </is>
      </c>
      <c r="B569" s="20" t="inlineStr">
        <is>
          <t>Checkpoint</t>
        </is>
      </c>
      <c r="C569" s="12" t="inlineStr">
        <is>
          <t>Checkpoint</t>
        </is>
      </c>
      <c r="D569" s="12" t="inlineStr"/>
    </row>
    <row r="570">
      <c r="A570" s="14" t="inlineStr">
        <is>
          <t>Go-no-go checkpoints</t>
        </is>
      </c>
      <c r="B570" s="21" t="inlineStr">
        <is>
          <t>When</t>
        </is>
      </c>
      <c r="C570" s="14" t="inlineStr">
        <is>
          <t>Day and time</t>
        </is>
      </c>
      <c r="D570" s="14" t="inlineStr"/>
    </row>
    <row r="571">
      <c r="A571" s="12" t="inlineStr">
        <is>
          <t>Go-no-go checkpoints</t>
        </is>
      </c>
      <c r="B571" s="20" t="inlineStr">
        <is>
          <t>Decision</t>
        </is>
      </c>
      <c r="C571" s="12" t="inlineStr">
        <is>
          <t>What is decided</t>
        </is>
      </c>
      <c r="D571" s="12" t="inlineStr"/>
    </row>
    <row r="572">
      <c r="A572" s="14" t="inlineStr">
        <is>
          <t>Go-no-go checkpoints</t>
        </is>
      </c>
      <c r="B572" s="21" t="inlineStr">
        <is>
          <t>No.</t>
        </is>
      </c>
      <c r="C572" s="14" t="inlineStr">
        <is>
          <t>Criterion number</t>
        </is>
      </c>
      <c r="D572" s="14" t="inlineStr"/>
    </row>
    <row r="573">
      <c r="A573" s="12" t="inlineStr">
        <is>
          <t>Go-no-go checkpoints</t>
        </is>
      </c>
      <c r="B573" s="20" t="inlineStr">
        <is>
          <t>Criterion</t>
        </is>
      </c>
      <c r="C573" s="12" t="inlineStr">
        <is>
          <t>Criterion that must be met</t>
        </is>
      </c>
      <c r="D573" s="12" t="inlineStr"/>
    </row>
    <row r="574">
      <c r="A574" s="14" t="inlineStr">
        <is>
          <t>Go-no-go checkpoints</t>
        </is>
      </c>
      <c r="B574" s="21" t="inlineStr">
        <is>
          <t>Measured value</t>
        </is>
      </c>
      <c r="C574" s="14" t="inlineStr">
        <is>
          <t>Value at the decision</t>
        </is>
      </c>
      <c r="D574" s="14" t="inlineStr"/>
    </row>
    <row r="575">
      <c r="A575" s="12" t="inlineStr">
        <is>
          <t>Go-no-go checkpoints</t>
        </is>
      </c>
      <c r="B575" s="20" t="inlineStr">
        <is>
          <t>Met</t>
        </is>
      </c>
      <c r="C575" s="12" t="inlineStr">
        <is>
          <t>Y or N</t>
        </is>
      </c>
      <c r="D575" s="12" t="inlineStr">
        <is>
          <t>Y, N</t>
        </is>
      </c>
    </row>
    <row r="576">
      <c r="A576" s="14" t="inlineStr">
        <is>
          <t>Go-no-go checkpoints</t>
        </is>
      </c>
      <c r="B576" s="21" t="inlineStr">
        <is>
          <t>BU review</t>
        </is>
      </c>
      <c r="C576" s="14" t="inlineStr">
        <is>
          <t>Business unit decision on the row</t>
        </is>
      </c>
      <c r="D576" s="14" t="inlineStr">
        <is>
          <t>Accept, Change requested, Comment</t>
        </is>
      </c>
    </row>
    <row r="577">
      <c r="A577" s="12" t="inlineStr">
        <is>
          <t>Go-no-go checkpoints</t>
        </is>
      </c>
      <c r="B577" s="20" t="inlineStr">
        <is>
          <t>BU comment</t>
        </is>
      </c>
      <c r="C577" s="12" t="inlineStr">
        <is>
          <t>What should change, or the comment</t>
        </is>
      </c>
      <c r="D577" s="12" t="inlineStr"/>
    </row>
    <row r="578">
      <c r="A578" s="14" t="inlineStr">
        <is>
          <t>Go-no-go checkpoints</t>
        </is>
      </c>
      <c r="B578" s="21" t="inlineStr">
        <is>
          <t>Reviewer</t>
        </is>
      </c>
      <c r="C578" s="14" t="inlineStr">
        <is>
          <t>Name of the BU reviewer</t>
        </is>
      </c>
      <c r="D578" s="14" t="inlineStr"/>
    </row>
    <row r="579">
      <c r="A579" s="12" t="inlineStr">
        <is>
          <t>Go-no-go checkpoints</t>
        </is>
      </c>
      <c r="B579" s="20" t="inlineStr">
        <is>
          <t>Review date</t>
        </is>
      </c>
      <c r="C579" s="12" t="inlineStr">
        <is>
          <t>Date of the review (dd-mmm-yyyy)</t>
        </is>
      </c>
      <c r="D579" s="12" t="inlineStr"/>
    </row>
    <row r="580">
      <c r="A580" s="14" t="inlineStr">
        <is>
          <t>Freeze windows</t>
        </is>
      </c>
      <c r="B580" s="21" t="inlineStr">
        <is>
          <t>Freeze</t>
        </is>
      </c>
      <c r="C580" s="14" t="inlineStr">
        <is>
          <t>What is frozen</t>
        </is>
      </c>
      <c r="D580" s="14" t="inlineStr"/>
    </row>
    <row r="581">
      <c r="A581" s="12" t="inlineStr">
        <is>
          <t>Freeze windows</t>
        </is>
      </c>
      <c r="B581" s="20" t="inlineStr">
        <is>
          <t>From</t>
        </is>
      </c>
      <c r="C581" s="12" t="inlineStr">
        <is>
          <t>Start</t>
        </is>
      </c>
      <c r="D581" s="12" t="inlineStr"/>
    </row>
    <row r="582">
      <c r="A582" s="14" t="inlineStr">
        <is>
          <t>Freeze windows</t>
        </is>
      </c>
      <c r="B582" s="21" t="inlineStr">
        <is>
          <t>Until</t>
        </is>
      </c>
      <c r="C582" s="14" t="inlineStr">
        <is>
          <t>End</t>
        </is>
      </c>
      <c r="D582" s="14" t="inlineStr"/>
    </row>
    <row r="583">
      <c r="A583" s="12" t="inlineStr">
        <is>
          <t>Freeze windows</t>
        </is>
      </c>
      <c r="B583" s="20" t="inlineStr">
        <is>
          <t>Scope</t>
        </is>
      </c>
      <c r="C583" s="12" t="inlineStr">
        <is>
          <t>What may not change</t>
        </is>
      </c>
      <c r="D583" s="12" t="inlineStr"/>
    </row>
    <row r="584">
      <c r="A584" s="14" t="inlineStr">
        <is>
          <t>Freeze windows</t>
        </is>
      </c>
      <c r="B584" s="21" t="inlineStr">
        <is>
          <t>Exception route</t>
        </is>
      </c>
      <c r="C584" s="14" t="inlineStr">
        <is>
          <t>How an urgent change is handled</t>
        </is>
      </c>
      <c r="D584" s="14" t="inlineStr"/>
    </row>
    <row r="585">
      <c r="A585" s="12" t="inlineStr">
        <is>
          <t>Freeze windows</t>
        </is>
      </c>
      <c r="B585" s="20" t="inlineStr">
        <is>
          <t>BU review</t>
        </is>
      </c>
      <c r="C585" s="12" t="inlineStr">
        <is>
          <t>Business unit decision on the row</t>
        </is>
      </c>
      <c r="D585" s="12" t="inlineStr">
        <is>
          <t>Accept, Change requested, Comment</t>
        </is>
      </c>
    </row>
    <row r="586">
      <c r="A586" s="14" t="inlineStr">
        <is>
          <t>Freeze windows</t>
        </is>
      </c>
      <c r="B586" s="21" t="inlineStr">
        <is>
          <t>BU comment</t>
        </is>
      </c>
      <c r="C586" s="14" t="inlineStr">
        <is>
          <t>What should change, or the comment</t>
        </is>
      </c>
      <c r="D586" s="14" t="inlineStr"/>
    </row>
    <row r="587">
      <c r="A587" s="12" t="inlineStr">
        <is>
          <t>Freeze windows</t>
        </is>
      </c>
      <c r="B587" s="20" t="inlineStr">
        <is>
          <t>Reviewer</t>
        </is>
      </c>
      <c r="C587" s="12" t="inlineStr">
        <is>
          <t>Name of the BU reviewer</t>
        </is>
      </c>
      <c r="D587" s="12" t="inlineStr"/>
    </row>
    <row r="588">
      <c r="A588" s="14" t="inlineStr">
        <is>
          <t>Freeze windows</t>
        </is>
      </c>
      <c r="B588" s="21" t="inlineStr">
        <is>
          <t>Review date</t>
        </is>
      </c>
      <c r="C588" s="14" t="inlineStr">
        <is>
          <t>Date of the review (dd-mmm-yyyy)</t>
        </is>
      </c>
      <c r="D588" s="14" t="inlineStr"/>
    </row>
    <row r="589">
      <c r="A589" s="12" t="inlineStr">
        <is>
          <t>Rollback</t>
        </is>
      </c>
      <c r="B589" s="20" t="inlineStr">
        <is>
          <t>Step</t>
        </is>
      </c>
      <c r="C589" s="12" t="inlineStr">
        <is>
          <t>Step</t>
        </is>
      </c>
      <c r="D589" s="12" t="inlineStr"/>
    </row>
    <row r="590">
      <c r="A590" s="14" t="inlineStr">
        <is>
          <t>Rollback</t>
        </is>
      </c>
      <c r="B590" s="21" t="inlineStr">
        <is>
          <t>Name</t>
        </is>
      </c>
      <c r="C590" s="14" t="inlineStr">
        <is>
          <t>Step name</t>
        </is>
      </c>
      <c r="D590" s="14" t="inlineStr"/>
    </row>
    <row r="591">
      <c r="A591" s="12" t="inlineStr">
        <is>
          <t>Rollback</t>
        </is>
      </c>
      <c r="B591" s="20" t="inlineStr">
        <is>
          <t>Action</t>
        </is>
      </c>
      <c r="C591" s="12" t="inlineStr">
        <is>
          <t>What is done</t>
        </is>
      </c>
      <c r="D591" s="12" t="inlineStr"/>
    </row>
    <row r="592">
      <c r="A592" s="14" t="inlineStr">
        <is>
          <t>Rollback</t>
        </is>
      </c>
      <c r="B592" s="21" t="inlineStr">
        <is>
          <t>Owner</t>
        </is>
      </c>
      <c r="C592" s="14" t="inlineStr">
        <is>
          <t>Role</t>
        </is>
      </c>
      <c r="D592" s="14" t="inlineStr"/>
    </row>
    <row r="593">
      <c r="A593" s="12" t="inlineStr">
        <is>
          <t>Rollback</t>
        </is>
      </c>
      <c r="B593" s="20" t="inlineStr">
        <is>
          <t>Done at</t>
        </is>
      </c>
      <c r="C593" s="12" t="inlineStr">
        <is>
          <t>Date and time</t>
        </is>
      </c>
      <c r="D593" s="12" t="inlineStr"/>
    </row>
    <row r="594">
      <c r="A594" s="14" t="inlineStr">
        <is>
          <t>Rollback</t>
        </is>
      </c>
      <c r="B594" s="21" t="inlineStr">
        <is>
          <t>BU review</t>
        </is>
      </c>
      <c r="C594" s="14" t="inlineStr">
        <is>
          <t>Business unit decision on the row</t>
        </is>
      </c>
      <c r="D594" s="14" t="inlineStr">
        <is>
          <t>Accept, Change requested, Comment</t>
        </is>
      </c>
    </row>
    <row r="595">
      <c r="A595" s="12" t="inlineStr">
        <is>
          <t>Rollback</t>
        </is>
      </c>
      <c r="B595" s="20" t="inlineStr">
        <is>
          <t>BU comment</t>
        </is>
      </c>
      <c r="C595" s="12" t="inlineStr">
        <is>
          <t>What should change, or the comment</t>
        </is>
      </c>
      <c r="D595" s="12" t="inlineStr"/>
    </row>
    <row r="596">
      <c r="A596" s="14" t="inlineStr">
        <is>
          <t>Rollback</t>
        </is>
      </c>
      <c r="B596" s="21" t="inlineStr">
        <is>
          <t>Reviewer</t>
        </is>
      </c>
      <c r="C596" s="14" t="inlineStr">
        <is>
          <t>Name of the BU reviewer</t>
        </is>
      </c>
      <c r="D596" s="14" t="inlineStr"/>
    </row>
    <row r="597">
      <c r="A597" s="12" t="inlineStr">
        <is>
          <t>Rollback</t>
        </is>
      </c>
      <c r="B597" s="20" t="inlineStr">
        <is>
          <t>Review date</t>
        </is>
      </c>
      <c r="C597" s="12" t="inlineStr">
        <is>
          <t>Date of the review (dd-mmm-yyyy)</t>
        </is>
      </c>
      <c r="D597" s="12" t="inlineStr"/>
    </row>
    <row r="598">
      <c r="A598" s="14" t="inlineStr">
        <is>
          <t>Communication</t>
        </is>
      </c>
      <c r="B598" s="21" t="inlineStr">
        <is>
          <t>No.</t>
        </is>
      </c>
      <c r="C598" s="14" t="inlineStr">
        <is>
          <t>Item</t>
        </is>
      </c>
      <c r="D598" s="14" t="inlineStr"/>
    </row>
    <row r="599">
      <c r="A599" s="12" t="inlineStr">
        <is>
          <t>Communication</t>
        </is>
      </c>
      <c r="B599" s="20" t="inlineStr">
        <is>
          <t>Message</t>
        </is>
      </c>
      <c r="C599" s="12" t="inlineStr">
        <is>
          <t>What is said</t>
        </is>
      </c>
      <c r="D599" s="12" t="inlineStr"/>
    </row>
    <row r="600">
      <c r="A600" s="14" t="inlineStr">
        <is>
          <t>Communication</t>
        </is>
      </c>
      <c r="B600" s="21" t="inlineStr">
        <is>
          <t>Audience</t>
        </is>
      </c>
      <c r="C600" s="14" t="inlineStr">
        <is>
          <t>Who receives it</t>
        </is>
      </c>
      <c r="D600" s="14" t="inlineStr"/>
    </row>
    <row r="601">
      <c r="A601" s="12" t="inlineStr">
        <is>
          <t>Communication</t>
        </is>
      </c>
      <c r="B601" s="20" t="inlineStr">
        <is>
          <t>Channel</t>
        </is>
      </c>
      <c r="C601" s="12" t="inlineStr">
        <is>
          <t>How</t>
        </is>
      </c>
      <c r="D601" s="12" t="inlineStr"/>
    </row>
    <row r="602">
      <c r="A602" s="14" t="inlineStr">
        <is>
          <t>Communication</t>
        </is>
      </c>
      <c r="B602" s="21" t="inlineStr">
        <is>
          <t>When</t>
        </is>
      </c>
      <c r="C602" s="14" t="inlineStr">
        <is>
          <t>Day</t>
        </is>
      </c>
      <c r="D602" s="14" t="inlineStr"/>
    </row>
    <row r="603">
      <c r="A603" s="12" t="inlineStr">
        <is>
          <t>Communication</t>
        </is>
      </c>
      <c r="B603" s="20" t="inlineStr">
        <is>
          <t>Owner</t>
        </is>
      </c>
      <c r="C603" s="12" t="inlineStr">
        <is>
          <t>Role</t>
        </is>
      </c>
      <c r="D603" s="12" t="inlineStr"/>
    </row>
    <row r="604">
      <c r="A604" s="14" t="inlineStr">
        <is>
          <t>Communication</t>
        </is>
      </c>
      <c r="B604" s="21" t="inlineStr">
        <is>
          <t>Sent on</t>
        </is>
      </c>
      <c r="C604" s="14" t="inlineStr">
        <is>
          <t>Date</t>
        </is>
      </c>
      <c r="D604" s="14" t="inlineStr"/>
    </row>
    <row r="605">
      <c r="A605" s="12" t="inlineStr">
        <is>
          <t>Hypercare</t>
        </is>
      </c>
      <c r="B605" s="20" t="inlineStr">
        <is>
          <t>Function</t>
        </is>
      </c>
      <c r="C605" s="12" t="inlineStr">
        <is>
          <t>Support function</t>
        </is>
      </c>
      <c r="D605" s="12" t="inlineStr"/>
    </row>
    <row r="606">
      <c r="A606" s="14" t="inlineStr">
        <is>
          <t>Hypercare</t>
        </is>
      </c>
      <c r="B606" s="21" t="inlineStr">
        <is>
          <t>Who</t>
        </is>
      </c>
      <c r="C606" s="14" t="inlineStr">
        <is>
          <t>Team</t>
        </is>
      </c>
      <c r="D606" s="14" t="inlineStr"/>
    </row>
    <row r="607">
      <c r="A607" s="12" t="inlineStr">
        <is>
          <t>Hypercare</t>
        </is>
      </c>
      <c r="B607" s="20" t="inlineStr">
        <is>
          <t>Coverage</t>
        </is>
      </c>
      <c r="C607" s="12" t="inlineStr">
        <is>
          <t>Hours</t>
        </is>
      </c>
      <c r="D607" s="12" t="inlineStr"/>
    </row>
    <row r="608">
      <c r="A608" s="14" t="inlineStr">
        <is>
          <t>Hypercare</t>
        </is>
      </c>
      <c r="B608" s="21" t="inlineStr">
        <is>
          <t>Escalates to</t>
        </is>
      </c>
      <c r="C608" s="14" t="inlineStr">
        <is>
          <t>Escalation</t>
        </is>
      </c>
      <c r="D608" s="14" t="inlineStr"/>
    </row>
    <row r="609">
      <c r="A609" s="12" t="inlineStr">
        <is>
          <t>Hypercare</t>
        </is>
      </c>
      <c r="B609" s="20" t="inlineStr">
        <is>
          <t>Names and phone (to fill)</t>
        </is>
      </c>
      <c r="C609" s="12" t="inlineStr">
        <is>
          <t>Named people</t>
        </is>
      </c>
      <c r="D609" s="12" t="inlineStr"/>
    </row>
    <row r="610">
      <c r="A610" s="14" t="inlineStr">
        <is>
          <t>Decommissioning</t>
        </is>
      </c>
      <c r="B610" s="21" t="inlineStr">
        <is>
          <t>Legacy system</t>
        </is>
      </c>
      <c r="C610" s="14" t="inlineStr">
        <is>
          <t>System or the legacy context</t>
        </is>
      </c>
      <c r="D610" s="14" t="inlineStr"/>
    </row>
    <row r="611">
      <c r="A611" s="12" t="inlineStr">
        <is>
          <t>Decommissioning</t>
        </is>
      </c>
      <c r="B611" s="20" t="inlineStr">
        <is>
          <t>No.</t>
        </is>
      </c>
      <c r="C611" s="12" t="inlineStr">
        <is>
          <t>Criterion</t>
        </is>
      </c>
      <c r="D611" s="12" t="inlineStr"/>
    </row>
    <row r="612">
      <c r="A612" s="14" t="inlineStr">
        <is>
          <t>Decommissioning</t>
        </is>
      </c>
      <c r="B612" s="21" t="inlineStr">
        <is>
          <t>Criterion</t>
        </is>
      </c>
      <c r="C612" s="14" t="inlineStr">
        <is>
          <t>Criterion</t>
        </is>
      </c>
      <c r="D612" s="14" t="inlineStr"/>
    </row>
    <row r="613">
      <c r="A613" s="12" t="inlineStr">
        <is>
          <t>Decommissioning</t>
        </is>
      </c>
      <c r="B613" s="20" t="inlineStr">
        <is>
          <t>Evidence</t>
        </is>
      </c>
      <c r="C613" s="12" t="inlineStr">
        <is>
          <t>Report, log or sign-off</t>
        </is>
      </c>
      <c r="D613" s="12" t="inlineStr"/>
    </row>
    <row r="614">
      <c r="A614" s="14" t="inlineStr">
        <is>
          <t>Decommissioning</t>
        </is>
      </c>
      <c r="B614" s="21" t="inlineStr">
        <is>
          <t>Signed by and date</t>
        </is>
      </c>
      <c r="C614" s="14" t="inlineStr">
        <is>
          <t>Signer</t>
        </is>
      </c>
      <c r="D614" s="14" t="inlineStr"/>
    </row>
    <row r="615">
      <c r="A615" s="12" t="inlineStr">
        <is>
          <t>Decommissioning</t>
        </is>
      </c>
      <c r="B615" s="20" t="inlineStr">
        <is>
          <t>Status</t>
        </is>
      </c>
      <c r="C615" s="12" t="inlineStr">
        <is>
          <t>Status</t>
        </is>
      </c>
      <c r="D615" s="12" t="inlineStr">
        <is>
          <t>OPEN, DONE, N/A</t>
        </is>
      </c>
    </row>
    <row r="616">
      <c r="A616" s="14" t="inlineStr">
        <is>
          <t>Decommissioning</t>
        </is>
      </c>
      <c r="B616" s="21" t="inlineStr">
        <is>
          <t>BU review</t>
        </is>
      </c>
      <c r="C616" s="14" t="inlineStr">
        <is>
          <t>Business unit decision on the row</t>
        </is>
      </c>
      <c r="D616" s="14" t="inlineStr">
        <is>
          <t>Accept, Change requested, Comment</t>
        </is>
      </c>
    </row>
    <row r="617">
      <c r="A617" s="12" t="inlineStr">
        <is>
          <t>Decommissioning</t>
        </is>
      </c>
      <c r="B617" s="20" t="inlineStr">
        <is>
          <t>BU comment</t>
        </is>
      </c>
      <c r="C617" s="12" t="inlineStr">
        <is>
          <t>What should change, or the comment</t>
        </is>
      </c>
      <c r="D617" s="12" t="inlineStr"/>
    </row>
    <row r="618">
      <c r="A618" s="14" t="inlineStr">
        <is>
          <t>Decommissioning</t>
        </is>
      </c>
      <c r="B618" s="21" t="inlineStr">
        <is>
          <t>Reviewer</t>
        </is>
      </c>
      <c r="C618" s="14" t="inlineStr">
        <is>
          <t>Name of the BU reviewer</t>
        </is>
      </c>
      <c r="D618" s="14" t="inlineStr"/>
    </row>
    <row r="619">
      <c r="A619" s="12" t="inlineStr">
        <is>
          <t>Decommissioning</t>
        </is>
      </c>
      <c r="B619" s="20" t="inlineStr">
        <is>
          <t>Review date</t>
        </is>
      </c>
      <c r="C619" s="12" t="inlineStr">
        <is>
          <t>Date of the review (dd-mmm-yyyy)</t>
        </is>
      </c>
      <c r="D619" s="12" t="inlineStr"/>
    </row>
    <row r="620">
      <c r="A620" s="14" t="inlineStr">
        <is>
          <t>Reconciliation sign-off</t>
        </is>
      </c>
      <c r="B620" s="21" t="inlineStr">
        <is>
          <t>Object</t>
        </is>
      </c>
      <c r="C620" s="14" t="inlineStr">
        <is>
          <t>Data object</t>
        </is>
      </c>
      <c r="D620" s="14" t="inlineStr"/>
    </row>
    <row r="621">
      <c r="A621" s="12" t="inlineStr">
        <is>
          <t>Reconciliation sign-off</t>
        </is>
      </c>
      <c r="B621" s="20" t="inlineStr">
        <is>
          <t>Data object</t>
        </is>
      </c>
      <c r="C621" s="12" t="inlineStr">
        <is>
          <t>What the object holds</t>
        </is>
      </c>
      <c r="D621" s="12" t="inlineStr"/>
    </row>
    <row r="622">
      <c r="A622" s="14" t="inlineStr">
        <is>
          <t>Reconciliation sign-off</t>
        </is>
      </c>
      <c r="B622" s="21" t="inlineStr">
        <is>
          <t>L1 counts</t>
        </is>
      </c>
      <c r="C622" s="14" t="inlineStr">
        <is>
          <t>What the count level compares</t>
        </is>
      </c>
      <c r="D622" s="14" t="inlineStr"/>
    </row>
    <row r="623">
      <c r="A623" s="12" t="inlineStr">
        <is>
          <t>Reconciliation sign-off</t>
        </is>
      </c>
      <c r="B623" s="20" t="inlineStr">
        <is>
          <t>L2 amounts</t>
        </is>
      </c>
      <c r="C623" s="12" t="inlineStr">
        <is>
          <t>What the amount level compares</t>
        </is>
      </c>
      <c r="D623" s="12" t="inlineStr"/>
    </row>
    <row r="624">
      <c r="A624" s="14" t="inlineStr">
        <is>
          <t>Reconciliation sign-off</t>
        </is>
      </c>
      <c r="B624" s="21" t="inlineStr">
        <is>
          <t>L3 hash totals</t>
        </is>
      </c>
      <c r="C624" s="14" t="inlineStr">
        <is>
          <t>What the hash level compares</t>
        </is>
      </c>
      <c r="D624" s="14" t="inlineStr"/>
    </row>
    <row r="625">
      <c r="A625" s="12" t="inlineStr">
        <is>
          <t>Reconciliation sign-off</t>
        </is>
      </c>
      <c r="B625" s="20" t="inlineStr">
        <is>
          <t>L4 fields</t>
        </is>
      </c>
      <c r="C625" s="12" t="inlineStr">
        <is>
          <t>What the field level compares</t>
        </is>
      </c>
      <c r="D625" s="12" t="inlineStr"/>
    </row>
    <row r="626">
      <c r="A626" s="14" t="inlineStr">
        <is>
          <t>Reconciliation sign-off</t>
        </is>
      </c>
      <c r="B626" s="21" t="inlineStr">
        <is>
          <t>L5 or business check</t>
        </is>
      </c>
      <c r="C626" s="14" t="inlineStr">
        <is>
          <t>GL level of the financial objects, or the business check</t>
        </is>
      </c>
      <c r="D626" s="14" t="inlineStr"/>
    </row>
    <row r="627">
      <c r="A627" s="12" t="inlineStr">
        <is>
          <t>Reconciliation sign-off</t>
        </is>
      </c>
      <c r="B627" s="20" t="inlineStr">
        <is>
          <t>Business verification sample (G6)</t>
        </is>
      </c>
      <c r="C627" s="12" t="inlineStr">
        <is>
          <t>What the data owner checks on the BIBS screens</t>
        </is>
      </c>
      <c r="D627" s="12" t="inlineStr"/>
    </row>
    <row r="628">
      <c r="A628" s="14" t="inlineStr">
        <is>
          <t>Reconciliation sign-off</t>
        </is>
      </c>
      <c r="B628" s="21" t="inlineStr">
        <is>
          <t>Signs G5</t>
        </is>
      </c>
      <c r="C628" s="14" t="inlineStr">
        <is>
          <t>Reconciliation approver (Comptrollership for financial objects)</t>
        </is>
      </c>
      <c r="D628" s="14" t="inlineStr"/>
    </row>
    <row r="629">
      <c r="A629" s="12" t="inlineStr">
        <is>
          <t>Reconciliation sign-off</t>
        </is>
      </c>
      <c r="B629" s="20" t="inlineStr">
        <is>
          <t>Run</t>
        </is>
      </c>
      <c r="C629" s="12" t="inlineStr">
        <is>
          <t>Trial migration 1 to 4, dress rehearsal or production</t>
        </is>
      </c>
      <c r="D629" s="12" t="inlineStr">
        <is>
          <t>Trial migration 1, Trial migration 2, Trial migration 3, Trial migration 4, Dress rehearsal, Production</t>
        </is>
      </c>
    </row>
    <row r="630">
      <c r="A630" s="14" t="inlineStr">
        <is>
          <t>Reconciliation sign-off</t>
        </is>
      </c>
      <c r="B630" s="21" t="inlineStr">
        <is>
          <t>Result</t>
        </is>
      </c>
      <c r="C630" s="14" t="inlineStr">
        <is>
          <t>Matched, or explained with approval</t>
        </is>
      </c>
      <c r="D630" s="14" t="inlineStr">
        <is>
          <t>Matched, Explained, Break</t>
        </is>
      </c>
    </row>
    <row r="631">
      <c r="A631" s="12" t="inlineStr">
        <is>
          <t>Reconciliation sign-off</t>
        </is>
      </c>
      <c r="B631" s="20" t="inlineStr">
        <is>
          <t>G5 signed by and date</t>
        </is>
      </c>
      <c r="C631" s="12" t="inlineStr">
        <is>
          <t>Reconciliation approver</t>
        </is>
      </c>
      <c r="D631" s="12" t="inlineStr"/>
    </row>
    <row r="632">
      <c r="A632" s="14" t="inlineStr">
        <is>
          <t>Reconciliation sign-off</t>
        </is>
      </c>
      <c r="B632" s="21" t="inlineStr">
        <is>
          <t>G6 signed by and date</t>
        </is>
      </c>
      <c r="C632" s="14" t="inlineStr">
        <is>
          <t>Data owner and Data Migration Lead</t>
        </is>
      </c>
      <c r="D632" s="14" t="inlineStr"/>
    </row>
    <row r="633">
      <c r="A633" s="12" t="inlineStr">
        <is>
          <t>Reconciliation sign-off</t>
        </is>
      </c>
      <c r="B633" s="20" t="inlineStr">
        <is>
          <t>BU review</t>
        </is>
      </c>
      <c r="C633" s="12" t="inlineStr">
        <is>
          <t>Business unit decision on the row</t>
        </is>
      </c>
      <c r="D633" s="12" t="inlineStr">
        <is>
          <t>Accept, Change requested, Comment</t>
        </is>
      </c>
    </row>
    <row r="634">
      <c r="A634" s="14" t="inlineStr">
        <is>
          <t>Reconciliation sign-off</t>
        </is>
      </c>
      <c r="B634" s="21" t="inlineStr">
        <is>
          <t>BU comment</t>
        </is>
      </c>
      <c r="C634" s="14" t="inlineStr">
        <is>
          <t>What should change, or the comment</t>
        </is>
      </c>
      <c r="D634" s="14" t="inlineStr"/>
    </row>
    <row r="635">
      <c r="A635" s="12" t="inlineStr">
        <is>
          <t>Reconciliation sign-off</t>
        </is>
      </c>
      <c r="B635" s="20" t="inlineStr">
        <is>
          <t>Reviewer</t>
        </is>
      </c>
      <c r="C635" s="12" t="inlineStr">
        <is>
          <t>Name of the BU reviewer</t>
        </is>
      </c>
      <c r="D635" s="12" t="inlineStr"/>
    </row>
    <row r="636">
      <c r="A636" s="14" t="inlineStr">
        <is>
          <t>Reconciliation sign-off</t>
        </is>
      </c>
      <c r="B636" s="21" t="inlineStr">
        <is>
          <t>Review date</t>
        </is>
      </c>
      <c r="C636" s="14" t="inlineStr">
        <is>
          <t>Date of the review (dd-mmm-yyyy)</t>
        </is>
      </c>
      <c r="D636" s="14" t="inlineStr"/>
    </row>
    <row r="637">
      <c r="A637" s="12" t="inlineStr">
        <is>
          <t>Open decisions</t>
        </is>
      </c>
      <c r="B637" s="20" t="inlineStr">
        <is>
          <t>ID</t>
        </is>
      </c>
      <c r="C637" s="12" t="inlineStr">
        <is>
          <t>Question (DMQnn) or register ID (DCR-nnn)</t>
        </is>
      </c>
      <c r="D637" s="12" t="inlineStr"/>
    </row>
    <row r="638">
      <c r="A638" s="14" t="inlineStr">
        <is>
          <t>Open decisions</t>
        </is>
      </c>
      <c r="B638" s="21" t="inlineStr">
        <is>
          <t>Register</t>
        </is>
      </c>
      <c r="C638" s="14" t="inlineStr">
        <is>
          <t>Item of the BRD discrepancy and clarification register</t>
        </is>
      </c>
      <c r="D638" s="14" t="inlineStr"/>
    </row>
    <row r="639">
      <c r="A639" s="12" t="inlineStr">
        <is>
          <t>Open decisions</t>
        </is>
      </c>
      <c r="B639" s="20" t="inlineStr">
        <is>
          <t>Topic</t>
        </is>
      </c>
      <c r="C639" s="12" t="inlineStr">
        <is>
          <t>Subject</t>
        </is>
      </c>
      <c r="D639" s="12" t="inlineStr"/>
    </row>
    <row r="640">
      <c r="A640" s="14" t="inlineStr">
        <is>
          <t>Open decisions</t>
        </is>
      </c>
      <c r="B640" s="21" t="inlineStr">
        <is>
          <t>Decision needed</t>
        </is>
      </c>
      <c r="C640" s="14" t="inlineStr">
        <is>
          <t>What BDOI decides</t>
        </is>
      </c>
      <c r="D640" s="14" t="inlineStr"/>
    </row>
    <row r="641">
      <c r="A641" s="12" t="inlineStr">
        <is>
          <t>Open decisions</t>
        </is>
      </c>
      <c r="B641" s="20" t="inlineStr">
        <is>
          <t>What waits for it</t>
        </is>
      </c>
      <c r="C641" s="12" t="inlineStr">
        <is>
          <t>Objects, gates or dates that wait for the answer</t>
        </is>
      </c>
      <c r="D641" s="12" t="inlineStr"/>
    </row>
    <row r="642">
      <c r="A642" s="14" t="inlineStr">
        <is>
          <t>Open decisions</t>
        </is>
      </c>
      <c r="B642" s="21" t="inlineStr">
        <is>
          <t>Needed by</t>
        </is>
      </c>
      <c r="C642" s="14" t="inlineStr">
        <is>
          <t>Milestone and date</t>
        </is>
      </c>
      <c r="D642" s="14" t="inlineStr"/>
    </row>
    <row r="643">
      <c r="A643" s="12" t="inlineStr">
        <is>
          <t>Open decisions</t>
        </is>
      </c>
      <c r="B643" s="20" t="inlineStr">
        <is>
          <t>BDOI owner</t>
        </is>
      </c>
      <c r="C643" s="12" t="inlineStr">
        <is>
          <t>Who answers</t>
        </is>
      </c>
      <c r="D643" s="12" t="inlineStr"/>
    </row>
    <row r="644">
      <c r="A644" s="14" t="inlineStr">
        <is>
          <t>Open decisions</t>
        </is>
      </c>
      <c r="B644" s="21" t="inlineStr">
        <is>
          <t>Status</t>
        </is>
      </c>
      <c r="C644" s="14" t="inlineStr">
        <is>
          <t>Open, Partly answered, Answered, or Recommended (answered with a recommendation that BDOI still confirms)</t>
        </is>
      </c>
      <c r="D644" s="14" t="inlineStr">
        <is>
          <t>OPEN, PARTIAL, ANSWERED, RECOMMENDED</t>
        </is>
      </c>
    </row>
    <row r="645">
      <c r="A645" s="12" t="inlineStr">
        <is>
          <t>Open decisions</t>
        </is>
      </c>
      <c r="B645" s="20" t="inlineStr">
        <is>
          <t>Answer</t>
        </is>
      </c>
      <c r="C645" s="12" t="inlineStr">
        <is>
          <t>BDOI answer and date</t>
        </is>
      </c>
      <c r="D645" s="12" t="inlineStr"/>
    </row>
    <row r="646">
      <c r="A646" s="14" t="inlineStr">
        <is>
          <t>Proposed rules</t>
        </is>
      </c>
      <c r="B646" s="21" t="inlineStr">
        <is>
          <t>Ref</t>
        </is>
      </c>
      <c r="C646" s="14" t="inlineStr">
        <is>
          <t>Proposal reference</t>
        </is>
      </c>
      <c r="D646" s="14" t="inlineStr"/>
    </row>
    <row r="647">
      <c r="A647" s="12" t="inlineStr">
        <is>
          <t>Proposed rules</t>
        </is>
      </c>
      <c r="B647" s="20" t="inlineStr">
        <is>
          <t>Topic</t>
        </is>
      </c>
      <c r="C647" s="12" t="inlineStr">
        <is>
          <t>Subject</t>
        </is>
      </c>
      <c r="D647" s="12" t="inlineStr"/>
    </row>
    <row r="648">
      <c r="A648" s="14" t="inlineStr">
        <is>
          <t>Proposed rules</t>
        </is>
      </c>
      <c r="B648" s="21" t="inlineStr">
        <is>
          <t>Proposed rule</t>
        </is>
      </c>
      <c r="C648" s="14" t="inlineStr">
        <is>
          <t>The rule proposed by the project team</t>
        </is>
      </c>
      <c r="D648" s="14" t="inlineStr"/>
    </row>
    <row r="649">
      <c r="A649" s="12" t="inlineStr">
        <is>
          <t>Proposed rules</t>
        </is>
      </c>
      <c r="B649" s="20" t="inlineStr">
        <is>
          <t>Reason</t>
        </is>
      </c>
      <c r="C649" s="12" t="inlineStr">
        <is>
          <t>Why it is proposed</t>
        </is>
      </c>
      <c r="D649" s="12" t="inlineStr"/>
    </row>
    <row r="650">
      <c r="A650" s="14" t="inlineStr">
        <is>
          <t>Proposed rules</t>
        </is>
      </c>
      <c r="B650" s="21" t="inlineStr">
        <is>
          <t>Decision requested</t>
        </is>
      </c>
      <c r="C650" s="14" t="inlineStr">
        <is>
          <t>What BDOI is asked to decide</t>
        </is>
      </c>
      <c r="D650" s="14" t="inlineStr"/>
    </row>
    <row r="651">
      <c r="A651" s="12" t="inlineStr">
        <is>
          <t>Proposed rules</t>
        </is>
      </c>
      <c r="B651" s="20" t="inlineStr">
        <is>
          <t>Open decisions</t>
        </is>
      </c>
      <c r="C651" s="12" t="inlineStr">
        <is>
          <t>Decisions it answers</t>
        </is>
      </c>
      <c r="D651" s="12" t="inlineStr"/>
    </row>
    <row r="652">
      <c r="A652" s="14" t="inlineStr">
        <is>
          <t>Proposed rules</t>
        </is>
      </c>
      <c r="B652" s="21" t="inlineStr">
        <is>
          <t>Needed by</t>
        </is>
      </c>
      <c r="C652" s="14" t="inlineStr">
        <is>
          <t>Date</t>
        </is>
      </c>
      <c r="D652" s="14" t="inlineStr"/>
    </row>
    <row r="653">
      <c r="A653" s="12" t="inlineStr">
        <is>
          <t>Proposed rules</t>
        </is>
      </c>
      <c r="B653" s="20" t="inlineStr">
        <is>
          <t>BDOI decision</t>
        </is>
      </c>
      <c r="C653" s="12" t="inlineStr">
        <is>
          <t>Agree, Agree with change, Disagree or Need more information</t>
        </is>
      </c>
      <c r="D653" s="12" t="inlineStr">
        <is>
          <t>Agree, Agree with change, Disagree, Need more information</t>
        </is>
      </c>
    </row>
    <row r="654">
      <c r="A654" s="14" t="inlineStr">
        <is>
          <t>Proposed rules</t>
        </is>
      </c>
      <c r="B654" s="21" t="inlineStr">
        <is>
          <t>Change or comment</t>
        </is>
      </c>
      <c r="C654" s="14" t="inlineStr">
        <is>
          <t>The change asked for, or the comment</t>
        </is>
      </c>
      <c r="D654" s="14" t="inlineStr"/>
    </row>
    <row r="655">
      <c r="A655" s="12" t="inlineStr">
        <is>
          <t>Proposed rules</t>
        </is>
      </c>
      <c r="B655" s="20" t="inlineStr">
        <is>
          <t>Decided by</t>
        </is>
      </c>
      <c r="C655" s="12" t="inlineStr">
        <is>
          <t>Name and unit</t>
        </is>
      </c>
      <c r="D655" s="12" t="inlineStr"/>
    </row>
    <row r="656">
      <c r="A656" s="14" t="inlineStr">
        <is>
          <t>Proposed rules</t>
        </is>
      </c>
      <c r="B656" s="21" t="inlineStr">
        <is>
          <t>Decided on</t>
        </is>
      </c>
      <c r="C656" s="14" t="inlineStr">
        <is>
          <t>Date of the decision (dd-mmm-yyyy)</t>
        </is>
      </c>
      <c r="D656" s="14" t="inlineStr"/>
    </row>
    <row r="657">
      <c r="A657" s="12" t="inlineStr">
        <is>
          <t>Screen standards</t>
        </is>
      </c>
      <c r="B657" s="20" t="inlineStr">
        <is>
          <t>No.</t>
        </is>
      </c>
      <c r="C657" s="12" t="inlineStr">
        <is>
          <t>Row number</t>
        </is>
      </c>
      <c r="D657" s="12" t="inlineStr"/>
    </row>
    <row r="658">
      <c r="A658" s="14" t="inlineStr">
        <is>
          <t>Screen standards</t>
        </is>
      </c>
      <c r="B658" s="21" t="inlineStr">
        <is>
          <t>Element</t>
        </is>
      </c>
      <c r="C658" s="14" t="inlineStr">
        <is>
          <t>Element shared by the Data Migration screens</t>
        </is>
      </c>
      <c r="D658" s="14" t="inlineStr"/>
    </row>
    <row r="659">
      <c r="A659" s="12" t="inlineStr">
        <is>
          <t>Screen standards</t>
        </is>
      </c>
      <c r="B659" s="20" t="inlineStr">
        <is>
          <t>What the user sees and does</t>
        </is>
      </c>
      <c r="C659" s="12" t="inlineStr">
        <is>
          <t>Behaviour of the element on every screen</t>
        </is>
      </c>
      <c r="D659" s="12" t="inlineStr"/>
    </row>
    <row r="660">
      <c r="A660" s="14" t="inlineStr">
        <is>
          <t>Screen standards</t>
        </is>
      </c>
      <c r="B660" s="21" t="inlineStr">
        <is>
          <t>BU review</t>
        </is>
      </c>
      <c r="C660" s="14" t="inlineStr">
        <is>
          <t>Business unit decision on the row</t>
        </is>
      </c>
      <c r="D660" s="14" t="inlineStr">
        <is>
          <t>Accept, Change requested, Comment</t>
        </is>
      </c>
    </row>
    <row r="661">
      <c r="A661" s="12" t="inlineStr">
        <is>
          <t>Screen standards</t>
        </is>
      </c>
      <c r="B661" s="20" t="inlineStr">
        <is>
          <t>BU comment</t>
        </is>
      </c>
      <c r="C661" s="12" t="inlineStr">
        <is>
          <t>What should change, or the comment</t>
        </is>
      </c>
      <c r="D661" s="12" t="inlineStr"/>
    </row>
    <row r="662">
      <c r="A662" s="14" t="inlineStr">
        <is>
          <t>Screen standards</t>
        </is>
      </c>
      <c r="B662" s="21" t="inlineStr">
        <is>
          <t>Reviewer</t>
        </is>
      </c>
      <c r="C662" s="14" t="inlineStr">
        <is>
          <t>Name of the BU reviewer</t>
        </is>
      </c>
      <c r="D662" s="14" t="inlineStr"/>
    </row>
    <row r="663">
      <c r="A663" s="12" t="inlineStr">
        <is>
          <t>Screen standards</t>
        </is>
      </c>
      <c r="B663" s="20" t="inlineStr">
        <is>
          <t>Review date</t>
        </is>
      </c>
      <c r="C663" s="12" t="inlineStr">
        <is>
          <t>Date of the review (dd-mmm-yyyy)</t>
        </is>
      </c>
      <c r="D663" s="12" t="inlineStr"/>
    </row>
    <row r="664">
      <c r="A664" s="14" t="inlineStr">
        <is>
          <t>Screen catalogue</t>
        </is>
      </c>
      <c r="B664" s="21" t="inlineStr">
        <is>
          <t>Screen ID</t>
        </is>
      </c>
      <c r="C664" s="14" t="inlineStr">
        <is>
          <t>Screen identifier used in the Data Migration Handbook</t>
        </is>
      </c>
      <c r="D664" s="14" t="inlineStr"/>
    </row>
    <row r="665">
      <c r="A665" s="12" t="inlineStr">
        <is>
          <t>Screen catalogue</t>
        </is>
      </c>
      <c r="B665" s="20" t="inlineStr">
        <is>
          <t>Area</t>
        </is>
      </c>
      <c r="C665" s="12" t="inlineStr">
        <is>
          <t>Process area</t>
        </is>
      </c>
      <c r="D665" s="12" t="inlineStr"/>
    </row>
    <row r="666">
      <c r="A666" s="14" t="inlineStr">
        <is>
          <t>Screen catalogue</t>
        </is>
      </c>
      <c r="B666" s="21" t="inlineStr">
        <is>
          <t>Screen</t>
        </is>
      </c>
      <c r="C666" s="14" t="inlineStr">
        <is>
          <t>Screen name as in the menu or page title</t>
        </is>
      </c>
      <c r="D666" s="14" t="inlineStr"/>
    </row>
    <row r="667">
      <c r="A667" s="12" t="inlineStr">
        <is>
          <t>Screen catalogue</t>
        </is>
      </c>
      <c r="B667" s="20" t="inlineStr">
        <is>
          <t>Menu path</t>
        </is>
      </c>
      <c r="C667" s="12" t="inlineStr">
        <is>
          <t>Where the screen is in the sidebar (› separates the levels)</t>
        </is>
      </c>
      <c r="D667" s="12" t="inlineStr"/>
    </row>
    <row r="668">
      <c r="A668" s="14" t="inlineStr">
        <is>
          <t>Screen catalogue</t>
        </is>
      </c>
      <c r="B668" s="21" t="inlineStr">
        <is>
          <t>Personas</t>
        </is>
      </c>
      <c r="C668" s="14" t="inlineStr">
        <is>
          <t>Roles that can open the screen (from the role grants)</t>
        </is>
      </c>
      <c r="D668" s="14" t="inlineStr"/>
    </row>
    <row r="669">
      <c r="A669" s="12" t="inlineStr">
        <is>
          <t>Screen catalogue</t>
        </is>
      </c>
      <c r="B669" s="20" t="inlineStr">
        <is>
          <t>Permission</t>
        </is>
      </c>
      <c r="C669" s="12" t="inlineStr">
        <is>
          <t>Permission(s) that open the screen</t>
        </is>
      </c>
      <c r="D669" s="12" t="inlineStr"/>
    </row>
    <row r="670">
      <c r="A670" s="14" t="inlineStr">
        <is>
          <t>Screen catalogue</t>
        </is>
      </c>
      <c r="B670" s="21" t="inlineStr">
        <is>
          <t>Purpose</t>
        </is>
      </c>
      <c r="C670" s="14" t="inlineStr">
        <is>
          <t>What the screen is for</t>
        </is>
      </c>
      <c r="D670" s="14" t="inlineStr"/>
    </row>
    <row r="671">
      <c r="A671" s="12" t="inlineStr">
        <is>
          <t>Screen catalogue</t>
        </is>
      </c>
      <c r="B671" s="20" t="inlineStr">
        <is>
          <t>Other entry points</t>
        </is>
      </c>
      <c r="C671" s="12" t="inlineStr">
        <is>
          <t>How the user reaches it from other screens</t>
        </is>
      </c>
      <c r="D671" s="12" t="inlineStr"/>
    </row>
    <row r="672">
      <c r="A672" s="14" t="inlineStr">
        <is>
          <t>Screen catalogue</t>
        </is>
      </c>
      <c r="B672" s="21" t="inlineStr">
        <is>
          <t>Expected outcome</t>
        </is>
      </c>
      <c r="C672" s="14" t="inlineStr">
        <is>
          <t>What is achieved on the screen</t>
        </is>
      </c>
      <c r="D672" s="14" t="inlineStr"/>
    </row>
    <row r="673">
      <c r="A673" s="12" t="inlineStr">
        <is>
          <t>Screen catalogue</t>
        </is>
      </c>
      <c r="B673" s="20" t="inlineStr">
        <is>
          <t>FRs</t>
        </is>
      </c>
      <c r="C673" s="12" t="inlineStr">
        <is>
          <t>Functional requirements of the Data Migration Handbook</t>
        </is>
      </c>
      <c r="D673" s="12" t="inlineStr"/>
    </row>
    <row r="674">
      <c r="A674" s="14" t="inlineStr">
        <is>
          <t>Screen catalogue</t>
        </is>
      </c>
      <c r="B674" s="21" t="inlineStr">
        <is>
          <t>Test cases</t>
        </is>
      </c>
      <c r="C674" s="14" t="inlineStr">
        <is>
          <t>Test cases of the test plan on this screen</t>
        </is>
      </c>
      <c r="D674" s="14" t="inlineStr"/>
    </row>
    <row r="675">
      <c r="A675" s="12" t="inlineStr">
        <is>
          <t>Screen catalogue</t>
        </is>
      </c>
      <c r="B675" s="20" t="inlineStr">
        <is>
          <t>Screenshots</t>
        </is>
      </c>
      <c r="C675" s="12" t="inlineStr">
        <is>
          <t>Screenshots of the screen in the Data Migration Handbook</t>
        </is>
      </c>
      <c r="D675" s="12" t="inlineStr"/>
    </row>
    <row r="676">
      <c r="A676" s="14" t="inlineStr">
        <is>
          <t>Screen catalogue</t>
        </is>
      </c>
      <c r="B676" s="21" t="inlineStr">
        <is>
          <t>Fields</t>
        </is>
      </c>
      <c r="C676" s="14" t="inlineStr">
        <is>
          <t>Number of fields and columns</t>
        </is>
      </c>
      <c r="D676" s="14" t="inlineStr"/>
    </row>
    <row r="677">
      <c r="A677" s="12" t="inlineStr">
        <is>
          <t>Screen catalogue</t>
        </is>
      </c>
      <c r="B677" s="20" t="inlineStr">
        <is>
          <t>Actions</t>
        </is>
      </c>
      <c r="C677" s="12" t="inlineStr">
        <is>
          <t>Number of actions</t>
        </is>
      </c>
      <c r="D677" s="12" t="inlineStr"/>
    </row>
    <row r="678">
      <c r="A678" s="14" t="inlineStr">
        <is>
          <t>Screen catalogue</t>
        </is>
      </c>
      <c r="B678" s="21" t="inlineStr">
        <is>
          <t>BU review</t>
        </is>
      </c>
      <c r="C678" s="14" t="inlineStr">
        <is>
          <t>Business unit decision on the row</t>
        </is>
      </c>
      <c r="D678" s="14" t="inlineStr">
        <is>
          <t>Accept, Change requested, Comment</t>
        </is>
      </c>
    </row>
    <row r="679">
      <c r="A679" s="12" t="inlineStr">
        <is>
          <t>Screen catalogue</t>
        </is>
      </c>
      <c r="B679" s="20" t="inlineStr">
        <is>
          <t>BU comment</t>
        </is>
      </c>
      <c r="C679" s="12" t="inlineStr">
        <is>
          <t>What should change, or the comment</t>
        </is>
      </c>
      <c r="D679" s="12" t="inlineStr"/>
    </row>
    <row r="680">
      <c r="A680" s="14" t="inlineStr">
        <is>
          <t>Screen catalogue</t>
        </is>
      </c>
      <c r="B680" s="21" t="inlineStr">
        <is>
          <t>Reviewer</t>
        </is>
      </c>
      <c r="C680" s="14" t="inlineStr">
        <is>
          <t>Name of the BU reviewer</t>
        </is>
      </c>
      <c r="D680" s="14" t="inlineStr"/>
    </row>
    <row r="681">
      <c r="A681" s="12" t="inlineStr">
        <is>
          <t>Screen catalogue</t>
        </is>
      </c>
      <c r="B681" s="20" t="inlineStr">
        <is>
          <t>Review date</t>
        </is>
      </c>
      <c r="C681" s="12" t="inlineStr">
        <is>
          <t>Date of the review (dd-mmm-yyyy)</t>
        </is>
      </c>
      <c r="D681" s="12" t="inlineStr"/>
    </row>
    <row r="682">
      <c r="A682" s="14" t="inlineStr">
        <is>
          <t>Field register</t>
        </is>
      </c>
      <c r="B682" s="21" t="inlineStr">
        <is>
          <t>Screen ID</t>
        </is>
      </c>
      <c r="C682" s="14" t="inlineStr">
        <is>
          <t>Screen identifier</t>
        </is>
      </c>
      <c r="D682" s="14" t="inlineStr"/>
    </row>
    <row r="683">
      <c r="A683" s="12" t="inlineStr">
        <is>
          <t>Field register</t>
        </is>
      </c>
      <c r="B683" s="20" t="inlineStr">
        <is>
          <t>Screen</t>
        </is>
      </c>
      <c r="C683" s="12" t="inlineStr">
        <is>
          <t>Screen name</t>
        </is>
      </c>
      <c r="D683" s="12" t="inlineStr"/>
    </row>
    <row r="684">
      <c r="A684" s="14" t="inlineStr">
        <is>
          <t>Field register</t>
        </is>
      </c>
      <c r="B684" s="21" t="inlineStr">
        <is>
          <t>No.</t>
        </is>
      </c>
      <c r="C684" s="14" t="inlineStr">
        <is>
          <t>Field number = callout number on the screenshot</t>
        </is>
      </c>
      <c r="D684" s="14" t="inlineStr"/>
    </row>
    <row r="685">
      <c r="A685" s="12" t="inlineStr">
        <is>
          <t>Field register</t>
        </is>
      </c>
      <c r="B685" s="20" t="inlineStr">
        <is>
          <t>Section</t>
        </is>
      </c>
      <c r="C685" s="12" t="inlineStr">
        <is>
          <t>Card, tab, step or dialog of the field</t>
        </is>
      </c>
      <c r="D685" s="12" t="inlineStr"/>
    </row>
    <row r="686">
      <c r="A686" s="14" t="inlineStr">
        <is>
          <t>Field register</t>
        </is>
      </c>
      <c r="B686" s="21" t="inlineStr">
        <is>
          <t>Field</t>
        </is>
      </c>
      <c r="C686" s="14" t="inlineStr">
        <is>
          <t>Label as shown on screen</t>
        </is>
      </c>
      <c r="D686" s="14" t="inlineStr"/>
    </row>
    <row r="687">
      <c r="A687" s="12" t="inlineStr">
        <is>
          <t>Field register</t>
        </is>
      </c>
      <c r="B687" s="20" t="inlineStr">
        <is>
          <t>Type</t>
        </is>
      </c>
      <c r="C687" s="12" t="inlineStr">
        <is>
          <t>Text, Date, Drop-down, Check box, Column, ...</t>
        </is>
      </c>
      <c r="D687" s="12" t="inlineStr"/>
    </row>
    <row r="688">
      <c r="A688" s="14" t="inlineStr">
        <is>
          <t>Field register</t>
        </is>
      </c>
      <c r="B688" s="21" t="inlineStr">
        <is>
          <t>Length / format</t>
        </is>
      </c>
      <c r="C688" s="14" t="inlineStr">
        <is>
          <t>Length, format, allowed values</t>
        </is>
      </c>
      <c r="D688" s="14" t="inlineStr"/>
    </row>
    <row r="689">
      <c r="A689" s="12" t="inlineStr">
        <is>
          <t>Field register</t>
        </is>
      </c>
      <c r="B689" s="20" t="inlineStr">
        <is>
          <t>Mandatory</t>
        </is>
      </c>
      <c r="C689" s="12" t="inlineStr">
        <is>
          <t>Y, N or the condition that makes it mandatory</t>
        </is>
      </c>
      <c r="D689" s="12" t="inlineStr"/>
    </row>
    <row r="690">
      <c r="A690" s="14" t="inlineStr">
        <is>
          <t>Field register</t>
        </is>
      </c>
      <c r="B690" s="21" t="inlineStr">
        <is>
          <t>Source / list</t>
        </is>
      </c>
      <c r="C690" s="14" t="inlineStr">
        <is>
          <t>List of values, master or record the value comes from</t>
        </is>
      </c>
      <c r="D690" s="14" t="inlineStr"/>
    </row>
    <row r="691">
      <c r="A691" s="12" t="inlineStr">
        <is>
          <t>Field register</t>
        </is>
      </c>
      <c r="B691" s="20" t="inlineStr">
        <is>
          <t>Default</t>
        </is>
      </c>
      <c r="C691" s="12" t="inlineStr">
        <is>
          <t>Value proposed by the system</t>
        </is>
      </c>
      <c r="D691" s="12" t="inlineStr"/>
    </row>
    <row r="692">
      <c r="A692" s="14" t="inlineStr">
        <is>
          <t>Field register</t>
        </is>
      </c>
      <c r="B692" s="21" t="inlineStr">
        <is>
          <t>Editable in</t>
        </is>
      </c>
      <c r="C692" s="14" t="inlineStr">
        <is>
          <t>Statuses in which the field can be changed</t>
        </is>
      </c>
      <c r="D692" s="14" t="inlineStr"/>
    </row>
    <row r="693">
      <c r="A693" s="12" t="inlineStr">
        <is>
          <t>Field register</t>
        </is>
      </c>
      <c r="B693" s="20" t="inlineStr">
        <is>
          <t>Validation rule</t>
        </is>
      </c>
      <c r="C693" s="12" t="inlineStr">
        <is>
          <t>Check applied</t>
        </is>
      </c>
      <c r="D693" s="12" t="inlineStr"/>
    </row>
    <row r="694">
      <c r="A694" s="14" t="inlineStr">
        <is>
          <t>Field register</t>
        </is>
      </c>
      <c r="B694" s="21" t="inlineStr">
        <is>
          <t>Message when it fails</t>
        </is>
      </c>
      <c r="C694" s="14" t="inlineStr">
        <is>
          <t>Message shown, exactly as on screen</t>
        </is>
      </c>
      <c r="D694" s="14" t="inlineStr"/>
    </row>
    <row r="695">
      <c r="A695" s="12" t="inlineStr">
        <is>
          <t>Field register</t>
        </is>
      </c>
      <c r="B695" s="20" t="inlineStr">
        <is>
          <t>BU review</t>
        </is>
      </c>
      <c r="C695" s="12" t="inlineStr">
        <is>
          <t>Business unit decision on the row</t>
        </is>
      </c>
      <c r="D695" s="12" t="inlineStr">
        <is>
          <t>Accept, Change requested, Comment</t>
        </is>
      </c>
    </row>
    <row r="696">
      <c r="A696" s="14" t="inlineStr">
        <is>
          <t>Field register</t>
        </is>
      </c>
      <c r="B696" s="21" t="inlineStr">
        <is>
          <t>BU comment</t>
        </is>
      </c>
      <c r="C696" s="14" t="inlineStr">
        <is>
          <t>What should change, or the comment</t>
        </is>
      </c>
      <c r="D696" s="14" t="inlineStr"/>
    </row>
    <row r="697">
      <c r="A697" s="12" t="inlineStr">
        <is>
          <t>Field register</t>
        </is>
      </c>
      <c r="B697" s="20" t="inlineStr">
        <is>
          <t>Reviewer</t>
        </is>
      </c>
      <c r="C697" s="12" t="inlineStr">
        <is>
          <t>Name of the BU reviewer</t>
        </is>
      </c>
      <c r="D697" s="12" t="inlineStr"/>
    </row>
    <row r="698">
      <c r="A698" s="14" t="inlineStr">
        <is>
          <t>Field register</t>
        </is>
      </c>
      <c r="B698" s="21" t="inlineStr">
        <is>
          <t>Review date</t>
        </is>
      </c>
      <c r="C698" s="14" t="inlineStr">
        <is>
          <t>Date of the review (dd-mmm-yyyy)</t>
        </is>
      </c>
      <c r="D698" s="14" t="inlineStr"/>
    </row>
    <row r="699">
      <c r="A699" s="12" t="inlineStr">
        <is>
          <t>Actions</t>
        </is>
      </c>
      <c r="B699" s="20" t="inlineStr">
        <is>
          <t>Screen ID</t>
        </is>
      </c>
      <c r="C699" s="12" t="inlineStr">
        <is>
          <t>Screen identifier</t>
        </is>
      </c>
      <c r="D699" s="12" t="inlineStr"/>
    </row>
    <row r="700">
      <c r="A700" s="14" t="inlineStr">
        <is>
          <t>Actions</t>
        </is>
      </c>
      <c r="B700" s="21" t="inlineStr">
        <is>
          <t>Screen</t>
        </is>
      </c>
      <c r="C700" s="14" t="inlineStr">
        <is>
          <t>Screen name</t>
        </is>
      </c>
      <c r="D700" s="14" t="inlineStr"/>
    </row>
    <row r="701">
      <c r="A701" s="12" t="inlineStr">
        <is>
          <t>Actions</t>
        </is>
      </c>
      <c r="B701" s="20" t="inlineStr">
        <is>
          <t>Button</t>
        </is>
      </c>
      <c r="C701" s="12" t="inlineStr">
        <is>
          <t>Button or link as shown</t>
        </is>
      </c>
      <c r="D701" s="12" t="inlineStr"/>
    </row>
    <row r="702">
      <c r="A702" s="14" t="inlineStr">
        <is>
          <t>Actions</t>
        </is>
      </c>
      <c r="B702" s="21" t="inlineStr">
        <is>
          <t>Who</t>
        </is>
      </c>
      <c r="C702" s="14" t="inlineStr">
        <is>
          <t>Permission or role that sees it</t>
        </is>
      </c>
      <c r="D702" s="14" t="inlineStr"/>
    </row>
    <row r="703">
      <c r="A703" s="12" t="inlineStr">
        <is>
          <t>Actions</t>
        </is>
      </c>
      <c r="B703" s="20" t="inlineStr">
        <is>
          <t>Enabled when</t>
        </is>
      </c>
      <c r="C703" s="12" t="inlineStr">
        <is>
          <t>Condition for the button to be offered</t>
        </is>
      </c>
      <c r="D703" s="12" t="inlineStr"/>
    </row>
    <row r="704">
      <c r="A704" s="14" t="inlineStr">
        <is>
          <t>Actions</t>
        </is>
      </c>
      <c r="B704" s="21" t="inlineStr">
        <is>
          <t>What happens</t>
        </is>
      </c>
      <c r="C704" s="14" t="inlineStr">
        <is>
          <t>Effect of the action</t>
        </is>
      </c>
      <c r="D704" s="14" t="inlineStr"/>
    </row>
    <row r="705">
      <c r="A705" s="12" t="inlineStr">
        <is>
          <t>Actions</t>
        </is>
      </c>
      <c r="B705" s="20" t="inlineStr">
        <is>
          <t>Resulting status</t>
        </is>
      </c>
      <c r="C705" s="12" t="inlineStr">
        <is>
          <t>Status after the action</t>
        </is>
      </c>
      <c r="D705" s="12" t="inlineStr"/>
    </row>
    <row r="706">
      <c r="A706" s="14" t="inlineStr">
        <is>
          <t>Actions</t>
        </is>
      </c>
      <c r="B706" s="21" t="inlineStr">
        <is>
          <t>Notification</t>
        </is>
      </c>
      <c r="C706" s="14" t="inlineStr">
        <is>
          <t>Notice or e-mail sent</t>
        </is>
      </c>
      <c r="D706" s="14" t="inlineStr"/>
    </row>
    <row r="707">
      <c r="A707" s="12" t="inlineStr">
        <is>
          <t>Business rules</t>
        </is>
      </c>
      <c r="B707" s="20" t="inlineStr">
        <is>
          <t>Rule ID</t>
        </is>
      </c>
      <c r="C707" s="12" t="inlineStr">
        <is>
          <t>Rule identifier in this workbook</t>
        </is>
      </c>
      <c r="D707" s="12" t="inlineStr"/>
    </row>
    <row r="708">
      <c r="A708" s="14" t="inlineStr">
        <is>
          <t>Business rules</t>
        </is>
      </c>
      <c r="B708" s="21" t="inlineStr">
        <is>
          <t>Screen ID</t>
        </is>
      </c>
      <c r="C708" s="14" t="inlineStr">
        <is>
          <t>Screen where the rule applies</t>
        </is>
      </c>
      <c r="D708" s="14" t="inlineStr"/>
    </row>
    <row r="709">
      <c r="A709" s="12" t="inlineStr">
        <is>
          <t>Business rules</t>
        </is>
      </c>
      <c r="B709" s="20" t="inlineStr">
        <is>
          <t>Screen</t>
        </is>
      </c>
      <c r="C709" s="12" t="inlineStr">
        <is>
          <t>Screen name</t>
        </is>
      </c>
      <c r="D709" s="12" t="inlineStr"/>
    </row>
    <row r="710">
      <c r="A710" s="14" t="inlineStr">
        <is>
          <t>Business rules</t>
        </is>
      </c>
      <c r="B710" s="21" t="inlineStr">
        <is>
          <t>Business rule</t>
        </is>
      </c>
      <c r="C710" s="14" t="inlineStr">
        <is>
          <t>The proposed business rule</t>
        </is>
      </c>
      <c r="D710" s="14" t="inlineStr"/>
    </row>
    <row r="711">
      <c r="A711" s="12" t="inlineStr">
        <is>
          <t>Business rules</t>
        </is>
      </c>
      <c r="B711" s="20" t="inlineStr">
        <is>
          <t>FRs</t>
        </is>
      </c>
      <c r="C711" s="12" t="inlineStr">
        <is>
          <t>Functional requirements that state the rule</t>
        </is>
      </c>
      <c r="D711" s="12" t="inlineStr"/>
    </row>
    <row r="712">
      <c r="A712" s="14" t="inlineStr">
        <is>
          <t>Business rules</t>
        </is>
      </c>
      <c r="B712" s="21" t="inlineStr">
        <is>
          <t>BU review</t>
        </is>
      </c>
      <c r="C712" s="14" t="inlineStr">
        <is>
          <t>Business unit decision on the row</t>
        </is>
      </c>
      <c r="D712" s="14" t="inlineStr">
        <is>
          <t>Accept, Change requested, Comment</t>
        </is>
      </c>
    </row>
    <row r="713">
      <c r="A713" s="12" t="inlineStr">
        <is>
          <t>Business rules</t>
        </is>
      </c>
      <c r="B713" s="20" t="inlineStr">
        <is>
          <t>BU comment</t>
        </is>
      </c>
      <c r="C713" s="12" t="inlineStr">
        <is>
          <t>What should change, or the comment</t>
        </is>
      </c>
      <c r="D713" s="12" t="inlineStr"/>
    </row>
    <row r="714">
      <c r="A714" s="14" t="inlineStr">
        <is>
          <t>Business rules</t>
        </is>
      </c>
      <c r="B714" s="21" t="inlineStr">
        <is>
          <t>Reviewer</t>
        </is>
      </c>
      <c r="C714" s="14" t="inlineStr">
        <is>
          <t>Name of the BU reviewer</t>
        </is>
      </c>
      <c r="D714" s="14" t="inlineStr"/>
    </row>
    <row r="715">
      <c r="A715" s="12" t="inlineStr">
        <is>
          <t>Business rules</t>
        </is>
      </c>
      <c r="B715" s="20" t="inlineStr">
        <is>
          <t>Review date</t>
        </is>
      </c>
      <c r="C715" s="12" t="inlineStr">
        <is>
          <t>Date of the review (dd-mmm-yyyy)</t>
        </is>
      </c>
      <c r="D715" s="12" t="inlineStr"/>
    </row>
    <row r="716">
      <c r="A716" s="14" t="inlineStr">
        <is>
          <t>Messages</t>
        </is>
      </c>
      <c r="B716" s="21" t="inlineStr">
        <is>
          <t>Message ID</t>
        </is>
      </c>
      <c r="C716" s="14" t="inlineStr">
        <is>
          <t>Message identifier in this set</t>
        </is>
      </c>
      <c r="D716" s="14" t="inlineStr"/>
    </row>
    <row r="717">
      <c r="A717" s="12" t="inlineStr">
        <is>
          <t>Messages</t>
        </is>
      </c>
      <c r="B717" s="20" t="inlineStr">
        <is>
          <t>Where it appears</t>
        </is>
      </c>
      <c r="C717" s="12" t="inlineStr">
        <is>
          <t>Screen or dialog that shows it</t>
        </is>
      </c>
      <c r="D717" s="12" t="inlineStr"/>
    </row>
    <row r="718">
      <c r="A718" s="14" t="inlineStr">
        <is>
          <t>Messages</t>
        </is>
      </c>
      <c r="B718" s="21" t="inlineStr">
        <is>
          <t>Shown by</t>
        </is>
      </c>
      <c r="C718" s="14" t="inlineStr">
        <is>
          <t>Screen (checked as you type), Server (checked on save or action) or Upload row</t>
        </is>
      </c>
      <c r="D718" s="14" t="inlineStr"/>
    </row>
    <row r="719">
      <c r="A719" s="12" t="inlineStr">
        <is>
          <t>Messages</t>
        </is>
      </c>
      <c r="B719" s="20" t="inlineStr">
        <is>
          <t>Code (not shown)</t>
        </is>
      </c>
      <c r="C719" s="12" t="inlineStr">
        <is>
          <t>Identifies the message for the project team and support; not shown on the screen</t>
        </is>
      </c>
      <c r="D719" s="12" t="inlineStr"/>
    </row>
    <row r="720">
      <c r="A720" s="14" t="inlineStr">
        <is>
          <t>Messages</t>
        </is>
      </c>
      <c r="B720" s="21" t="inlineStr">
        <is>
          <t>Message</t>
        </is>
      </c>
      <c r="C720" s="14" t="inlineStr">
        <is>
          <t>Exact text; &lt;name&gt; is filled in by the system</t>
        </is>
      </c>
      <c r="D720" s="14" t="inlineStr"/>
    </row>
    <row r="721">
      <c r="A721" s="12" t="inlineStr">
        <is>
          <t>Messages</t>
        </is>
      </c>
      <c r="B721" s="20" t="inlineStr">
        <is>
          <t>Type</t>
        </is>
      </c>
      <c r="C721" s="12" t="inlineStr">
        <is>
          <t>Validation, Error, Warning, Confirmation or Information</t>
        </is>
      </c>
      <c r="D721" s="12" t="inlineStr">
        <is>
          <t>Validation, Error, Warning, Confirmation, Information</t>
        </is>
      </c>
    </row>
    <row r="722">
      <c r="A722" s="14" t="inlineStr">
        <is>
          <t>Messages</t>
        </is>
      </c>
      <c r="B722" s="21" t="inlineStr">
        <is>
          <t>What the user does</t>
        </is>
      </c>
      <c r="C722" s="14" t="inlineStr">
        <is>
          <t>The correction or next step</t>
        </is>
      </c>
      <c r="D722" s="14" t="inlineStr"/>
    </row>
    <row r="723">
      <c r="A723" s="12" t="inlineStr">
        <is>
          <t>Messages</t>
        </is>
      </c>
      <c r="B723" s="20" t="inlineStr">
        <is>
          <t>BU review</t>
        </is>
      </c>
      <c r="C723" s="12" t="inlineStr">
        <is>
          <t>Business unit decision on the row</t>
        </is>
      </c>
      <c r="D723" s="12" t="inlineStr">
        <is>
          <t>Accept, Change requested, Comment</t>
        </is>
      </c>
    </row>
    <row r="724">
      <c r="A724" s="14" t="inlineStr">
        <is>
          <t>Messages</t>
        </is>
      </c>
      <c r="B724" s="21" t="inlineStr">
        <is>
          <t>BU comment</t>
        </is>
      </c>
      <c r="C724" s="14" t="inlineStr">
        <is>
          <t>What should change, or the comment</t>
        </is>
      </c>
      <c r="D724" s="14" t="inlineStr"/>
    </row>
    <row r="725">
      <c r="A725" s="12" t="inlineStr">
        <is>
          <t>Messages</t>
        </is>
      </c>
      <c r="B725" s="20" t="inlineStr">
        <is>
          <t>Reviewer</t>
        </is>
      </c>
      <c r="C725" s="12" t="inlineStr">
        <is>
          <t>Name of the BU reviewer</t>
        </is>
      </c>
      <c r="D725" s="12" t="inlineStr"/>
    </row>
    <row r="726">
      <c r="A726" s="14" t="inlineStr">
        <is>
          <t>Messages</t>
        </is>
      </c>
      <c r="B726" s="21" t="inlineStr">
        <is>
          <t>Review date</t>
        </is>
      </c>
      <c r="C726" s="14" t="inlineStr">
        <is>
          <t>Date of the review (dd-mmm-yyyy)</t>
        </is>
      </c>
      <c r="D726" s="14" t="inlineStr"/>
    </row>
    <row r="727">
      <c r="A727" s="12" t="inlineStr">
        <is>
          <t>Notifications</t>
        </is>
      </c>
      <c r="B727" s="20" t="inlineStr">
        <is>
          <t>ID</t>
        </is>
      </c>
      <c r="C727" s="12" t="inlineStr">
        <is>
          <t>Notification identifier</t>
        </is>
      </c>
      <c r="D727" s="12" t="inlineStr"/>
    </row>
    <row r="728">
      <c r="A728" s="14" t="inlineStr">
        <is>
          <t>Notifications</t>
        </is>
      </c>
      <c r="B728" s="21" t="inlineStr">
        <is>
          <t>Channel</t>
        </is>
      </c>
      <c r="C728" s="14" t="inlineStr">
        <is>
          <t>In-app, E-mail or Alert inbox</t>
        </is>
      </c>
      <c r="D728" s="14" t="inlineStr"/>
    </row>
    <row r="729">
      <c r="A729" s="12" t="inlineStr">
        <is>
          <t>Notifications</t>
        </is>
      </c>
      <c r="B729" s="20" t="inlineStr">
        <is>
          <t>Trigger</t>
        </is>
      </c>
      <c r="C729" s="12" t="inlineStr">
        <is>
          <t>What causes it</t>
        </is>
      </c>
      <c r="D729" s="12" t="inlineStr"/>
    </row>
    <row r="730">
      <c r="A730" s="14" t="inlineStr">
        <is>
          <t>Notifications</t>
        </is>
      </c>
      <c r="B730" s="21" t="inlineStr">
        <is>
          <t>Recipient</t>
        </is>
      </c>
      <c r="C730" s="14" t="inlineStr">
        <is>
          <t>Who receives it</t>
        </is>
      </c>
      <c r="D730" s="14" t="inlineStr"/>
    </row>
    <row r="731">
      <c r="A731" s="12" t="inlineStr">
        <is>
          <t>Notifications</t>
        </is>
      </c>
      <c r="B731" s="20" t="inlineStr">
        <is>
          <t>Template and text</t>
        </is>
      </c>
      <c r="C731" s="12" t="inlineStr">
        <is>
          <t>Subject / title and body</t>
        </is>
      </c>
      <c r="D731" s="12" t="inlineStr"/>
    </row>
    <row r="732">
      <c r="A732" s="14" t="inlineStr">
        <is>
          <t>Notifications</t>
        </is>
      </c>
      <c r="B732" s="21" t="inlineStr">
        <is>
          <t>Content</t>
        </is>
      </c>
      <c r="C732" s="14" t="inlineStr">
        <is>
          <t>Attachments and data</t>
        </is>
      </c>
      <c r="D732" s="14" t="inlineStr"/>
    </row>
    <row r="733">
      <c r="A733" s="12" t="inlineStr">
        <is>
          <t>Notifications</t>
        </is>
      </c>
      <c r="B733" s="20" t="inlineStr">
        <is>
          <t>Screen</t>
        </is>
      </c>
      <c r="C733" s="12" t="inlineStr">
        <is>
          <t>Where it is raised or opened</t>
        </is>
      </c>
      <c r="D733" s="12" t="inlineStr"/>
    </row>
    <row r="734">
      <c r="A734" s="14" t="inlineStr">
        <is>
          <t>Notifications</t>
        </is>
      </c>
      <c r="B734" s="21" t="inlineStr">
        <is>
          <t>FRs</t>
        </is>
      </c>
      <c r="C734" s="14" t="inlineStr">
        <is>
          <t>Functional requirements</t>
        </is>
      </c>
      <c r="D734" s="14" t="inlineStr"/>
    </row>
    <row r="735">
      <c r="A735" s="12" t="inlineStr">
        <is>
          <t>Menu by persona</t>
        </is>
      </c>
      <c r="B735" s="20" t="inlineStr">
        <is>
          <t>Persona</t>
        </is>
      </c>
      <c r="C735" s="12" t="inlineStr">
        <is>
          <t>Persona name</t>
        </is>
      </c>
      <c r="D735" s="12" t="inlineStr"/>
    </row>
    <row r="736">
      <c r="A736" s="14" t="inlineStr">
        <is>
          <t>Menu by persona</t>
        </is>
      </c>
      <c r="B736" s="21" t="inlineStr">
        <is>
          <t>Group</t>
        </is>
      </c>
      <c r="C736" s="14" t="inlineStr">
        <is>
          <t>Sidebar group</t>
        </is>
      </c>
      <c r="D736" s="14" t="inlineStr"/>
    </row>
    <row r="737">
      <c r="A737" s="12" t="inlineStr">
        <is>
          <t>Menu by persona</t>
        </is>
      </c>
      <c r="B737" s="20" t="inlineStr">
        <is>
          <t>Section</t>
        </is>
      </c>
      <c r="C737" s="12" t="inlineStr">
        <is>
          <t>Sidebar section</t>
        </is>
      </c>
      <c r="D737" s="12" t="inlineStr"/>
    </row>
    <row r="738">
      <c r="A738" s="14" t="inlineStr">
        <is>
          <t>Menu by persona</t>
        </is>
      </c>
      <c r="B738" s="21" t="inlineStr">
        <is>
          <t>Screen</t>
        </is>
      </c>
      <c r="C738" s="14" t="inlineStr">
        <is>
          <t>Menu entry</t>
        </is>
      </c>
      <c r="D738" s="14" t="inlineStr"/>
    </row>
    <row r="739">
      <c r="A739" s="12" t="inlineStr">
        <is>
          <t>Menu by persona</t>
        </is>
      </c>
      <c r="B739" s="20" t="inlineStr">
        <is>
          <t>BRD</t>
        </is>
      </c>
      <c r="C739" s="12" t="inlineStr">
        <is>
          <t>BRD that owns the screen</t>
        </is>
      </c>
      <c r="D739" s="12" t="inlineStr"/>
    </row>
    <row r="740">
      <c r="A740" s="14" t="inlineStr">
        <is>
          <t>Menu by persona</t>
        </is>
      </c>
      <c r="B740" s="21" t="inlineStr">
        <is>
          <t>Data Migration</t>
        </is>
      </c>
      <c r="C740" s="14" t="inlineStr">
        <is>
          <t>Yes for a screen of this set</t>
        </is>
      </c>
      <c r="D740" s="14" t="inlineStr"/>
    </row>
    <row r="741">
      <c r="A741" s="12" t="inlineStr">
        <is>
          <t>Cross-BRD contract</t>
        </is>
      </c>
      <c r="B741" s="20" t="inlineStr">
        <is>
          <t>ID</t>
        </is>
      </c>
      <c r="C741" s="12" t="inlineStr">
        <is>
          <t>Contract line</t>
        </is>
      </c>
      <c r="D741" s="12" t="inlineStr"/>
    </row>
    <row r="742">
      <c r="A742" s="14" t="inlineStr">
        <is>
          <t>Cross-BRD contract</t>
        </is>
      </c>
      <c r="B742" s="21" t="inlineStr">
        <is>
          <t>BRD or system</t>
        </is>
      </c>
      <c r="C742" s="14" t="inlineStr">
        <is>
          <t>Other BRD or external system</t>
        </is>
      </c>
      <c r="D742" s="14" t="inlineStr"/>
    </row>
    <row r="743">
      <c r="A743" s="12" t="inlineStr">
        <is>
          <t>Cross-BRD contract</t>
        </is>
      </c>
      <c r="B743" s="20" t="inlineStr">
        <is>
          <t>Direction</t>
        </is>
      </c>
      <c r="C743" s="12" t="inlineStr">
        <is>
          <t>In: taken by Data Migration; Out: handed over</t>
        </is>
      </c>
      <c r="D743" s="12" t="inlineStr"/>
    </row>
    <row r="744">
      <c r="A744" s="14" t="inlineStr">
        <is>
          <t>Cross-BRD contract</t>
        </is>
      </c>
      <c r="B744" s="21" t="inlineStr">
        <is>
          <t>What</t>
        </is>
      </c>
      <c r="C744" s="14" t="inlineStr">
        <is>
          <t>Data or function exchanged</t>
        </is>
      </c>
      <c r="D744" s="14" t="inlineStr"/>
    </row>
    <row r="745">
      <c r="A745" s="12" t="inlineStr">
        <is>
          <t>Cross-BRD contract</t>
        </is>
      </c>
      <c r="B745" s="20" t="inlineStr">
        <is>
          <t>When and how</t>
        </is>
      </c>
      <c r="C745" s="12" t="inlineStr">
        <is>
          <t>Trigger and mechanism</t>
        </is>
      </c>
      <c r="D745" s="12" t="inlineStr"/>
    </row>
    <row r="746">
      <c r="A746" s="14" t="inlineStr">
        <is>
          <t>Cross-BRD contract</t>
        </is>
      </c>
      <c r="B746" s="21" t="inlineStr">
        <is>
          <t>Owner of the data</t>
        </is>
      </c>
      <c r="C746" s="14" t="inlineStr">
        <is>
          <t>Who maintains it</t>
        </is>
      </c>
      <c r="D746" s="14" t="inlineStr"/>
    </row>
    <row r="747">
      <c r="A747" s="12" t="inlineStr">
        <is>
          <t>Cross-BRD contract</t>
        </is>
      </c>
      <c r="B747" s="20" t="inlineStr">
        <is>
          <t>Screens</t>
        </is>
      </c>
      <c r="C747" s="12" t="inlineStr">
        <is>
          <t>Data Migration screens concerned</t>
        </is>
      </c>
      <c r="D747" s="12" t="inlineStr"/>
    </row>
    <row r="748">
      <c r="A748" s="14" t="inlineStr">
        <is>
          <t>Cross-BRD contract</t>
        </is>
      </c>
      <c r="B748" s="21" t="inlineStr">
        <is>
          <t>FRs</t>
        </is>
      </c>
      <c r="C748" s="14" t="inlineStr">
        <is>
          <t>Functional requirements</t>
        </is>
      </c>
      <c r="D748" s="14" t="inlineStr"/>
    </row>
    <row r="749">
      <c r="A749" s="12" t="inlineStr">
        <is>
          <t>Comments log</t>
        </is>
      </c>
      <c r="B749" s="20" t="inlineStr">
        <is>
          <t>ID</t>
        </is>
      </c>
      <c r="C749" s="12" t="inlineStr">
        <is>
          <t>Comment identifier</t>
        </is>
      </c>
      <c r="D749" s="12" t="inlineStr"/>
    </row>
    <row r="750">
      <c r="A750" s="14" t="inlineStr">
        <is>
          <t>Comments log</t>
        </is>
      </c>
      <c r="B750" s="21" t="inlineStr">
        <is>
          <t>Raised by</t>
        </is>
      </c>
      <c r="C750" s="14" t="inlineStr">
        <is>
          <t>Name and unit of the reviewer</t>
        </is>
      </c>
      <c r="D750" s="14" t="inlineStr"/>
    </row>
    <row r="751">
      <c r="A751" s="12" t="inlineStr">
        <is>
          <t>Comments log</t>
        </is>
      </c>
      <c r="B751" s="20" t="inlineStr">
        <is>
          <t>Date</t>
        </is>
      </c>
      <c r="C751" s="12" t="inlineStr">
        <is>
          <t>Date raised</t>
        </is>
      </c>
      <c r="D751" s="12" t="inlineStr"/>
    </row>
    <row r="752">
      <c r="A752" s="14" t="inlineStr">
        <is>
          <t>Comments log</t>
        </is>
      </c>
      <c r="B752" s="21" t="inlineStr">
        <is>
          <t>Page / screen</t>
        </is>
      </c>
      <c r="C752" s="14" t="inlineStr">
        <is>
          <t>Data Migration Handbook page or section, screen ID or workbook row</t>
        </is>
      </c>
      <c r="D752" s="14" t="inlineStr"/>
    </row>
    <row r="753">
      <c r="A753" s="12" t="inlineStr">
        <is>
          <t>Comments log</t>
        </is>
      </c>
      <c r="B753" s="20" t="inlineStr">
        <is>
          <t>Type</t>
        </is>
      </c>
      <c r="C753" s="12" t="inlineStr">
        <is>
          <t>Clarification, Correction or Change request</t>
        </is>
      </c>
      <c r="D753" s="12" t="inlineStr">
        <is>
          <t>Clarification, Correction, Change request</t>
        </is>
      </c>
    </row>
    <row r="754">
      <c r="A754" s="14" t="inlineStr">
        <is>
          <t>Comments log</t>
        </is>
      </c>
      <c r="B754" s="21" t="inlineStr">
        <is>
          <t>Comment</t>
        </is>
      </c>
      <c r="C754" s="14" t="inlineStr">
        <is>
          <t>The question, the correction or the change asked for</t>
        </is>
      </c>
      <c r="D754" s="14" t="inlineStr"/>
    </row>
    <row r="755">
      <c r="A755" s="12" t="inlineStr">
        <is>
          <t>Comments log</t>
        </is>
      </c>
      <c r="B755" s="20" t="inlineStr">
        <is>
          <t>Response</t>
        </is>
      </c>
      <c r="C755" s="12" t="inlineStr">
        <is>
          <t>Answer of the project team; for a change request, its register number</t>
        </is>
      </c>
      <c r="D755" s="12" t="inlineStr"/>
    </row>
    <row r="756">
      <c r="A756" s="14" t="inlineStr">
        <is>
          <t>Comments log</t>
        </is>
      </c>
      <c r="B756" s="21" t="inlineStr">
        <is>
          <t>Status</t>
        </is>
      </c>
      <c r="C756" s="14" t="inlineStr">
        <is>
          <t>Open, Answered or Closed</t>
        </is>
      </c>
      <c r="D756" s="14" t="inlineStr">
        <is>
          <t>Open, Answered, Closed</t>
        </is>
      </c>
    </row>
    <row r="757">
      <c r="A757" s="12" t="inlineStr">
        <is>
          <t>Comments log</t>
        </is>
      </c>
      <c r="B757" s="20" t="inlineStr">
        <is>
          <t>Closed on</t>
        </is>
      </c>
      <c r="C757" s="12" t="inlineStr">
        <is>
          <t>Date closed</t>
        </is>
      </c>
      <c r="D757" s="12" t="inlineStr"/>
    </row>
    <row r="758">
      <c r="A758" s="14" t="inlineStr">
        <is>
          <t>Meeting minutes</t>
        </is>
      </c>
      <c r="B758" s="21" t="inlineStr">
        <is>
          <t>Date</t>
        </is>
      </c>
      <c r="C758" s="14" t="inlineStr">
        <is>
          <t>Date of the session</t>
        </is>
      </c>
      <c r="D758" s="14" t="inlineStr"/>
    </row>
    <row r="759">
      <c r="A759" s="12" t="inlineStr">
        <is>
          <t>Meeting minutes</t>
        </is>
      </c>
      <c r="B759" s="20" t="inlineStr">
        <is>
          <t>Session</t>
        </is>
      </c>
      <c r="C759" s="12" t="inlineStr">
        <is>
          <t>Walkthrough, Q&amp;A or sign-off meeting</t>
        </is>
      </c>
      <c r="D759" s="12" t="inlineStr"/>
    </row>
    <row r="760">
      <c r="A760" s="14" t="inlineStr">
        <is>
          <t>Meeting minutes</t>
        </is>
      </c>
      <c r="B760" s="21" t="inlineStr">
        <is>
          <t>Planned</t>
        </is>
      </c>
      <c r="C760" s="14" t="inlineStr">
        <is>
          <t>Planned date and length</t>
        </is>
      </c>
      <c r="D760" s="14" t="inlineStr"/>
    </row>
    <row r="761">
      <c r="A761" s="12" t="inlineStr">
        <is>
          <t>Meeting minutes</t>
        </is>
      </c>
      <c r="B761" s="20" t="inlineStr">
        <is>
          <t>Attendees</t>
        </is>
      </c>
      <c r="C761" s="12" t="inlineStr">
        <is>
          <t>Names and units</t>
        </is>
      </c>
      <c r="D761" s="12" t="inlineStr"/>
    </row>
    <row r="762">
      <c r="A762" s="14" t="inlineStr">
        <is>
          <t>Meeting minutes</t>
        </is>
      </c>
      <c r="B762" s="21" t="inlineStr">
        <is>
          <t>Discussion</t>
        </is>
      </c>
      <c r="C762" s="14" t="inlineStr">
        <is>
          <t>Points discussed</t>
        </is>
      </c>
      <c r="D762" s="14" t="inlineStr"/>
    </row>
    <row r="763">
      <c r="A763" s="12" t="inlineStr">
        <is>
          <t>Meeting minutes</t>
        </is>
      </c>
      <c r="B763" s="20" t="inlineStr">
        <is>
          <t>Decisions</t>
        </is>
      </c>
      <c r="C763" s="12" t="inlineStr">
        <is>
          <t>Decisions taken</t>
        </is>
      </c>
      <c r="D763" s="12" t="inlineStr"/>
    </row>
    <row r="764">
      <c r="A764" s="14" t="inlineStr">
        <is>
          <t>Meeting minutes</t>
        </is>
      </c>
      <c r="B764" s="21" t="inlineStr">
        <is>
          <t>Actions</t>
        </is>
      </c>
      <c r="C764" s="14" t="inlineStr">
        <is>
          <t>Actions, with the comment IDs</t>
        </is>
      </c>
      <c r="D764" s="14" t="inlineStr"/>
    </row>
    <row r="765">
      <c r="A765" s="12" t="inlineStr">
        <is>
          <t>Meeting minutes</t>
        </is>
      </c>
      <c r="B765" s="20" t="inlineStr">
        <is>
          <t>Owner</t>
        </is>
      </c>
      <c r="C765" s="12" t="inlineStr">
        <is>
          <t>Owner of the actions</t>
        </is>
      </c>
      <c r="D765" s="12" t="inlineStr"/>
    </row>
    <row r="766">
      <c r="A766" s="14" t="inlineStr">
        <is>
          <t>Meeting minutes</t>
        </is>
      </c>
      <c r="B766" s="21" t="inlineStr">
        <is>
          <t>Due date</t>
        </is>
      </c>
      <c r="C766" s="14" t="inlineStr">
        <is>
          <t>Due date of the actions</t>
        </is>
      </c>
      <c r="D766" s="14" t="inlineStr"/>
    </row>
    <row r="767">
      <c r="A767" s="12" t="inlineStr">
        <is>
          <t>Version history</t>
        </is>
      </c>
      <c r="B767" s="20" t="inlineStr">
        <is>
          <t>Version</t>
        </is>
      </c>
      <c r="C767" s="12" t="inlineStr">
        <is>
          <t>Version of the release set</t>
        </is>
      </c>
      <c r="D767" s="12" t="inlineStr"/>
    </row>
    <row r="768">
      <c r="A768" s="14" t="inlineStr">
        <is>
          <t>Version history</t>
        </is>
      </c>
      <c r="B768" s="21" t="inlineStr">
        <is>
          <t>Date</t>
        </is>
      </c>
      <c r="C768" s="14" t="inlineStr">
        <is>
          <t>Date of issue</t>
        </is>
      </c>
      <c r="D768" s="14" t="inlineStr"/>
    </row>
    <row r="769">
      <c r="A769" s="12" t="inlineStr">
        <is>
          <t>Version history</t>
        </is>
      </c>
      <c r="B769" s="20" t="inlineStr">
        <is>
          <t>Author</t>
        </is>
      </c>
      <c r="C769" s="12" t="inlineStr">
        <is>
          <t>Prepared by</t>
        </is>
      </c>
      <c r="D769" s="12" t="inlineStr"/>
    </row>
    <row r="770">
      <c r="A770" s="14" t="inlineStr">
        <is>
          <t>Version history</t>
        </is>
      </c>
      <c r="B770" s="21" t="inlineStr">
        <is>
          <t>Change</t>
        </is>
      </c>
      <c r="C770" s="14" t="inlineStr">
        <is>
          <t>What changed; for a revision, the comment IDs answered</t>
        </is>
      </c>
      <c r="D770" s="14" t="inlineStr"/>
    </row>
    <row r="771">
      <c r="A771" s="12" t="inlineStr">
        <is>
          <t>Version history</t>
        </is>
      </c>
      <c r="B771" s="20" t="inlineStr">
        <is>
          <t>Rows changed</t>
        </is>
      </c>
      <c r="C771" s="12" t="inlineStr">
        <is>
          <t>Sheets and rows changed</t>
        </is>
      </c>
      <c r="D771" s="12" t="inlineStr"/>
    </row>
    <row r="772">
      <c r="A772" s="14" t="inlineStr">
        <is>
          <t>Sign-off certificate</t>
        </is>
      </c>
      <c r="B772" s="21" t="inlineStr">
        <is>
          <t>Capacity</t>
        </is>
      </c>
      <c r="C772" s="14" t="inlineStr">
        <is>
          <t>Prepared by, Input provided by, Reviewed by or Approved by, as on the BRD approval sheet</t>
        </is>
      </c>
      <c r="D772" s="14" t="inlineStr"/>
    </row>
    <row r="773">
      <c r="A773" s="12" t="inlineStr">
        <is>
          <t>Sign-off certificate</t>
        </is>
      </c>
      <c r="B773" s="20" t="inlineStr">
        <is>
          <t>Role</t>
        </is>
      </c>
      <c r="C773" s="12" t="inlineStr">
        <is>
          <t>Signatory role</t>
        </is>
      </c>
      <c r="D773" s="12" t="inlineStr"/>
    </row>
    <row r="774">
      <c r="A774" s="14" t="inlineStr">
        <is>
          <t>Sign-off certificate</t>
        </is>
      </c>
      <c r="B774" s="21" t="inlineStr">
        <is>
          <t>Organisation</t>
        </is>
      </c>
      <c r="C774" s="14" t="inlineStr">
        <is>
          <t>Organisation</t>
        </is>
      </c>
      <c r="D774" s="14" t="inlineStr"/>
    </row>
    <row r="775">
      <c r="A775" s="12" t="inlineStr">
        <is>
          <t>Sign-off certificate</t>
        </is>
      </c>
      <c r="B775" s="20" t="inlineStr">
        <is>
          <t>Confirms</t>
        </is>
      </c>
      <c r="C775" s="12" t="inlineStr">
        <is>
          <t>What the signatory confirms by signing</t>
        </is>
      </c>
      <c r="D775" s="12" t="inlineStr"/>
    </row>
    <row r="776">
      <c r="A776" s="14" t="inlineStr">
        <is>
          <t>Sign-off certificate</t>
        </is>
      </c>
      <c r="B776" s="21" t="inlineStr">
        <is>
          <t>On the BRD approval sheet</t>
        </is>
      </c>
      <c r="C776" s="14" t="inlineStr">
        <is>
          <t>Where the role signs the BRD (BRD-13 approval pages p.15-16 (draft V0.01, not yet signed))</t>
        </is>
      </c>
      <c r="D776" s="14" t="inlineStr"/>
    </row>
    <row r="777">
      <c r="A777" s="12" t="inlineStr">
        <is>
          <t>Sign-off certificate</t>
        </is>
      </c>
      <c r="B777" s="20" t="inlineStr">
        <is>
          <t>Name</t>
        </is>
      </c>
      <c r="C777" s="12" t="inlineStr">
        <is>
          <t>Name of the signatory</t>
        </is>
      </c>
      <c r="D777" s="12" t="inlineStr"/>
    </row>
    <row r="778">
      <c r="A778" s="14" t="inlineStr">
        <is>
          <t>Sign-off certificate</t>
        </is>
      </c>
      <c r="B778" s="21" t="inlineStr">
        <is>
          <t>Decision</t>
        </is>
      </c>
      <c r="C778" s="14" t="inlineStr">
        <is>
          <t>Approved, Approved with comments or Not approved</t>
        </is>
      </c>
      <c r="D778" s="14" t="inlineStr">
        <is>
          <t>Approved, Approved with comments, Not approved</t>
        </is>
      </c>
    </row>
    <row r="779">
      <c r="A779" s="12" t="inlineStr">
        <is>
          <t>Sign-off certificate</t>
        </is>
      </c>
      <c r="B779" s="20" t="inlineStr">
        <is>
          <t>Comments</t>
        </is>
      </c>
      <c r="C779" s="12" t="inlineStr">
        <is>
          <t>Conditions of the approval</t>
        </is>
      </c>
      <c r="D779" s="12" t="inlineStr"/>
    </row>
    <row r="780">
      <c r="A780" s="14" t="inlineStr">
        <is>
          <t>Sign-off certificate</t>
        </is>
      </c>
      <c r="B780" s="21" t="inlineStr">
        <is>
          <t>Signature</t>
        </is>
      </c>
      <c r="C780" s="14" t="inlineStr">
        <is>
          <t>Signature</t>
        </is>
      </c>
      <c r="D780" s="14" t="inlineStr"/>
    </row>
    <row r="781">
      <c r="A781" s="12" t="inlineStr">
        <is>
          <t>Sign-off certificate</t>
        </is>
      </c>
      <c r="B781" s="20" t="inlineStr">
        <is>
          <t>Date</t>
        </is>
      </c>
      <c r="C781" s="12" t="inlineStr">
        <is>
          <t>Date of the decision</t>
        </is>
      </c>
      <c r="D781" s="12" t="inlineStr"/>
    </row>
  </sheetData>
  <autoFilter ref="A4:D781"/>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the load template sheets, Code maps, Validation rules, Reconciliation sign-off) and on the screen sheets, set BU review to Accept, Change requested or Comment for each row you review, and write the change in BU comment.</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load template sheets are the layouts of the Migration Console column for column;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How to fill sheet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&lt;LAYOUT&gt;_&lt;SOURCE&gt;_&lt;yyyyMMdd&gt;_&lt;nn&gt;.csv or .xlsx, for example F01C_EBIX_20271231_01.csv: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CSV</t>
        </is>
      </c>
      <c r="B7" s="12" t="inlineStr">
        <is>
          <t>UTF-8 without byte order mark, comma separator, double quotes around values that hold a comma, a quote or a line break, one header row with the column names exactly as in the template</t>
        </is>
      </c>
      <c r="C7" s="12" t="n"/>
      <c r="D7" s="12" t="n"/>
      <c r="E7" s="12" t="n"/>
      <c r="F7" s="25" t="n"/>
    </row>
    <row r="8">
      <c r="A8" s="12" t="inlineStr">
        <is>
          <t>Excel</t>
        </is>
      </c>
      <c r="B8" s="12" t="inlineStr">
        <is>
          <t>First sheet, header in row 1, no merged cells, no formulas</t>
        </is>
      </c>
      <c r="C8" s="12" t="n"/>
      <c r="D8" s="12" t="n"/>
      <c r="E8" s="12" t="n"/>
      <c r="F8" s="25" t="n"/>
    </row>
    <row r="9">
      <c r="A9" s="12" t="inlineStr">
        <is>
          <t>Values</t>
        </is>
      </c>
      <c r="B9" s="12" t="inlineStr">
        <is>
          <t>Dates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(first sheet with the header row, the Columns sheet with the allowed values, the How to fill sheet);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6" customWidth="1" min="2" max="2"/>
    <col width="8" customWidth="1" min="3" max="3"/>
    <col width="12" customWidth="1" min="4" max="4"/>
    <col width="30" customWidth="1" min="5" max="5"/>
    <col width="20" customWidth="1" min="6" max="6"/>
    <col width="8" customWidth="1" min="7" max="7"/>
    <col width="9" customWidth="1" min="8" max="8"/>
    <col width="26" customWidth="1" min="9" max="9"/>
    <col width="20" customWidth="1" min="10" max="10"/>
    <col width="26" customWidth="1" min="11" max="11"/>
    <col width="7" customWidth="1" min="12" max="12"/>
  </cols>
  <sheetData>
    <row r="1" ht="24" customHeight="1">
      <c r="A1" s="19" t="inlineStr">
        <is>
          <t>Load templates</t>
        </is>
      </c>
    </row>
    <row r="2">
      <c r="A2" s="22" t="inlineStr">
        <is>
          <t>The extract layouts in force; each has a sheet below and a CSV template exported by the Migration Console (Layouts and Rules)</t>
        </is>
      </c>
    </row>
    <row r="3" ht="6" customHeight="1">
      <c r="A3" s="23" t="n"/>
      <c r="B3" s="23" t="n"/>
      <c r="C3" s="23" t="n"/>
      <c r="D3" s="23" t="n"/>
      <c r="E3" s="23" t="n"/>
      <c r="F3" s="23" t="n"/>
      <c r="G3" s="23" t="n"/>
      <c r="H3" s="23" t="n"/>
      <c r="I3" s="23" t="n"/>
      <c r="J3" s="23" t="n"/>
      <c r="K3" s="23" t="n"/>
      <c r="L3" s="23" t="n"/>
    </row>
    <row r="4" ht="30" customHeight="1">
      <c r="A4" s="24" t="inlineStr">
        <is>
          <t>Layout</t>
        </is>
      </c>
      <c r="B4" s="24" t="inlineStr">
        <is>
          <t>Content</t>
        </is>
      </c>
      <c r="C4" s="24" t="inlineStr">
        <is>
          <t>Object</t>
        </is>
      </c>
      <c r="D4" s="24" t="inlineStr">
        <is>
          <t>Decision</t>
        </is>
      </c>
      <c r="E4" s="24" t="inlineStr">
        <is>
          <t>Sheet</t>
        </is>
      </c>
      <c r="F4" s="24" t="inlineStr">
        <is>
          <t>CSV template</t>
        </is>
      </c>
      <c r="G4" s="24" t="inlineStr">
        <is>
          <t>Columns</t>
        </is>
      </c>
      <c r="H4" s="24" t="inlineStr">
        <is>
          <t>Mandatory</t>
        </is>
      </c>
      <c r="I4" s="24" t="inlineStr">
        <is>
          <t>Key</t>
        </is>
      </c>
      <c r="J4" s="24" t="inlineStr">
        <is>
          <t>Hash total</t>
        </is>
      </c>
      <c r="K4" s="24" t="inlineStr">
        <is>
          <t>Amount totals</t>
        </is>
      </c>
      <c r="L4" s="24" t="inlineStr">
        <is>
          <t>Version</t>
        </is>
      </c>
    </row>
    <row r="5">
      <c r="A5" s="12" t="inlineStr">
        <is>
          <t>R01</t>
        </is>
      </c>
      <c r="B5" s="12" t="inlineStr">
        <is>
          <t>Lists of values and MIS values</t>
        </is>
      </c>
      <c r="C5" s="12" t="inlineStr">
        <is>
          <t>R01</t>
        </is>
      </c>
      <c r="D5" s="12" t="inlineStr">
        <is>
          <t>Migrate</t>
        </is>
      </c>
      <c r="E5" s="12" t="inlineStr">
        <is>
          <t>R01 Lists of values and MIS val</t>
        </is>
      </c>
      <c r="F5" s="12" t="inlineStr">
        <is>
          <t>R01_template.csv</t>
        </is>
      </c>
      <c r="G5" s="12" t="n">
        <v>8</v>
      </c>
      <c r="H5" s="12" t="n">
        <v>4</v>
      </c>
      <c r="I5" s="12" t="inlineStr">
        <is>
          <t>list_type, code</t>
        </is>
      </c>
      <c r="J5" s="12" t="inlineStr">
        <is>
          <t>Count of distinct keys</t>
        </is>
      </c>
      <c r="K5" s="12" t="inlineStr">
        <is>
          <t>-</t>
        </is>
      </c>
      <c r="L5" s="12" t="n">
        <v>1</v>
      </c>
    </row>
    <row r="6">
      <c r="A6" s="12" t="inlineStr">
        <is>
          <t>R02</t>
        </is>
      </c>
      <c r="B6" s="12" t="inlineStr">
        <is>
          <t>Branches and invoicing branches</t>
        </is>
      </c>
      <c r="C6" s="12" t="inlineStr">
        <is>
          <t>R02</t>
        </is>
      </c>
      <c r="D6" s="12" t="inlineStr">
        <is>
          <t>Migrate</t>
        </is>
      </c>
      <c r="E6" s="12" t="inlineStr">
        <is>
          <t>R02 Branches and invoicing bran</t>
        </is>
      </c>
      <c r="F6" s="12" t="inlineStr">
        <is>
          <t>R02_template.csv</t>
        </is>
      </c>
      <c r="G6" s="12" t="n">
        <v>5</v>
      </c>
      <c r="H6" s="12" t="n">
        <v>4</v>
      </c>
      <c r="I6" s="12" t="inlineStr">
        <is>
          <t>branch_code</t>
        </is>
      </c>
      <c r="J6" s="12" t="inlineStr">
        <is>
          <t>Count of distinct keys</t>
        </is>
      </c>
      <c r="K6" s="12" t="inlineStr">
        <is>
          <t>-</t>
        </is>
      </c>
      <c r="L6" s="12" t="n">
        <v>1</v>
      </c>
    </row>
    <row r="7">
      <c r="A7" s="12" t="inlineStr">
        <is>
          <t>R03</t>
        </is>
      </c>
      <c r="B7" s="12" t="inlineStr">
        <is>
          <t>Sales organisation (units and account officers)</t>
        </is>
      </c>
      <c r="C7" s="12" t="inlineStr">
        <is>
          <t>R03</t>
        </is>
      </c>
      <c r="D7" s="12" t="inlineStr">
        <is>
          <t>Migrate</t>
        </is>
      </c>
      <c r="E7" s="12" t="inlineStr">
        <is>
          <t>R03 Sales organisation (units a</t>
        </is>
      </c>
      <c r="F7" s="12" t="inlineStr">
        <is>
          <t>R03_template.csv</t>
        </is>
      </c>
      <c r="G7" s="12" t="n">
        <v>11</v>
      </c>
      <c r="H7" s="12" t="n">
        <v>3</v>
      </c>
      <c r="I7" s="12" t="inlineStr">
        <is>
          <t>record_type, unit_code, ao_user_id</t>
        </is>
      </c>
      <c r="J7" s="12" t="inlineStr">
        <is>
          <t>Row count</t>
        </is>
      </c>
      <c r="K7" s="12" t="inlineStr">
        <is>
          <t>-</t>
        </is>
      </c>
      <c r="L7" s="12" t="n">
        <v>1</v>
      </c>
    </row>
    <row r="8">
      <c r="A8" s="12" t="inlineStr">
        <is>
          <t>R04</t>
        </is>
      </c>
      <c r="B8" s="12" t="inlineStr">
        <is>
          <t>Insurers</t>
        </is>
      </c>
      <c r="C8" s="12" t="inlineStr">
        <is>
          <t>R04</t>
        </is>
      </c>
      <c r="D8" s="12" t="inlineStr">
        <is>
          <t>Migrate</t>
        </is>
      </c>
      <c r="E8" s="12" t="inlineStr">
        <is>
          <t>R04 Insurers</t>
        </is>
      </c>
      <c r="F8" s="12" t="inlineStr">
        <is>
          <t>R04_template.csv</t>
        </is>
      </c>
      <c r="G8" s="12" t="n">
        <v>10</v>
      </c>
      <c r="H8" s="12" t="n">
        <v>3</v>
      </c>
      <c r="I8" s="12" t="inlineStr">
        <is>
          <t>insurer_code</t>
        </is>
      </c>
      <c r="J8" s="12" t="inlineStr">
        <is>
          <t>Count of distinct keys</t>
        </is>
      </c>
      <c r="K8" s="12" t="inlineStr">
        <is>
          <t>-</t>
        </is>
      </c>
      <c r="L8" s="12" t="n">
        <v>1</v>
      </c>
    </row>
    <row r="9">
      <c r="A9" s="12" t="inlineStr">
        <is>
          <t>R04B</t>
        </is>
      </c>
      <c r="B9" s="12" t="inlineStr">
        <is>
          <t>Insurer branches</t>
        </is>
      </c>
      <c r="C9" s="12" t="inlineStr">
        <is>
          <t>R04</t>
        </is>
      </c>
      <c r="D9" s="12" t="inlineStr">
        <is>
          <t>Migrate</t>
        </is>
      </c>
      <c r="E9" s="12" t="inlineStr">
        <is>
          <t>R04B Insurer branches</t>
        </is>
      </c>
      <c r="F9" s="12" t="inlineStr">
        <is>
          <t>R04B_template.csv</t>
        </is>
      </c>
      <c r="G9" s="12" t="n">
        <v>7</v>
      </c>
      <c r="H9" s="12" t="n">
        <v>4</v>
      </c>
      <c r="I9" s="12" t="inlineStr">
        <is>
          <t>insurer_code, branch_code</t>
        </is>
      </c>
      <c r="J9" s="12" t="inlineStr">
        <is>
          <t>Count of distinct keys</t>
        </is>
      </c>
      <c r="K9" s="12" t="inlineStr">
        <is>
          <t>-</t>
        </is>
      </c>
      <c r="L9" s="12" t="n">
        <v>1</v>
      </c>
    </row>
    <row r="10">
      <c r="A10" s="12" t="inlineStr">
        <is>
          <t>R05</t>
        </is>
      </c>
      <c r="B10" s="12" t="inlineStr">
        <is>
          <t>Product lines, cover types, products and risk codes</t>
        </is>
      </c>
      <c r="C10" s="12" t="inlineStr">
        <is>
          <t>R05</t>
        </is>
      </c>
      <c r="D10" s="12" t="inlineStr">
        <is>
          <t>Migrate</t>
        </is>
      </c>
      <c r="E10" s="12" t="inlineStr">
        <is>
          <t>R05 Product lines, cover types,</t>
        </is>
      </c>
      <c r="F10" s="12" t="inlineStr">
        <is>
          <t>R05_template.csv</t>
        </is>
      </c>
      <c r="G10" s="12" t="n">
        <v>9</v>
      </c>
      <c r="H10" s="12" t="n">
        <v>4</v>
      </c>
      <c r="I10" s="12" t="inlineStr">
        <is>
          <t>risk_code</t>
        </is>
      </c>
      <c r="J10" s="12" t="inlineStr">
        <is>
          <t>Count of distinct keys</t>
        </is>
      </c>
      <c r="K10" s="12" t="inlineStr">
        <is>
          <t>-</t>
        </is>
      </c>
      <c r="L10" s="12" t="n">
        <v>1</v>
      </c>
    </row>
    <row r="11">
      <c r="A11" s="12" t="inlineStr">
        <is>
          <t>R06</t>
        </is>
      </c>
      <c r="B11" s="12" t="inlineStr">
        <is>
          <t>Package code map (legacy package to BIBS package version)</t>
        </is>
      </c>
      <c r="C11" s="12" t="inlineStr">
        <is>
          <t>R06</t>
        </is>
      </c>
      <c r="D11" s="12" t="inlineStr">
        <is>
          <t>Migrate</t>
        </is>
      </c>
      <c r="E11" s="12" t="inlineStr">
        <is>
          <t>R06 Package code map (legacy pa</t>
        </is>
      </c>
      <c r="F11" s="12" t="inlineStr">
        <is>
          <t>R06_template.csv</t>
        </is>
      </c>
      <c r="G11" s="12" t="n">
        <v>8</v>
      </c>
      <c r="H11" s="12" t="n">
        <v>4</v>
      </c>
      <c r="I11" s="12" t="inlineStr">
        <is>
          <t>legacy_package_code, legacy_package_version, qualifier, qualifier_value</t>
        </is>
      </c>
      <c r="J11" s="12" t="inlineStr">
        <is>
          <t>Count of distinct keys</t>
        </is>
      </c>
      <c r="K11" s="12" t="inlineStr">
        <is>
          <t>-</t>
        </is>
      </c>
      <c r="L11" s="12" t="n">
        <v>1</v>
      </c>
    </row>
    <row r="12">
      <c r="A12" s="12" t="inlineStr">
        <is>
          <t>R07</t>
        </is>
      </c>
      <c r="B12" s="12" t="inlineStr">
        <is>
          <t>Commission rates by insurer and product</t>
        </is>
      </c>
      <c r="C12" s="12" t="inlineStr">
        <is>
          <t>R07</t>
        </is>
      </c>
      <c r="D12" s="12" t="inlineStr">
        <is>
          <t>Migrate</t>
        </is>
      </c>
      <c r="E12" s="12" t="inlineStr">
        <is>
          <t>R07 Commission rates by insurer</t>
        </is>
      </c>
      <c r="F12" s="12" t="inlineStr">
        <is>
          <t>R07_template.csv</t>
        </is>
      </c>
      <c r="G12" s="12" t="n">
        <v>5</v>
      </c>
      <c r="H12" s="12" t="n">
        <v>4</v>
      </c>
      <c r="I12" s="12" t="inlineStr">
        <is>
          <t>insurer_code, risk_code, effective_from</t>
        </is>
      </c>
      <c r="J12" s="12" t="inlineStr">
        <is>
          <t>Row count</t>
        </is>
      </c>
      <c r="K12" s="12" t="inlineStr">
        <is>
          <t>-</t>
        </is>
      </c>
      <c r="L12" s="12" t="n">
        <v>1</v>
      </c>
    </row>
    <row r="13">
      <c r="A13" s="12" t="inlineStr">
        <is>
          <t>R08</t>
        </is>
      </c>
      <c r="B13" s="12" t="inlineStr">
        <is>
          <t>Chart of accounts mapping</t>
        </is>
      </c>
      <c r="C13" s="12" t="inlineStr">
        <is>
          <t>R08</t>
        </is>
      </c>
      <c r="D13" s="12" t="inlineStr">
        <is>
          <t>Migrate</t>
        </is>
      </c>
      <c r="E13" s="12" t="inlineStr">
        <is>
          <t>R08 Chart of accounts mapping</t>
        </is>
      </c>
      <c r="F13" s="12" t="inlineStr">
        <is>
          <t>R08_template.csv</t>
        </is>
      </c>
      <c r="G13" s="12" t="n">
        <v>8</v>
      </c>
      <c r="H13" s="12" t="n">
        <v>4</v>
      </c>
      <c r="I13" s="12" t="inlineStr">
        <is>
          <t>legacy_account_code</t>
        </is>
      </c>
      <c r="J13" s="12" t="inlineStr">
        <is>
          <t>Count of distinct keys</t>
        </is>
      </c>
      <c r="K13" s="12" t="inlineStr">
        <is>
          <t>-</t>
        </is>
      </c>
      <c r="L13" s="12" t="n">
        <v>1</v>
      </c>
    </row>
    <row r="14">
      <c r="A14" s="12" t="inlineStr">
        <is>
          <t>R09</t>
        </is>
      </c>
      <c r="B14" s="12" t="inlineStr">
        <is>
          <t>Payees</t>
        </is>
      </c>
      <c r="C14" s="12" t="inlineStr">
        <is>
          <t>R09</t>
        </is>
      </c>
      <c r="D14" s="12" t="inlineStr">
        <is>
          <t>Conditional</t>
        </is>
      </c>
      <c r="E14" s="12" t="inlineStr">
        <is>
          <t>R09 Payees</t>
        </is>
      </c>
      <c r="F14" s="12" t="inlineStr">
        <is>
          <t>R09_template.csv</t>
        </is>
      </c>
      <c r="G14" s="12" t="n">
        <v>11</v>
      </c>
      <c r="H14" s="12" t="n">
        <v>6</v>
      </c>
      <c r="I14" s="12" t="inlineStr">
        <is>
          <t>payee_code</t>
        </is>
      </c>
      <c r="J14" s="12" t="inlineStr">
        <is>
          <t>Count of distinct keys</t>
        </is>
      </c>
      <c r="K14" s="12" t="inlineStr">
        <is>
          <t>-</t>
        </is>
      </c>
      <c r="L14" s="12" t="n">
        <v>1</v>
      </c>
    </row>
    <row r="15">
      <c r="A15" s="12" t="inlineStr">
        <is>
          <t>R11</t>
        </is>
      </c>
      <c r="B15" s="12" t="inlineStr">
        <is>
          <t>Receipt series in use</t>
        </is>
      </c>
      <c r="C15" s="12" t="inlineStr">
        <is>
          <t>R11</t>
        </is>
      </c>
      <c r="D15" s="12" t="inlineStr">
        <is>
          <t>Carry forward</t>
        </is>
      </c>
      <c r="E15" s="12" t="inlineStr">
        <is>
          <t>R11 Receipt series in use</t>
        </is>
      </c>
      <c r="F15" s="12" t="inlineStr">
        <is>
          <t>R11_template.csv</t>
        </is>
      </c>
      <c r="G15" s="12" t="n">
        <v>8</v>
      </c>
      <c r="H15" s="12" t="n">
        <v>7</v>
      </c>
      <c r="I15" s="12" t="inlineStr">
        <is>
          <t>branch_code, kind, prefix</t>
        </is>
      </c>
      <c r="J15" s="12" t="inlineStr">
        <is>
          <t>Row count</t>
        </is>
      </c>
      <c r="K15" s="12" t="inlineStr">
        <is>
          <t>-</t>
        </is>
      </c>
      <c r="L15" s="12" t="n">
        <v>1</v>
      </c>
    </row>
    <row r="16">
      <c r="A16" s="12" t="inlineStr">
        <is>
          <t>C01</t>
        </is>
      </c>
      <c r="B16" s="12" t="inlineStr">
        <is>
          <t>Client master</t>
        </is>
      </c>
      <c r="C16" s="12" t="inlineStr">
        <is>
          <t>C01</t>
        </is>
      </c>
      <c r="D16" s="12" t="inlineStr">
        <is>
          <t>Migrate</t>
        </is>
      </c>
      <c r="E16" s="12" t="inlineStr">
        <is>
          <t>C01 Client master</t>
        </is>
      </c>
      <c r="F16" s="12" t="inlineStr">
        <is>
          <t>C01_template.csv</t>
        </is>
      </c>
      <c r="G16" s="12" t="n">
        <v>36</v>
      </c>
      <c r="H16" s="12" t="n">
        <v>6</v>
      </c>
      <c r="I16" s="12" t="inlineStr">
        <is>
          <t>legacy_client_no</t>
        </is>
      </c>
      <c r="J16" s="12" t="inlineStr">
        <is>
          <t>Count of distinct keys</t>
        </is>
      </c>
      <c r="K16" s="12" t="inlineStr">
        <is>
          <t>-</t>
        </is>
      </c>
      <c r="L16" s="12" t="n">
        <v>1</v>
      </c>
    </row>
    <row r="17">
      <c r="A17" s="12" t="inlineStr">
        <is>
          <t>C02</t>
        </is>
      </c>
      <c r="B17" s="12" t="inlineStr">
        <is>
          <t>Client addresses and contacts</t>
        </is>
      </c>
      <c r="C17" s="12" t="inlineStr">
        <is>
          <t>C01</t>
        </is>
      </c>
      <c r="D17" s="12" t="inlineStr">
        <is>
          <t>Migrate</t>
        </is>
      </c>
      <c r="E17" s="12" t="inlineStr">
        <is>
          <t>C02 Client addresses and contac</t>
        </is>
      </c>
      <c r="F17" s="12" t="inlineStr">
        <is>
          <t>C02_template.csv</t>
        </is>
      </c>
      <c r="G17" s="12" t="n">
        <v>13</v>
      </c>
      <c r="H17" s="12" t="n">
        <v>4</v>
      </c>
      <c r="I17" s="12" t="inlineStr">
        <is>
          <t>legacy_client_no, record_type, seq_no</t>
        </is>
      </c>
      <c r="J17" s="12" t="inlineStr">
        <is>
          <t>Row count</t>
        </is>
      </c>
      <c r="K17" s="12" t="inlineStr">
        <is>
          <t>-</t>
        </is>
      </c>
      <c r="L17" s="12" t="n">
        <v>1</v>
      </c>
    </row>
    <row r="18">
      <c r="A18" s="12" t="inlineStr">
        <is>
          <t>C03</t>
        </is>
      </c>
      <c r="B18" s="12" t="inlineStr">
        <is>
          <t>Client payout accounts</t>
        </is>
      </c>
      <c r="C18" s="12" t="inlineStr">
        <is>
          <t>C03</t>
        </is>
      </c>
      <c r="D18" s="12" t="inlineStr">
        <is>
          <t>Migrate</t>
        </is>
      </c>
      <c r="E18" s="12" t="inlineStr">
        <is>
          <t>C03 Client payout accounts</t>
        </is>
      </c>
      <c r="F18" s="12" t="inlineStr">
        <is>
          <t>C03_template.csv</t>
        </is>
      </c>
      <c r="G18" s="12" t="n">
        <v>6</v>
      </c>
      <c r="H18" s="12" t="n">
        <v>4</v>
      </c>
      <c r="I18" s="12" t="inlineStr">
        <is>
          <t>legacy_client_no, account_no</t>
        </is>
      </c>
      <c r="J18" s="12" t="inlineStr">
        <is>
          <t>Row count</t>
        </is>
      </c>
      <c r="K18" s="12" t="inlineStr">
        <is>
          <t>-</t>
        </is>
      </c>
      <c r="L18" s="12" t="n">
        <v>1</v>
      </c>
    </row>
    <row r="19">
      <c r="A19" s="12" t="inlineStr">
        <is>
          <t>P01</t>
        </is>
      </c>
      <c r="B19" s="12" t="inlineStr">
        <is>
          <t>In-force policy headers</t>
        </is>
      </c>
      <c r="C19" s="12" t="inlineStr">
        <is>
          <t>P01</t>
        </is>
      </c>
      <c r="D19" s="12" t="inlineStr">
        <is>
          <t>Conditional</t>
        </is>
      </c>
      <c r="E19" s="12" t="inlineStr">
        <is>
          <t>P01 In-force policy headers</t>
        </is>
      </c>
      <c r="F19" s="12" t="inlineStr">
        <is>
          <t>P01_template.csv</t>
        </is>
      </c>
      <c r="G19" s="12" t="n">
        <v>31</v>
      </c>
      <c r="H19" s="12" t="n">
        <v>20</v>
      </c>
      <c r="I19" s="12" t="inlineStr">
        <is>
          <t>legacy_policy_ref</t>
        </is>
      </c>
      <c r="J19" s="12" t="inlineStr">
        <is>
          <t>Count of distinct keys</t>
        </is>
      </c>
      <c r="K19" s="12" t="inlineStr">
        <is>
          <t>sum_insured, gross_premium, net_premium</t>
        </is>
      </c>
      <c r="L19" s="12" t="n">
        <v>1</v>
      </c>
    </row>
    <row r="20">
      <c r="A20" s="12" t="inlineStr">
        <is>
          <t>P01S</t>
        </is>
      </c>
      <c r="B20" s="12" t="inlineStr">
        <is>
          <t>Policy insurer shares</t>
        </is>
      </c>
      <c r="C20" s="12" t="inlineStr">
        <is>
          <t>P01</t>
        </is>
      </c>
      <c r="D20" s="12" t="inlineStr">
        <is>
          <t>Conditional</t>
        </is>
      </c>
      <c r="E20" s="12" t="inlineStr">
        <is>
          <t>P01S Policy insurer shares</t>
        </is>
      </c>
      <c r="F20" s="12" t="inlineStr">
        <is>
          <t>P01S_template.csv</t>
        </is>
      </c>
      <c r="G20" s="12" t="n">
        <v>6</v>
      </c>
      <c r="H20" s="12" t="n">
        <v>5</v>
      </c>
      <c r="I20" s="12" t="inlineStr">
        <is>
          <t>legacy_policy_ref, share_seq</t>
        </is>
      </c>
      <c r="J20" s="12" t="inlineStr">
        <is>
          <t>Row count</t>
        </is>
      </c>
      <c r="K20" s="12" t="inlineStr">
        <is>
          <t>-</t>
        </is>
      </c>
      <c r="L20" s="12" t="n">
        <v>1</v>
      </c>
    </row>
    <row r="21">
      <c r="A21" s="12" t="inlineStr">
        <is>
          <t>P03</t>
        </is>
      </c>
      <c r="B21" s="12" t="inlineStr">
        <is>
          <t>Renewal advices already sent before go-live (RA-sent file)</t>
        </is>
      </c>
      <c r="C21" s="12" t="inlineStr">
        <is>
          <t>P03</t>
        </is>
      </c>
      <c r="D21" s="12" t="inlineStr">
        <is>
          <t>Migrate</t>
        </is>
      </c>
      <c r="E21" s="12" t="inlineStr">
        <is>
          <t>P03 Renewal advices already sen</t>
        </is>
      </c>
      <c r="F21" s="12" t="inlineStr">
        <is>
          <t>P03_template.csv</t>
        </is>
      </c>
      <c r="G21" s="12" t="n">
        <v>13</v>
      </c>
      <c r="H21" s="12" t="n">
        <v>6</v>
      </c>
      <c r="I21" s="12" t="inlineStr">
        <is>
          <t>legacy_policy_ref</t>
        </is>
      </c>
      <c r="J21" s="12" t="inlineStr">
        <is>
          <t>Count of distinct keys</t>
        </is>
      </c>
      <c r="K21" s="12" t="inlineStr">
        <is>
          <t>proposed_premium</t>
        </is>
      </c>
      <c r="L21" s="12" t="n">
        <v>1</v>
      </c>
    </row>
    <row r="22">
      <c r="A22" s="12" t="inlineStr">
        <is>
          <t>F01</t>
        </is>
      </c>
      <c r="B22" s="12" t="inlineStr">
        <is>
          <t>Open legacy invoices - header</t>
        </is>
      </c>
      <c r="C22" s="12" t="inlineStr">
        <is>
          <t>F01</t>
        </is>
      </c>
      <c r="D22" s="12" t="inlineStr">
        <is>
          <t>Carry forward</t>
        </is>
      </c>
      <c r="E22" s="12" t="inlineStr">
        <is>
          <t>F01 Open legacy invoices - head</t>
        </is>
      </c>
      <c r="F22" s="12" t="inlineStr">
        <is>
          <t>F01_template.csv</t>
        </is>
      </c>
      <c r="G22" s="12" t="n">
        <v>38</v>
      </c>
      <c r="H22" s="12" t="n">
        <v>24</v>
      </c>
      <c r="I22" s="12" t="inlineStr">
        <is>
          <t>legacy_invoice_no</t>
        </is>
      </c>
      <c r="J22" s="12" t="inlineStr">
        <is>
          <t>Count of distinct keys</t>
        </is>
      </c>
      <c r="K22" s="12" t="inlineStr">
        <is>
          <t>gross_premium, commission, vat_on_commission</t>
        </is>
      </c>
      <c r="L22" s="12" t="n">
        <v>1</v>
      </c>
    </row>
    <row r="23">
      <c r="A23" s="12" t="inlineStr">
        <is>
          <t>F01S</t>
        </is>
      </c>
      <c r="B23" s="12" t="inlineStr">
        <is>
          <t>Open legacy invoices - insurer shares</t>
        </is>
      </c>
      <c r="C23" s="12" t="inlineStr">
        <is>
          <t>F01</t>
        </is>
      </c>
      <c r="D23" s="12" t="inlineStr">
        <is>
          <t>Carry forward</t>
        </is>
      </c>
      <c r="E23" s="12" t="inlineStr">
        <is>
          <t>F01S Open legacy invoices - ins</t>
        </is>
      </c>
      <c r="F23" s="12" t="inlineStr">
        <is>
          <t>F01S_template.csv</t>
        </is>
      </c>
      <c r="G23" s="12" t="n">
        <v>5</v>
      </c>
      <c r="H23" s="12" t="n">
        <v>5</v>
      </c>
      <c r="I23" s="12" t="inlineStr">
        <is>
          <t>legacy_invoice_no, share_seq</t>
        </is>
      </c>
      <c r="J23" s="12" t="inlineStr">
        <is>
          <t>Row count</t>
        </is>
      </c>
      <c r="K23" s="12" t="inlineStr">
        <is>
          <t>-</t>
        </is>
      </c>
      <c r="L23" s="12" t="n">
        <v>1</v>
      </c>
    </row>
    <row r="24">
      <c r="A24" s="12" t="inlineStr">
        <is>
          <t>F01C</t>
        </is>
      </c>
      <c r="B24" s="12" t="inlineStr">
        <is>
          <t>Open legacy invoices - components and positions</t>
        </is>
      </c>
      <c r="C24" s="12" t="inlineStr">
        <is>
          <t>F01</t>
        </is>
      </c>
      <c r="D24" s="12" t="inlineStr">
        <is>
          <t>Carry forward</t>
        </is>
      </c>
      <c r="E24" s="12" t="inlineStr">
        <is>
          <t>F01C Open legacy invoices - com</t>
        </is>
      </c>
      <c r="F24" s="12" t="inlineStr">
        <is>
          <t>F01C_template.csv</t>
        </is>
      </c>
      <c r="G24" s="12" t="n">
        <v>8</v>
      </c>
      <c r="H24" s="12" t="n">
        <v>8</v>
      </c>
      <c r="I24" s="12" t="inlineStr">
        <is>
          <t>legacy_invoice_no, component</t>
        </is>
      </c>
      <c r="J24" s="12" t="inlineStr">
        <is>
          <t>Row count</t>
        </is>
      </c>
      <c r="K24" s="12" t="inlineStr">
        <is>
          <t>booked, adjusted, paid, remitted, written_off, open_balance</t>
        </is>
      </c>
      <c r="L24" s="12" t="n">
        <v>1</v>
      </c>
    </row>
    <row r="25">
      <c r="A25" s="12" t="inlineStr">
        <is>
          <t>F02</t>
        </is>
      </c>
      <c r="B25" s="12" t="inlineStr">
        <is>
          <t>Unapplied premium payments (UPP)</t>
        </is>
      </c>
      <c r="C25" s="12" t="inlineStr">
        <is>
          <t>F02</t>
        </is>
      </c>
      <c r="D25" s="12" t="inlineStr">
        <is>
          <t>Carry forward</t>
        </is>
      </c>
      <c r="E25" s="12" t="inlineStr">
        <is>
          <t>F02 Unapplied premium payments</t>
        </is>
      </c>
      <c r="F25" s="12" t="inlineStr">
        <is>
          <t>F02_template.csv</t>
        </is>
      </c>
      <c r="G25" s="12" t="n">
        <v>21</v>
      </c>
      <c r="H25" s="12" t="n">
        <v>11</v>
      </c>
      <c r="I25" s="12" t="inlineStr">
        <is>
          <t>legacy_upp_ref</t>
        </is>
      </c>
      <c r="J25" s="12" t="inlineStr">
        <is>
          <t>Count of distinct keys</t>
        </is>
      </c>
      <c r="K25" s="12" t="inlineStr">
        <is>
          <t>amount, balance</t>
        </is>
      </c>
      <c r="L25" s="12" t="n">
        <v>1</v>
      </c>
    </row>
    <row r="26">
      <c r="A26" s="12" t="inlineStr">
        <is>
          <t>F03</t>
        </is>
      </c>
      <c r="B26" s="12" t="inlineStr">
        <is>
          <t>Open collection state</t>
        </is>
      </c>
      <c r="C26" s="12" t="inlineStr">
        <is>
          <t>F03</t>
        </is>
      </c>
      <c r="D26" s="12" t="inlineStr">
        <is>
          <t>Carry forward</t>
        </is>
      </c>
      <c r="E26" s="12" t="inlineStr">
        <is>
          <t>F03 Open collection state</t>
        </is>
      </c>
      <c r="F26" s="12" t="inlineStr">
        <is>
          <t>F03_template.csv</t>
        </is>
      </c>
      <c r="G26" s="12" t="n">
        <v>12</v>
      </c>
      <c r="H26" s="12" t="n">
        <v>3</v>
      </c>
      <c r="I26" s="12" t="inlineStr">
        <is>
          <t>legacy_invoice_no, record_type, seq_no</t>
        </is>
      </c>
      <c r="J26" s="12" t="inlineStr">
        <is>
          <t>Row count</t>
        </is>
      </c>
      <c r="K26" s="12" t="inlineStr">
        <is>
          <t>promise_amount, installment_amount</t>
        </is>
      </c>
      <c r="L26" s="12" t="n">
        <v>1</v>
      </c>
    </row>
    <row r="27">
      <c r="A27" s="12" t="inlineStr">
        <is>
          <t>F04</t>
        </is>
      </c>
      <c r="B27" s="12" t="inlineStr">
        <is>
          <t>Remittance in flight</t>
        </is>
      </c>
      <c r="C27" s="12" t="inlineStr">
        <is>
          <t>F04</t>
        </is>
      </c>
      <c r="D27" s="12" t="inlineStr">
        <is>
          <t>Conditional</t>
        </is>
      </c>
      <c r="E27" s="12" t="inlineStr">
        <is>
          <t>F04 Remittance in flight</t>
        </is>
      </c>
      <c r="F27" s="12" t="inlineStr">
        <is>
          <t>F04_template.csv</t>
        </is>
      </c>
      <c r="G27" s="12" t="n">
        <v>10</v>
      </c>
      <c r="H27" s="12" t="n">
        <v>6</v>
      </c>
      <c r="I27" s="12" t="inlineStr">
        <is>
          <t>legacy_batch_no, legacy_invoice_no</t>
        </is>
      </c>
      <c r="J27" s="12" t="inlineStr">
        <is>
          <t>Row count</t>
        </is>
      </c>
      <c r="K27" s="12" t="inlineStr">
        <is>
          <t>amount</t>
        </is>
      </c>
      <c r="L27" s="12" t="n">
        <v>1</v>
      </c>
    </row>
    <row r="28">
      <c r="A28" s="12" t="inlineStr">
        <is>
          <t>F06</t>
        </is>
      </c>
      <c r="B28" s="12" t="inlineStr">
        <is>
          <t>PDCs, check pick-ups and refunds in process</t>
        </is>
      </c>
      <c r="C28" s="12" t="inlineStr">
        <is>
          <t>F06</t>
        </is>
      </c>
      <c r="D28" s="12" t="inlineStr">
        <is>
          <t>Conditional</t>
        </is>
      </c>
      <c r="E28" s="12" t="inlineStr">
        <is>
          <t>F06 PDCs, check pick-ups and re</t>
        </is>
      </c>
      <c r="F28" s="12" t="inlineStr">
        <is>
          <t>F06_template.csv</t>
        </is>
      </c>
      <c r="G28" s="12" t="n">
        <v>14</v>
      </c>
      <c r="H28" s="12" t="n">
        <v>6</v>
      </c>
      <c r="I28" s="12" t="inlineStr">
        <is>
          <t>record_type, reference</t>
        </is>
      </c>
      <c r="J28" s="12" t="inlineStr">
        <is>
          <t>Row count</t>
        </is>
      </c>
      <c r="K28" s="12" t="inlineStr">
        <is>
          <t>amount</t>
        </is>
      </c>
      <c r="L28" s="12" t="n">
        <v>1</v>
      </c>
    </row>
    <row r="29">
      <c r="A29" s="12" t="inlineStr">
        <is>
          <t>G01</t>
        </is>
      </c>
      <c r="B29" s="12" t="inlineStr">
        <is>
          <t>GL opening trial balance</t>
        </is>
      </c>
      <c r="C29" s="12" t="inlineStr">
        <is>
          <t>G01</t>
        </is>
      </c>
      <c r="D29" s="12" t="inlineStr">
        <is>
          <t>Migrate</t>
        </is>
      </c>
      <c r="E29" s="12" t="inlineStr">
        <is>
          <t>G01 GL opening trial balance</t>
        </is>
      </c>
      <c r="F29" s="12" t="inlineStr">
        <is>
          <t>G01_template.csv</t>
        </is>
      </c>
      <c r="G29" s="12" t="n">
        <v>11</v>
      </c>
      <c r="H29" s="12" t="n">
        <v>9</v>
      </c>
      <c r="I29" s="12" t="inlineStr">
        <is>
          <t>tb_version, branch_code, currency, legacy_account_code, cost_center</t>
        </is>
      </c>
      <c r="J29" s="12" t="inlineStr">
        <is>
          <t>Row count</t>
        </is>
      </c>
      <c r="K29" s="12" t="inlineStr">
        <is>
          <t>debit_fc, credit_fc, debit_php, credit_php</t>
        </is>
      </c>
      <c r="L29" s="12" t="n">
        <v>1</v>
      </c>
    </row>
    <row r="30">
      <c r="A30" s="12" t="inlineStr">
        <is>
          <t>G03</t>
        </is>
      </c>
      <c r="B30" s="12" t="inlineStr">
        <is>
          <t>FY2027 true-up - legacy adjustment journal lines after the freeze</t>
        </is>
      </c>
      <c r="C30" s="12" t="inlineStr">
        <is>
          <t>G03</t>
        </is>
      </c>
      <c r="D30" s="12" t="inlineStr">
        <is>
          <t>Migrate</t>
        </is>
      </c>
      <c r="E30" s="12" t="inlineStr">
        <is>
          <t>G03 FY2027 true-up - legacy adj</t>
        </is>
      </c>
      <c r="F30" s="12" t="inlineStr">
        <is>
          <t>G03_template.csv</t>
        </is>
      </c>
      <c r="G30" s="12" t="n">
        <v>19</v>
      </c>
      <c r="H30" s="12" t="n">
        <v>17</v>
      </c>
      <c r="I30" s="12" t="inlineStr">
        <is>
          <t>legacy_journal_no, line_no</t>
        </is>
      </c>
      <c r="J30" s="12" t="inlineStr">
        <is>
          <t>Count of distinct keys</t>
        </is>
      </c>
      <c r="K30" s="12" t="inlineStr">
        <is>
          <t>debit_fc, credit_fc, debit_php, credit_php</t>
        </is>
      </c>
      <c r="L30" s="12" t="n">
        <v>1</v>
      </c>
    </row>
    <row r="31">
      <c r="A31" s="12" t="inlineStr">
        <is>
          <t>G03D</t>
        </is>
      </c>
      <c r="B31" s="12" t="inlineStr">
        <is>
          <t>FY2027 true-up - open-item detail of the lines on legacy control accounts</t>
        </is>
      </c>
      <c r="C31" s="12" t="inlineStr">
        <is>
          <t>G03</t>
        </is>
      </c>
      <c r="D31" s="12" t="inlineStr">
        <is>
          <t>Migrate</t>
        </is>
      </c>
      <c r="E31" s="12" t="inlineStr">
        <is>
          <t>G03D FY2027 true-up - open-item</t>
        </is>
      </c>
      <c r="F31" s="12" t="inlineStr">
        <is>
          <t>G03D_template.csv</t>
        </is>
      </c>
      <c r="G31" s="12" t="n">
        <v>10</v>
      </c>
      <c r="H31" s="12" t="n">
        <v>10</v>
      </c>
      <c r="I31" s="12" t="inlineStr">
        <is>
          <t>legacy_journal_no, line_no, item_ref, component</t>
        </is>
      </c>
      <c r="J31" s="12" t="inlineStr">
        <is>
          <t>Row count</t>
        </is>
      </c>
      <c r="K31" s="12" t="inlineStr">
        <is>
          <t>amount</t>
        </is>
      </c>
      <c r="L31" s="12" t="n">
        <v>1</v>
      </c>
    </row>
    <row r="32">
      <c r="A32" s="12" t="inlineStr">
        <is>
          <t>H01</t>
        </is>
      </c>
      <c r="B32" s="12" t="inlineStr">
        <is>
          <t>Archive records (closed transactions and history)</t>
        </is>
      </c>
      <c r="C32" s="12" t="inlineStr">
        <is>
          <t>H01</t>
        </is>
      </c>
      <c r="D32" s="12" t="inlineStr">
        <is>
          <t>Archive</t>
        </is>
      </c>
      <c r="E32" s="12" t="inlineStr">
        <is>
          <t>H01 Archive records (closed tra</t>
        </is>
      </c>
      <c r="F32" s="12" t="inlineStr">
        <is>
          <t>H01_template.csv</t>
        </is>
      </c>
      <c r="G32" s="12" t="n">
        <v>15</v>
      </c>
      <c r="H32" s="12" t="n">
        <v>3</v>
      </c>
      <c r="I32" s="12" t="inlineStr">
        <is>
          <t>record_type, legacy_key</t>
        </is>
      </c>
      <c r="J32" s="12" t="inlineStr">
        <is>
          <t>Count of distinct keys</t>
        </is>
      </c>
      <c r="K32" s="12" t="inlineStr">
        <is>
          <t>amount</t>
        </is>
      </c>
      <c r="L32" s="12" t="n">
        <v>1</v>
      </c>
    </row>
    <row r="33">
      <c r="A33" s="12" t="inlineStr">
        <is>
          <t>H02</t>
        </is>
      </c>
      <c r="B33" s="12" t="inlineStr">
        <is>
          <t>Archive documents index</t>
        </is>
      </c>
      <c r="C33" s="12" t="inlineStr">
        <is>
          <t>H02</t>
        </is>
      </c>
      <c r="D33" s="12" t="inlineStr">
        <is>
          <t>Archive</t>
        </is>
      </c>
      <c r="E33" s="12" t="inlineStr">
        <is>
          <t>H02 Archive documents index</t>
        </is>
      </c>
      <c r="F33" s="12" t="inlineStr">
        <is>
          <t>H02_template.csv</t>
        </is>
      </c>
      <c r="G33" s="12" t="n">
        <v>8</v>
      </c>
      <c r="H33" s="12" t="n">
        <v>6</v>
      </c>
      <c r="I33" s="12" t="inlineStr">
        <is>
          <t>record_type, legacy_key, file_name</t>
        </is>
      </c>
      <c r="J33" s="12" t="inlineStr">
        <is>
          <t>Row count</t>
        </is>
      </c>
      <c r="K33" s="12" t="inlineStr">
        <is>
          <t>-</t>
        </is>
      </c>
      <c r="L33" s="12" t="n">
        <v>1</v>
      </c>
    </row>
  </sheetData>
  <autoFilter ref="A4:L33"/>
  <mergeCells count="1">
    <mergeCell ref="A2:L2"/>
  </mergeCells>
  <conditionalFormatting sqref="A5:L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R01 Lists of values and MIS val</t>
        </is>
      </c>
    </row>
    <row r="2">
      <c r="A2" s="22" t="inlineStr">
        <is>
          <t>Layout R01 v1 of object R01: Lists of values and MIS values. Key list_type, code. Template R01_template.csv.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list_type</t>
        </is>
      </c>
      <c r="C5" s="12" t="inlineStr">
        <is>
          <t>Legacy name of the list (for example MARKET_SEGMENT, BUSINESS_ORIGIN, CUSTOMER_SEGMENT, REGION, AREA, DEPARTMENT, ACCOUNT_TYPE, ID_TYPE, NATIONALITY)</t>
        </is>
      </c>
      <c r="D5" s="12" t="inlineStr">
        <is>
          <t>Code</t>
        </is>
      </c>
      <c r="E5" s="12" t="inlineStr">
        <is>
          <t>40</t>
        </is>
      </c>
      <c r="F5" s="12" t="inlineStr">
        <is>
          <t>Y</t>
        </is>
      </c>
      <c r="G5" s="12" t="inlineStr">
        <is>
          <t>Legacy list names; one code map set LOV:&lt;list&gt; or MIS:&lt;field&gt; per list</t>
        </is>
      </c>
      <c r="H5" s="12" t="inlineStr">
        <is>
          <t>Upper case</t>
        </is>
      </c>
      <c r="I5" s="12" t="inlineStr">
        <is>
          <t>MARKET_SEGMENT</t>
        </is>
      </c>
      <c r="J5" s="12" t="inlineStr">
        <is>
          <t>Known list name</t>
        </is>
      </c>
      <c r="K5" s="12" t="n"/>
      <c r="L5" s="12" t="n"/>
      <c r="M5" s="12" t="n"/>
      <c r="N5" s="25" t="n"/>
    </row>
    <row r="6">
      <c r="A6" s="12" t="n">
        <v>2</v>
      </c>
      <c r="B6" s="12" t="inlineStr">
        <is>
          <t>code</t>
        </is>
      </c>
      <c r="C6" s="12" t="inlineStr">
        <is>
          <t>Legacy value code</t>
        </is>
      </c>
      <c r="D6" s="12" t="inlineStr">
        <is>
          <t>Code</t>
        </is>
      </c>
      <c r="E6" s="12" t="inlineStr">
        <is>
          <t>40</t>
        </is>
      </c>
      <c r="F6" s="12" t="inlineStr">
        <is>
          <t>Y</t>
        </is>
      </c>
      <c r="G6" s="12" t="inlineStr"/>
      <c r="H6" s="12" t="inlineStr">
        <is>
          <t>As stored in legacy</t>
        </is>
      </c>
      <c r="I6" s="12" t="inlineStr">
        <is>
          <t>CBG</t>
        </is>
      </c>
      <c r="J6" s="12" t="inlineStr">
        <is>
          <t>Unique per list_type</t>
        </is>
      </c>
      <c r="K6" s="12" t="n"/>
      <c r="L6" s="12" t="n"/>
      <c r="M6" s="12" t="n"/>
      <c r="N6" s="25" t="n"/>
    </row>
    <row r="7">
      <c r="A7" s="12" t="n">
        <v>3</v>
      </c>
      <c r="B7" s="12" t="inlineStr">
        <is>
          <t>description</t>
        </is>
      </c>
      <c r="C7" s="12" t="inlineStr">
        <is>
          <t>Legacy value description</t>
        </is>
      </c>
      <c r="D7" s="12" t="inlineStr">
        <is>
          <t>Text</t>
        </is>
      </c>
      <c r="E7" s="12" t="inlineStr">
        <is>
          <t>200</t>
        </is>
      </c>
      <c r="F7" s="12" t="inlineStr">
        <is>
          <t>Y</t>
        </is>
      </c>
      <c r="G7" s="12" t="inlineStr"/>
      <c r="H7" s="12" t="inlineStr">
        <is>
          <t>Free text</t>
        </is>
      </c>
      <c r="I7" s="12" t="inlineStr">
        <is>
          <t>Consumer Banking Group</t>
        </is>
      </c>
      <c r="J7" s="12" t="inlineStr">
        <is>
          <t>Not blank</t>
        </is>
      </c>
      <c r="K7" s="12" t="n"/>
      <c r="L7" s="12" t="n"/>
      <c r="M7" s="12" t="n"/>
      <c r="N7" s="25" t="n"/>
    </row>
    <row r="8">
      <c r="A8" s="12" t="n">
        <v>4</v>
      </c>
      <c r="B8" s="12" t="inlineStr">
        <is>
          <t>parent_code</t>
        </is>
      </c>
      <c r="C8" s="12" t="inlineStr">
        <is>
          <t>Code of the parent value for hierarchical lists (area under region)</t>
        </is>
      </c>
      <c r="D8" s="12" t="inlineStr">
        <is>
          <t>Code</t>
        </is>
      </c>
      <c r="E8" s="12" t="inlineStr">
        <is>
          <t>40</t>
        </is>
      </c>
      <c r="F8" s="12" t="inlineStr">
        <is>
          <t>N</t>
        </is>
      </c>
      <c r="G8" s="12" t="inlineStr">
        <is>
          <t>Codes of the same file</t>
        </is>
      </c>
      <c r="H8" s="12" t="inlineStr"/>
      <c r="I8" s="12" t="inlineStr">
        <is>
          <t>NCR</t>
        </is>
      </c>
      <c r="J8" s="12" t="inlineStr">
        <is>
          <t>Parent exists in the file</t>
        </is>
      </c>
      <c r="K8" s="12" t="n"/>
      <c r="L8" s="12" t="n"/>
      <c r="M8" s="12" t="n"/>
      <c r="N8" s="25" t="n"/>
    </row>
    <row r="9">
      <c r="A9" s="12" t="n">
        <v>5</v>
      </c>
      <c r="B9" s="12" t="inlineStr">
        <is>
          <t>active_flag</t>
        </is>
      </c>
      <c r="C9" s="12" t="inlineStr">
        <is>
          <t>Value in use in legacy</t>
        </is>
      </c>
      <c r="D9" s="12" t="inlineStr">
        <is>
          <t>Flag</t>
        </is>
      </c>
      <c r="E9" s="12" t="inlineStr">
        <is>
          <t>1</t>
        </is>
      </c>
      <c r="F9" s="12" t="inlineStr">
        <is>
          <t>Y</t>
        </is>
      </c>
      <c r="G9" s="12" t="inlineStr">
        <is>
          <t>Y, N</t>
        </is>
      </c>
      <c r="H9" s="12" t="inlineStr">
        <is>
          <t>Y or N</t>
        </is>
      </c>
      <c r="I9" s="12" t="inlineStr">
        <is>
          <t>Y</t>
        </is>
      </c>
      <c r="J9" s="12" t="inlineStr">
        <is>
          <t>Y or N</t>
        </is>
      </c>
      <c r="K9" s="12" t="n"/>
      <c r="L9" s="12" t="n"/>
      <c r="M9" s="12" t="n"/>
      <c r="N9" s="25" t="n"/>
    </row>
    <row r="10">
      <c r="A10" s="12" t="n">
        <v>6</v>
      </c>
      <c r="B10" s="12" t="inlineStr">
        <is>
          <t>effective_from</t>
        </is>
      </c>
      <c r="C10" s="12" t="inlineStr">
        <is>
          <t>First day the value is valid</t>
        </is>
      </c>
      <c r="D10" s="12" t="inlineStr">
        <is>
          <t>Date</t>
        </is>
      </c>
      <c r="E10" s="12" t="inlineStr">
        <is>
          <t>10</t>
        </is>
      </c>
      <c r="F10" s="12" t="inlineStr">
        <is>
          <t>N</t>
        </is>
      </c>
      <c r="G10" s="12" t="inlineStr"/>
      <c r="H10" s="12" t="inlineStr">
        <is>
          <t>yyyy-MM-dd</t>
        </is>
      </c>
      <c r="I10" s="12" t="inlineStr">
        <is>
          <t>2020-01-01</t>
        </is>
      </c>
      <c r="J10" s="12" t="inlineStr">
        <is>
          <t>Valid date</t>
        </is>
      </c>
      <c r="K10" s="12" t="n"/>
      <c r="L10" s="12" t="n"/>
      <c r="M10" s="12" t="n"/>
      <c r="N10" s="25" t="n"/>
    </row>
    <row r="11">
      <c r="A11" s="12" t="n">
        <v>7</v>
      </c>
      <c r="B11" s="12" t="inlineStr">
        <is>
          <t>effective_to</t>
        </is>
      </c>
      <c r="C11" s="12" t="inlineStr">
        <is>
          <t>Last day the value is valid</t>
        </is>
      </c>
      <c r="D11" s="12" t="inlineStr">
        <is>
          <t>Date</t>
        </is>
      </c>
      <c r="E11" s="12" t="inlineStr">
        <is>
          <t>10</t>
        </is>
      </c>
      <c r="F11" s="12" t="inlineStr">
        <is>
          <t>N</t>
        </is>
      </c>
      <c r="G11" s="12" t="inlineStr"/>
      <c r="H11" s="12" t="inlineStr">
        <is>
          <t>yyyy-MM-dd</t>
        </is>
      </c>
      <c r="I11" s="12" t="inlineStr"/>
      <c r="J11" s="12" t="inlineStr">
        <is>
          <t>Not before effective_from</t>
        </is>
      </c>
      <c r="K11" s="12" t="n"/>
      <c r="L11" s="12" t="n"/>
      <c r="M11" s="12" t="n"/>
      <c r="N11" s="25" t="n"/>
    </row>
    <row r="12">
      <c r="A12" s="12" t="n">
        <v>8</v>
      </c>
      <c r="B12" s="12" t="inlineStr">
        <is>
          <t>used_count</t>
        </is>
      </c>
      <c r="C12" s="12" t="inlineStr">
        <is>
          <t>Number of legacy records that use the value (helps the mapping)</t>
        </is>
      </c>
      <c r="D12" s="12" t="inlineStr">
        <is>
          <t>Integer</t>
        </is>
      </c>
      <c r="E12" s="12" t="inlineStr">
        <is>
          <t>9</t>
        </is>
      </c>
      <c r="F12" s="12" t="inlineStr">
        <is>
          <t>N</t>
        </is>
      </c>
      <c r="G12" s="12" t="inlineStr"/>
      <c r="H12" s="12" t="inlineStr">
        <is>
          <t>Digits</t>
        </is>
      </c>
      <c r="I12" s="12" t="inlineStr">
        <is>
          <t>1520</t>
        </is>
      </c>
      <c r="J12" s="12" t="inlineStr">
        <is>
          <t>0 or more</t>
        </is>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'_lists'!$F$1:$F$3</formula1>
    </dataValidation>
    <dataValidation sqref="K5:K512" showDropDown="0" showInputMessage="0" showErrorMessage="1" allowBlank="1" errorTitle="BU review" error="Choose a value from the list (BU review)." type="list">
      <formula1>'_lists'!$G$1:$G$3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N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R02 Branches and invoicing bran</t>
        </is>
      </c>
    </row>
    <row r="2">
      <c r="A2" s="22" t="inlineStr">
        <is>
          <t>Layout R02 v1 of object R02: Branches and invoicing branches. Key branch_code. Template R02_template.csv.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branch_code</t>
        </is>
      </c>
      <c r="C5" s="12" t="inlineStr">
        <is>
          <t>Legacy branch code</t>
        </is>
      </c>
      <c r="D5" s="12" t="inlineStr">
        <is>
          <t>Code</t>
        </is>
      </c>
      <c r="E5" s="12" t="inlineStr">
        <is>
          <t>20</t>
        </is>
      </c>
      <c r="F5" s="12" t="inlineStr">
        <is>
          <t>Y</t>
        </is>
      </c>
      <c r="G5" s="12" t="inlineStr"/>
      <c r="H5" s="12" t="inlineStr">
        <is>
          <t>As stored in legacy</t>
        </is>
      </c>
      <c r="I5" s="12" t="inlineStr">
        <is>
          <t>MKT01</t>
        </is>
      </c>
      <c r="J5" s="12" t="inlineStr">
        <is>
          <t>Unique</t>
        </is>
      </c>
      <c r="K5" s="12" t="n"/>
      <c r="L5" s="12" t="n"/>
      <c r="M5" s="12" t="n"/>
      <c r="N5" s="25" t="n"/>
    </row>
    <row r="6">
      <c r="A6" s="12" t="n">
        <v>2</v>
      </c>
      <c r="B6" s="12" t="inlineStr">
        <is>
          <t>branch_name</t>
        </is>
      </c>
      <c r="C6" s="12" t="inlineStr">
        <is>
          <t>Branch name</t>
        </is>
      </c>
      <c r="D6" s="12" t="inlineStr">
        <is>
          <t>Text</t>
        </is>
      </c>
      <c r="E6" s="12" t="inlineStr">
        <is>
          <t>120</t>
        </is>
      </c>
      <c r="F6" s="12" t="inlineStr">
        <is>
          <t>Y</t>
        </is>
      </c>
      <c r="G6" s="12" t="inlineStr"/>
      <c r="H6" s="12" t="inlineStr">
        <is>
          <t>Free text</t>
        </is>
      </c>
      <c r="I6" s="12" t="inlineStr">
        <is>
          <t>Makati Head Office</t>
        </is>
      </c>
      <c r="J6" s="12" t="inlineStr">
        <is>
          <t>Not blank</t>
        </is>
      </c>
      <c r="K6" s="12" t="n"/>
      <c r="L6" s="12" t="n"/>
      <c r="M6" s="12" t="n"/>
      <c r="N6" s="25" t="n"/>
    </row>
    <row r="7">
      <c r="A7" s="12" t="n">
        <v>3</v>
      </c>
      <c r="B7" s="12" t="inlineStr">
        <is>
          <t>invoicing_branch_flag</t>
        </is>
      </c>
      <c r="C7" s="12" t="inlineStr">
        <is>
          <t>Branch issues invoices and receipts</t>
        </is>
      </c>
      <c r="D7" s="12" t="inlineStr">
        <is>
          <t>Flag</t>
        </is>
      </c>
      <c r="E7" s="12" t="inlineStr">
        <is>
          <t>1</t>
        </is>
      </c>
      <c r="F7" s="12" t="inlineStr">
        <is>
          <t>Y</t>
        </is>
      </c>
      <c r="G7" s="12" t="inlineStr">
        <is>
          <t>Y, N</t>
        </is>
      </c>
      <c r="H7" s="12" t="inlineStr">
        <is>
          <t>Y or N</t>
        </is>
      </c>
      <c r="I7" s="12" t="inlineStr">
        <is>
          <t>Y</t>
        </is>
      </c>
      <c r="J7" s="12" t="inlineStr">
        <is>
          <t>Y or N</t>
        </is>
      </c>
      <c r="K7" s="12" t="n"/>
      <c r="L7" s="12" t="n"/>
      <c r="M7" s="12" t="n"/>
      <c r="N7" s="25" t="n"/>
    </row>
    <row r="8">
      <c r="A8" s="12" t="n">
        <v>4</v>
      </c>
      <c r="B8" s="12" t="inlineStr">
        <is>
          <t>city</t>
        </is>
      </c>
      <c r="C8" s="12" t="inlineStr">
        <is>
          <t>City of the branch</t>
        </is>
      </c>
      <c r="D8" s="12" t="inlineStr">
        <is>
          <t>Text</t>
        </is>
      </c>
      <c r="E8" s="12" t="inlineStr">
        <is>
          <t>80</t>
        </is>
      </c>
      <c r="F8" s="12" t="inlineStr">
        <is>
          <t>N</t>
        </is>
      </c>
      <c r="G8" s="12" t="inlineStr"/>
      <c r="H8" s="12" t="inlineStr">
        <is>
          <t>Free text</t>
        </is>
      </c>
      <c r="I8" s="12" t="inlineStr">
        <is>
          <t>Makati City</t>
        </is>
      </c>
      <c r="J8" s="12" t="inlineStr"/>
      <c r="K8" s="12" t="n"/>
      <c r="L8" s="12" t="n"/>
      <c r="M8" s="12" t="n"/>
      <c r="N8" s="25" t="n"/>
    </row>
    <row r="9">
      <c r="A9" s="12" t="n">
        <v>5</v>
      </c>
      <c r="B9" s="12" t="inlineStr">
        <is>
          <t>active_flag</t>
        </is>
      </c>
      <c r="C9" s="12" t="inlineStr">
        <is>
          <t>Branch active in legacy</t>
        </is>
      </c>
      <c r="D9" s="12" t="inlineStr">
        <is>
          <t>Flag</t>
        </is>
      </c>
      <c r="E9" s="12" t="inlineStr">
        <is>
          <t>1</t>
        </is>
      </c>
      <c r="F9" s="12" t="inlineStr">
        <is>
          <t>Y</t>
        </is>
      </c>
      <c r="G9" s="12" t="inlineStr">
        <is>
          <t>Y, N</t>
        </is>
      </c>
      <c r="H9" s="12" t="inlineStr">
        <is>
          <t>Y or N</t>
        </is>
      </c>
      <c r="I9" s="12" t="inlineStr">
        <is>
          <t>Y</t>
        </is>
      </c>
      <c r="J9" s="12" t="inlineStr">
        <is>
          <t>Y or N</t>
        </is>
      </c>
      <c r="K9" s="12" t="n"/>
      <c r="L9" s="12" t="n"/>
      <c r="M9" s="12" t="n"/>
      <c r="N9" s="25" t="n"/>
    </row>
  </sheetData>
  <autoFilter ref="A4:N9"/>
  <mergeCells count="1">
    <mergeCell ref="A2:N2"/>
  </mergeCells>
  <conditionalFormatting sqref="A5:N509">
    <cfRule type="expression" priority="1" dxfId="0">
      <formula>AND(MOD(ROW(),2)=0,$A5&lt;&gt;"")</formula>
    </cfRule>
  </conditionalFormatting>
  <dataValidations count="3">
    <dataValidation sqref="F5:F509" showDropDown="0" showInputMessage="0" showErrorMessage="1" allowBlank="1" errorTitle="Mandatory" error="Choose a value from the list (Mandatory)." type="list">
      <formula1>'_lists'!$H$1:$H$3</formula1>
    </dataValidation>
    <dataValidation sqref="K5:K509" showDropDown="0" showInputMessage="0" showErrorMessage="1" allowBlank="1" errorTitle="BU review" error="Choose a value from the list (BU review)." type="list">
      <formula1>'_lists'!$I$1:$I$3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N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R03 Sales organisation (units a</t>
        </is>
      </c>
    </row>
    <row r="2">
      <c r="A2" s="22" t="inlineStr">
        <is>
          <t>Layout R03 v1 of object R03: Sales organisation (units and account officers). Key record_type, unit_code, ao_user_id. Template R03_template.csv.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row</t>
        </is>
      </c>
      <c r="D5" s="12" t="inlineStr">
        <is>
          <t>Code</t>
        </is>
      </c>
      <c r="E5" s="12" t="inlineStr">
        <is>
          <t>12</t>
        </is>
      </c>
      <c r="F5" s="12" t="inlineStr">
        <is>
          <t>Y</t>
        </is>
      </c>
      <c r="G5" s="12" t="inlineStr">
        <is>
          <t>REGION, DEPARTMENT, TEAM, AO</t>
        </is>
      </c>
      <c r="H5" s="12" t="inlineStr">
        <is>
          <t>Upper case</t>
        </is>
      </c>
      <c r="I5" s="12" t="inlineStr">
        <is>
          <t>TEAM</t>
        </is>
      </c>
      <c r="J5" s="12" t="inlineStr">
        <is>
          <t>In the list</t>
        </is>
      </c>
      <c r="K5" s="12" t="n"/>
      <c r="L5" s="12" t="n"/>
      <c r="M5" s="12" t="n"/>
      <c r="N5" s="25" t="n"/>
    </row>
    <row r="6">
      <c r="A6" s="12" t="n">
        <v>2</v>
      </c>
      <c r="B6" s="12" t="inlineStr">
        <is>
          <t>unit_code</t>
        </is>
      </c>
      <c r="C6" s="12" t="inlineStr">
        <is>
          <t>Legacy code of the unit (for an AO row, the team of the AO)</t>
        </is>
      </c>
      <c r="D6" s="12" t="inlineStr">
        <is>
          <t>Code</t>
        </is>
      </c>
      <c r="E6" s="12" t="inlineStr">
        <is>
          <t>20</t>
        </is>
      </c>
      <c r="F6" s="12" t="inlineStr">
        <is>
          <t>Y</t>
        </is>
      </c>
      <c r="G6" s="12" t="inlineStr"/>
      <c r="H6" s="12" t="inlineStr">
        <is>
          <t>As stored in legacy</t>
        </is>
      </c>
      <c r="I6" s="12" t="inlineStr">
        <is>
          <t>T-RET-07</t>
        </is>
      </c>
      <c r="J6" s="12" t="inlineStr">
        <is>
          <t>Exists as a TEAM row for AO rows</t>
        </is>
      </c>
      <c r="K6" s="12" t="n"/>
      <c r="L6" s="12" t="n"/>
      <c r="M6" s="12" t="n"/>
      <c r="N6" s="25" t="n"/>
    </row>
    <row r="7">
      <c r="A7" s="12" t="n">
        <v>3</v>
      </c>
      <c r="B7" s="12" t="inlineStr">
        <is>
          <t>unit_name</t>
        </is>
      </c>
      <c r="C7" s="12" t="inlineStr">
        <is>
          <t>Unit name</t>
        </is>
      </c>
      <c r="D7" s="12" t="inlineStr">
        <is>
          <t>Text</t>
        </is>
      </c>
      <c r="E7" s="12" t="inlineStr">
        <is>
          <t>120</t>
        </is>
      </c>
      <c r="F7" s="12" t="inlineStr">
        <is>
          <t>C</t>
        </is>
      </c>
      <c r="G7" s="12" t="inlineStr"/>
      <c r="H7" s="12" t="inlineStr">
        <is>
          <t>Free text</t>
        </is>
      </c>
      <c r="I7" s="12" t="inlineStr">
        <is>
          <t>Retail Team 7</t>
        </is>
      </c>
      <c r="J7" s="12" t="inlineStr">
        <is>
          <t>Mandatory for REGION, DEPARTMENT, TEAM</t>
        </is>
      </c>
      <c r="K7" s="12" t="n"/>
      <c r="L7" s="12" t="n"/>
      <c r="M7" s="12" t="n"/>
      <c r="N7" s="25" t="n"/>
    </row>
    <row r="8">
      <c r="A8" s="12" t="n">
        <v>4</v>
      </c>
      <c r="B8" s="12" t="inlineStr">
        <is>
          <t>parent_unit_code</t>
        </is>
      </c>
      <c r="C8" s="12" t="inlineStr">
        <is>
          <t>Code of the parent unit (department of a team, region of a department)</t>
        </is>
      </c>
      <c r="D8" s="12" t="inlineStr">
        <is>
          <t>Code</t>
        </is>
      </c>
      <c r="E8" s="12" t="inlineStr">
        <is>
          <t>20</t>
        </is>
      </c>
      <c r="F8" s="12" t="inlineStr">
        <is>
          <t>C</t>
        </is>
      </c>
      <c r="G8" s="12" t="inlineStr">
        <is>
          <t>unit_code values of the file</t>
        </is>
      </c>
      <c r="H8" s="12" t="inlineStr">
        <is>
          <t>As stored in legacy</t>
        </is>
      </c>
      <c r="I8" s="12" t="inlineStr">
        <is>
          <t>D-RET</t>
        </is>
      </c>
      <c r="J8" s="12" t="inlineStr">
        <is>
          <t>Mandatory for DEPARTMENT and TEAM; parent exists</t>
        </is>
      </c>
      <c r="K8" s="12" t="n"/>
      <c r="L8" s="12" t="n"/>
      <c r="M8" s="12" t="n"/>
      <c r="N8" s="25" t="n"/>
    </row>
    <row r="9">
      <c r="A9" s="12" t="n">
        <v>5</v>
      </c>
      <c r="B9" s="12" t="inlineStr">
        <is>
          <t>unit_head_user_id</t>
        </is>
      </c>
      <c r="C9" s="12" t="inlineStr">
        <is>
          <t>Legacy user ID of the unit head</t>
        </is>
      </c>
      <c r="D9" s="12" t="inlineStr">
        <is>
          <t>Code</t>
        </is>
      </c>
      <c r="E9" s="12" t="inlineStr">
        <is>
          <t>50</t>
        </is>
      </c>
      <c r="F9" s="12" t="inlineStr">
        <is>
          <t>N</t>
        </is>
      </c>
      <c r="G9" s="12" t="inlineStr">
        <is>
          <t>Code map USER</t>
        </is>
      </c>
      <c r="H9" s="12" t="inlineStr">
        <is>
          <t>As stored in legacy</t>
        </is>
      </c>
      <c r="I9" s="12" t="inlineStr">
        <is>
          <t>jdelacruz</t>
        </is>
      </c>
      <c r="J9" s="12" t="inlineStr">
        <is>
          <t>Mapped in USER</t>
        </is>
      </c>
      <c r="K9" s="12" t="n"/>
      <c r="L9" s="12" t="n"/>
      <c r="M9" s="12" t="n"/>
      <c r="N9" s="25" t="n"/>
    </row>
    <row r="10">
      <c r="A10" s="12" t="n">
        <v>6</v>
      </c>
      <c r="B10" s="12" t="inlineStr">
        <is>
          <t>cost_center</t>
        </is>
      </c>
      <c r="C10" s="12" t="inlineStr">
        <is>
          <t>Cost centre of the unit</t>
        </is>
      </c>
      <c r="D10" s="12" t="inlineStr">
        <is>
          <t>Code</t>
        </is>
      </c>
      <c r="E10" s="12" t="inlineStr">
        <is>
          <t>20</t>
        </is>
      </c>
      <c r="F10" s="12" t="inlineStr">
        <is>
          <t>N</t>
        </is>
      </c>
      <c r="G10" s="12" t="inlineStr">
        <is>
          <t>Code map COST_CENTER</t>
        </is>
      </c>
      <c r="H10" s="12" t="inlineStr">
        <is>
          <t>As stored in legacy</t>
        </is>
      </c>
      <c r="I10" s="12" t="inlineStr">
        <is>
          <t>4100</t>
        </is>
      </c>
      <c r="J10" s="12" t="inlineStr">
        <is>
          <t>Mapped</t>
        </is>
      </c>
      <c r="K10" s="12" t="n"/>
      <c r="L10" s="12" t="n"/>
      <c r="M10" s="12" t="n"/>
      <c r="N10" s="25" t="n"/>
    </row>
    <row r="11">
      <c r="A11" s="12" t="n">
        <v>7</v>
      </c>
      <c r="B11" s="12" t="inlineStr">
        <is>
          <t>ao_user_id</t>
        </is>
      </c>
      <c r="C11" s="12" t="inlineStr">
        <is>
          <t>Legacy user ID of the account officer</t>
        </is>
      </c>
      <c r="D11" s="12" t="inlineStr">
        <is>
          <t>Code</t>
        </is>
      </c>
      <c r="E11" s="12" t="inlineStr">
        <is>
          <t>50</t>
        </is>
      </c>
      <c r="F11" s="12" t="inlineStr">
        <is>
          <t>C</t>
        </is>
      </c>
      <c r="G11" s="12" t="inlineStr">
        <is>
          <t>Code map USER</t>
        </is>
      </c>
      <c r="H11" s="12" t="inlineStr">
        <is>
          <t>As stored in legacy</t>
        </is>
      </c>
      <c r="I11" s="12" t="inlineStr">
        <is>
          <t>mreyes</t>
        </is>
      </c>
      <c r="J11" s="12" t="inlineStr">
        <is>
          <t>Mandatory for AO rows; mapped in USER</t>
        </is>
      </c>
      <c r="K11" s="12" t="n"/>
      <c r="L11" s="12" t="n"/>
      <c r="M11" s="12" t="n"/>
      <c r="N11" s="25" t="n"/>
    </row>
    <row r="12">
      <c r="A12" s="12" t="n">
        <v>8</v>
      </c>
      <c r="B12" s="12" t="inlineStr">
        <is>
          <t>ao_code</t>
        </is>
      </c>
      <c r="C12" s="12" t="inlineStr">
        <is>
          <t>Legacy AO code if different from the user ID</t>
        </is>
      </c>
      <c r="D12" s="12" t="inlineStr">
        <is>
          <t>Code</t>
        </is>
      </c>
      <c r="E12" s="12" t="inlineStr">
        <is>
          <t>20</t>
        </is>
      </c>
      <c r="F12" s="12" t="inlineStr">
        <is>
          <t>N</t>
        </is>
      </c>
      <c r="G12" s="12" t="inlineStr">
        <is>
          <t>Code map AO</t>
        </is>
      </c>
      <c r="H12" s="12" t="inlineStr">
        <is>
          <t>As stored in legacy</t>
        </is>
      </c>
      <c r="I12" s="12" t="inlineStr">
        <is>
          <t>AO0457</t>
        </is>
      </c>
      <c r="J12" s="12" t="inlineStr">
        <is>
          <t>Unique</t>
        </is>
      </c>
      <c r="K12" s="12" t="n"/>
      <c r="L12" s="12" t="n"/>
      <c r="M12" s="12" t="n"/>
      <c r="N12" s="25" t="n"/>
    </row>
    <row r="13">
      <c r="A13" s="12" t="n">
        <v>9</v>
      </c>
      <c r="B13" s="12" t="inlineStr">
        <is>
          <t>ao_name</t>
        </is>
      </c>
      <c r="C13" s="12" t="inlineStr">
        <is>
          <t>AO full name</t>
        </is>
      </c>
      <c r="D13" s="12" t="inlineStr">
        <is>
          <t>Text</t>
        </is>
      </c>
      <c r="E13" s="12" t="inlineStr">
        <is>
          <t>120</t>
        </is>
      </c>
      <c r="F13" s="12" t="inlineStr">
        <is>
          <t>C</t>
        </is>
      </c>
      <c r="G13" s="12" t="inlineStr"/>
      <c r="H13" s="12" t="inlineStr">
        <is>
          <t>Free text</t>
        </is>
      </c>
      <c r="I13" s="12" t="inlineStr">
        <is>
          <t>Maria Reyes</t>
        </is>
      </c>
      <c r="J13" s="12" t="inlineStr">
        <is>
          <t>Mandatory for AO rows</t>
        </is>
      </c>
      <c r="K13" s="12" t="n"/>
      <c r="L13" s="12" t="n"/>
      <c r="M13" s="12" t="n"/>
      <c r="N13" s="25" t="n"/>
    </row>
    <row r="14">
      <c r="A14" s="12" t="n">
        <v>10</v>
      </c>
      <c r="B14" s="12" t="inlineStr">
        <is>
          <t>branch_code</t>
        </is>
      </c>
      <c r="C14" s="12" t="inlineStr">
        <is>
          <t>Branch of the unit or AO</t>
        </is>
      </c>
      <c r="D14" s="12" t="inlineStr">
        <is>
          <t>Code</t>
        </is>
      </c>
      <c r="E14" s="12" t="inlineStr">
        <is>
          <t>20</t>
        </is>
      </c>
      <c r="F14" s="12" t="inlineStr">
        <is>
          <t>N</t>
        </is>
      </c>
      <c r="G14" s="12" t="inlineStr">
        <is>
          <t>Code map BRANCH</t>
        </is>
      </c>
      <c r="H14" s="12" t="inlineStr">
        <is>
          <t>As stored in legacy</t>
        </is>
      </c>
      <c r="I14" s="12" t="inlineStr">
        <is>
          <t>MKT01</t>
        </is>
      </c>
      <c r="J14" s="12" t="inlineStr">
        <is>
          <t>Mapped</t>
        </is>
      </c>
      <c r="K14" s="12" t="n"/>
      <c r="L14" s="12" t="n"/>
      <c r="M14" s="12" t="n"/>
      <c r="N14" s="25" t="n"/>
    </row>
    <row r="15">
      <c r="A15" s="12" t="n">
        <v>11</v>
      </c>
      <c r="B15" s="12" t="inlineStr">
        <is>
          <t>active_flag</t>
        </is>
      </c>
      <c r="C15" s="12" t="inlineStr">
        <is>
          <t>Unit or AO active</t>
        </is>
      </c>
      <c r="D15" s="12" t="inlineStr">
        <is>
          <t>Flag</t>
        </is>
      </c>
      <c r="E15" s="12" t="inlineStr">
        <is>
          <t>1</t>
        </is>
      </c>
      <c r="F15" s="12" t="inlineStr">
        <is>
          <t>Y</t>
        </is>
      </c>
      <c r="G15" s="12" t="inlineStr">
        <is>
          <t>Y, N</t>
        </is>
      </c>
      <c r="H15" s="12" t="inlineStr">
        <is>
          <t>Y or N</t>
        </is>
      </c>
      <c r="I15" s="12" t="inlineStr">
        <is>
          <t>Y</t>
        </is>
      </c>
      <c r="J15" s="12" t="inlineStr">
        <is>
          <t>Y or N</t>
        </is>
      </c>
      <c r="K15" s="12" t="n"/>
      <c r="L15" s="12" t="n"/>
      <c r="M15" s="12" t="n"/>
      <c r="N15" s="25" t="n"/>
    </row>
  </sheetData>
  <autoFilter ref="A4:N15"/>
  <mergeCells count="1">
    <mergeCell ref="A2:N2"/>
  </mergeCells>
  <conditionalFormatting sqref="A5:N515">
    <cfRule type="expression" priority="1" dxfId="0">
      <formula>AND(MOD(ROW(),2)=0,$A5&lt;&gt;"")</formula>
    </cfRule>
  </conditionalFormatting>
  <dataValidations count="3">
    <dataValidation sqref="F5:F515" showDropDown="0" showInputMessage="0" showErrorMessage="1" allowBlank="1" errorTitle="Mandatory" error="Choose a value from the list (Mandatory)." type="list">
      <formula1>'_lists'!$J$1:$J$3</formula1>
    </dataValidation>
    <dataValidation sqref="K5:K515" showDropDown="0" showInputMessage="0" showErrorMessage="1" allowBlank="1" errorTitle="BU review" error="Choose a value from the list (BU review)." type="list">
      <formula1>'_lists'!$K$1:$K$3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N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R04 Insurers</t>
        </is>
      </c>
    </row>
    <row r="2">
      <c r="A2" s="22" t="inlineStr">
        <is>
          <t>Layout R04 v1 of object R04: Insurers. Key insurer_code. Template R04_template.csv.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insurer_code</t>
        </is>
      </c>
      <c r="C5" s="12" t="inlineStr">
        <is>
          <t>Legacy insurer code</t>
        </is>
      </c>
      <c r="D5" s="12" t="inlineStr">
        <is>
          <t>Code</t>
        </is>
      </c>
      <c r="E5" s="12" t="inlineStr">
        <is>
          <t>30</t>
        </is>
      </c>
      <c r="F5" s="12" t="inlineStr">
        <is>
          <t>Y</t>
        </is>
      </c>
      <c r="G5" s="12" t="inlineStr"/>
      <c r="H5" s="12" t="inlineStr">
        <is>
          <t>As stored in legacy</t>
        </is>
      </c>
      <c r="I5" s="12" t="inlineStr">
        <is>
          <t>MAL</t>
        </is>
      </c>
      <c r="J5" s="12" t="inlineStr">
        <is>
          <t>Unique</t>
        </is>
      </c>
      <c r="K5" s="12" t="n"/>
      <c r="L5" s="12" t="n"/>
      <c r="M5" s="12" t="n"/>
      <c r="N5" s="25" t="n"/>
    </row>
    <row r="6">
      <c r="A6" s="12" t="n">
        <v>2</v>
      </c>
      <c r="B6" s="12" t="inlineStr">
        <is>
          <t>insurer_name</t>
        </is>
      </c>
      <c r="C6" s="12" t="inlineStr">
        <is>
          <t>Registered name</t>
        </is>
      </c>
      <c r="D6" s="12" t="inlineStr">
        <is>
          <t>Text</t>
        </is>
      </c>
      <c r="E6" s="12" t="inlineStr">
        <is>
          <t>200</t>
        </is>
      </c>
      <c r="F6" s="12" t="inlineStr">
        <is>
          <t>Y</t>
        </is>
      </c>
      <c r="G6" s="12" t="inlineStr"/>
      <c r="H6" s="12" t="inlineStr">
        <is>
          <t>Free text</t>
        </is>
      </c>
      <c r="I6" s="12" t="inlineStr">
        <is>
          <t>Malayan Insurance Co., Inc.</t>
        </is>
      </c>
      <c r="J6" s="12" t="inlineStr">
        <is>
          <t>Not blank</t>
        </is>
      </c>
      <c r="K6" s="12" t="n"/>
      <c r="L6" s="12" t="n"/>
      <c r="M6" s="12" t="n"/>
      <c r="N6" s="25" t="n"/>
    </row>
    <row r="7">
      <c r="A7" s="12" t="n">
        <v>3</v>
      </c>
      <c r="B7" s="12" t="inlineStr">
        <is>
          <t>short_name</t>
        </is>
      </c>
      <c r="C7" s="12" t="inlineStr">
        <is>
          <t>Short name</t>
        </is>
      </c>
      <c r="D7" s="12" t="inlineStr">
        <is>
          <t>Text</t>
        </is>
      </c>
      <c r="E7" s="12" t="inlineStr">
        <is>
          <t>40</t>
        </is>
      </c>
      <c r="F7" s="12" t="inlineStr">
        <is>
          <t>N</t>
        </is>
      </c>
      <c r="G7" s="12" t="inlineStr"/>
      <c r="H7" s="12" t="inlineStr">
        <is>
          <t>Free text</t>
        </is>
      </c>
      <c r="I7" s="12" t="inlineStr">
        <is>
          <t>Malayan</t>
        </is>
      </c>
      <c r="J7" s="12" t="inlineStr"/>
      <c r="K7" s="12" t="n"/>
      <c r="L7" s="12" t="n"/>
      <c r="M7" s="12" t="n"/>
      <c r="N7" s="25" t="n"/>
    </row>
    <row r="8">
      <c r="A8" s="12" t="n">
        <v>4</v>
      </c>
      <c r="B8" s="12" t="inlineStr">
        <is>
          <t>tin</t>
        </is>
      </c>
      <c r="C8" s="12" t="inlineStr">
        <is>
          <t>Tax identification number</t>
        </is>
      </c>
      <c r="D8" s="12" t="inlineStr">
        <is>
          <t>Text</t>
        </is>
      </c>
      <c r="E8" s="12" t="inlineStr">
        <is>
          <t>20</t>
        </is>
      </c>
      <c r="F8" s="12" t="inlineStr">
        <is>
          <t>N</t>
        </is>
      </c>
      <c r="G8" s="12" t="inlineStr"/>
      <c r="H8" s="12" t="inlineStr">
        <is>
          <t>000-000-000-000</t>
        </is>
      </c>
      <c r="I8" s="12" t="inlineStr">
        <is>
          <t>000-123-456-000</t>
        </is>
      </c>
      <c r="J8" s="12" t="inlineStr">
        <is>
          <t>9 to 12 digits</t>
        </is>
      </c>
      <c r="K8" s="12" t="n"/>
      <c r="L8" s="12" t="n"/>
      <c r="M8" s="12" t="n"/>
      <c r="N8" s="25" t="n"/>
    </row>
    <row r="9">
      <c r="A9" s="12" t="n">
        <v>5</v>
      </c>
      <c r="B9" s="12" t="inlineStr">
        <is>
          <t>address</t>
        </is>
      </c>
      <c r="C9" s="12" t="inlineStr">
        <is>
          <t>Registered address</t>
        </is>
      </c>
      <c r="D9" s="12" t="inlineStr">
        <is>
          <t>Text</t>
        </is>
      </c>
      <c r="E9" s="12" t="inlineStr">
        <is>
          <t>300</t>
        </is>
      </c>
      <c r="F9" s="12" t="inlineStr">
        <is>
          <t>N</t>
        </is>
      </c>
      <c r="G9" s="12" t="inlineStr"/>
      <c r="H9" s="12" t="inlineStr">
        <is>
          <t>Free text</t>
        </is>
      </c>
      <c r="I9" s="12" t="inlineStr">
        <is>
          <t>500 Quintin Paredes St., Manila</t>
        </is>
      </c>
      <c r="J9" s="12" t="inlineStr"/>
      <c r="K9" s="12" t="n"/>
      <c r="L9" s="12" t="n"/>
      <c r="M9" s="12" t="n"/>
      <c r="N9" s="25" t="n"/>
    </row>
    <row r="10">
      <c r="A10" s="12" t="n">
        <v>6</v>
      </c>
      <c r="B10" s="12" t="inlineStr">
        <is>
          <t>accreditation_no</t>
        </is>
      </c>
      <c r="C10" s="12" t="inlineStr">
        <is>
          <t>Insurance Commission accreditation number</t>
        </is>
      </c>
      <c r="D10" s="12" t="inlineStr">
        <is>
          <t>Text</t>
        </is>
      </c>
      <c r="E10" s="12" t="inlineStr">
        <is>
          <t>40</t>
        </is>
      </c>
      <c r="F10" s="12" t="inlineStr">
        <is>
          <t>N</t>
        </is>
      </c>
      <c r="G10" s="12" t="inlineStr"/>
      <c r="H10" s="12" t="inlineStr">
        <is>
          <t>Free text</t>
        </is>
      </c>
      <c r="I10" s="12" t="inlineStr">
        <is>
          <t>IC-2025-0123</t>
        </is>
      </c>
      <c r="J10" s="12" t="inlineStr"/>
      <c r="K10" s="12" t="n"/>
      <c r="L10" s="12" t="n"/>
      <c r="M10" s="12" t="n"/>
      <c r="N10" s="25" t="n"/>
    </row>
    <row r="11">
      <c r="A11" s="12" t="n">
        <v>7</v>
      </c>
      <c r="B11" s="12" t="inlineStr">
        <is>
          <t>accredited_until</t>
        </is>
      </c>
      <c r="C11" s="12" t="inlineStr">
        <is>
          <t>End of accreditation</t>
        </is>
      </c>
      <c r="D11" s="12" t="inlineStr">
        <is>
          <t>Date</t>
        </is>
      </c>
      <c r="E11" s="12" t="inlineStr">
        <is>
          <t>10</t>
        </is>
      </c>
      <c r="F11" s="12" t="inlineStr">
        <is>
          <t>N</t>
        </is>
      </c>
      <c r="G11" s="12" t="inlineStr"/>
      <c r="H11" s="12" t="inlineStr">
        <is>
          <t>yyyy-MM-dd</t>
        </is>
      </c>
      <c r="I11" s="12" t="inlineStr">
        <is>
          <t>2028-06-30</t>
        </is>
      </c>
      <c r="J11" s="12" t="inlineStr">
        <is>
          <t>Valid date</t>
        </is>
      </c>
      <c r="K11" s="12" t="n"/>
      <c r="L11" s="12" t="n"/>
      <c r="M11" s="12" t="n"/>
      <c r="N11" s="25" t="n"/>
    </row>
    <row r="12">
      <c r="A12" s="12" t="n">
        <v>8</v>
      </c>
      <c r="B12" s="12" t="inlineStr">
        <is>
          <t>placement_email</t>
        </is>
      </c>
      <c r="C12" s="12" t="inlineStr">
        <is>
          <t>E-mail address(es) for placement, separated by semicolons</t>
        </is>
      </c>
      <c r="D12" s="12" t="inlineStr">
        <is>
          <t>Text</t>
        </is>
      </c>
      <c r="E12" s="12" t="inlineStr">
        <is>
          <t>500</t>
        </is>
      </c>
      <c r="F12" s="12" t="inlineStr">
        <is>
          <t>N</t>
        </is>
      </c>
      <c r="G12" s="12" t="inlineStr"/>
      <c r="H12" s="12" t="inlineStr">
        <is>
          <t>name@domain;name@domain</t>
        </is>
      </c>
      <c r="I12" s="12" t="inlineStr">
        <is>
          <t>placement@insurer.example</t>
        </is>
      </c>
      <c r="J12" s="12" t="inlineStr">
        <is>
          <t>Valid e-mail addresses</t>
        </is>
      </c>
      <c r="K12" s="12" t="n"/>
      <c r="L12" s="12" t="n"/>
      <c r="M12" s="12" t="n"/>
      <c r="N12" s="25" t="n"/>
    </row>
    <row r="13">
      <c r="A13" s="12" t="n">
        <v>9</v>
      </c>
      <c r="B13" s="12" t="inlineStr">
        <is>
          <t>default_credit_days</t>
        </is>
      </c>
      <c r="C13" s="12" t="inlineStr">
        <is>
          <t>Credit term in days</t>
        </is>
      </c>
      <c r="D13" s="12" t="inlineStr">
        <is>
          <t>Integer</t>
        </is>
      </c>
      <c r="E13" s="12" t="inlineStr">
        <is>
          <t>3</t>
        </is>
      </c>
      <c r="F13" s="12" t="inlineStr">
        <is>
          <t>N</t>
        </is>
      </c>
      <c r="G13" s="12" t="inlineStr"/>
      <c r="H13" s="12" t="inlineStr">
        <is>
          <t>Digits</t>
        </is>
      </c>
      <c r="I13" s="12" t="inlineStr">
        <is>
          <t>60</t>
        </is>
      </c>
      <c r="J13" s="12" t="inlineStr">
        <is>
          <t>0 to 365</t>
        </is>
      </c>
      <c r="K13" s="12" t="n"/>
      <c r="L13" s="12" t="n"/>
      <c r="M13" s="12" t="n"/>
      <c r="N13" s="25" t="n"/>
    </row>
    <row r="14">
      <c r="A14" s="12" t="n">
        <v>10</v>
      </c>
      <c r="B14" s="12" t="inlineStr">
        <is>
          <t>status</t>
        </is>
      </c>
      <c r="C14" s="12" t="inlineStr">
        <is>
          <t>Insurer status in legacy</t>
        </is>
      </c>
      <c r="D14" s="12" t="inlineStr">
        <is>
          <t>Code</t>
        </is>
      </c>
      <c r="E14" s="12" t="inlineStr">
        <is>
          <t>20</t>
        </is>
      </c>
      <c r="F14" s="12" t="inlineStr">
        <is>
          <t>Y</t>
        </is>
      </c>
      <c r="G14" s="12" t="inlineStr">
        <is>
          <t>Code map STATUS:INSURER</t>
        </is>
      </c>
      <c r="H14" s="12" t="inlineStr">
        <is>
          <t>As stored in legacy</t>
        </is>
      </c>
      <c r="I14" s="12" t="inlineStr">
        <is>
          <t>ACTIVE</t>
        </is>
      </c>
      <c r="J14" s="12" t="inlineStr">
        <is>
          <t>Mapped</t>
        </is>
      </c>
      <c r="K14" s="12" t="n"/>
      <c r="L14" s="12" t="n"/>
      <c r="M14" s="12" t="n"/>
      <c r="N14" s="25" t="n"/>
    </row>
  </sheetData>
  <autoFilter ref="A4:N14"/>
  <mergeCells count="1">
    <mergeCell ref="A2:N2"/>
  </mergeCells>
  <conditionalFormatting sqref="A5:N514">
    <cfRule type="expression" priority="1" dxfId="0">
      <formula>AND(MOD(ROW(),2)=0,$A5&lt;&gt;"")</formula>
    </cfRule>
  </conditionalFormatting>
  <dataValidations count="3">
    <dataValidation sqref="F5:F514" showDropDown="0" showInputMessage="0" showErrorMessage="1" allowBlank="1" errorTitle="Mandatory" error="Choose a value from the list (Mandatory)." type="list">
      <formula1>'_lists'!$L$1:$L$3</formula1>
    </dataValidation>
    <dataValidation sqref="K5:K514" showDropDown="0" showInputMessage="0" showErrorMessage="1" allowBlank="1" errorTitle="BU review" error="Choose a value from the list (BU review)." type="list">
      <formula1>'_lists'!$M$1:$M$3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N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R04B Insurer branches</t>
        </is>
      </c>
    </row>
    <row r="2">
      <c r="A2" s="22" t="inlineStr">
        <is>
          <t>Layout R04B v1 of object R04: Insurer branches. Key insurer_code, branch_code. Template R04B_template.csv.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insurer_code</t>
        </is>
      </c>
      <c r="C5" s="12" t="inlineStr">
        <is>
          <t>Legacy insurer code</t>
        </is>
      </c>
      <c r="D5" s="12" t="inlineStr">
        <is>
          <t>Code</t>
        </is>
      </c>
      <c r="E5" s="12" t="inlineStr">
        <is>
          <t>30</t>
        </is>
      </c>
      <c r="F5" s="12" t="inlineStr">
        <is>
          <t>Y</t>
        </is>
      </c>
      <c r="G5" s="12" t="inlineStr">
        <is>
          <t>Code map INSURER</t>
        </is>
      </c>
      <c r="H5" s="12" t="inlineStr">
        <is>
          <t>As stored in legacy</t>
        </is>
      </c>
      <c r="I5" s="12" t="inlineStr">
        <is>
          <t>MAL</t>
        </is>
      </c>
      <c r="J5" s="12" t="inlineStr">
        <is>
          <t>Exists in R04</t>
        </is>
      </c>
      <c r="K5" s="12" t="n"/>
      <c r="L5" s="12" t="n"/>
      <c r="M5" s="12" t="n"/>
      <c r="N5" s="25" t="n"/>
    </row>
    <row r="6">
      <c r="A6" s="12" t="n">
        <v>2</v>
      </c>
      <c r="B6" s="12" t="inlineStr">
        <is>
          <t>branch_code</t>
        </is>
      </c>
      <c r="C6" s="12" t="inlineStr">
        <is>
          <t>Legacy insurer branch code</t>
        </is>
      </c>
      <c r="D6" s="12" t="inlineStr">
        <is>
          <t>Code</t>
        </is>
      </c>
      <c r="E6" s="12" t="inlineStr">
        <is>
          <t>20</t>
        </is>
      </c>
      <c r="F6" s="12" t="inlineStr">
        <is>
          <t>Y</t>
        </is>
      </c>
      <c r="G6" s="12" t="inlineStr"/>
      <c r="H6" s="12" t="inlineStr">
        <is>
          <t>As stored in legacy</t>
        </is>
      </c>
      <c r="I6" s="12" t="inlineStr">
        <is>
          <t>MAL-CEB</t>
        </is>
      </c>
      <c r="J6" s="12" t="inlineStr">
        <is>
          <t>Unique per insurer</t>
        </is>
      </c>
      <c r="K6" s="12" t="n"/>
      <c r="L6" s="12" t="n"/>
      <c r="M6" s="12" t="n"/>
      <c r="N6" s="25" t="n"/>
    </row>
    <row r="7">
      <c r="A7" s="12" t="n">
        <v>3</v>
      </c>
      <c r="B7" s="12" t="inlineStr">
        <is>
          <t>branch_name</t>
        </is>
      </c>
      <c r="C7" s="12" t="inlineStr">
        <is>
          <t>Branch name</t>
        </is>
      </c>
      <c r="D7" s="12" t="inlineStr">
        <is>
          <t>Text</t>
        </is>
      </c>
      <c r="E7" s="12" t="inlineStr">
        <is>
          <t>120</t>
        </is>
      </c>
      <c r="F7" s="12" t="inlineStr">
        <is>
          <t>Y</t>
        </is>
      </c>
      <c r="G7" s="12" t="inlineStr"/>
      <c r="H7" s="12" t="inlineStr">
        <is>
          <t>Free text</t>
        </is>
      </c>
      <c r="I7" s="12" t="inlineStr">
        <is>
          <t>Malayan Cebu</t>
        </is>
      </c>
      <c r="J7" s="12" t="inlineStr">
        <is>
          <t>Not blank</t>
        </is>
      </c>
      <c r="K7" s="12" t="n"/>
      <c r="L7" s="12" t="n"/>
      <c r="M7" s="12" t="n"/>
      <c r="N7" s="25" t="n"/>
    </row>
    <row r="8">
      <c r="A8" s="12" t="n">
        <v>4</v>
      </c>
      <c r="B8" s="12" t="inlineStr">
        <is>
          <t>city</t>
        </is>
      </c>
      <c r="C8" s="12" t="inlineStr">
        <is>
          <t>City</t>
        </is>
      </c>
      <c r="D8" s="12" t="inlineStr">
        <is>
          <t>Text</t>
        </is>
      </c>
      <c r="E8" s="12" t="inlineStr">
        <is>
          <t>80</t>
        </is>
      </c>
      <c r="F8" s="12" t="inlineStr">
        <is>
          <t>N</t>
        </is>
      </c>
      <c r="G8" s="12" t="inlineStr"/>
      <c r="H8" s="12" t="inlineStr">
        <is>
          <t>Free text</t>
        </is>
      </c>
      <c r="I8" s="12" t="inlineStr">
        <is>
          <t>Cebu City</t>
        </is>
      </c>
      <c r="J8" s="12" t="inlineStr"/>
      <c r="K8" s="12" t="n"/>
      <c r="L8" s="12" t="n"/>
      <c r="M8" s="12" t="n"/>
      <c r="N8" s="25" t="n"/>
    </row>
    <row r="9">
      <c r="A9" s="12" t="n">
        <v>5</v>
      </c>
      <c r="B9" s="12" t="inlineStr">
        <is>
          <t>lgt_rate</t>
        </is>
      </c>
      <c r="C9" s="12" t="inlineStr">
        <is>
          <t>Local government tax rate of the branch location, in percent</t>
        </is>
      </c>
      <c r="D9" s="12" t="inlineStr">
        <is>
          <t>Decimal</t>
        </is>
      </c>
      <c r="E9" s="12" t="inlineStr">
        <is>
          <t>9,4</t>
        </is>
      </c>
      <c r="F9" s="12" t="inlineStr">
        <is>
          <t>N</t>
        </is>
      </c>
      <c r="G9" s="12" t="inlineStr"/>
      <c r="H9" s="12" t="inlineStr">
        <is>
          <t>Dot decimal</t>
        </is>
      </c>
      <c r="I9" s="12" t="inlineStr">
        <is>
          <t>0.75</t>
        </is>
      </c>
      <c r="J9" s="12" t="inlineStr">
        <is>
          <t>0 to 5</t>
        </is>
      </c>
      <c r="K9" s="12" t="n"/>
      <c r="L9" s="12" t="n"/>
      <c r="M9" s="12" t="n"/>
      <c r="N9" s="25" t="n"/>
    </row>
    <row r="10">
      <c r="A10" s="12" t="n">
        <v>6</v>
      </c>
      <c r="B10" s="12" t="inlineStr">
        <is>
          <t>placement_email</t>
        </is>
      </c>
      <c r="C10" s="12" t="inlineStr">
        <is>
          <t>Branch placement e-mail</t>
        </is>
      </c>
      <c r="D10" s="12" t="inlineStr">
        <is>
          <t>Text</t>
        </is>
      </c>
      <c r="E10" s="12" t="inlineStr">
        <is>
          <t>120</t>
        </is>
      </c>
      <c r="F10" s="12" t="inlineStr">
        <is>
          <t>N</t>
        </is>
      </c>
      <c r="G10" s="12" t="inlineStr"/>
      <c r="H10" s="12" t="inlineStr">
        <is>
          <t>name@domain</t>
        </is>
      </c>
      <c r="I10" s="12" t="inlineStr">
        <is>
          <t>cebu@insurer.example</t>
        </is>
      </c>
      <c r="J10" s="12" t="inlineStr">
        <is>
          <t>Valid e-mail</t>
        </is>
      </c>
      <c r="K10" s="12" t="n"/>
      <c r="L10" s="12" t="n"/>
      <c r="M10" s="12" t="n"/>
      <c r="N10" s="25" t="n"/>
    </row>
    <row r="11">
      <c r="A11" s="12" t="n">
        <v>7</v>
      </c>
      <c r="B11" s="12" t="inlineStr">
        <is>
          <t>status</t>
        </is>
      </c>
      <c r="C11" s="12" t="inlineStr">
        <is>
          <t>Branch status</t>
        </is>
      </c>
      <c r="D11" s="12" t="inlineStr">
        <is>
          <t>Code</t>
        </is>
      </c>
      <c r="E11" s="12" t="inlineStr">
        <is>
          <t>20</t>
        </is>
      </c>
      <c r="F11" s="12" t="inlineStr">
        <is>
          <t>Y</t>
        </is>
      </c>
      <c r="G11" s="12" t="inlineStr">
        <is>
          <t>Code map STATUS:INSURER</t>
        </is>
      </c>
      <c r="H11" s="12" t="inlineStr">
        <is>
          <t>As stored in legacy</t>
        </is>
      </c>
      <c r="I11" s="12" t="inlineStr">
        <is>
          <t>ACTIVE</t>
        </is>
      </c>
      <c r="J11" s="12" t="inlineStr">
        <is>
          <t>Mapped</t>
        </is>
      </c>
      <c r="K11" s="12" t="n"/>
      <c r="L11" s="12" t="n"/>
      <c r="M11" s="12" t="n"/>
      <c r="N11" s="25" t="n"/>
    </row>
  </sheetData>
  <autoFilter ref="A4:N11"/>
  <mergeCells count="1">
    <mergeCell ref="A2:N2"/>
  </mergeCells>
  <conditionalFormatting sqref="A5:N511">
    <cfRule type="expression" priority="1" dxfId="0">
      <formula>AND(MOD(ROW(),2)=0,$A5&lt;&gt;"")</formula>
    </cfRule>
  </conditionalFormatting>
  <dataValidations count="3">
    <dataValidation sqref="F5:F511" showDropDown="0" showInputMessage="0" showErrorMessage="1" allowBlank="1" errorTitle="Mandatory" error="Choose a value from the list (Mandatory)." type="list">
      <formula1>'_lists'!$N$1:$N$3</formula1>
    </dataValidation>
    <dataValidation sqref="K5:K511" showDropDown="0" showInputMessage="0" showErrorMessage="1" allowBlank="1" errorTitle="BU review" error="Choose a value from the list (BU review)." type="list">
      <formula1>'_lists'!$O$1:$O$3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N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R05 Product lines, cover types,</t>
        </is>
      </c>
    </row>
    <row r="2">
      <c r="A2" s="22" t="inlineStr">
        <is>
          <t>Layout R05 v1 of object R05: Product lines, cover types, products and risk codes. Key risk_code. Template R05_template.csv.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line_code</t>
        </is>
      </c>
      <c r="C5" s="12" t="inlineStr">
        <is>
          <t>Legacy line of business</t>
        </is>
      </c>
      <c r="D5" s="12" t="inlineStr">
        <is>
          <t>Code</t>
        </is>
      </c>
      <c r="E5" s="12" t="inlineStr">
        <is>
          <t>30</t>
        </is>
      </c>
      <c r="F5" s="12" t="inlineStr">
        <is>
          <t>Y</t>
        </is>
      </c>
      <c r="G5" s="12" t="inlineStr">
        <is>
          <t>Code map LINE</t>
        </is>
      </c>
      <c r="H5" s="12" t="inlineStr">
        <is>
          <t>As stored in legacy</t>
        </is>
      </c>
      <c r="I5" s="12" t="inlineStr">
        <is>
          <t>MOTOR</t>
        </is>
      </c>
      <c r="J5" s="12" t="inlineStr">
        <is>
          <t>Mapped</t>
        </is>
      </c>
      <c r="K5" s="12" t="n"/>
      <c r="L5" s="12" t="n"/>
      <c r="M5" s="12" t="n"/>
      <c r="N5" s="25" t="n"/>
    </row>
    <row r="6">
      <c r="A6" s="12" t="n">
        <v>2</v>
      </c>
      <c r="B6" s="12" t="inlineStr">
        <is>
          <t>line_name</t>
        </is>
      </c>
      <c r="C6" s="12" t="inlineStr">
        <is>
          <t>Line name</t>
        </is>
      </c>
      <c r="D6" s="12" t="inlineStr">
        <is>
          <t>Text</t>
        </is>
      </c>
      <c r="E6" s="12" t="inlineStr">
        <is>
          <t>120</t>
        </is>
      </c>
      <c r="F6" s="12" t="inlineStr">
        <is>
          <t>N</t>
        </is>
      </c>
      <c r="G6" s="12" t="inlineStr"/>
      <c r="H6" s="12" t="inlineStr">
        <is>
          <t>Free text</t>
        </is>
      </c>
      <c r="I6" s="12" t="inlineStr">
        <is>
          <t>Motor Car</t>
        </is>
      </c>
      <c r="J6" s="12" t="inlineStr"/>
      <c r="K6" s="12" t="n"/>
      <c r="L6" s="12" t="n"/>
      <c r="M6" s="12" t="n"/>
      <c r="N6" s="25" t="n"/>
    </row>
    <row r="7">
      <c r="A7" s="12" t="n">
        <v>3</v>
      </c>
      <c r="B7" s="12" t="inlineStr">
        <is>
          <t>cover_type_code</t>
        </is>
      </c>
      <c r="C7" s="12" t="inlineStr">
        <is>
          <t>Legacy cover type</t>
        </is>
      </c>
      <c r="D7" s="12" t="inlineStr">
        <is>
          <t>Code</t>
        </is>
      </c>
      <c r="E7" s="12" t="inlineStr">
        <is>
          <t>30</t>
        </is>
      </c>
      <c r="F7" s="12" t="inlineStr">
        <is>
          <t>N</t>
        </is>
      </c>
      <c r="G7" s="12" t="inlineStr">
        <is>
          <t>Code map COVER_TYPE</t>
        </is>
      </c>
      <c r="H7" s="12" t="inlineStr">
        <is>
          <t>As stored in legacy</t>
        </is>
      </c>
      <c r="I7" s="12" t="inlineStr">
        <is>
          <t>COMP</t>
        </is>
      </c>
      <c r="J7" s="12" t="inlineStr">
        <is>
          <t>Mapped</t>
        </is>
      </c>
      <c r="K7" s="12" t="n"/>
      <c r="L7" s="12" t="n"/>
      <c r="M7" s="12" t="n"/>
      <c r="N7" s="25" t="n"/>
    </row>
    <row r="8">
      <c r="A8" s="12" t="n">
        <v>4</v>
      </c>
      <c r="B8" s="12" t="inlineStr">
        <is>
          <t>risk_code</t>
        </is>
      </c>
      <c r="C8" s="12" t="inlineStr">
        <is>
          <t>Legacy risk code / product code</t>
        </is>
      </c>
      <c r="D8" s="12" t="inlineStr">
        <is>
          <t>Code</t>
        </is>
      </c>
      <c r="E8" s="12" t="inlineStr">
        <is>
          <t>20</t>
        </is>
      </c>
      <c r="F8" s="12" t="inlineStr">
        <is>
          <t>Y</t>
        </is>
      </c>
      <c r="G8" s="12" t="inlineStr"/>
      <c r="H8" s="12" t="inlineStr">
        <is>
          <t>As stored in legacy</t>
        </is>
      </c>
      <c r="I8" s="12" t="inlineStr">
        <is>
          <t>MC-PC-COMP</t>
        </is>
      </c>
      <c r="J8" s="12" t="inlineStr">
        <is>
          <t>Unique</t>
        </is>
      </c>
      <c r="K8" s="12" t="n"/>
      <c r="L8" s="12" t="n"/>
      <c r="M8" s="12" t="n"/>
      <c r="N8" s="25" t="n"/>
    </row>
    <row r="9">
      <c r="A9" s="12" t="n">
        <v>5</v>
      </c>
      <c r="B9" s="12" t="inlineStr">
        <is>
          <t>risk_name</t>
        </is>
      </c>
      <c r="C9" s="12" t="inlineStr">
        <is>
          <t>Product / risk name</t>
        </is>
      </c>
      <c r="D9" s="12" t="inlineStr">
        <is>
          <t>Text</t>
        </is>
      </c>
      <c r="E9" s="12" t="inlineStr">
        <is>
          <t>200</t>
        </is>
      </c>
      <c r="F9" s="12" t="inlineStr">
        <is>
          <t>Y</t>
        </is>
      </c>
      <c r="G9" s="12" t="inlineStr"/>
      <c r="H9" s="12" t="inlineStr">
        <is>
          <t>Free text</t>
        </is>
      </c>
      <c r="I9" s="12" t="inlineStr">
        <is>
          <t>Private Car Own Damage and Theft</t>
        </is>
      </c>
      <c r="J9" s="12" t="inlineStr">
        <is>
          <t>Not blank</t>
        </is>
      </c>
      <c r="K9" s="12" t="n"/>
      <c r="L9" s="12" t="n"/>
      <c r="M9" s="12" t="n"/>
      <c r="N9" s="25" t="n"/>
    </row>
    <row r="10">
      <c r="A10" s="12" t="n">
        <v>6</v>
      </c>
      <c r="B10" s="12" t="inlineStr">
        <is>
          <t>packaged_flag</t>
        </is>
      </c>
      <c r="C10" s="12" t="inlineStr">
        <is>
          <t>Sold as a package</t>
        </is>
      </c>
      <c r="D10" s="12" t="inlineStr">
        <is>
          <t>Flag</t>
        </is>
      </c>
      <c r="E10" s="12" t="inlineStr">
        <is>
          <t>1</t>
        </is>
      </c>
      <c r="F10" s="12" t="inlineStr">
        <is>
          <t>N</t>
        </is>
      </c>
      <c r="G10" s="12" t="inlineStr">
        <is>
          <t>Y, N</t>
        </is>
      </c>
      <c r="H10" s="12" t="inlineStr">
        <is>
          <t>Y or N</t>
        </is>
      </c>
      <c r="I10" s="12" t="inlineStr">
        <is>
          <t>N</t>
        </is>
      </c>
      <c r="J10" s="12" t="inlineStr">
        <is>
          <t>Y or N</t>
        </is>
      </c>
      <c r="K10" s="12" t="n"/>
      <c r="L10" s="12" t="n"/>
      <c r="M10" s="12" t="n"/>
      <c r="N10" s="25" t="n"/>
    </row>
    <row r="11">
      <c r="A11" s="12" t="n">
        <v>7</v>
      </c>
      <c r="B11" s="12" t="inlineStr">
        <is>
          <t>market_segments</t>
        </is>
      </c>
      <c r="C11" s="12" t="inlineStr">
        <is>
          <t>Segments that may use the product, separated by semicolons</t>
        </is>
      </c>
      <c r="D11" s="12" t="inlineStr">
        <is>
          <t>Text</t>
        </is>
      </c>
      <c r="E11" s="12" t="inlineStr">
        <is>
          <t>300</t>
        </is>
      </c>
      <c r="F11" s="12" t="inlineStr">
        <is>
          <t>N</t>
        </is>
      </c>
      <c r="G11" s="12" t="inlineStr">
        <is>
          <t>Code map LOV:MARKET_SEGMENT</t>
        </is>
      </c>
      <c r="H11" s="12" t="inlineStr">
        <is>
          <t>CODE;CODE</t>
        </is>
      </c>
      <c r="I11" s="12" t="inlineStr">
        <is>
          <t>CBG;RETAIL</t>
        </is>
      </c>
      <c r="J11" s="12" t="inlineStr">
        <is>
          <t>Each mapped</t>
        </is>
      </c>
      <c r="K11" s="12" t="n"/>
      <c r="L11" s="12" t="n"/>
      <c r="M11" s="12" t="n"/>
      <c r="N11" s="25" t="n"/>
    </row>
    <row r="12">
      <c r="A12" s="12" t="n">
        <v>8</v>
      </c>
      <c r="B12" s="12" t="inlineStr">
        <is>
          <t>status</t>
        </is>
      </c>
      <c r="C12" s="12" t="inlineStr">
        <is>
          <t>Status in legacy</t>
        </is>
      </c>
      <c r="D12" s="12" t="inlineStr">
        <is>
          <t>Code</t>
        </is>
      </c>
      <c r="E12" s="12" t="inlineStr">
        <is>
          <t>20</t>
        </is>
      </c>
      <c r="F12" s="12" t="inlineStr">
        <is>
          <t>Y</t>
        </is>
      </c>
      <c r="G12" s="12" t="inlineStr">
        <is>
          <t>Code map STATUS:PRODUCT</t>
        </is>
      </c>
      <c r="H12" s="12" t="inlineStr">
        <is>
          <t>As stored in legacy</t>
        </is>
      </c>
      <c r="I12" s="12" t="inlineStr">
        <is>
          <t>ACTIVE</t>
        </is>
      </c>
      <c r="J12" s="12" t="inlineStr">
        <is>
          <t>Mapped</t>
        </is>
      </c>
      <c r="K12" s="12" t="n"/>
      <c r="L12" s="12" t="n"/>
      <c r="M12" s="12" t="n"/>
      <c r="N12" s="25" t="n"/>
    </row>
    <row r="13">
      <c r="A13" s="12" t="n">
        <v>9</v>
      </c>
      <c r="B13" s="12" t="inlineStr">
        <is>
          <t>open_item_count</t>
        </is>
      </c>
      <c r="C13" s="12" t="inlineStr">
        <is>
          <t>Open invoices and in-force policies using the code (helps the mapping)</t>
        </is>
      </c>
      <c r="D13" s="12" t="inlineStr">
        <is>
          <t>Integer</t>
        </is>
      </c>
      <c r="E13" s="12" t="inlineStr">
        <is>
          <t>9</t>
        </is>
      </c>
      <c r="F13" s="12" t="inlineStr">
        <is>
          <t>N</t>
        </is>
      </c>
      <c r="G13" s="12" t="inlineStr"/>
      <c r="H13" s="12" t="inlineStr">
        <is>
          <t>Digits</t>
        </is>
      </c>
      <c r="I13" s="12" t="inlineStr">
        <is>
          <t>4211</t>
        </is>
      </c>
      <c r="J13" s="12" t="inlineStr">
        <is>
          <t>0 or more</t>
        </is>
      </c>
      <c r="K13" s="12" t="n"/>
      <c r="L13" s="12" t="n"/>
      <c r="M13" s="12" t="n"/>
      <c r="N13" s="25" t="n"/>
    </row>
  </sheetData>
  <autoFilter ref="A4:N13"/>
  <mergeCells count="1">
    <mergeCell ref="A2:N2"/>
  </mergeCells>
  <conditionalFormatting sqref="A5:N513">
    <cfRule type="expression" priority="1" dxfId="0">
      <formula>AND(MOD(ROW(),2)=0,$A5&lt;&gt;"")</formula>
    </cfRule>
  </conditionalFormatting>
  <dataValidations count="3">
    <dataValidation sqref="F5:F513" showDropDown="0" showInputMessage="0" showErrorMessage="1" allowBlank="1" errorTitle="Mandatory" error="Choose a value from the list (Mandatory)." type="list">
      <formula1>'_lists'!$P$1:$P$3</formula1>
    </dataValidation>
    <dataValidation sqref="K5:K513" showDropDown="0" showInputMessage="0" showErrorMessage="1" allowBlank="1" errorTitle="BU review" error="Choose a value from the list (BU review)." type="list">
      <formula1>'_lists'!$Q$1:$Q$3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R06 Package code map (legacy pa</t>
        </is>
      </c>
    </row>
    <row r="2">
      <c r="A2" s="22" t="inlineStr">
        <is>
          <t>Layout R06 v1 of object R06: Package code map (legacy package to BIBS package version). Key legacy_package_code, legacy_package_version, qualifier, qualifier_value. Template R06_template.csv.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legacy_package_code</t>
        </is>
      </c>
      <c r="C5" s="12" t="inlineStr">
        <is>
          <t>Legacy package code</t>
        </is>
      </c>
      <c r="D5" s="12" t="inlineStr">
        <is>
          <t>Code</t>
        </is>
      </c>
      <c r="E5" s="12" t="inlineStr">
        <is>
          <t>20</t>
        </is>
      </c>
      <c r="F5" s="12" t="inlineStr">
        <is>
          <t>Y</t>
        </is>
      </c>
      <c r="G5" s="12" t="inlineStr"/>
      <c r="H5" s="12" t="inlineStr">
        <is>
          <t>As stored in legacy</t>
        </is>
      </c>
      <c r="I5" s="12" t="inlineStr">
        <is>
          <t>PKG-MC-PRIV</t>
        </is>
      </c>
      <c r="J5" s="12" t="inlineStr">
        <is>
          <t>Exists in the legacy package list</t>
        </is>
      </c>
      <c r="K5" s="12" t="n"/>
      <c r="L5" s="12" t="n"/>
      <c r="M5" s="12" t="n"/>
      <c r="N5" s="25" t="n"/>
    </row>
    <row r="6">
      <c r="A6" s="12" t="n">
        <v>2</v>
      </c>
      <c r="B6" s="12" t="inlineStr">
        <is>
          <t>legacy_package_version</t>
        </is>
      </c>
      <c r="C6" s="12" t="inlineStr">
        <is>
          <t>Version of the legacy package</t>
        </is>
      </c>
      <c r="D6" s="12" t="inlineStr">
        <is>
          <t>Integer</t>
        </is>
      </c>
      <c r="E6" s="12" t="inlineStr">
        <is>
          <t>4</t>
        </is>
      </c>
      <c r="F6" s="12" t="inlineStr">
        <is>
          <t>Y</t>
        </is>
      </c>
      <c r="G6" s="12" t="inlineStr"/>
      <c r="H6" s="12" t="inlineStr">
        <is>
          <t>Digits</t>
        </is>
      </c>
      <c r="I6" s="12" t="inlineStr">
        <is>
          <t>3</t>
        </is>
      </c>
      <c r="J6" s="12" t="inlineStr">
        <is>
          <t>0 or more</t>
        </is>
      </c>
      <c r="K6" s="12" t="n"/>
      <c r="L6" s="12" t="n"/>
      <c r="M6" s="12" t="n"/>
      <c r="N6" s="25" t="n"/>
    </row>
    <row r="7">
      <c r="A7" s="12" t="n">
        <v>3</v>
      </c>
      <c r="B7" s="12" t="inlineStr">
        <is>
          <t>legacy_package_name</t>
        </is>
      </c>
      <c r="C7" s="12" t="inlineStr">
        <is>
          <t>Package name in legacy</t>
        </is>
      </c>
      <c r="D7" s="12" t="inlineStr">
        <is>
          <t>Text</t>
        </is>
      </c>
      <c r="E7" s="12" t="inlineStr">
        <is>
          <t>200</t>
        </is>
      </c>
      <c r="F7" s="12" t="inlineStr">
        <is>
          <t>Y</t>
        </is>
      </c>
      <c r="G7" s="12" t="inlineStr"/>
      <c r="H7" s="12" t="inlineStr">
        <is>
          <t>Free text</t>
        </is>
      </c>
      <c r="I7" s="12" t="inlineStr">
        <is>
          <t>Private Car Package 2027</t>
        </is>
      </c>
      <c r="J7" s="12" t="inlineStr">
        <is>
          <t>Not blank</t>
        </is>
      </c>
      <c r="K7" s="12" t="n"/>
      <c r="L7" s="12" t="n"/>
      <c r="M7" s="12" t="n"/>
      <c r="N7" s="25" t="n"/>
    </row>
    <row r="8">
      <c r="A8" s="12" t="n">
        <v>4</v>
      </c>
      <c r="B8" s="12" t="inlineStr">
        <is>
          <t>qualifier</t>
        </is>
      </c>
      <c r="C8" s="12" t="inlineStr">
        <is>
          <t>Attribute that splits one legacy package into several BIBS packages</t>
        </is>
      </c>
      <c r="D8" s="12" t="inlineStr">
        <is>
          <t>Code</t>
        </is>
      </c>
      <c r="E8" s="12" t="inlineStr">
        <is>
          <t>20</t>
        </is>
      </c>
      <c r="F8" s="12" t="inlineStr">
        <is>
          <t>N</t>
        </is>
      </c>
      <c r="G8" s="12" t="inlineStr">
        <is>
          <t>RISK_CODE, INSURER, SI_BAND</t>
        </is>
      </c>
      <c r="H8" s="12" t="inlineStr">
        <is>
          <t>Upper case</t>
        </is>
      </c>
      <c r="I8" s="12" t="inlineStr">
        <is>
          <t>SI_BAND</t>
        </is>
      </c>
      <c r="J8" s="12" t="inlineStr">
        <is>
          <t>In the list; one qualifier per entry</t>
        </is>
      </c>
      <c r="K8" s="12" t="n"/>
      <c r="L8" s="12" t="n"/>
      <c r="M8" s="12" t="n"/>
      <c r="N8" s="25" t="n"/>
    </row>
    <row r="9">
      <c r="A9" s="12" t="n">
        <v>5</v>
      </c>
      <c r="B9" s="12" t="inlineStr">
        <is>
          <t>qualifier_value</t>
        </is>
      </c>
      <c r="C9" s="12" t="inlineStr">
        <is>
          <t>Value of the qualifier (risk code, insurer code, or sum-insured band as from-to)</t>
        </is>
      </c>
      <c r="D9" s="12" t="inlineStr">
        <is>
          <t>Text</t>
        </is>
      </c>
      <c r="E9" s="12" t="inlineStr">
        <is>
          <t>60</t>
        </is>
      </c>
      <c r="F9" s="12" t="inlineStr">
        <is>
          <t>C</t>
        </is>
      </c>
      <c r="G9" s="12" t="inlineStr"/>
      <c r="H9" s="12" t="inlineStr">
        <is>
          <t>Code, or from-to amounts with a dot decimal</t>
        </is>
      </c>
      <c r="I9" s="12" t="inlineStr">
        <is>
          <t>0.00-2000000.00</t>
        </is>
      </c>
      <c r="J9" s="12" t="inlineStr">
        <is>
          <t>Mandatory with a qualifier; bands of one legacy package do not overlap</t>
        </is>
      </c>
      <c r="K9" s="12" t="n"/>
      <c r="L9" s="12" t="n"/>
      <c r="M9" s="12" t="n"/>
      <c r="N9" s="25" t="n"/>
    </row>
    <row r="10">
      <c r="A10" s="12" t="n">
        <v>6</v>
      </c>
      <c r="B10" s="12" t="inlineStr">
        <is>
          <t>action</t>
        </is>
      </c>
      <c r="C10" s="12" t="inlineStr">
        <is>
          <t>MAP to a BIBS package version, or REJECT (no BIBS package)</t>
        </is>
      </c>
      <c r="D10" s="12" t="inlineStr">
        <is>
          <t>Code</t>
        </is>
      </c>
      <c r="E10" s="12" t="inlineStr">
        <is>
          <t>6</t>
        </is>
      </c>
      <c r="F10" s="12" t="inlineStr">
        <is>
          <t>Y</t>
        </is>
      </c>
      <c r="G10" s="12" t="inlineStr">
        <is>
          <t>MAP, REJECT</t>
        </is>
      </c>
      <c r="H10" s="12" t="inlineStr">
        <is>
          <t>Upper case</t>
        </is>
      </c>
      <c r="I10" s="12" t="inlineStr">
        <is>
          <t>MAP</t>
        </is>
      </c>
      <c r="J10" s="12" t="inlineStr">
        <is>
          <t>In the list</t>
        </is>
      </c>
      <c r="K10" s="12" t="n"/>
      <c r="L10" s="12" t="n"/>
      <c r="M10" s="12" t="n"/>
      <c r="N10" s="25" t="n"/>
    </row>
    <row r="11">
      <c r="A11" s="12" t="n">
        <v>7</v>
      </c>
      <c r="B11" s="12" t="inlineStr">
        <is>
          <t>bibs_package_version</t>
        </is>
      </c>
      <c r="C11" s="12" t="inlineStr">
        <is>
          <t>BIBS package version maintained by TSU</t>
        </is>
      </c>
      <c r="D11" s="12" t="inlineStr">
        <is>
          <t>Code</t>
        </is>
      </c>
      <c r="E11" s="12" t="inlineStr">
        <is>
          <t>40</t>
        </is>
      </c>
      <c r="F11" s="12" t="inlineStr">
        <is>
          <t>C</t>
        </is>
      </c>
      <c r="G11" s="12" t="inlineStr">
        <is>
          <t>Active package versions in Product Maintenance</t>
        </is>
      </c>
      <c r="H11" s="12" t="inlineStr">
        <is>
          <t>As in BIBS</t>
        </is>
      </c>
      <c r="I11" s="12" t="inlineStr">
        <is>
          <t>MC-PRIVATE-STD v1</t>
        </is>
      </c>
      <c r="J11" s="12" t="inlineStr">
        <is>
          <t>Mandatory for MAP; active in Product Maintenance</t>
        </is>
      </c>
      <c r="K11" s="12" t="n"/>
      <c r="L11" s="12" t="n"/>
      <c r="M11" s="12" t="n"/>
      <c r="N11" s="25" t="n"/>
    </row>
    <row r="12">
      <c r="A12" s="12" t="n">
        <v>8</v>
      </c>
      <c r="B12" s="12" t="inlineStr">
        <is>
          <t>remarks</t>
        </is>
      </c>
      <c r="C12" s="12" t="inlineStr">
        <is>
          <t>Why the entry maps as it does</t>
        </is>
      </c>
      <c r="D12" s="12" t="inlineStr">
        <is>
          <t>Text</t>
        </is>
      </c>
      <c r="E12" s="12" t="inlineStr">
        <is>
          <t>250</t>
        </is>
      </c>
      <c r="F12" s="12" t="inlineStr">
        <is>
          <t>N</t>
        </is>
      </c>
      <c r="G12" s="12" t="inlineStr"/>
      <c r="H12" s="12" t="inlineStr">
        <is>
          <t>Free text</t>
        </is>
      </c>
      <c r="I12" s="12" t="inlineStr">
        <is>
          <t>Sum insured up to 2,000,000.00</t>
        </is>
      </c>
      <c r="J12" s="12" t="inlineStr"/>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'_lists'!$R$1:$R$3</formula1>
    </dataValidation>
    <dataValidation sqref="K5:K512" showDropDown="0" showInputMessage="0" showErrorMessage="1" allowBlank="1" errorTitle="BU review" error="Choose a value from the list (BU review)." type="list">
      <formula1>'_lists'!$S$1:$S$3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N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R07 Commission rates by insurer</t>
        </is>
      </c>
    </row>
    <row r="2">
      <c r="A2" s="22" t="inlineStr">
        <is>
          <t>Layout R07 v1 of object R07: Commission rates by insurer and product. Key insurer_code, risk_code, effective_from. Template R07_template.csv.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insurer_code</t>
        </is>
      </c>
      <c r="C5" s="12" t="inlineStr">
        <is>
          <t>Legacy insurer code</t>
        </is>
      </c>
      <c r="D5" s="12" t="inlineStr">
        <is>
          <t>Code</t>
        </is>
      </c>
      <c r="E5" s="12" t="inlineStr">
        <is>
          <t>30</t>
        </is>
      </c>
      <c r="F5" s="12" t="inlineStr">
        <is>
          <t>Y</t>
        </is>
      </c>
      <c r="G5" s="12" t="inlineStr">
        <is>
          <t>Code map INSURER</t>
        </is>
      </c>
      <c r="H5" s="12" t="inlineStr">
        <is>
          <t>As stored in legacy</t>
        </is>
      </c>
      <c r="I5" s="12" t="inlineStr">
        <is>
          <t>MAL</t>
        </is>
      </c>
      <c r="J5" s="12" t="inlineStr">
        <is>
          <t>Mapped</t>
        </is>
      </c>
      <c r="K5" s="12" t="n"/>
      <c r="L5" s="12" t="n"/>
      <c r="M5" s="12" t="n"/>
      <c r="N5" s="25" t="n"/>
    </row>
    <row r="6">
      <c r="A6" s="12" t="n">
        <v>2</v>
      </c>
      <c r="B6" s="12" t="inlineStr">
        <is>
          <t>risk_code</t>
        </is>
      </c>
      <c r="C6" s="12" t="inlineStr">
        <is>
          <t>Legacy product / risk code</t>
        </is>
      </c>
      <c r="D6" s="12" t="inlineStr">
        <is>
          <t>Code</t>
        </is>
      </c>
      <c r="E6" s="12" t="inlineStr">
        <is>
          <t>20</t>
        </is>
      </c>
      <c r="F6" s="12" t="inlineStr">
        <is>
          <t>Y</t>
        </is>
      </c>
      <c r="G6" s="12" t="inlineStr">
        <is>
          <t>Code map PRODUCT</t>
        </is>
      </c>
      <c r="H6" s="12" t="inlineStr">
        <is>
          <t>As stored in legacy</t>
        </is>
      </c>
      <c r="I6" s="12" t="inlineStr">
        <is>
          <t>MC-PC-COMP</t>
        </is>
      </c>
      <c r="J6" s="12" t="inlineStr">
        <is>
          <t>Mapped</t>
        </is>
      </c>
      <c r="K6" s="12" t="n"/>
      <c r="L6" s="12" t="n"/>
      <c r="M6" s="12" t="n"/>
      <c r="N6" s="25" t="n"/>
    </row>
    <row r="7">
      <c r="A7" s="12" t="n">
        <v>3</v>
      </c>
      <c r="B7" s="12" t="inlineStr">
        <is>
          <t>rate_pct</t>
        </is>
      </c>
      <c r="C7" s="12" t="inlineStr">
        <is>
          <t>Commission rate in percent</t>
        </is>
      </c>
      <c r="D7" s="12" t="inlineStr">
        <is>
          <t>Decimal</t>
        </is>
      </c>
      <c r="E7" s="12" t="inlineStr">
        <is>
          <t>9,4</t>
        </is>
      </c>
      <c r="F7" s="12" t="inlineStr">
        <is>
          <t>Y</t>
        </is>
      </c>
      <c r="G7" s="12" t="inlineStr"/>
      <c r="H7" s="12" t="inlineStr">
        <is>
          <t>Dot decimal</t>
        </is>
      </c>
      <c r="I7" s="12" t="inlineStr">
        <is>
          <t>20.0000</t>
        </is>
      </c>
      <c r="J7" s="12" t="inlineStr">
        <is>
          <t>0 to 100</t>
        </is>
      </c>
      <c r="K7" s="12" t="n"/>
      <c r="L7" s="12" t="n"/>
      <c r="M7" s="12" t="n"/>
      <c r="N7" s="25" t="n"/>
    </row>
    <row r="8">
      <c r="A8" s="12" t="n">
        <v>4</v>
      </c>
      <c r="B8" s="12" t="inlineStr">
        <is>
          <t>effective_from</t>
        </is>
      </c>
      <c r="C8" s="12" t="inlineStr">
        <is>
          <t>Rate valid from</t>
        </is>
      </c>
      <c r="D8" s="12" t="inlineStr">
        <is>
          <t>Date</t>
        </is>
      </c>
      <c r="E8" s="12" t="inlineStr">
        <is>
          <t>10</t>
        </is>
      </c>
      <c r="F8" s="12" t="inlineStr">
        <is>
          <t>Y</t>
        </is>
      </c>
      <c r="G8" s="12" t="inlineStr"/>
      <c r="H8" s="12" t="inlineStr">
        <is>
          <t>yyyy-MM-dd</t>
        </is>
      </c>
      <c r="I8" s="12" t="inlineStr">
        <is>
          <t>2026-01-01</t>
        </is>
      </c>
      <c r="J8" s="12" t="inlineStr">
        <is>
          <t>Valid date</t>
        </is>
      </c>
      <c r="K8" s="12" t="n"/>
      <c r="L8" s="12" t="n"/>
      <c r="M8" s="12" t="n"/>
      <c r="N8" s="25" t="n"/>
    </row>
    <row r="9">
      <c r="A9" s="12" t="n">
        <v>5</v>
      </c>
      <c r="B9" s="12" t="inlineStr">
        <is>
          <t>effective_to</t>
        </is>
      </c>
      <c r="C9" s="12" t="inlineStr">
        <is>
          <t>Rate valid to</t>
        </is>
      </c>
      <c r="D9" s="12" t="inlineStr">
        <is>
          <t>Date</t>
        </is>
      </c>
      <c r="E9" s="12" t="inlineStr">
        <is>
          <t>10</t>
        </is>
      </c>
      <c r="F9" s="12" t="inlineStr">
        <is>
          <t>N</t>
        </is>
      </c>
      <c r="G9" s="12" t="inlineStr"/>
      <c r="H9" s="12" t="inlineStr">
        <is>
          <t>yyyy-MM-dd</t>
        </is>
      </c>
      <c r="I9" s="12" t="inlineStr"/>
      <c r="J9" s="12" t="inlineStr">
        <is>
          <t>No overlap for the same insurer and product</t>
        </is>
      </c>
      <c r="K9" s="12" t="n"/>
      <c r="L9" s="12" t="n"/>
      <c r="M9" s="12" t="n"/>
      <c r="N9" s="25" t="n"/>
    </row>
  </sheetData>
  <autoFilter ref="A4:N9"/>
  <mergeCells count="1">
    <mergeCell ref="A2:N2"/>
  </mergeCells>
  <conditionalFormatting sqref="A5:N509">
    <cfRule type="expression" priority="1" dxfId="0">
      <formula>AND(MOD(ROW(),2)=0,$A5&lt;&gt;"")</formula>
    </cfRule>
  </conditionalFormatting>
  <dataValidations count="3">
    <dataValidation sqref="F5:F509" showDropDown="0" showInputMessage="0" showErrorMessage="1" allowBlank="1" errorTitle="Mandatory" error="Choose a value from the list (Mandatory)." type="list">
      <formula1>'_lists'!$T$1:$T$3</formula1>
    </dataValidation>
    <dataValidation sqref="K5:K509" showDropDown="0" showInputMessage="0" showErrorMessage="1" allowBlank="1" errorTitle="BU review" error="Choose a value from the list (BU review)." type="list">
      <formula1>'_lists'!$U$1:$U$3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R08 Chart of accounts mapping</t>
        </is>
      </c>
    </row>
    <row r="2">
      <c r="A2" s="22" t="inlineStr">
        <is>
          <t>Layout R08 v1 of object R08: Chart of accounts mapping. Key legacy_account_code. Template R08_template.csv.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legacy_account_code</t>
        </is>
      </c>
      <c r="C5" s="12" t="inlineStr">
        <is>
          <t>Legacy GL account code</t>
        </is>
      </c>
      <c r="D5" s="12" t="inlineStr">
        <is>
          <t>Code</t>
        </is>
      </c>
      <c r="E5" s="12" t="inlineStr">
        <is>
          <t>30</t>
        </is>
      </c>
      <c r="F5" s="12" t="inlineStr">
        <is>
          <t>Y</t>
        </is>
      </c>
      <c r="G5" s="12" t="inlineStr"/>
      <c r="H5" s="12" t="inlineStr">
        <is>
          <t>As stored in legacy</t>
        </is>
      </c>
      <c r="I5" s="12" t="inlineStr">
        <is>
          <t>1101-02</t>
        </is>
      </c>
      <c r="J5" s="12" t="inlineStr">
        <is>
          <t>Unique</t>
        </is>
      </c>
      <c r="K5" s="12" t="n"/>
      <c r="L5" s="12" t="n"/>
      <c r="M5" s="12" t="n"/>
      <c r="N5" s="25" t="n"/>
    </row>
    <row r="6">
      <c r="A6" s="12" t="n">
        <v>2</v>
      </c>
      <c r="B6" s="12" t="inlineStr">
        <is>
          <t>legacy_account_name</t>
        </is>
      </c>
      <c r="C6" s="12" t="inlineStr">
        <is>
          <t>Legacy account name</t>
        </is>
      </c>
      <c r="D6" s="12" t="inlineStr">
        <is>
          <t>Text</t>
        </is>
      </c>
      <c r="E6" s="12" t="inlineStr">
        <is>
          <t>200</t>
        </is>
      </c>
      <c r="F6" s="12" t="inlineStr">
        <is>
          <t>Y</t>
        </is>
      </c>
      <c r="G6" s="12" t="inlineStr"/>
      <c r="H6" s="12" t="inlineStr">
        <is>
          <t>Free text</t>
        </is>
      </c>
      <c r="I6" s="12" t="inlineStr">
        <is>
          <t>Cash in Bank - BDO Makati</t>
        </is>
      </c>
      <c r="J6" s="12" t="inlineStr">
        <is>
          <t>Not blank</t>
        </is>
      </c>
      <c r="K6" s="12" t="n"/>
      <c r="L6" s="12" t="n"/>
      <c r="M6" s="12" t="n"/>
      <c r="N6" s="25" t="n"/>
    </row>
    <row r="7">
      <c r="A7" s="12" t="n">
        <v>3</v>
      </c>
      <c r="B7" s="12" t="inlineStr">
        <is>
          <t>account_type</t>
        </is>
      </c>
      <c r="C7" s="12" t="inlineStr">
        <is>
          <t>Account type</t>
        </is>
      </c>
      <c r="D7" s="12" t="inlineStr">
        <is>
          <t>Code</t>
        </is>
      </c>
      <c r="E7" s="12" t="inlineStr">
        <is>
          <t>12</t>
        </is>
      </c>
      <c r="F7" s="12" t="inlineStr">
        <is>
          <t>Y</t>
        </is>
      </c>
      <c r="G7" s="12" t="inlineStr">
        <is>
          <t>ASSET, LIABILITY, EQUITY, INCOME, EXPENSE</t>
        </is>
      </c>
      <c r="H7" s="12" t="inlineStr">
        <is>
          <t>Upper case</t>
        </is>
      </c>
      <c r="I7" s="12" t="inlineStr">
        <is>
          <t>ASSET</t>
        </is>
      </c>
      <c r="J7" s="12" t="inlineStr">
        <is>
          <t>In the list</t>
        </is>
      </c>
      <c r="K7" s="12" t="n"/>
      <c r="L7" s="12" t="n"/>
      <c r="M7" s="12" t="n"/>
      <c r="N7" s="25" t="n"/>
    </row>
    <row r="8">
      <c r="A8" s="12" t="n">
        <v>4</v>
      </c>
      <c r="B8" s="12" t="inlineStr">
        <is>
          <t>normal_balance</t>
        </is>
      </c>
      <c r="C8" s="12" t="inlineStr">
        <is>
          <t>Normal balance side</t>
        </is>
      </c>
      <c r="D8" s="12" t="inlineStr">
        <is>
          <t>Code</t>
        </is>
      </c>
      <c r="E8" s="12" t="inlineStr">
        <is>
          <t>2</t>
        </is>
      </c>
      <c r="F8" s="12" t="inlineStr">
        <is>
          <t>Y</t>
        </is>
      </c>
      <c r="G8" s="12" t="inlineStr">
        <is>
          <t>DR, CR</t>
        </is>
      </c>
      <c r="H8" s="12" t="inlineStr">
        <is>
          <t>Upper case</t>
        </is>
      </c>
      <c r="I8" s="12" t="inlineStr">
        <is>
          <t>DR</t>
        </is>
      </c>
      <c r="J8" s="12" t="inlineStr">
        <is>
          <t>In the list</t>
        </is>
      </c>
      <c r="K8" s="12" t="n"/>
      <c r="L8" s="12" t="n"/>
      <c r="M8" s="12" t="n"/>
      <c r="N8" s="25" t="n"/>
    </row>
    <row r="9">
      <c r="A9" s="12" t="n">
        <v>5</v>
      </c>
      <c r="B9" s="12" t="inlineStr">
        <is>
          <t>legacy_control_type</t>
        </is>
      </c>
      <c r="C9" s="12" t="inlineStr">
        <is>
          <t>Marks the legacy control accounts whose balance F01 or F02 carries in detail</t>
        </is>
      </c>
      <c r="D9" s="12" t="inlineStr">
        <is>
          <t>Code</t>
        </is>
      </c>
      <c r="E9" s="12" t="inlineStr">
        <is>
          <t>20</t>
        </is>
      </c>
      <c r="F9" s="12" t="inlineStr">
        <is>
          <t>N</t>
        </is>
      </c>
      <c r="G9" s="12" t="inlineStr">
        <is>
          <t>PR, PR2307, DTIP, COMMISSION_REC, UNREALIZED_COMM, DEFERRED_VAT, UPP, NONE</t>
        </is>
      </c>
      <c r="H9" s="12" t="inlineStr">
        <is>
          <t>Upper case</t>
        </is>
      </c>
      <c r="I9" s="12" t="inlineStr">
        <is>
          <t>NONE</t>
        </is>
      </c>
      <c r="J9" s="12" t="inlineStr">
        <is>
          <t>In the list</t>
        </is>
      </c>
      <c r="K9" s="12" t="n"/>
      <c r="L9" s="12" t="n"/>
      <c r="M9" s="12" t="n"/>
      <c r="N9" s="25" t="n"/>
    </row>
    <row r="10">
      <c r="A10" s="12" t="n">
        <v>6</v>
      </c>
      <c r="B10" s="12" t="inlineStr">
        <is>
          <t>bibs_account_code</t>
        </is>
      </c>
      <c r="C10" s="12" t="inlineStr">
        <is>
          <t>BIBS account the legacy account maps to (filled by Comptrollership)</t>
        </is>
      </c>
      <c r="D10" s="12" t="inlineStr">
        <is>
          <t>Code</t>
        </is>
      </c>
      <c r="E10" s="12" t="inlineStr">
        <is>
          <t>30</t>
        </is>
      </c>
      <c r="F10" s="12" t="inlineStr">
        <is>
          <t>C</t>
        </is>
      </c>
      <c r="G10" s="12" t="inlineStr">
        <is>
          <t>Account codes of the BIBS chart of accounts</t>
        </is>
      </c>
      <c r="H10" s="12" t="inlineStr">
        <is>
          <t>As in the BIBS chart</t>
        </is>
      </c>
      <c r="I10" s="12" t="inlineStr">
        <is>
          <t>X102.03 (illustrative code, not in use)</t>
        </is>
      </c>
      <c r="J10" s="12" t="inlineStr">
        <is>
          <t>Mandatory when legacy_control_type is NONE; exists and active in BIBS</t>
        </is>
      </c>
      <c r="K10" s="12" t="n"/>
      <c r="L10" s="12" t="n"/>
      <c r="M10" s="12" t="n"/>
      <c r="N10" s="25" t="n"/>
    </row>
    <row r="11">
      <c r="A11" s="12" t="n">
        <v>7</v>
      </c>
      <c r="B11" s="12" t="inlineStr">
        <is>
          <t>branch_specific_flag</t>
        </is>
      </c>
      <c r="C11" s="12" t="inlineStr">
        <is>
          <t>Balances are kept per branch</t>
        </is>
      </c>
      <c r="D11" s="12" t="inlineStr">
        <is>
          <t>Flag</t>
        </is>
      </c>
      <c r="E11" s="12" t="inlineStr">
        <is>
          <t>1</t>
        </is>
      </c>
      <c r="F11" s="12" t="inlineStr">
        <is>
          <t>N</t>
        </is>
      </c>
      <c r="G11" s="12" t="inlineStr">
        <is>
          <t>Y, N</t>
        </is>
      </c>
      <c r="H11" s="12" t="inlineStr">
        <is>
          <t>Y or N</t>
        </is>
      </c>
      <c r="I11" s="12" t="inlineStr">
        <is>
          <t>Y</t>
        </is>
      </c>
      <c r="J11" s="12" t="inlineStr">
        <is>
          <t>Y or N</t>
        </is>
      </c>
      <c r="K11" s="12" t="n"/>
      <c r="L11" s="12" t="n"/>
      <c r="M11" s="12" t="n"/>
      <c r="N11" s="25" t="n"/>
    </row>
    <row r="12">
      <c r="A12" s="12" t="n">
        <v>8</v>
      </c>
      <c r="B12" s="12" t="inlineStr">
        <is>
          <t>remarks</t>
        </is>
      </c>
      <c r="C12" s="12" t="inlineStr">
        <is>
          <t>Mapping remarks</t>
        </is>
      </c>
      <c r="D12" s="12" t="inlineStr">
        <is>
          <t>Text</t>
        </is>
      </c>
      <c r="E12" s="12" t="inlineStr">
        <is>
          <t>300</t>
        </is>
      </c>
      <c r="F12" s="12" t="inlineStr">
        <is>
          <t>N</t>
        </is>
      </c>
      <c r="G12" s="12" t="inlineStr"/>
      <c r="H12" s="12" t="inlineStr">
        <is>
          <t>Free text</t>
        </is>
      </c>
      <c r="I12" s="12" t="inlineStr">
        <is>
          <t>Merged with 1201-01</t>
        </is>
      </c>
      <c r="J12" s="12" t="inlineStr"/>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'_lists'!$V$1:$V$3</formula1>
    </dataValidation>
    <dataValidation sqref="K5:K512" showDropDown="0" showInputMessage="0" showErrorMessage="1" allowBlank="1" errorTitle="BU review" error="Choose a value from the list (BU review)." type="list">
      <formula1>'_lists'!$W$1:$W$3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N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R09 Payees</t>
        </is>
      </c>
    </row>
    <row r="2">
      <c r="A2" s="22" t="inlineStr">
        <is>
          <t>Layout R09 v1 of object R09: Payees. Key payee_code. Template R09_template.csv.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payee_code</t>
        </is>
      </c>
      <c r="C5" s="12" t="inlineStr">
        <is>
          <t>Legacy payee code</t>
        </is>
      </c>
      <c r="D5" s="12" t="inlineStr">
        <is>
          <t>Code</t>
        </is>
      </c>
      <c r="E5" s="12" t="inlineStr">
        <is>
          <t>30</t>
        </is>
      </c>
      <c r="F5" s="12" t="inlineStr">
        <is>
          <t>Y</t>
        </is>
      </c>
      <c r="G5" s="12" t="inlineStr"/>
      <c r="H5" s="12" t="inlineStr">
        <is>
          <t>As stored in legacy</t>
        </is>
      </c>
      <c r="I5" s="12" t="inlineStr">
        <is>
          <t>SUP-0001</t>
        </is>
      </c>
      <c r="J5" s="12" t="inlineStr">
        <is>
          <t>Unique</t>
        </is>
      </c>
      <c r="K5" s="12" t="n"/>
      <c r="L5" s="12" t="n"/>
      <c r="M5" s="12" t="n"/>
      <c r="N5" s="25" t="n"/>
    </row>
    <row r="6">
      <c r="A6" s="12" t="n">
        <v>2</v>
      </c>
      <c r="B6" s="12" t="inlineStr">
        <is>
          <t>payee_class</t>
        </is>
      </c>
      <c r="C6" s="12" t="inlineStr">
        <is>
          <t>Payee class</t>
        </is>
      </c>
      <c r="D6" s="12" t="inlineStr">
        <is>
          <t>Code</t>
        </is>
      </c>
      <c r="E6" s="12" t="inlineStr">
        <is>
          <t>20</t>
        </is>
      </c>
      <c r="F6" s="12" t="inlineStr">
        <is>
          <t>Y</t>
        </is>
      </c>
      <c r="G6" s="12" t="inlineStr">
        <is>
          <t>LOV PAYEE_CLASS</t>
        </is>
      </c>
      <c r="H6" s="12" t="inlineStr">
        <is>
          <t>Upper case</t>
        </is>
      </c>
      <c r="I6" s="12" t="inlineStr">
        <is>
          <t>SUPPLIER</t>
        </is>
      </c>
      <c r="J6" s="12" t="inlineStr">
        <is>
          <t>In the list</t>
        </is>
      </c>
      <c r="K6" s="12" t="n"/>
      <c r="L6" s="12" t="n"/>
      <c r="M6" s="12" t="n"/>
      <c r="N6" s="25" t="n"/>
    </row>
    <row r="7">
      <c r="A7" s="12" t="n">
        <v>3</v>
      </c>
      <c r="B7" s="12" t="inlineStr">
        <is>
          <t>name</t>
        </is>
      </c>
      <c r="C7" s="12" t="inlineStr">
        <is>
          <t>Payee name</t>
        </is>
      </c>
      <c r="D7" s="12" t="inlineStr">
        <is>
          <t>Text</t>
        </is>
      </c>
      <c r="E7" s="12" t="inlineStr">
        <is>
          <t>250</t>
        </is>
      </c>
      <c r="F7" s="12" t="inlineStr">
        <is>
          <t>Y</t>
        </is>
      </c>
      <c r="G7" s="12" t="inlineStr"/>
      <c r="H7" s="12" t="inlineStr">
        <is>
          <t>Free text</t>
        </is>
      </c>
      <c r="I7" s="12" t="inlineStr">
        <is>
          <t>Acme Office Supply</t>
        </is>
      </c>
      <c r="J7" s="12" t="inlineStr">
        <is>
          <t>Not blank</t>
        </is>
      </c>
      <c r="K7" s="12" t="n"/>
      <c r="L7" s="12" t="n"/>
      <c r="M7" s="12" t="n"/>
      <c r="N7" s="25" t="n"/>
    </row>
    <row r="8">
      <c r="A8" s="12" t="n">
        <v>4</v>
      </c>
      <c r="B8" s="12" t="inlineStr">
        <is>
          <t>address</t>
        </is>
      </c>
      <c r="C8" s="12" t="inlineStr">
        <is>
          <t>Address</t>
        </is>
      </c>
      <c r="D8" s="12" t="inlineStr">
        <is>
          <t>Text</t>
        </is>
      </c>
      <c r="E8" s="12" t="inlineStr">
        <is>
          <t>300</t>
        </is>
      </c>
      <c r="F8" s="12" t="inlineStr">
        <is>
          <t>N</t>
        </is>
      </c>
      <c r="G8" s="12" t="inlineStr"/>
      <c r="H8" s="12" t="inlineStr">
        <is>
          <t>Free text</t>
        </is>
      </c>
      <c r="I8" s="12" t="inlineStr">
        <is>
          <t>Makati City</t>
        </is>
      </c>
      <c r="J8" s="12" t="inlineStr"/>
      <c r="K8" s="12" t="n"/>
      <c r="L8" s="12" t="n"/>
      <c r="M8" s="12" t="n"/>
      <c r="N8" s="25" t="n"/>
    </row>
    <row r="9">
      <c r="A9" s="12" t="n">
        <v>5</v>
      </c>
      <c r="B9" s="12" t="inlineStr">
        <is>
          <t>email</t>
        </is>
      </c>
      <c r="C9" s="12" t="inlineStr">
        <is>
          <t>E-mail for payment advices</t>
        </is>
      </c>
      <c r="D9" s="12" t="inlineStr">
        <is>
          <t>Text</t>
        </is>
      </c>
      <c r="E9" s="12" t="inlineStr">
        <is>
          <t>120</t>
        </is>
      </c>
      <c r="F9" s="12" t="inlineStr">
        <is>
          <t>N</t>
        </is>
      </c>
      <c r="G9" s="12" t="inlineStr"/>
      <c r="H9" s="12" t="inlineStr">
        <is>
          <t>name@domain</t>
        </is>
      </c>
      <c r="I9" s="12" t="inlineStr">
        <is>
          <t>ap@acme.example</t>
        </is>
      </c>
      <c r="J9" s="12" t="inlineStr">
        <is>
          <t>Valid e-mail</t>
        </is>
      </c>
      <c r="K9" s="12" t="n"/>
      <c r="L9" s="12" t="n"/>
      <c r="M9" s="12" t="n"/>
      <c r="N9" s="25" t="n"/>
    </row>
    <row r="10">
      <c r="A10" s="12" t="n">
        <v>6</v>
      </c>
      <c r="B10" s="12" t="inlineStr">
        <is>
          <t>tin</t>
        </is>
      </c>
      <c r="C10" s="12" t="inlineStr">
        <is>
          <t>Tax identification number</t>
        </is>
      </c>
      <c r="D10" s="12" t="inlineStr">
        <is>
          <t>Text</t>
        </is>
      </c>
      <c r="E10" s="12" t="inlineStr">
        <is>
          <t>20</t>
        </is>
      </c>
      <c r="F10" s="12" t="inlineStr">
        <is>
          <t>N</t>
        </is>
      </c>
      <c r="G10" s="12" t="inlineStr"/>
      <c r="H10" s="12" t="inlineStr">
        <is>
          <t>000-000-000-000</t>
        </is>
      </c>
      <c r="I10" s="12" t="inlineStr">
        <is>
          <t>123-456-789-000</t>
        </is>
      </c>
      <c r="J10" s="12" t="inlineStr">
        <is>
          <t>9 to 12 digits</t>
        </is>
      </c>
      <c r="K10" s="12" t="n"/>
      <c r="L10" s="12" t="n"/>
      <c r="M10" s="12" t="n"/>
      <c r="N10" s="25" t="n"/>
    </row>
    <row r="11">
      <c r="A11" s="12" t="n">
        <v>7</v>
      </c>
      <c r="B11" s="12" t="inlineStr">
        <is>
          <t>default_mode</t>
        </is>
      </c>
      <c r="C11" s="12" t="inlineStr">
        <is>
          <t>Default payment mode</t>
        </is>
      </c>
      <c r="D11" s="12" t="inlineStr">
        <is>
          <t>Code</t>
        </is>
      </c>
      <c r="E11" s="12" t="inlineStr">
        <is>
          <t>20</t>
        </is>
      </c>
      <c r="F11" s="12" t="inlineStr">
        <is>
          <t>Y</t>
        </is>
      </c>
      <c r="G11" s="12" t="inlineStr">
        <is>
          <t>CTA, ATD, MC_DD, CREDIT_TICKET, TT, ONLINE_BANKING, CHECK</t>
        </is>
      </c>
      <c r="H11" s="12" t="inlineStr">
        <is>
          <t>Upper case</t>
        </is>
      </c>
      <c r="I11" s="12" t="inlineStr">
        <is>
          <t>CHECK</t>
        </is>
      </c>
      <c r="J11" s="12" t="inlineStr">
        <is>
          <t>One of allowed_modes</t>
        </is>
      </c>
      <c r="K11" s="12" t="n"/>
      <c r="L11" s="12" t="n"/>
      <c r="M11" s="12" t="n"/>
      <c r="N11" s="25" t="n"/>
    </row>
    <row r="12">
      <c r="A12" s="12" t="n">
        <v>8</v>
      </c>
      <c r="B12" s="12" t="inlineStr">
        <is>
          <t>allowed_modes</t>
        </is>
      </c>
      <c r="C12" s="12" t="inlineStr">
        <is>
          <t>Allowed payment modes separated by a vertical bar</t>
        </is>
      </c>
      <c r="D12" s="12" t="inlineStr">
        <is>
          <t>Text</t>
        </is>
      </c>
      <c r="E12" s="12" t="inlineStr">
        <is>
          <t>100</t>
        </is>
      </c>
      <c r="F12" s="12" t="inlineStr">
        <is>
          <t>Y</t>
        </is>
      </c>
      <c r="G12" s="12" t="inlineStr">
        <is>
          <t>Same list as default_mode</t>
        </is>
      </c>
      <c r="H12" s="12" t="inlineStr">
        <is>
          <t>MODE\</t>
        </is>
      </c>
      <c r="I12" s="12" t="inlineStr">
        <is>
          <t>MODE</t>
        </is>
      </c>
      <c r="J12" s="12" t="inlineStr">
        <is>
          <t>CTA</t>
        </is>
      </c>
      <c r="K12" s="12" t="n"/>
      <c r="L12" s="12" t="n"/>
      <c r="M12" s="12" t="n"/>
      <c r="N12" s="25" t="n"/>
    </row>
    <row r="13">
      <c r="A13" s="12" t="n">
        <v>9</v>
      </c>
      <c r="B13" s="12" t="inlineStr">
        <is>
          <t>currency</t>
        </is>
      </c>
      <c r="C13" s="12" t="inlineStr">
        <is>
          <t>Currency</t>
        </is>
      </c>
      <c r="D13" s="12" t="inlineStr">
        <is>
          <t>Code</t>
        </is>
      </c>
      <c r="E13" s="12" t="inlineStr">
        <is>
          <t>3</t>
        </is>
      </c>
      <c r="F13" s="12" t="inlineStr">
        <is>
          <t>Y</t>
        </is>
      </c>
      <c r="G13" s="12" t="inlineStr">
        <is>
          <t>ISO 4217</t>
        </is>
      </c>
      <c r="H13" s="12" t="inlineStr">
        <is>
          <t>Upper case</t>
        </is>
      </c>
      <c r="I13" s="12" t="inlineStr">
        <is>
          <t>PHP</t>
        </is>
      </c>
      <c r="J13" s="12" t="inlineStr">
        <is>
          <t>Valid code</t>
        </is>
      </c>
      <c r="K13" s="12" t="n"/>
      <c r="L13" s="12" t="n"/>
      <c r="M13" s="12" t="n"/>
      <c r="N13" s="25" t="n"/>
    </row>
    <row r="14">
      <c r="A14" s="12" t="n">
        <v>10</v>
      </c>
      <c r="B14" s="12" t="inlineStr">
        <is>
          <t>bank</t>
        </is>
      </c>
      <c r="C14" s="12" t="inlineStr">
        <is>
          <t>Bank of the payee account</t>
        </is>
      </c>
      <c r="D14" s="12" t="inlineStr">
        <is>
          <t>Text</t>
        </is>
      </c>
      <c r="E14" s="12" t="inlineStr">
        <is>
          <t>120</t>
        </is>
      </c>
      <c r="F14" s="12" t="inlineStr">
        <is>
          <t>N</t>
        </is>
      </c>
      <c r="G14" s="12" t="inlineStr">
        <is>
          <t>Code map BANK</t>
        </is>
      </c>
      <c r="H14" s="12" t="inlineStr">
        <is>
          <t>Free text</t>
        </is>
      </c>
      <c r="I14" s="12" t="inlineStr">
        <is>
          <t>BDO Unibank</t>
        </is>
      </c>
      <c r="J14" s="12" t="inlineStr">
        <is>
          <t>Mapped</t>
        </is>
      </c>
      <c r="K14" s="12" t="n"/>
      <c r="L14" s="12" t="n"/>
      <c r="M14" s="12" t="n"/>
      <c r="N14" s="25" t="n"/>
    </row>
    <row r="15">
      <c r="A15" s="12" t="n">
        <v>11</v>
      </c>
      <c r="B15" s="12" t="inlineStr">
        <is>
          <t>account_no</t>
        </is>
      </c>
      <c r="C15" s="12" t="inlineStr">
        <is>
          <t>Payee account number</t>
        </is>
      </c>
      <c r="D15" s="12" t="inlineStr">
        <is>
          <t>Text</t>
        </is>
      </c>
      <c r="E15" s="12" t="inlineStr">
        <is>
          <t>40</t>
        </is>
      </c>
      <c r="F15" s="12" t="inlineStr">
        <is>
          <t>C</t>
        </is>
      </c>
      <c r="G15" s="12" t="inlineStr"/>
      <c r="H15" s="12" t="inlineStr">
        <is>
          <t>Digits</t>
        </is>
      </c>
      <c r="I15" s="12" t="inlineStr">
        <is>
          <t>001234567890</t>
        </is>
      </c>
      <c r="J15" s="12" t="inlineStr">
        <is>
          <t>Mandatory for CTA</t>
        </is>
      </c>
      <c r="K15" s="12" t="n"/>
      <c r="L15" s="12" t="n"/>
      <c r="M15" s="12" t="n"/>
      <c r="N15" s="25" t="n"/>
    </row>
  </sheetData>
  <autoFilter ref="A4:N15"/>
  <mergeCells count="1">
    <mergeCell ref="A2:N2"/>
  </mergeCells>
  <conditionalFormatting sqref="A5:N515">
    <cfRule type="expression" priority="1" dxfId="0">
      <formula>AND(MOD(ROW(),2)=0,$A5&lt;&gt;"")</formula>
    </cfRule>
  </conditionalFormatting>
  <dataValidations count="3">
    <dataValidation sqref="F5:F515" showDropDown="0" showInputMessage="0" showErrorMessage="1" allowBlank="1" errorTitle="Mandatory" error="Choose a value from the list (Mandatory)." type="list">
      <formula1>'_lists'!$X$1:$X$3</formula1>
    </dataValidation>
    <dataValidation sqref="K5:K515" showDropDown="0" showInputMessage="0" showErrorMessage="1" allowBlank="1" errorTitle="BU review" error="Choose a value from the list (BU review)." type="list">
      <formula1>'_lists'!$Y$1:$Y$3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R11 Receipt series in use</t>
        </is>
      </c>
    </row>
    <row r="2">
      <c r="A2" s="22" t="inlineStr">
        <is>
          <t>Layout R11 v1 of object R11: Receipt series in use. Key branch_code, kind, prefix. Template R11_template.csv.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branch_code</t>
        </is>
      </c>
      <c r="C5" s="12" t="inlineStr">
        <is>
          <t>Issuing branch</t>
        </is>
      </c>
      <c r="D5" s="12" t="inlineStr">
        <is>
          <t>Code</t>
        </is>
      </c>
      <c r="E5" s="12" t="inlineStr">
        <is>
          <t>20</t>
        </is>
      </c>
      <c r="F5" s="12" t="inlineStr">
        <is>
          <t>Y</t>
        </is>
      </c>
      <c r="G5" s="12" t="inlineStr">
        <is>
          <t>Code map BRANCH</t>
        </is>
      </c>
      <c r="H5" s="12" t="inlineStr">
        <is>
          <t>As stored in legacy</t>
        </is>
      </c>
      <c r="I5" s="12" t="inlineStr">
        <is>
          <t>MKT01</t>
        </is>
      </c>
      <c r="J5" s="12" t="inlineStr">
        <is>
          <t>Mapped</t>
        </is>
      </c>
      <c r="K5" s="12" t="n"/>
      <c r="L5" s="12" t="n"/>
      <c r="M5" s="12" t="n"/>
      <c r="N5" s="25" t="n"/>
    </row>
    <row r="6">
      <c r="A6" s="12" t="n">
        <v>2</v>
      </c>
      <c r="B6" s="12" t="inlineStr">
        <is>
          <t>kind</t>
        </is>
      </c>
      <c r="C6" s="12" t="inlineStr">
        <is>
          <t>Receipt kind</t>
        </is>
      </c>
      <c r="D6" s="12" t="inlineStr">
        <is>
          <t>Code</t>
        </is>
      </c>
      <c r="E6" s="12" t="inlineStr">
        <is>
          <t>2</t>
        </is>
      </c>
      <c r="F6" s="12" t="inlineStr">
        <is>
          <t>Y</t>
        </is>
      </c>
      <c r="G6" s="12" t="inlineStr">
        <is>
          <t>AR, OR</t>
        </is>
      </c>
      <c r="H6" s="12" t="inlineStr">
        <is>
          <t>Upper case</t>
        </is>
      </c>
      <c r="I6" s="12" t="inlineStr">
        <is>
          <t>AR</t>
        </is>
      </c>
      <c r="J6" s="12" t="inlineStr">
        <is>
          <t>In the list</t>
        </is>
      </c>
      <c r="K6" s="12" t="n"/>
      <c r="L6" s="12" t="n"/>
      <c r="M6" s="12" t="n"/>
      <c r="N6" s="25" t="n"/>
    </row>
    <row r="7">
      <c r="A7" s="12" t="n">
        <v>3</v>
      </c>
      <c r="B7" s="12" t="inlineStr">
        <is>
          <t>atp_no</t>
        </is>
      </c>
      <c r="C7" s="12" t="inlineStr">
        <is>
          <t>BIR Authority to Print number</t>
        </is>
      </c>
      <c r="D7" s="12" t="inlineStr">
        <is>
          <t>Text</t>
        </is>
      </c>
      <c r="E7" s="12" t="inlineStr">
        <is>
          <t>40</t>
        </is>
      </c>
      <c r="F7" s="12" t="inlineStr">
        <is>
          <t>Y</t>
        </is>
      </c>
      <c r="G7" s="12" t="inlineStr"/>
      <c r="H7" s="12" t="inlineStr">
        <is>
          <t>As printed</t>
        </is>
      </c>
      <c r="I7" s="12" t="inlineStr">
        <is>
          <t>ATP-OCN-2025-000123</t>
        </is>
      </c>
      <c r="J7" s="12" t="inlineStr">
        <is>
          <t>Not blank</t>
        </is>
      </c>
      <c r="K7" s="12" t="n"/>
      <c r="L7" s="12" t="n"/>
      <c r="M7" s="12" t="n"/>
      <c r="N7" s="25" t="n"/>
    </row>
    <row r="8">
      <c r="A8" s="12" t="n">
        <v>4</v>
      </c>
      <c r="B8" s="12" t="inlineStr">
        <is>
          <t>prefix</t>
        </is>
      </c>
      <c r="C8" s="12" t="inlineStr">
        <is>
          <t>Series prefix</t>
        </is>
      </c>
      <c r="D8" s="12" t="inlineStr">
        <is>
          <t>Text</t>
        </is>
      </c>
      <c r="E8" s="12" t="inlineStr">
        <is>
          <t>20</t>
        </is>
      </c>
      <c r="F8" s="12" t="inlineStr">
        <is>
          <t>N</t>
        </is>
      </c>
      <c r="G8" s="12" t="inlineStr"/>
      <c r="H8" s="12" t="inlineStr">
        <is>
          <t>As printed</t>
        </is>
      </c>
      <c r="I8" s="12" t="inlineStr">
        <is>
          <t>AR-MKT</t>
        </is>
      </c>
      <c r="J8" s="12" t="inlineStr">
        <is>
          <t>Unique per branch and kind</t>
        </is>
      </c>
      <c r="K8" s="12" t="n"/>
      <c r="L8" s="12" t="n"/>
      <c r="M8" s="12" t="n"/>
      <c r="N8" s="25" t="n"/>
    </row>
    <row r="9">
      <c r="A9" s="12" t="n">
        <v>5</v>
      </c>
      <c r="B9" s="12" t="inlineStr">
        <is>
          <t>from_no</t>
        </is>
      </c>
      <c r="C9" s="12" t="inlineStr">
        <is>
          <t>First number of the series</t>
        </is>
      </c>
      <c r="D9" s="12" t="inlineStr">
        <is>
          <t>Integer</t>
        </is>
      </c>
      <c r="E9" s="12" t="inlineStr">
        <is>
          <t>12</t>
        </is>
      </c>
      <c r="F9" s="12" t="inlineStr">
        <is>
          <t>Y</t>
        </is>
      </c>
      <c r="G9" s="12" t="inlineStr"/>
      <c r="H9" s="12" t="inlineStr">
        <is>
          <t>Digits</t>
        </is>
      </c>
      <c r="I9" s="12" t="inlineStr">
        <is>
          <t>100001</t>
        </is>
      </c>
      <c r="J9" s="12" t="inlineStr">
        <is>
          <t>Less than to_no</t>
        </is>
      </c>
      <c r="K9" s="12" t="n"/>
      <c r="L9" s="12" t="n"/>
      <c r="M9" s="12" t="n"/>
      <c r="N9" s="25" t="n"/>
    </row>
    <row r="10">
      <c r="A10" s="12" t="n">
        <v>6</v>
      </c>
      <c r="B10" s="12" t="inlineStr">
        <is>
          <t>to_no</t>
        </is>
      </c>
      <c r="C10" s="12" t="inlineStr">
        <is>
          <t>Last number of the series</t>
        </is>
      </c>
      <c r="D10" s="12" t="inlineStr">
        <is>
          <t>Integer</t>
        </is>
      </c>
      <c r="E10" s="12" t="inlineStr">
        <is>
          <t>12</t>
        </is>
      </c>
      <c r="F10" s="12" t="inlineStr">
        <is>
          <t>Y</t>
        </is>
      </c>
      <c r="G10" s="12" t="inlineStr"/>
      <c r="H10" s="12" t="inlineStr">
        <is>
          <t>Digits</t>
        </is>
      </c>
      <c r="I10" s="12" t="inlineStr">
        <is>
          <t>150000</t>
        </is>
      </c>
      <c r="J10" s="12" t="inlineStr">
        <is>
          <t>More than from_no</t>
        </is>
      </c>
      <c r="K10" s="12" t="n"/>
      <c r="L10" s="12" t="n"/>
      <c r="M10" s="12" t="n"/>
      <c r="N10" s="25" t="n"/>
    </row>
    <row r="11">
      <c r="A11" s="12" t="n">
        <v>7</v>
      </c>
      <c r="B11" s="12" t="inlineStr">
        <is>
          <t>last_used_no</t>
        </is>
      </c>
      <c r="C11" s="12" t="inlineStr">
        <is>
          <t>Last number issued in legacy at the freeze</t>
        </is>
      </c>
      <c r="D11" s="12" t="inlineStr">
        <is>
          <t>Integer</t>
        </is>
      </c>
      <c r="E11" s="12" t="inlineStr">
        <is>
          <t>12</t>
        </is>
      </c>
      <c r="F11" s="12" t="inlineStr">
        <is>
          <t>Y</t>
        </is>
      </c>
      <c r="G11" s="12" t="inlineStr"/>
      <c r="H11" s="12" t="inlineStr">
        <is>
          <t>Digits</t>
        </is>
      </c>
      <c r="I11" s="12" t="inlineStr">
        <is>
          <t>131245</t>
        </is>
      </c>
      <c r="J11" s="12" t="inlineStr">
        <is>
          <t>Between from_no and to_no</t>
        </is>
      </c>
      <c r="K11" s="12" t="n"/>
      <c r="L11" s="12" t="n"/>
      <c r="M11" s="12" t="n"/>
      <c r="N11" s="25" t="n"/>
    </row>
    <row r="12">
      <c r="A12" s="12" t="n">
        <v>8</v>
      </c>
      <c r="B12" s="12" t="inlineStr">
        <is>
          <t>next_no</t>
        </is>
      </c>
      <c r="C12" s="12" t="inlineStr">
        <is>
          <t>Next number BIBS issues</t>
        </is>
      </c>
      <c r="D12" s="12" t="inlineStr">
        <is>
          <t>Integer</t>
        </is>
      </c>
      <c r="E12" s="12" t="inlineStr">
        <is>
          <t>12</t>
        </is>
      </c>
      <c r="F12" s="12" t="inlineStr">
        <is>
          <t>Y</t>
        </is>
      </c>
      <c r="G12" s="12" t="inlineStr"/>
      <c r="H12" s="12" t="inlineStr">
        <is>
          <t>Digits</t>
        </is>
      </c>
      <c r="I12" s="12" t="inlineStr">
        <is>
          <t>131246</t>
        </is>
      </c>
      <c r="J12" s="12">
        <f> last_used_no + 1</f>
        <v/>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'_lists'!$Z$1:$Z$3</formula1>
    </dataValidation>
    <dataValidation sqref="K5:K512" showDropDown="0" showInputMessage="0" showErrorMessage="1" allowBlank="1" errorTitle="BU review" error="Choose a value from the list (BU review)." type="list">
      <formula1>'_lists'!$AA$1:$AA$3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N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C01 Client master</t>
        </is>
      </c>
    </row>
    <row r="2">
      <c r="A2" s="22" t="inlineStr">
        <is>
          <t>Layout C01 v1 of object C01: Client master. Key legacy_client_no. Template C01_template.csv.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legacy_client_no</t>
        </is>
      </c>
      <c r="C5" s="12" t="inlineStr">
        <is>
          <t>Client number in the source system</t>
        </is>
      </c>
      <c r="D5" s="12" t="inlineStr">
        <is>
          <t>Code</t>
        </is>
      </c>
      <c r="E5" s="12" t="inlineStr">
        <is>
          <t>30</t>
        </is>
      </c>
      <c r="F5" s="12" t="inlineStr">
        <is>
          <t>Y</t>
        </is>
      </c>
      <c r="G5" s="12" t="inlineStr"/>
      <c r="H5" s="12" t="inlineStr">
        <is>
          <t>As stored in legacy</t>
        </is>
      </c>
      <c r="I5" s="12" t="inlineStr">
        <is>
          <t>Q-0012345</t>
        </is>
      </c>
      <c r="J5" s="12" t="inlineStr">
        <is>
          <t>Unique in the file</t>
        </is>
      </c>
      <c r="K5" s="12" t="n"/>
      <c r="L5" s="12" t="n"/>
      <c r="M5" s="12" t="n"/>
      <c r="N5" s="25" t="n"/>
    </row>
    <row r="6">
      <c r="A6" s="12" t="n">
        <v>2</v>
      </c>
      <c r="B6" s="12" t="inlineStr">
        <is>
          <t>client_type</t>
        </is>
      </c>
      <c r="C6" s="12" t="inlineStr">
        <is>
          <t>Individual or corporate</t>
        </is>
      </c>
      <c r="D6" s="12" t="inlineStr">
        <is>
          <t>Code</t>
        </is>
      </c>
      <c r="E6" s="12" t="inlineStr">
        <is>
          <t>1</t>
        </is>
      </c>
      <c r="F6" s="12" t="inlineStr">
        <is>
          <t>Y</t>
        </is>
      </c>
      <c r="G6" s="12" t="inlineStr">
        <is>
          <t>I, C</t>
        </is>
      </c>
      <c r="H6" s="12" t="inlineStr">
        <is>
          <t>Upper case</t>
        </is>
      </c>
      <c r="I6" s="12" t="inlineStr">
        <is>
          <t>I</t>
        </is>
      </c>
      <c r="J6" s="12" t="inlineStr">
        <is>
          <t>In the list</t>
        </is>
      </c>
      <c r="K6" s="12" t="n"/>
      <c r="L6" s="12" t="n"/>
      <c r="M6" s="12" t="n"/>
      <c r="N6" s="25" t="n"/>
    </row>
    <row r="7">
      <c r="A7" s="12" t="n">
        <v>3</v>
      </c>
      <c r="B7" s="12" t="inlineStr">
        <is>
          <t>last_name</t>
        </is>
      </c>
      <c r="C7" s="12" t="inlineStr">
        <is>
          <t>Last name (individual)</t>
        </is>
      </c>
      <c r="D7" s="12" t="inlineStr">
        <is>
          <t>Text</t>
        </is>
      </c>
      <c r="E7" s="12" t="inlineStr">
        <is>
          <t>100</t>
        </is>
      </c>
      <c r="F7" s="12" t="inlineStr">
        <is>
          <t>C</t>
        </is>
      </c>
      <c r="G7" s="12" t="inlineStr"/>
      <c r="H7" s="12" t="inlineStr">
        <is>
          <t>Free text</t>
        </is>
      </c>
      <c r="I7" s="12" t="inlineStr">
        <is>
          <t>Reyes</t>
        </is>
      </c>
      <c r="J7" s="12" t="inlineStr">
        <is>
          <t>Mandatory for I</t>
        </is>
      </c>
      <c r="K7" s="12" t="n"/>
      <c r="L7" s="12" t="n"/>
      <c r="M7" s="12" t="n"/>
      <c r="N7" s="25" t="n"/>
    </row>
    <row r="8">
      <c r="A8" s="12" t="n">
        <v>4</v>
      </c>
      <c r="B8" s="12" t="inlineStr">
        <is>
          <t>first_name</t>
        </is>
      </c>
      <c r="C8" s="12" t="inlineStr">
        <is>
          <t>First name (individual)</t>
        </is>
      </c>
      <c r="D8" s="12" t="inlineStr">
        <is>
          <t>Text</t>
        </is>
      </c>
      <c r="E8" s="12" t="inlineStr">
        <is>
          <t>100</t>
        </is>
      </c>
      <c r="F8" s="12" t="inlineStr">
        <is>
          <t>C</t>
        </is>
      </c>
      <c r="G8" s="12" t="inlineStr"/>
      <c r="H8" s="12" t="inlineStr">
        <is>
          <t>Free text</t>
        </is>
      </c>
      <c r="I8" s="12" t="inlineStr">
        <is>
          <t>Ana</t>
        </is>
      </c>
      <c r="J8" s="12" t="inlineStr">
        <is>
          <t>Mandatory for I</t>
        </is>
      </c>
      <c r="K8" s="12" t="n"/>
      <c r="L8" s="12" t="n"/>
      <c r="M8" s="12" t="n"/>
      <c r="N8" s="25" t="n"/>
    </row>
    <row r="9">
      <c r="A9" s="12" t="n">
        <v>5</v>
      </c>
      <c r="B9" s="12" t="inlineStr">
        <is>
          <t>middle_name</t>
        </is>
      </c>
      <c r="C9" s="12" t="inlineStr">
        <is>
          <t>Middle name</t>
        </is>
      </c>
      <c r="D9" s="12" t="inlineStr">
        <is>
          <t>Text</t>
        </is>
      </c>
      <c r="E9" s="12" t="inlineStr">
        <is>
          <t>100</t>
        </is>
      </c>
      <c r="F9" s="12" t="inlineStr">
        <is>
          <t>N</t>
        </is>
      </c>
      <c r="G9" s="12" t="inlineStr"/>
      <c r="H9" s="12" t="inlineStr">
        <is>
          <t>Free text</t>
        </is>
      </c>
      <c r="I9" s="12" t="inlineStr">
        <is>
          <t>Cruz</t>
        </is>
      </c>
      <c r="J9" s="12" t="inlineStr"/>
      <c r="K9" s="12" t="n"/>
      <c r="L9" s="12" t="n"/>
      <c r="M9" s="12" t="n"/>
      <c r="N9" s="25" t="n"/>
    </row>
    <row r="10">
      <c r="A10" s="12" t="n">
        <v>6</v>
      </c>
      <c r="B10" s="12" t="inlineStr">
        <is>
          <t>suffix</t>
        </is>
      </c>
      <c r="C10" s="12" t="inlineStr">
        <is>
          <t>Name suffix</t>
        </is>
      </c>
      <c r="D10" s="12" t="inlineStr">
        <is>
          <t>Text</t>
        </is>
      </c>
      <c r="E10" s="12" t="inlineStr">
        <is>
          <t>20</t>
        </is>
      </c>
      <c r="F10" s="12" t="inlineStr">
        <is>
          <t>N</t>
        </is>
      </c>
      <c r="G10" s="12" t="inlineStr"/>
      <c r="H10" s="12" t="inlineStr">
        <is>
          <t>Free text</t>
        </is>
      </c>
      <c r="I10" s="12" t="inlineStr">
        <is>
          <t>Jr.</t>
        </is>
      </c>
      <c r="J10" s="12" t="inlineStr"/>
      <c r="K10" s="12" t="n"/>
      <c r="L10" s="12" t="n"/>
      <c r="M10" s="12" t="n"/>
      <c r="N10" s="25" t="n"/>
    </row>
    <row r="11">
      <c r="A11" s="12" t="n">
        <v>7</v>
      </c>
      <c r="B11" s="12" t="inlineStr">
        <is>
          <t>corporate_name</t>
        </is>
      </c>
      <c r="C11" s="12" t="inlineStr">
        <is>
          <t>Registered name (corporate)</t>
        </is>
      </c>
      <c r="D11" s="12" t="inlineStr">
        <is>
          <t>Text</t>
        </is>
      </c>
      <c r="E11" s="12" t="inlineStr">
        <is>
          <t>200</t>
        </is>
      </c>
      <c r="F11" s="12" t="inlineStr">
        <is>
          <t>C</t>
        </is>
      </c>
      <c r="G11" s="12" t="inlineStr"/>
      <c r="H11" s="12" t="inlineStr">
        <is>
          <t>Free text</t>
        </is>
      </c>
      <c r="I11" s="12" t="inlineStr">
        <is>
          <t>Acme Trading Corp.</t>
        </is>
      </c>
      <c r="J11" s="12" t="inlineStr">
        <is>
          <t>Mandatory for C</t>
        </is>
      </c>
      <c r="K11" s="12" t="n"/>
      <c r="L11" s="12" t="n"/>
      <c r="M11" s="12" t="n"/>
      <c r="N11" s="25" t="n"/>
    </row>
    <row r="12">
      <c r="A12" s="12" t="n">
        <v>8</v>
      </c>
      <c r="B12" s="12" t="inlineStr">
        <is>
          <t>registration_no</t>
        </is>
      </c>
      <c r="C12" s="12" t="inlineStr">
        <is>
          <t>SEC or DTI registration number (corporate)</t>
        </is>
      </c>
      <c r="D12" s="12" t="inlineStr">
        <is>
          <t>Text</t>
        </is>
      </c>
      <c r="E12" s="12" t="inlineStr">
        <is>
          <t>60</t>
        </is>
      </c>
      <c r="F12" s="12" t="inlineStr">
        <is>
          <t>N</t>
        </is>
      </c>
      <c r="G12" s="12" t="inlineStr"/>
      <c r="H12" s="12" t="inlineStr">
        <is>
          <t>As registered</t>
        </is>
      </c>
      <c r="I12" s="12" t="inlineStr">
        <is>
          <t>CS201912345</t>
        </is>
      </c>
      <c r="J12" s="12" t="inlineStr"/>
      <c r="K12" s="12" t="n"/>
      <c r="L12" s="12" t="n"/>
      <c r="M12" s="12" t="n"/>
      <c r="N12" s="25" t="n"/>
    </row>
    <row r="13">
      <c r="A13" s="12" t="n">
        <v>9</v>
      </c>
      <c r="B13" s="12" t="inlineStr">
        <is>
          <t>birth_date</t>
        </is>
      </c>
      <c r="C13" s="12" t="inlineStr">
        <is>
          <t>Birth date (individual)</t>
        </is>
      </c>
      <c r="D13" s="12" t="inlineStr">
        <is>
          <t>Date</t>
        </is>
      </c>
      <c r="E13" s="12" t="inlineStr">
        <is>
          <t>10</t>
        </is>
      </c>
      <c r="F13" s="12" t="inlineStr">
        <is>
          <t>C</t>
        </is>
      </c>
      <c r="G13" s="12" t="inlineStr"/>
      <c r="H13" s="12" t="inlineStr">
        <is>
          <t>yyyy-MM-dd</t>
        </is>
      </c>
      <c r="I13" s="12" t="inlineStr">
        <is>
          <t>1990-04-15</t>
        </is>
      </c>
      <c r="J13" s="12" t="inlineStr">
        <is>
          <t>Mandatory for I; not in the future; age 0 to 120</t>
        </is>
      </c>
      <c r="K13" s="12" t="n"/>
      <c r="L13" s="12" t="n"/>
      <c r="M13" s="12" t="n"/>
      <c r="N13" s="25" t="n"/>
    </row>
    <row r="14">
      <c r="A14" s="12" t="n">
        <v>10</v>
      </c>
      <c r="B14" s="12" t="inlineStr">
        <is>
          <t>tin</t>
        </is>
      </c>
      <c r="C14" s="12" t="inlineStr">
        <is>
          <t>Tax identification number</t>
        </is>
      </c>
      <c r="D14" s="12" t="inlineStr">
        <is>
          <t>Text</t>
        </is>
      </c>
      <c r="E14" s="12" t="inlineStr">
        <is>
          <t>20</t>
        </is>
      </c>
      <c r="F14" s="12" t="inlineStr">
        <is>
          <t>N</t>
        </is>
      </c>
      <c r="G14" s="12" t="inlineStr"/>
      <c r="H14" s="12" t="inlineStr">
        <is>
          <t>000-000-000-000</t>
        </is>
      </c>
      <c r="I14" s="12" t="inlineStr">
        <is>
          <t>123-456-789-000</t>
        </is>
      </c>
      <c r="J14" s="12" t="inlineStr">
        <is>
          <t>9 to 12 digits; duplicate key K1</t>
        </is>
      </c>
      <c r="K14" s="12" t="n"/>
      <c r="L14" s="12" t="n"/>
      <c r="M14" s="12" t="n"/>
      <c r="N14" s="25" t="n"/>
    </row>
    <row r="15">
      <c r="A15" s="12" t="n">
        <v>11</v>
      </c>
      <c r="B15" s="12" t="inlineStr">
        <is>
          <t>id_type</t>
        </is>
      </c>
      <c r="C15" s="12" t="inlineStr">
        <is>
          <t>Government ID type</t>
        </is>
      </c>
      <c r="D15" s="12" t="inlineStr">
        <is>
          <t>Code</t>
        </is>
      </c>
      <c r="E15" s="12" t="inlineStr">
        <is>
          <t>40</t>
        </is>
      </c>
      <c r="F15" s="12" t="inlineStr">
        <is>
          <t>N</t>
        </is>
      </c>
      <c r="G15" s="12" t="inlineStr">
        <is>
          <t>Code map LOV:ID_TYPE</t>
        </is>
      </c>
      <c r="H15" s="12" t="inlineStr">
        <is>
          <t>As stored in legacy</t>
        </is>
      </c>
      <c r="I15" s="12" t="inlineStr">
        <is>
          <t>PASSPORT</t>
        </is>
      </c>
      <c r="J15" s="12" t="inlineStr">
        <is>
          <t>Mapped</t>
        </is>
      </c>
      <c r="K15" s="12" t="n"/>
      <c r="L15" s="12" t="n"/>
      <c r="M15" s="12" t="n"/>
      <c r="N15" s="25" t="n"/>
    </row>
    <row r="16">
      <c r="A16" s="12" t="n">
        <v>12</v>
      </c>
      <c r="B16" s="12" t="inlineStr">
        <is>
          <t>id_number</t>
        </is>
      </c>
      <c r="C16" s="12" t="inlineStr">
        <is>
          <t>Government ID number</t>
        </is>
      </c>
      <c r="D16" s="12" t="inlineStr">
        <is>
          <t>Text</t>
        </is>
      </c>
      <c r="E16" s="12" t="inlineStr">
        <is>
          <t>60</t>
        </is>
      </c>
      <c r="F16" s="12" t="inlineStr">
        <is>
          <t>C</t>
        </is>
      </c>
      <c r="G16" s="12" t="inlineStr"/>
      <c r="H16" s="12" t="inlineStr">
        <is>
          <t>As printed</t>
        </is>
      </c>
      <c r="I16" s="12" t="inlineStr">
        <is>
          <t>P1234567A</t>
        </is>
      </c>
      <c r="J16" s="12" t="inlineStr">
        <is>
          <t>Mandatory when id_type is given; duplicate key K2</t>
        </is>
      </c>
      <c r="K16" s="12" t="n"/>
      <c r="L16" s="12" t="n"/>
      <c r="M16" s="12" t="n"/>
      <c r="N16" s="25" t="n"/>
    </row>
    <row r="17">
      <c r="A17" s="12" t="n">
        <v>13</v>
      </c>
      <c r="B17" s="12" t="inlineStr">
        <is>
          <t>bank_client_flag</t>
        </is>
      </c>
      <c r="C17" s="12" t="inlineStr">
        <is>
          <t>BDO bank client</t>
        </is>
      </c>
      <c r="D17" s="12" t="inlineStr">
        <is>
          <t>Flag</t>
        </is>
      </c>
      <c r="E17" s="12" t="inlineStr">
        <is>
          <t>1</t>
        </is>
      </c>
      <c r="F17" s="12" t="inlineStr">
        <is>
          <t>N</t>
        </is>
      </c>
      <c r="G17" s="12" t="inlineStr">
        <is>
          <t>Y, N</t>
        </is>
      </c>
      <c r="H17" s="12" t="inlineStr">
        <is>
          <t>Y or N</t>
        </is>
      </c>
      <c r="I17" s="12" t="inlineStr">
        <is>
          <t>Y</t>
        </is>
      </c>
      <c r="J17" s="12" t="inlineStr">
        <is>
          <t>Y or N</t>
        </is>
      </c>
      <c r="K17" s="12" t="n"/>
      <c r="L17" s="12" t="n"/>
      <c r="M17" s="12" t="n"/>
      <c r="N17" s="25" t="n"/>
    </row>
    <row r="18">
      <c r="A18" s="12" t="n">
        <v>14</v>
      </c>
      <c r="B18" s="12" t="inlineStr">
        <is>
          <t>bank_cif</t>
        </is>
      </c>
      <c r="C18" s="12" t="inlineStr">
        <is>
          <t>BDO customer information file number</t>
        </is>
      </c>
      <c r="D18" s="12" t="inlineStr">
        <is>
          <t>Text</t>
        </is>
      </c>
      <c r="E18" s="12" t="inlineStr">
        <is>
          <t>40</t>
        </is>
      </c>
      <c r="F18" s="12" t="inlineStr">
        <is>
          <t>N</t>
        </is>
      </c>
      <c r="G18" s="12" t="inlineStr"/>
      <c r="H18" s="12" t="inlineStr">
        <is>
          <t>Digits</t>
        </is>
      </c>
      <c r="I18" s="12" t="inlineStr">
        <is>
          <t>1234567890</t>
        </is>
      </c>
      <c r="J18" s="12" t="inlineStr">
        <is>
          <t>Duplicate key K5 if agreed</t>
        </is>
      </c>
      <c r="K18" s="12" t="n"/>
      <c r="L18" s="12" t="n"/>
      <c r="M18" s="12" t="n"/>
      <c r="N18" s="25" t="n"/>
    </row>
    <row r="19">
      <c r="A19" s="12" t="n">
        <v>15</v>
      </c>
      <c r="B19" s="12" t="inlineStr">
        <is>
          <t>nationality</t>
        </is>
      </c>
      <c r="C19" s="12" t="inlineStr">
        <is>
          <t>Nationality</t>
        </is>
      </c>
      <c r="D19" s="12" t="inlineStr">
        <is>
          <t>Code</t>
        </is>
      </c>
      <c r="E19" s="12" t="inlineStr">
        <is>
          <t>40</t>
        </is>
      </c>
      <c r="F19" s="12" t="inlineStr">
        <is>
          <t>N</t>
        </is>
      </c>
      <c r="G19" s="12" t="inlineStr">
        <is>
          <t>Code map LOV:NATIONALITY</t>
        </is>
      </c>
      <c r="H19" s="12" t="inlineStr">
        <is>
          <t>As stored in legacy</t>
        </is>
      </c>
      <c r="I19" s="12" t="inlineStr">
        <is>
          <t>FILIPINO</t>
        </is>
      </c>
      <c r="J19" s="12" t="inlineStr">
        <is>
          <t>Mapped</t>
        </is>
      </c>
      <c r="K19" s="12" t="n"/>
      <c r="L19" s="12" t="n"/>
      <c r="M19" s="12" t="n"/>
      <c r="N19" s="25" t="n"/>
    </row>
    <row r="20">
      <c r="A20" s="12" t="n">
        <v>16</v>
      </c>
      <c r="B20" s="12" t="inlineStr">
        <is>
          <t>source_of_funds</t>
        </is>
      </c>
      <c r="C20" s="12" t="inlineStr">
        <is>
          <t>Source of funds</t>
        </is>
      </c>
      <c r="D20" s="12" t="inlineStr">
        <is>
          <t>Code</t>
        </is>
      </c>
      <c r="E20" s="12" t="inlineStr">
        <is>
          <t>40</t>
        </is>
      </c>
      <c r="F20" s="12" t="inlineStr">
        <is>
          <t>N</t>
        </is>
      </c>
      <c r="G20" s="12" t="inlineStr">
        <is>
          <t>Code map LOV:SOURCE_OF_FUNDS</t>
        </is>
      </c>
      <c r="H20" s="12" t="inlineStr">
        <is>
          <t>As stored in legacy</t>
        </is>
      </c>
      <c r="I20" s="12" t="inlineStr">
        <is>
          <t>SALARY</t>
        </is>
      </c>
      <c r="J20" s="12" t="inlineStr">
        <is>
          <t>Mapped</t>
        </is>
      </c>
      <c r="K20" s="12" t="n"/>
      <c r="L20" s="12" t="n"/>
      <c r="M20" s="12" t="n"/>
      <c r="N20" s="25" t="n"/>
    </row>
    <row r="21">
      <c r="A21" s="12" t="n">
        <v>17</v>
      </c>
      <c r="B21" s="12" t="inlineStr">
        <is>
          <t>market_segment</t>
        </is>
      </c>
      <c r="C21" s="12" t="inlineStr">
        <is>
          <t>Market segment</t>
        </is>
      </c>
      <c r="D21" s="12" t="inlineStr">
        <is>
          <t>Code</t>
        </is>
      </c>
      <c r="E21" s="12" t="inlineStr">
        <is>
          <t>40</t>
        </is>
      </c>
      <c r="F21" s="12" t="inlineStr">
        <is>
          <t>Y</t>
        </is>
      </c>
      <c r="G21" s="12" t="inlineStr">
        <is>
          <t>Code map LOV:MARKET_SEGMENT</t>
        </is>
      </c>
      <c r="H21" s="12" t="inlineStr">
        <is>
          <t>As stored in legacy</t>
        </is>
      </c>
      <c r="I21" s="12" t="inlineStr">
        <is>
          <t>CBG</t>
        </is>
      </c>
      <c r="J21" s="12" t="inlineStr">
        <is>
          <t>Mapped</t>
        </is>
      </c>
      <c r="K21" s="12" t="n"/>
      <c r="L21" s="12" t="n"/>
      <c r="M21" s="12" t="n"/>
      <c r="N21" s="25" t="n"/>
    </row>
    <row r="22">
      <c r="A22" s="12" t="n">
        <v>18</v>
      </c>
      <c r="B22" s="12" t="inlineStr">
        <is>
          <t>customer_segment</t>
        </is>
      </c>
      <c r="C22" s="12" t="inlineStr">
        <is>
          <t>Customer segment (MIS)</t>
        </is>
      </c>
      <c r="D22" s="12" t="inlineStr">
        <is>
          <t>Code</t>
        </is>
      </c>
      <c r="E22" s="12" t="inlineStr">
        <is>
          <t>40</t>
        </is>
      </c>
      <c r="F22" s="12" t="inlineStr">
        <is>
          <t>N</t>
        </is>
      </c>
      <c r="G22" s="12" t="inlineStr">
        <is>
          <t>Code map MIS:CUSTOMER_SEGMENT</t>
        </is>
      </c>
      <c r="H22" s="12" t="inlineStr">
        <is>
          <t>As stored in legacy</t>
        </is>
      </c>
      <c r="I22" s="12" t="inlineStr">
        <is>
          <t>AFFLUENT</t>
        </is>
      </c>
      <c r="J22" s="12" t="inlineStr">
        <is>
          <t>Mapped</t>
        </is>
      </c>
      <c r="K22" s="12" t="n"/>
      <c r="L22" s="12" t="n"/>
      <c r="M22" s="12" t="n"/>
      <c r="N22" s="25" t="n"/>
    </row>
    <row r="23">
      <c r="A23" s="12" t="n">
        <v>19</v>
      </c>
      <c r="B23" s="12" t="inlineStr">
        <is>
          <t>business_origin</t>
        </is>
      </c>
      <c r="C23" s="12" t="inlineStr">
        <is>
          <t>Business origin (MIS)</t>
        </is>
      </c>
      <c r="D23" s="12" t="inlineStr">
        <is>
          <t>Code</t>
        </is>
      </c>
      <c r="E23" s="12" t="inlineStr">
        <is>
          <t>40</t>
        </is>
      </c>
      <c r="F23" s="12" t="inlineStr">
        <is>
          <t>N</t>
        </is>
      </c>
      <c r="G23" s="12" t="inlineStr">
        <is>
          <t>Code map MIS:BUSINESS_ORIGIN</t>
        </is>
      </c>
      <c r="H23" s="12" t="inlineStr">
        <is>
          <t>As stored in legacy</t>
        </is>
      </c>
      <c r="I23" s="12" t="inlineStr">
        <is>
          <t>BANK_REFERRAL</t>
        </is>
      </c>
      <c r="J23" s="12" t="inlineStr">
        <is>
          <t>Mapped</t>
        </is>
      </c>
      <c r="K23" s="12" t="n"/>
      <c r="L23" s="12" t="n"/>
      <c r="M23" s="12" t="n"/>
      <c r="N23" s="25" t="n"/>
    </row>
    <row r="24">
      <c r="A24" s="12" t="n">
        <v>20</v>
      </c>
      <c r="B24" s="12" t="inlineStr">
        <is>
          <t>ao_user_id</t>
        </is>
      </c>
      <c r="C24" s="12" t="inlineStr">
        <is>
          <t>Account officer</t>
        </is>
      </c>
      <c r="D24" s="12" t="inlineStr">
        <is>
          <t>Code</t>
        </is>
      </c>
      <c r="E24" s="12" t="inlineStr">
        <is>
          <t>50</t>
        </is>
      </c>
      <c r="F24" s="12" t="inlineStr">
        <is>
          <t>N</t>
        </is>
      </c>
      <c r="G24" s="12" t="inlineStr">
        <is>
          <t>Code map USER</t>
        </is>
      </c>
      <c r="H24" s="12" t="inlineStr">
        <is>
          <t>As stored in legacy</t>
        </is>
      </c>
      <c r="I24" s="12" t="inlineStr">
        <is>
          <t>mreyes</t>
        </is>
      </c>
      <c r="J24" s="12" t="inlineStr">
        <is>
          <t>Mapped in USER</t>
        </is>
      </c>
      <c r="K24" s="12" t="n"/>
      <c r="L24" s="12" t="n"/>
      <c r="M24" s="12" t="n"/>
      <c r="N24" s="25" t="n"/>
    </row>
    <row r="25">
      <c r="A25" s="12" t="n">
        <v>21</v>
      </c>
      <c r="B25" s="12" t="inlineStr">
        <is>
          <t>sales_unit_code</t>
        </is>
      </c>
      <c r="C25" s="12" t="inlineStr">
        <is>
          <t>Sales unit of the client</t>
        </is>
      </c>
      <c r="D25" s="12" t="inlineStr">
        <is>
          <t>Code</t>
        </is>
      </c>
      <c r="E25" s="12" t="inlineStr">
        <is>
          <t>20</t>
        </is>
      </c>
      <c r="F25" s="12" t="inlineStr">
        <is>
          <t>N</t>
        </is>
      </c>
      <c r="G25" s="12" t="inlineStr">
        <is>
          <t>Code map SALES_UNIT</t>
        </is>
      </c>
      <c r="H25" s="12" t="inlineStr">
        <is>
          <t>As stored in legacy</t>
        </is>
      </c>
      <c r="I25" s="12" t="inlineStr">
        <is>
          <t>T-RET-07</t>
        </is>
      </c>
      <c r="J25" s="12" t="inlineStr">
        <is>
          <t>Mapped</t>
        </is>
      </c>
      <c r="K25" s="12" t="n"/>
      <c r="L25" s="12" t="n"/>
      <c r="M25" s="12" t="n"/>
      <c r="N25" s="25" t="n"/>
    </row>
    <row r="26">
      <c r="A26" s="12" t="n">
        <v>22</v>
      </c>
      <c r="B26" s="12" t="inlineStr">
        <is>
          <t>branch_code</t>
        </is>
      </c>
      <c r="C26" s="12" t="inlineStr">
        <is>
          <t>Servicing branch</t>
        </is>
      </c>
      <c r="D26" s="12" t="inlineStr">
        <is>
          <t>Code</t>
        </is>
      </c>
      <c r="E26" s="12" t="inlineStr">
        <is>
          <t>20</t>
        </is>
      </c>
      <c r="F26" s="12" t="inlineStr">
        <is>
          <t>N</t>
        </is>
      </c>
      <c r="G26" s="12" t="inlineStr">
        <is>
          <t>Code map BRANCH</t>
        </is>
      </c>
      <c r="H26" s="12" t="inlineStr">
        <is>
          <t>As stored in legacy</t>
        </is>
      </c>
      <c r="I26" s="12" t="inlineStr">
        <is>
          <t>MKT01</t>
        </is>
      </c>
      <c r="J26" s="12" t="inlineStr">
        <is>
          <t>Mapped</t>
        </is>
      </c>
      <c r="K26" s="12" t="n"/>
      <c r="L26" s="12" t="n"/>
      <c r="M26" s="12" t="n"/>
      <c r="N26" s="25" t="n"/>
    </row>
    <row r="27">
      <c r="A27" s="12" t="n">
        <v>23</v>
      </c>
      <c r="B27" s="12" t="inlineStr">
        <is>
          <t>email</t>
        </is>
      </c>
      <c r="C27" s="12" t="inlineStr">
        <is>
          <t>Primary e-mail</t>
        </is>
      </c>
      <c r="D27" s="12" t="inlineStr">
        <is>
          <t>Text</t>
        </is>
      </c>
      <c r="E27" s="12" t="inlineStr">
        <is>
          <t>120</t>
        </is>
      </c>
      <c r="F27" s="12" t="inlineStr">
        <is>
          <t>N</t>
        </is>
      </c>
      <c r="G27" s="12" t="inlineStr"/>
      <c r="H27" s="12" t="inlineStr">
        <is>
          <t>name@domain</t>
        </is>
      </c>
      <c r="I27" s="12" t="inlineStr">
        <is>
          <t>ana.reyes@example.ph</t>
        </is>
      </c>
      <c r="J27" s="12" t="inlineStr">
        <is>
          <t>Valid e-mail; soft key K6</t>
        </is>
      </c>
      <c r="K27" s="12" t="n"/>
      <c r="L27" s="12" t="n"/>
      <c r="M27" s="12" t="n"/>
      <c r="N27" s="25" t="n"/>
    </row>
    <row r="28">
      <c r="A28" s="12" t="n">
        <v>24</v>
      </c>
      <c r="B28" s="12" t="inlineStr">
        <is>
          <t>mobile</t>
        </is>
      </c>
      <c r="C28" s="12" t="inlineStr">
        <is>
          <t>Primary mobile number</t>
        </is>
      </c>
      <c r="D28" s="12" t="inlineStr">
        <is>
          <t>Text</t>
        </is>
      </c>
      <c r="E28" s="12" t="inlineStr">
        <is>
          <t>30</t>
        </is>
      </c>
      <c r="F28" s="12" t="inlineStr">
        <is>
          <t>N</t>
        </is>
      </c>
      <c r="G28" s="12" t="inlineStr"/>
      <c r="H28" s="12" t="inlineStr">
        <is>
          <t>09xxxxxxxxx or +639xxxxxxxxx</t>
        </is>
      </c>
      <c r="I28" s="12" t="inlineStr">
        <is>
          <t>09171234567</t>
        </is>
      </c>
      <c r="J28" s="12" t="inlineStr">
        <is>
          <t>PH mobile format; soft key K6</t>
        </is>
      </c>
      <c r="K28" s="12" t="n"/>
      <c r="L28" s="12" t="n"/>
      <c r="M28" s="12" t="n"/>
      <c r="N28" s="25" t="n"/>
    </row>
    <row r="29">
      <c r="A29" s="12" t="n">
        <v>25</v>
      </c>
      <c r="B29" s="12" t="inlineStr">
        <is>
          <t>phone</t>
        </is>
      </c>
      <c r="C29" s="12" t="inlineStr">
        <is>
          <t>Landline</t>
        </is>
      </c>
      <c r="D29" s="12" t="inlineStr">
        <is>
          <t>Text</t>
        </is>
      </c>
      <c r="E29" s="12" t="inlineStr">
        <is>
          <t>30</t>
        </is>
      </c>
      <c r="F29" s="12" t="inlineStr">
        <is>
          <t>N</t>
        </is>
      </c>
      <c r="G29" s="12" t="inlineStr"/>
      <c r="H29" s="12" t="inlineStr">
        <is>
          <t>Free text</t>
        </is>
      </c>
      <c r="I29" s="12" t="inlineStr">
        <is>
          <t>(02) 8123 4567</t>
        </is>
      </c>
      <c r="J29" s="12" t="inlineStr"/>
      <c r="K29" s="12" t="n"/>
      <c r="L29" s="12" t="n"/>
      <c r="M29" s="12" t="n"/>
      <c r="N29" s="25" t="n"/>
    </row>
    <row r="30">
      <c r="A30" s="12" t="n">
        <v>26</v>
      </c>
      <c r="B30" s="12" t="inlineStr">
        <is>
          <t>address_line</t>
        </is>
      </c>
      <c r="C30" s="12" t="inlineStr">
        <is>
          <t>Primary street address</t>
        </is>
      </c>
      <c r="D30" s="12" t="inlineStr">
        <is>
          <t>Text</t>
        </is>
      </c>
      <c r="E30" s="12" t="inlineStr">
        <is>
          <t>300</t>
        </is>
      </c>
      <c r="F30" s="12" t="inlineStr">
        <is>
          <t>N</t>
        </is>
      </c>
      <c r="G30" s="12" t="inlineStr"/>
      <c r="H30" s="12" t="inlineStr">
        <is>
          <t>Free text</t>
        </is>
      </c>
      <c r="I30" s="12" t="inlineStr">
        <is>
          <t>12 Rizal St., Brgy. San Antonio</t>
        </is>
      </c>
      <c r="J30" s="12" t="inlineStr"/>
      <c r="K30" s="12" t="n"/>
      <c r="L30" s="12" t="n"/>
      <c r="M30" s="12" t="n"/>
      <c r="N30" s="25" t="n"/>
    </row>
    <row r="31">
      <c r="A31" s="12" t="n">
        <v>27</v>
      </c>
      <c r="B31" s="12" t="inlineStr">
        <is>
          <t>city</t>
        </is>
      </c>
      <c r="C31" s="12" t="inlineStr">
        <is>
          <t>City / municipality</t>
        </is>
      </c>
      <c r="D31" s="12" t="inlineStr">
        <is>
          <t>Text</t>
        </is>
      </c>
      <c r="E31" s="12" t="inlineStr">
        <is>
          <t>80</t>
        </is>
      </c>
      <c r="F31" s="12" t="inlineStr">
        <is>
          <t>N</t>
        </is>
      </c>
      <c r="G31" s="12" t="inlineStr"/>
      <c r="H31" s="12" t="inlineStr">
        <is>
          <t>Free text</t>
        </is>
      </c>
      <c r="I31" s="12" t="inlineStr">
        <is>
          <t>Pasig</t>
        </is>
      </c>
      <c r="J31" s="12" t="inlineStr"/>
      <c r="K31" s="12" t="n"/>
      <c r="L31" s="12" t="n"/>
      <c r="M31" s="12" t="n"/>
      <c r="N31" s="25" t="n"/>
    </row>
    <row r="32">
      <c r="A32" s="12" t="n">
        <v>28</v>
      </c>
      <c r="B32" s="12" t="inlineStr">
        <is>
          <t>province</t>
        </is>
      </c>
      <c r="C32" s="12" t="inlineStr">
        <is>
          <t>Province</t>
        </is>
      </c>
      <c r="D32" s="12" t="inlineStr">
        <is>
          <t>Text</t>
        </is>
      </c>
      <c r="E32" s="12" t="inlineStr">
        <is>
          <t>80</t>
        </is>
      </c>
      <c r="F32" s="12" t="inlineStr">
        <is>
          <t>N</t>
        </is>
      </c>
      <c r="G32" s="12" t="inlineStr"/>
      <c r="H32" s="12" t="inlineStr">
        <is>
          <t>Free text</t>
        </is>
      </c>
      <c r="I32" s="12" t="inlineStr">
        <is>
          <t>Metro Manila</t>
        </is>
      </c>
      <c r="J32" s="12" t="inlineStr"/>
      <c r="K32" s="12" t="n"/>
      <c r="L32" s="12" t="n"/>
      <c r="M32" s="12" t="n"/>
      <c r="N32" s="25" t="n"/>
    </row>
    <row r="33">
      <c r="A33" s="12" t="n">
        <v>29</v>
      </c>
      <c r="B33" s="12" t="inlineStr">
        <is>
          <t>postal_code</t>
        </is>
      </c>
      <c r="C33" s="12" t="inlineStr">
        <is>
          <t>Postal code</t>
        </is>
      </c>
      <c r="D33" s="12" t="inlineStr">
        <is>
          <t>Text</t>
        </is>
      </c>
      <c r="E33" s="12" t="inlineStr">
        <is>
          <t>10</t>
        </is>
      </c>
      <c r="F33" s="12" t="inlineStr">
        <is>
          <t>N</t>
        </is>
      </c>
      <c r="G33" s="12" t="inlineStr"/>
      <c r="H33" s="12" t="inlineStr">
        <is>
          <t>4 digits</t>
        </is>
      </c>
      <c r="I33" s="12" t="inlineStr">
        <is>
          <t>1600</t>
        </is>
      </c>
      <c r="J33" s="12" t="inlineStr">
        <is>
          <t>4 digits</t>
        </is>
      </c>
      <c r="K33" s="12" t="n"/>
      <c r="L33" s="12" t="n"/>
      <c r="M33" s="12" t="n"/>
      <c r="N33" s="25" t="n"/>
    </row>
    <row r="34">
      <c r="A34" s="12" t="n">
        <v>30</v>
      </c>
      <c r="B34" s="12" t="inlineStr">
        <is>
          <t>kyc_status</t>
        </is>
      </c>
      <c r="C34" s="12" t="inlineStr">
        <is>
          <t>KYC status in legacy</t>
        </is>
      </c>
      <c r="D34" s="12" t="inlineStr">
        <is>
          <t>Code</t>
        </is>
      </c>
      <c r="E34" s="12" t="inlineStr">
        <is>
          <t>20</t>
        </is>
      </c>
      <c r="F34" s="12" t="inlineStr">
        <is>
          <t>N</t>
        </is>
      </c>
      <c r="G34" s="12" t="inlineStr">
        <is>
          <t>Code map STATUS:KYC</t>
        </is>
      </c>
      <c r="H34" s="12" t="inlineStr">
        <is>
          <t>As stored in legacy</t>
        </is>
      </c>
      <c r="I34" s="12" t="inlineStr">
        <is>
          <t>COMPLETE</t>
        </is>
      </c>
      <c r="J34" s="12" t="inlineStr">
        <is>
          <t>Mapped</t>
        </is>
      </c>
      <c r="K34" s="12" t="n"/>
      <c r="L34" s="12" t="n"/>
      <c r="M34" s="12" t="n"/>
      <c r="N34" s="25" t="n"/>
    </row>
    <row r="35">
      <c r="A35" s="12" t="n">
        <v>31</v>
      </c>
      <c r="B35" s="12" t="inlineStr">
        <is>
          <t>kyc_verified_date</t>
        </is>
      </c>
      <c r="C35" s="12" t="inlineStr">
        <is>
          <t>Date KYC was verified</t>
        </is>
      </c>
      <c r="D35" s="12" t="inlineStr">
        <is>
          <t>Date</t>
        </is>
      </c>
      <c r="E35" s="12" t="inlineStr">
        <is>
          <t>10</t>
        </is>
      </c>
      <c r="F35" s="12" t="inlineStr">
        <is>
          <t>N</t>
        </is>
      </c>
      <c r="G35" s="12" t="inlineStr"/>
      <c r="H35" s="12" t="inlineStr">
        <is>
          <t>yyyy-MM-dd</t>
        </is>
      </c>
      <c r="I35" s="12" t="inlineStr">
        <is>
          <t>2024-03-11</t>
        </is>
      </c>
      <c r="J35" s="12" t="inlineStr">
        <is>
          <t>Not in the future</t>
        </is>
      </c>
      <c r="K35" s="12" t="n"/>
      <c r="L35" s="12" t="n"/>
      <c r="M35" s="12" t="n"/>
      <c r="N35" s="25" t="n"/>
    </row>
    <row r="36">
      <c r="A36" s="12" t="n">
        <v>32</v>
      </c>
      <c r="B36" s="12" t="inlineStr">
        <is>
          <t>kyc_review_due</t>
        </is>
      </c>
      <c r="C36" s="12" t="inlineStr">
        <is>
          <t>Next KYC review date</t>
        </is>
      </c>
      <c r="D36" s="12" t="inlineStr">
        <is>
          <t>Date</t>
        </is>
      </c>
      <c r="E36" s="12" t="inlineStr">
        <is>
          <t>10</t>
        </is>
      </c>
      <c r="F36" s="12" t="inlineStr">
        <is>
          <t>N</t>
        </is>
      </c>
      <c r="G36" s="12" t="inlineStr"/>
      <c r="H36" s="12" t="inlineStr">
        <is>
          <t>yyyy-MM-dd</t>
        </is>
      </c>
      <c r="I36" s="12" t="inlineStr">
        <is>
          <t>2028-03-11</t>
        </is>
      </c>
      <c r="J36" s="12" t="inlineStr">
        <is>
          <t>Valid date</t>
        </is>
      </c>
      <c r="K36" s="12" t="n"/>
      <c r="L36" s="12" t="n"/>
      <c r="M36" s="12" t="n"/>
      <c r="N36" s="25" t="n"/>
    </row>
    <row r="37">
      <c r="A37" s="12" t="n">
        <v>33</v>
      </c>
      <c r="B37" s="12" t="inlineStr">
        <is>
          <t>risk_rating</t>
        </is>
      </c>
      <c r="C37" s="12" t="inlineStr">
        <is>
          <t>KYC risk rating</t>
        </is>
      </c>
      <c r="D37" s="12" t="inlineStr">
        <is>
          <t>Code</t>
        </is>
      </c>
      <c r="E37" s="12" t="inlineStr">
        <is>
          <t>20</t>
        </is>
      </c>
      <c r="F37" s="12" t="inlineStr">
        <is>
          <t>N</t>
        </is>
      </c>
      <c r="G37" s="12" t="inlineStr">
        <is>
          <t>Code map LOV:KYC_RISK_RATING</t>
        </is>
      </c>
      <c r="H37" s="12" t="inlineStr">
        <is>
          <t>As stored in legacy</t>
        </is>
      </c>
      <c r="I37" s="12" t="inlineStr">
        <is>
          <t>STANDARD</t>
        </is>
      </c>
      <c r="J37" s="12" t="inlineStr">
        <is>
          <t>Mapped</t>
        </is>
      </c>
      <c r="K37" s="12" t="n"/>
      <c r="L37" s="12" t="n"/>
      <c r="M37" s="12" t="n"/>
      <c r="N37" s="25" t="n"/>
    </row>
    <row r="38">
      <c r="A38" s="12" t="n">
        <v>34</v>
      </c>
      <c r="B38" s="12" t="inlineStr">
        <is>
          <t>client_status</t>
        </is>
      </c>
      <c r="C38" s="12" t="inlineStr">
        <is>
          <t>Client status in legacy</t>
        </is>
      </c>
      <c r="D38" s="12" t="inlineStr">
        <is>
          <t>Code</t>
        </is>
      </c>
      <c r="E38" s="12" t="inlineStr">
        <is>
          <t>20</t>
        </is>
      </c>
      <c r="F38" s="12" t="inlineStr">
        <is>
          <t>Y</t>
        </is>
      </c>
      <c r="G38" s="12" t="inlineStr">
        <is>
          <t>Code map STATUS:CLIENT</t>
        </is>
      </c>
      <c r="H38" s="12" t="inlineStr">
        <is>
          <t>As stored in legacy</t>
        </is>
      </c>
      <c r="I38" s="12" t="inlineStr">
        <is>
          <t>ACTIVE</t>
        </is>
      </c>
      <c r="J38" s="12" t="inlineStr">
        <is>
          <t>Mapped</t>
        </is>
      </c>
      <c r="K38" s="12" t="n"/>
      <c r="L38" s="12" t="n"/>
      <c r="M38" s="12" t="n"/>
      <c r="N38" s="25" t="n"/>
    </row>
    <row r="39">
      <c r="A39" s="12" t="n">
        <v>35</v>
      </c>
      <c r="B39" s="12" t="inlineStr">
        <is>
          <t>created_date</t>
        </is>
      </c>
      <c r="C39" s="12" t="inlineStr">
        <is>
          <t>Date the client was created in legacy</t>
        </is>
      </c>
      <c r="D39" s="12" t="inlineStr">
        <is>
          <t>Date</t>
        </is>
      </c>
      <c r="E39" s="12" t="inlineStr">
        <is>
          <t>10</t>
        </is>
      </c>
      <c r="F39" s="12" t="inlineStr">
        <is>
          <t>Y</t>
        </is>
      </c>
      <c r="G39" s="12" t="inlineStr"/>
      <c r="H39" s="12" t="inlineStr">
        <is>
          <t>yyyy-MM-dd</t>
        </is>
      </c>
      <c r="I39" s="12" t="inlineStr">
        <is>
          <t>2021-07-02</t>
        </is>
      </c>
      <c r="J39" s="12" t="inlineStr">
        <is>
          <t>Valid date</t>
        </is>
      </c>
      <c r="K39" s="12" t="n"/>
      <c r="L39" s="12" t="n"/>
      <c r="M39" s="12" t="n"/>
      <c r="N39" s="25" t="n"/>
    </row>
    <row r="40">
      <c r="A40" s="12" t="n">
        <v>36</v>
      </c>
      <c r="B40" s="12" t="inlineStr">
        <is>
          <t>last_updated</t>
        </is>
      </c>
      <c r="C40" s="12" t="inlineStr">
        <is>
          <t>Last change in legacy (survivorship and deltas)</t>
        </is>
      </c>
      <c r="D40" s="12" t="inlineStr">
        <is>
          <t>Timestamp</t>
        </is>
      </c>
      <c r="E40" s="12" t="inlineStr">
        <is>
          <t>19</t>
        </is>
      </c>
      <c r="F40" s="12" t="inlineStr">
        <is>
          <t>Y</t>
        </is>
      </c>
      <c r="G40" s="12" t="inlineStr"/>
      <c r="H40" s="12" t="inlineStr">
        <is>
          <t>yyyy-MM-dd HH:mm:ss</t>
        </is>
      </c>
      <c r="I40" s="12" t="inlineStr">
        <is>
          <t>2026-08-30 14:22:05</t>
        </is>
      </c>
      <c r="J40" s="12" t="inlineStr">
        <is>
          <t>Valid timestamp</t>
        </is>
      </c>
      <c r="K40" s="12" t="n"/>
      <c r="L40" s="12" t="n"/>
      <c r="M40" s="12" t="n"/>
      <c r="N40" s="25" t="n"/>
    </row>
  </sheetData>
  <autoFilter ref="A4:N40"/>
  <mergeCells count="1">
    <mergeCell ref="A2:N2"/>
  </mergeCells>
  <conditionalFormatting sqref="A5:N540">
    <cfRule type="expression" priority="1" dxfId="0">
      <formula>AND(MOD(ROW(),2)=0,$A5&lt;&gt;"")</formula>
    </cfRule>
  </conditionalFormatting>
  <dataValidations count="3">
    <dataValidation sqref="F5:F540" showDropDown="0" showInputMessage="0" showErrorMessage="1" allowBlank="1" errorTitle="Mandatory" error="Choose a value from the list (Mandatory)." type="list">
      <formula1>'_lists'!$AB$1:$AB$3</formula1>
    </dataValidation>
    <dataValidation sqref="K5:K540" showDropDown="0" showInputMessage="0" showErrorMessage="1" allowBlank="1" errorTitle="BU review" error="Choose a value from the list (BU review)." type="list">
      <formula1>'_lists'!$AC$1:$AC$3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N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C02 Client addresses and contac</t>
        </is>
      </c>
    </row>
    <row r="2">
      <c r="A2" s="22" t="inlineStr">
        <is>
          <t>Layout C02 v1 of object C01: Client addresses and contacts. Key legacy_client_no, record_type, seq_no. Template C02_template.csv.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legacy_client_no</t>
        </is>
      </c>
      <c r="C5" s="12" t="inlineStr">
        <is>
          <t>Client number in the source system</t>
        </is>
      </c>
      <c r="D5" s="12" t="inlineStr">
        <is>
          <t>Code</t>
        </is>
      </c>
      <c r="E5" s="12" t="inlineStr">
        <is>
          <t>30</t>
        </is>
      </c>
      <c r="F5" s="12" t="inlineStr">
        <is>
          <t>Y</t>
        </is>
      </c>
      <c r="G5" s="12" t="inlineStr">
        <is>
          <t>legacy_client_no of C01</t>
        </is>
      </c>
      <c r="H5" s="12" t="inlineStr">
        <is>
          <t>As stored in legacy</t>
        </is>
      </c>
      <c r="I5" s="12" t="inlineStr">
        <is>
          <t>Q-0012345</t>
        </is>
      </c>
      <c r="J5" s="12" t="inlineStr">
        <is>
          <t>Exists in C01 of the same source</t>
        </is>
      </c>
      <c r="K5" s="12" t="n"/>
      <c r="L5" s="12" t="n"/>
      <c r="M5" s="12" t="n"/>
      <c r="N5" s="25" t="n"/>
    </row>
    <row r="6">
      <c r="A6" s="12" t="n">
        <v>2</v>
      </c>
      <c r="B6" s="12" t="inlineStr">
        <is>
          <t>record_type</t>
        </is>
      </c>
      <c r="C6" s="12" t="inlineStr">
        <is>
          <t>Address or contact person</t>
        </is>
      </c>
      <c r="D6" s="12" t="inlineStr">
        <is>
          <t>Code</t>
        </is>
      </c>
      <c r="E6" s="12" t="inlineStr">
        <is>
          <t>10</t>
        </is>
      </c>
      <c r="F6" s="12" t="inlineStr">
        <is>
          <t>Y</t>
        </is>
      </c>
      <c r="G6" s="12" t="inlineStr">
        <is>
          <t>ADDRESS, CONTACT</t>
        </is>
      </c>
      <c r="H6" s="12" t="inlineStr">
        <is>
          <t>Upper case</t>
        </is>
      </c>
      <c r="I6" s="12" t="inlineStr">
        <is>
          <t>ADDRESS</t>
        </is>
      </c>
      <c r="J6" s="12" t="inlineStr">
        <is>
          <t>In the list</t>
        </is>
      </c>
      <c r="K6" s="12" t="n"/>
      <c r="L6" s="12" t="n"/>
      <c r="M6" s="12" t="n"/>
      <c r="N6" s="25" t="n"/>
    </row>
    <row r="7">
      <c r="A7" s="12" t="n">
        <v>3</v>
      </c>
      <c r="B7" s="12" t="inlineStr">
        <is>
          <t>seq_no</t>
        </is>
      </c>
      <c r="C7" s="12" t="inlineStr">
        <is>
          <t>Sequence within the client and record type</t>
        </is>
      </c>
      <c r="D7" s="12" t="inlineStr">
        <is>
          <t>Integer</t>
        </is>
      </c>
      <c r="E7" s="12" t="inlineStr">
        <is>
          <t>3</t>
        </is>
      </c>
      <c r="F7" s="12" t="inlineStr">
        <is>
          <t>Y</t>
        </is>
      </c>
      <c r="G7" s="12" t="inlineStr"/>
      <c r="H7" s="12" t="inlineStr">
        <is>
          <t>Digits</t>
        </is>
      </c>
      <c r="I7" s="12" t="inlineStr">
        <is>
          <t>1</t>
        </is>
      </c>
      <c r="J7" s="12" t="inlineStr">
        <is>
          <t>Unique per client and record type</t>
        </is>
      </c>
      <c r="K7" s="12" t="n"/>
      <c r="L7" s="12" t="n"/>
      <c r="M7" s="12" t="n"/>
      <c r="N7" s="25" t="n"/>
    </row>
    <row r="8">
      <c r="A8" s="12" t="n">
        <v>4</v>
      </c>
      <c r="B8" s="12" t="inlineStr">
        <is>
          <t>address_type</t>
        </is>
      </c>
      <c r="C8" s="12" t="inlineStr">
        <is>
          <t>Kind of address</t>
        </is>
      </c>
      <c r="D8" s="12" t="inlineStr">
        <is>
          <t>Code</t>
        </is>
      </c>
      <c r="E8" s="12" t="inlineStr">
        <is>
          <t>12</t>
        </is>
      </c>
      <c r="F8" s="12" t="inlineStr">
        <is>
          <t>C</t>
        </is>
      </c>
      <c r="G8" s="12" t="inlineStr">
        <is>
          <t>HOME, BUSINESS, MAILING, BILLING</t>
        </is>
      </c>
      <c r="H8" s="12" t="inlineStr">
        <is>
          <t>Upper case</t>
        </is>
      </c>
      <c r="I8" s="12" t="inlineStr">
        <is>
          <t>MAILING</t>
        </is>
      </c>
      <c r="J8" s="12" t="inlineStr">
        <is>
          <t>Mandatory for ADDRESS</t>
        </is>
      </c>
      <c r="K8" s="12" t="n"/>
      <c r="L8" s="12" t="n"/>
      <c r="M8" s="12" t="n"/>
      <c r="N8" s="25" t="n"/>
    </row>
    <row r="9">
      <c r="A9" s="12" t="n">
        <v>5</v>
      </c>
      <c r="B9" s="12" t="inlineStr">
        <is>
          <t>address_line</t>
        </is>
      </c>
      <c r="C9" s="12" t="inlineStr">
        <is>
          <t>Street address</t>
        </is>
      </c>
      <c r="D9" s="12" t="inlineStr">
        <is>
          <t>Text</t>
        </is>
      </c>
      <c r="E9" s="12" t="inlineStr">
        <is>
          <t>300</t>
        </is>
      </c>
      <c r="F9" s="12" t="inlineStr">
        <is>
          <t>C</t>
        </is>
      </c>
      <c r="G9" s="12" t="inlineStr"/>
      <c r="H9" s="12" t="inlineStr">
        <is>
          <t>Free text</t>
        </is>
      </c>
      <c r="I9" s="12" t="inlineStr">
        <is>
          <t>12 Rizal St., Brgy. San Antonio</t>
        </is>
      </c>
      <c r="J9" s="12" t="inlineStr">
        <is>
          <t>Mandatory for ADDRESS</t>
        </is>
      </c>
      <c r="K9" s="12" t="n"/>
      <c r="L9" s="12" t="n"/>
      <c r="M9" s="12" t="n"/>
      <c r="N9" s="25" t="n"/>
    </row>
    <row r="10">
      <c r="A10" s="12" t="n">
        <v>6</v>
      </c>
      <c r="B10" s="12" t="inlineStr">
        <is>
          <t>city</t>
        </is>
      </c>
      <c r="C10" s="12" t="inlineStr">
        <is>
          <t>City / municipality</t>
        </is>
      </c>
      <c r="D10" s="12" t="inlineStr">
        <is>
          <t>Text</t>
        </is>
      </c>
      <c r="E10" s="12" t="inlineStr">
        <is>
          <t>80</t>
        </is>
      </c>
      <c r="F10" s="12" t="inlineStr">
        <is>
          <t>N</t>
        </is>
      </c>
      <c r="G10" s="12" t="inlineStr"/>
      <c r="H10" s="12" t="inlineStr">
        <is>
          <t>Free text</t>
        </is>
      </c>
      <c r="I10" s="12" t="inlineStr">
        <is>
          <t>Pasig</t>
        </is>
      </c>
      <c r="J10" s="12" t="inlineStr"/>
      <c r="K10" s="12" t="n"/>
      <c r="L10" s="12" t="n"/>
      <c r="M10" s="12" t="n"/>
      <c r="N10" s="25" t="n"/>
    </row>
    <row r="11">
      <c r="A11" s="12" t="n">
        <v>7</v>
      </c>
      <c r="B11" s="12" t="inlineStr">
        <is>
          <t>province</t>
        </is>
      </c>
      <c r="C11" s="12" t="inlineStr">
        <is>
          <t>Province</t>
        </is>
      </c>
      <c r="D11" s="12" t="inlineStr">
        <is>
          <t>Text</t>
        </is>
      </c>
      <c r="E11" s="12" t="inlineStr">
        <is>
          <t>80</t>
        </is>
      </c>
      <c r="F11" s="12" t="inlineStr">
        <is>
          <t>N</t>
        </is>
      </c>
      <c r="G11" s="12" t="inlineStr"/>
      <c r="H11" s="12" t="inlineStr">
        <is>
          <t>Free text</t>
        </is>
      </c>
      <c r="I11" s="12" t="inlineStr">
        <is>
          <t>Metro Manila</t>
        </is>
      </c>
      <c r="J11" s="12" t="inlineStr"/>
      <c r="K11" s="12" t="n"/>
      <c r="L11" s="12" t="n"/>
      <c r="M11" s="12" t="n"/>
      <c r="N11" s="25" t="n"/>
    </row>
    <row r="12">
      <c r="A12" s="12" t="n">
        <v>8</v>
      </c>
      <c r="B12" s="12" t="inlineStr">
        <is>
          <t>postal_code</t>
        </is>
      </c>
      <c r="C12" s="12" t="inlineStr">
        <is>
          <t>Postal code</t>
        </is>
      </c>
      <c r="D12" s="12" t="inlineStr">
        <is>
          <t>Text</t>
        </is>
      </c>
      <c r="E12" s="12" t="inlineStr">
        <is>
          <t>10</t>
        </is>
      </c>
      <c r="F12" s="12" t="inlineStr">
        <is>
          <t>N</t>
        </is>
      </c>
      <c r="G12" s="12" t="inlineStr"/>
      <c r="H12" s="12" t="inlineStr">
        <is>
          <t>4 digits</t>
        </is>
      </c>
      <c r="I12" s="12" t="inlineStr">
        <is>
          <t>1600</t>
        </is>
      </c>
      <c r="J12" s="12" t="inlineStr">
        <is>
          <t>4 digits</t>
        </is>
      </c>
      <c r="K12" s="12" t="n"/>
      <c r="L12" s="12" t="n"/>
      <c r="M12" s="12" t="n"/>
      <c r="N12" s="25" t="n"/>
    </row>
    <row r="13">
      <c r="A13" s="12" t="n">
        <v>9</v>
      </c>
      <c r="B13" s="12" t="inlineStr">
        <is>
          <t>contact_name</t>
        </is>
      </c>
      <c r="C13" s="12" t="inlineStr">
        <is>
          <t>Contact person (corporate clients)</t>
        </is>
      </c>
      <c r="D13" s="12" t="inlineStr">
        <is>
          <t>Text</t>
        </is>
      </c>
      <c r="E13" s="12" t="inlineStr">
        <is>
          <t>200</t>
        </is>
      </c>
      <c r="F13" s="12" t="inlineStr">
        <is>
          <t>C</t>
        </is>
      </c>
      <c r="G13" s="12" t="inlineStr"/>
      <c r="H13" s="12" t="inlineStr">
        <is>
          <t>Free text</t>
        </is>
      </c>
      <c r="I13" s="12" t="inlineStr">
        <is>
          <t>Jose Santos</t>
        </is>
      </c>
      <c r="J13" s="12" t="inlineStr">
        <is>
          <t>Mandatory for CONTACT</t>
        </is>
      </c>
      <c r="K13" s="12" t="n"/>
      <c r="L13" s="12" t="n"/>
      <c r="M13" s="12" t="n"/>
      <c r="N13" s="25" t="n"/>
    </row>
    <row r="14">
      <c r="A14" s="12" t="n">
        <v>10</v>
      </c>
      <c r="B14" s="12" t="inlineStr">
        <is>
          <t>contact_role</t>
        </is>
      </c>
      <c r="C14" s="12" t="inlineStr">
        <is>
          <t>Role of the contact</t>
        </is>
      </c>
      <c r="D14" s="12" t="inlineStr">
        <is>
          <t>Text</t>
        </is>
      </c>
      <c r="E14" s="12" t="inlineStr">
        <is>
          <t>60</t>
        </is>
      </c>
      <c r="F14" s="12" t="inlineStr">
        <is>
          <t>N</t>
        </is>
      </c>
      <c r="G14" s="12" t="inlineStr"/>
      <c r="H14" s="12" t="inlineStr">
        <is>
          <t>Free text</t>
        </is>
      </c>
      <c r="I14" s="12" t="inlineStr">
        <is>
          <t>HR Manager</t>
        </is>
      </c>
      <c r="J14" s="12" t="inlineStr"/>
      <c r="K14" s="12" t="n"/>
      <c r="L14" s="12" t="n"/>
      <c r="M14" s="12" t="n"/>
      <c r="N14" s="25" t="n"/>
    </row>
    <row r="15">
      <c r="A15" s="12" t="n">
        <v>11</v>
      </c>
      <c r="B15" s="12" t="inlineStr">
        <is>
          <t>email</t>
        </is>
      </c>
      <c r="C15" s="12" t="inlineStr">
        <is>
          <t>E-mail</t>
        </is>
      </c>
      <c r="D15" s="12" t="inlineStr">
        <is>
          <t>Text</t>
        </is>
      </c>
      <c r="E15" s="12" t="inlineStr">
        <is>
          <t>120</t>
        </is>
      </c>
      <c r="F15" s="12" t="inlineStr">
        <is>
          <t>N</t>
        </is>
      </c>
      <c r="G15" s="12" t="inlineStr"/>
      <c r="H15" s="12" t="inlineStr">
        <is>
          <t>name@domain</t>
        </is>
      </c>
      <c r="I15" s="12" t="inlineStr">
        <is>
          <t>jose.santos@acme.example</t>
        </is>
      </c>
      <c r="J15" s="12" t="inlineStr">
        <is>
          <t>Valid e-mail</t>
        </is>
      </c>
      <c r="K15" s="12" t="n"/>
      <c r="L15" s="12" t="n"/>
      <c r="M15" s="12" t="n"/>
      <c r="N15" s="25" t="n"/>
    </row>
    <row r="16">
      <c r="A16" s="12" t="n">
        <v>12</v>
      </c>
      <c r="B16" s="12" t="inlineStr">
        <is>
          <t>mobile</t>
        </is>
      </c>
      <c r="C16" s="12" t="inlineStr">
        <is>
          <t>Mobile number</t>
        </is>
      </c>
      <c r="D16" s="12" t="inlineStr">
        <is>
          <t>Text</t>
        </is>
      </c>
      <c r="E16" s="12" t="inlineStr">
        <is>
          <t>30</t>
        </is>
      </c>
      <c r="F16" s="12" t="inlineStr">
        <is>
          <t>N</t>
        </is>
      </c>
      <c r="G16" s="12" t="inlineStr"/>
      <c r="H16" s="12" t="inlineStr">
        <is>
          <t>09xxxxxxxxx</t>
        </is>
      </c>
      <c r="I16" s="12" t="inlineStr">
        <is>
          <t>09181234567</t>
        </is>
      </c>
      <c r="J16" s="12" t="inlineStr">
        <is>
          <t>PH mobile format</t>
        </is>
      </c>
      <c r="K16" s="12" t="n"/>
      <c r="L16" s="12" t="n"/>
      <c r="M16" s="12" t="n"/>
      <c r="N16" s="25" t="n"/>
    </row>
    <row r="17">
      <c r="A17" s="12" t="n">
        <v>13</v>
      </c>
      <c r="B17" s="12" t="inlineStr">
        <is>
          <t>primary_flag</t>
        </is>
      </c>
      <c r="C17" s="12" t="inlineStr">
        <is>
          <t>Primary address or contact</t>
        </is>
      </c>
      <c r="D17" s="12" t="inlineStr">
        <is>
          <t>Flag</t>
        </is>
      </c>
      <c r="E17" s="12" t="inlineStr">
        <is>
          <t>1</t>
        </is>
      </c>
      <c r="F17" s="12" t="inlineStr">
        <is>
          <t>Y</t>
        </is>
      </c>
      <c r="G17" s="12" t="inlineStr">
        <is>
          <t>Y, N</t>
        </is>
      </c>
      <c r="H17" s="12" t="inlineStr">
        <is>
          <t>Y or N</t>
        </is>
      </c>
      <c r="I17" s="12" t="inlineStr">
        <is>
          <t>Y</t>
        </is>
      </c>
      <c r="J17" s="12" t="inlineStr">
        <is>
          <t>One primary ADDRESS per client</t>
        </is>
      </c>
      <c r="K17" s="12" t="n"/>
      <c r="L17" s="12" t="n"/>
      <c r="M17" s="12" t="n"/>
      <c r="N17" s="25" t="n"/>
    </row>
  </sheetData>
  <autoFilter ref="A4:N17"/>
  <mergeCells count="1">
    <mergeCell ref="A2:N2"/>
  </mergeCells>
  <conditionalFormatting sqref="A5:N517">
    <cfRule type="expression" priority="1" dxfId="0">
      <formula>AND(MOD(ROW(),2)=0,$A5&lt;&gt;"")</formula>
    </cfRule>
  </conditionalFormatting>
  <dataValidations count="3">
    <dataValidation sqref="F5:F517" showDropDown="0" showInputMessage="0" showErrorMessage="1" allowBlank="1" errorTitle="Mandatory" error="Choose a value from the list (Mandatory)." type="list">
      <formula1>'_lists'!$AD$1:$AD$3</formula1>
    </dataValidation>
    <dataValidation sqref="K5:K517" showDropDown="0" showInputMessage="0" showErrorMessage="1" allowBlank="1" errorTitle="BU review" error="Choose a value from the list (BU review)." type="list">
      <formula1>'_lists'!$AE$1:$AE$3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N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C03 Client payout accounts</t>
        </is>
      </c>
    </row>
    <row r="2">
      <c r="A2" s="22" t="inlineStr">
        <is>
          <t>Layout C03 v1 of object C03: Client payout accounts. Key legacy_client_no, account_no. Template C03_template.csv.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legacy_client_no</t>
        </is>
      </c>
      <c r="C5" s="12" t="inlineStr">
        <is>
          <t>Client number in the source system</t>
        </is>
      </c>
      <c r="D5" s="12" t="inlineStr">
        <is>
          <t>Code</t>
        </is>
      </c>
      <c r="E5" s="12" t="inlineStr">
        <is>
          <t>30</t>
        </is>
      </c>
      <c r="F5" s="12" t="inlineStr">
        <is>
          <t>Y</t>
        </is>
      </c>
      <c r="G5" s="12" t="inlineStr">
        <is>
          <t>legacy_client_no of C01</t>
        </is>
      </c>
      <c r="H5" s="12" t="inlineStr">
        <is>
          <t>As stored in legacy</t>
        </is>
      </c>
      <c r="I5" s="12" t="inlineStr">
        <is>
          <t>E-0098765</t>
        </is>
      </c>
      <c r="J5" s="12" t="inlineStr">
        <is>
          <t>Client loaded</t>
        </is>
      </c>
      <c r="K5" s="12" t="n"/>
      <c r="L5" s="12" t="n"/>
      <c r="M5" s="12" t="n"/>
      <c r="N5" s="25" t="n"/>
    </row>
    <row r="6">
      <c r="A6" s="12" t="n">
        <v>2</v>
      </c>
      <c r="B6" s="12" t="inlineStr">
        <is>
          <t>mode</t>
        </is>
      </c>
      <c r="C6" s="12" t="inlineStr">
        <is>
          <t>Payout mode</t>
        </is>
      </c>
      <c r="D6" s="12" t="inlineStr">
        <is>
          <t>Code</t>
        </is>
      </c>
      <c r="E6" s="12" t="inlineStr">
        <is>
          <t>10</t>
        </is>
      </c>
      <c r="F6" s="12" t="inlineStr">
        <is>
          <t>Y</t>
        </is>
      </c>
      <c r="G6" s="12" t="inlineStr">
        <is>
          <t>CTA, CHECK</t>
        </is>
      </c>
      <c r="H6" s="12" t="inlineStr">
        <is>
          <t>Upper case</t>
        </is>
      </c>
      <c r="I6" s="12" t="inlineStr">
        <is>
          <t>CTA</t>
        </is>
      </c>
      <c r="J6" s="12" t="inlineStr">
        <is>
          <t>In the list</t>
        </is>
      </c>
      <c r="K6" s="12" t="n"/>
      <c r="L6" s="12" t="n"/>
      <c r="M6" s="12" t="n"/>
      <c r="N6" s="25" t="n"/>
    </row>
    <row r="7">
      <c r="A7" s="12" t="n">
        <v>3</v>
      </c>
      <c r="B7" s="12" t="inlineStr">
        <is>
          <t>payee_name</t>
        </is>
      </c>
      <c r="C7" s="12" t="inlineStr">
        <is>
          <t>Name on the account or check</t>
        </is>
      </c>
      <c r="D7" s="12" t="inlineStr">
        <is>
          <t>Text</t>
        </is>
      </c>
      <c r="E7" s="12" t="inlineStr">
        <is>
          <t>250</t>
        </is>
      </c>
      <c r="F7" s="12" t="inlineStr">
        <is>
          <t>Y</t>
        </is>
      </c>
      <c r="G7" s="12" t="inlineStr"/>
      <c r="H7" s="12" t="inlineStr">
        <is>
          <t>Free text</t>
        </is>
      </c>
      <c r="I7" s="12" t="inlineStr">
        <is>
          <t>Ana C. Reyes</t>
        </is>
      </c>
      <c r="J7" s="12" t="inlineStr">
        <is>
          <t>Not blank</t>
        </is>
      </c>
      <c r="K7" s="12" t="n"/>
      <c r="L7" s="12" t="n"/>
      <c r="M7" s="12" t="n"/>
      <c r="N7" s="25" t="n"/>
    </row>
    <row r="8">
      <c r="A8" s="12" t="n">
        <v>4</v>
      </c>
      <c r="B8" s="12" t="inlineStr">
        <is>
          <t>bank_code</t>
        </is>
      </c>
      <c r="C8" s="12" t="inlineStr">
        <is>
          <t>Bank of the account</t>
        </is>
      </c>
      <c r="D8" s="12" t="inlineStr">
        <is>
          <t>Code</t>
        </is>
      </c>
      <c r="E8" s="12" t="inlineStr">
        <is>
          <t>30</t>
        </is>
      </c>
      <c r="F8" s="12" t="inlineStr">
        <is>
          <t>C</t>
        </is>
      </c>
      <c r="G8" s="12" t="inlineStr">
        <is>
          <t>Code map BANK</t>
        </is>
      </c>
      <c r="H8" s="12" t="inlineStr">
        <is>
          <t>As stored in legacy</t>
        </is>
      </c>
      <c r="I8" s="12" t="inlineStr">
        <is>
          <t>BDO</t>
        </is>
      </c>
      <c r="J8" s="12" t="inlineStr">
        <is>
          <t>Mandatory for CTA; mapped</t>
        </is>
      </c>
      <c r="K8" s="12" t="n"/>
      <c r="L8" s="12" t="n"/>
      <c r="M8" s="12" t="n"/>
      <c r="N8" s="25" t="n"/>
    </row>
    <row r="9">
      <c r="A9" s="12" t="n">
        <v>5</v>
      </c>
      <c r="B9" s="12" t="inlineStr">
        <is>
          <t>account_no</t>
        </is>
      </c>
      <c r="C9" s="12" t="inlineStr">
        <is>
          <t>Account number</t>
        </is>
      </c>
      <c r="D9" s="12" t="inlineStr">
        <is>
          <t>Text</t>
        </is>
      </c>
      <c r="E9" s="12" t="inlineStr">
        <is>
          <t>40</t>
        </is>
      </c>
      <c r="F9" s="12" t="inlineStr">
        <is>
          <t>C</t>
        </is>
      </c>
      <c r="G9" s="12" t="inlineStr"/>
      <c r="H9" s="12" t="inlineStr">
        <is>
          <t>Digits</t>
        </is>
      </c>
      <c r="I9" s="12" t="inlineStr">
        <is>
          <t>001234567890</t>
        </is>
      </c>
      <c r="J9" s="12" t="inlineStr">
        <is>
          <t>Mandatory for CTA</t>
        </is>
      </c>
      <c r="K9" s="12" t="n"/>
      <c r="L9" s="12" t="n"/>
      <c r="M9" s="12" t="n"/>
      <c r="N9" s="25" t="n"/>
    </row>
    <row r="10">
      <c r="A10" s="12" t="n">
        <v>6</v>
      </c>
      <c r="B10" s="12" t="inlineStr">
        <is>
          <t>active_flag</t>
        </is>
      </c>
      <c r="C10" s="12" t="inlineStr">
        <is>
          <t>Account in use</t>
        </is>
      </c>
      <c r="D10" s="12" t="inlineStr">
        <is>
          <t>Flag</t>
        </is>
      </c>
      <c r="E10" s="12" t="inlineStr">
        <is>
          <t>1</t>
        </is>
      </c>
      <c r="F10" s="12" t="inlineStr">
        <is>
          <t>Y</t>
        </is>
      </c>
      <c r="G10" s="12" t="inlineStr">
        <is>
          <t>Y, N</t>
        </is>
      </c>
      <c r="H10" s="12" t="inlineStr">
        <is>
          <t>Y or N</t>
        </is>
      </c>
      <c r="I10" s="12" t="inlineStr">
        <is>
          <t>Y</t>
        </is>
      </c>
      <c r="J10" s="12" t="inlineStr">
        <is>
          <t>Y or N</t>
        </is>
      </c>
      <c r="K10" s="12" t="n"/>
      <c r="L10" s="12" t="n"/>
      <c r="M10" s="12" t="n"/>
      <c r="N10" s="25" t="n"/>
    </row>
  </sheetData>
  <autoFilter ref="A4:N10"/>
  <mergeCells count="1">
    <mergeCell ref="A2:N2"/>
  </mergeCells>
  <conditionalFormatting sqref="A5:N510">
    <cfRule type="expression" priority="1" dxfId="0">
      <formula>AND(MOD(ROW(),2)=0,$A5&lt;&gt;"")</formula>
    </cfRule>
  </conditionalFormatting>
  <dataValidations count="3">
    <dataValidation sqref="F5:F510" showDropDown="0" showInputMessage="0" showErrorMessage="1" allowBlank="1" errorTitle="Mandatory" error="Choose a value from the list (Mandatory)." type="list">
      <formula1>'_lists'!$AF$1:$AF$3</formula1>
    </dataValidation>
    <dataValidation sqref="K5:K510" showDropDown="0" showInputMessage="0" showErrorMessage="1" allowBlank="1" errorTitle="BU review" error="Choose a value from the list (BU review)." type="list">
      <formula1>'_lists'!$AG$1:$AG$3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N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P01 In-force policy headers</t>
        </is>
      </c>
    </row>
    <row r="2">
      <c r="A2" s="22" t="inlineStr">
        <is>
          <t>Layout P01 v1 of object P01: In-force policy headers. Key legacy_policy_ref. Template P01_template.csv.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legacy_policy_ref</t>
        </is>
      </c>
      <c r="C5" s="12" t="inlineStr">
        <is>
          <t>Unique legacy reference of the policy term (cover no. and version, or policy reference)</t>
        </is>
      </c>
      <c r="D5" s="12" t="inlineStr">
        <is>
          <t>Code</t>
        </is>
      </c>
      <c r="E5" s="12" t="inlineStr">
        <is>
          <t>60</t>
        </is>
      </c>
      <c r="F5" s="12" t="inlineStr">
        <is>
          <t>Y</t>
        </is>
      </c>
      <c r="G5" s="12" t="inlineStr"/>
      <c r="H5" s="12" t="inlineStr">
        <is>
          <t>&lt;cover no.&gt;-&lt;version&gt;</t>
        </is>
      </c>
      <c r="I5" s="12" t="inlineStr">
        <is>
          <t>C-2026-004512-01</t>
        </is>
      </c>
      <c r="J5" s="12" t="inlineStr">
        <is>
          <t>Unique in the file</t>
        </is>
      </c>
      <c r="K5" s="12" t="n"/>
      <c r="L5" s="12" t="n"/>
      <c r="M5" s="12" t="n"/>
      <c r="N5" s="25" t="n"/>
    </row>
    <row r="6">
      <c r="A6" s="12" t="n">
        <v>2</v>
      </c>
      <c r="B6" s="12" t="inlineStr">
        <is>
          <t>cover_no</t>
        </is>
      </c>
      <c r="C6" s="12" t="inlineStr">
        <is>
          <t>Legacy cover number</t>
        </is>
      </c>
      <c r="D6" s="12" t="inlineStr">
        <is>
          <t>Text</t>
        </is>
      </c>
      <c r="E6" s="12" t="inlineStr">
        <is>
          <t>40</t>
        </is>
      </c>
      <c r="F6" s="12" t="inlineStr">
        <is>
          <t>Y</t>
        </is>
      </c>
      <c r="G6" s="12" t="inlineStr"/>
      <c r="H6" s="12" t="inlineStr">
        <is>
          <t>As stored in legacy</t>
        </is>
      </c>
      <c r="I6" s="12" t="inlineStr">
        <is>
          <t>C-2026-004512</t>
        </is>
      </c>
      <c r="J6" s="12" t="inlineStr">
        <is>
          <t>Not blank</t>
        </is>
      </c>
      <c r="K6" s="12" t="n"/>
      <c r="L6" s="12" t="n"/>
      <c r="M6" s="12" t="n"/>
      <c r="N6" s="25" t="n"/>
    </row>
    <row r="7">
      <c r="A7" s="12" t="n">
        <v>3</v>
      </c>
      <c r="B7" s="12" t="inlineStr">
        <is>
          <t>cover_version</t>
        </is>
      </c>
      <c r="C7" s="12" t="inlineStr">
        <is>
          <t>Legacy cover version</t>
        </is>
      </c>
      <c r="D7" s="12" t="inlineStr">
        <is>
          <t>Integer</t>
        </is>
      </c>
      <c r="E7" s="12" t="inlineStr">
        <is>
          <t>4</t>
        </is>
      </c>
      <c r="F7" s="12" t="inlineStr">
        <is>
          <t>N</t>
        </is>
      </c>
      <c r="G7" s="12" t="inlineStr"/>
      <c r="H7" s="12" t="inlineStr">
        <is>
          <t>Digits</t>
        </is>
      </c>
      <c r="I7" s="12" t="inlineStr">
        <is>
          <t>1</t>
        </is>
      </c>
      <c r="J7" s="12" t="inlineStr">
        <is>
          <t>0 or more</t>
        </is>
      </c>
      <c r="K7" s="12" t="n"/>
      <c r="L7" s="12" t="n"/>
      <c r="M7" s="12" t="n"/>
      <c r="N7" s="25" t="n"/>
    </row>
    <row r="8">
      <c r="A8" s="12" t="n">
        <v>4</v>
      </c>
      <c r="B8" s="12" t="inlineStr">
        <is>
          <t>policy_no</t>
        </is>
      </c>
      <c r="C8" s="12" t="inlineStr">
        <is>
          <t>Insurer policy number</t>
        </is>
      </c>
      <c r="D8" s="12" t="inlineStr">
        <is>
          <t>Text</t>
        </is>
      </c>
      <c r="E8" s="12" t="inlineStr">
        <is>
          <t>60</t>
        </is>
      </c>
      <c r="F8" s="12" t="inlineStr">
        <is>
          <t>Y</t>
        </is>
      </c>
      <c r="G8" s="12" t="inlineStr"/>
      <c r="H8" s="12" t="inlineStr">
        <is>
          <t>As issued</t>
        </is>
      </c>
      <c r="I8" s="12" t="inlineStr">
        <is>
          <t>MC-PC-26-0012345</t>
        </is>
      </c>
      <c r="J8" s="12" t="inlineStr">
        <is>
          <t>Not blank</t>
        </is>
      </c>
      <c r="K8" s="12" t="n"/>
      <c r="L8" s="12" t="n"/>
      <c r="M8" s="12" t="n"/>
      <c r="N8" s="25" t="n"/>
    </row>
    <row r="9">
      <c r="A9" s="12" t="n">
        <v>5</v>
      </c>
      <c r="B9" s="12" t="inlineStr">
        <is>
          <t>legacy_client_no</t>
        </is>
      </c>
      <c r="C9" s="12" t="inlineStr">
        <is>
          <t>Client number of the assured</t>
        </is>
      </c>
      <c r="D9" s="12" t="inlineStr">
        <is>
          <t>Code</t>
        </is>
      </c>
      <c r="E9" s="12" t="inlineStr">
        <is>
          <t>30</t>
        </is>
      </c>
      <c r="F9" s="12" t="inlineStr">
        <is>
          <t>Y</t>
        </is>
      </c>
      <c r="G9" s="12" t="inlineStr">
        <is>
          <t>legacy_client_no of C01</t>
        </is>
      </c>
      <c r="H9" s="12" t="inlineStr">
        <is>
          <t>As stored in legacy</t>
        </is>
      </c>
      <c r="I9" s="12" t="inlineStr">
        <is>
          <t>Q-0012345</t>
        </is>
      </c>
      <c r="J9" s="12" t="inlineStr">
        <is>
          <t>Client loaded</t>
        </is>
      </c>
      <c r="K9" s="12" t="n"/>
      <c r="L9" s="12" t="n"/>
      <c r="M9" s="12" t="n"/>
      <c r="N9" s="25" t="n"/>
    </row>
    <row r="10">
      <c r="A10" s="12" t="n">
        <v>6</v>
      </c>
      <c r="B10" s="12" t="inlineStr">
        <is>
          <t>assured_name</t>
        </is>
      </c>
      <c r="C10" s="12" t="inlineStr">
        <is>
          <t>Assured name as on the policy</t>
        </is>
      </c>
      <c r="D10" s="12" t="inlineStr">
        <is>
          <t>Text</t>
        </is>
      </c>
      <c r="E10" s="12" t="inlineStr">
        <is>
          <t>250</t>
        </is>
      </c>
      <c r="F10" s="12" t="inlineStr">
        <is>
          <t>Y</t>
        </is>
      </c>
      <c r="G10" s="12" t="inlineStr"/>
      <c r="H10" s="12" t="inlineStr">
        <is>
          <t>Free text</t>
        </is>
      </c>
      <c r="I10" s="12" t="inlineStr">
        <is>
          <t>Ana C. Reyes</t>
        </is>
      </c>
      <c r="J10" s="12" t="inlineStr">
        <is>
          <t>Not blank</t>
        </is>
      </c>
      <c r="K10" s="12" t="n"/>
      <c r="L10" s="12" t="n"/>
      <c r="M10" s="12" t="n"/>
      <c r="N10" s="25" t="n"/>
    </row>
    <row r="11">
      <c r="A11" s="12" t="n">
        <v>7</v>
      </c>
      <c r="B11" s="12" t="inlineStr">
        <is>
          <t>risk_code</t>
        </is>
      </c>
      <c r="C11" s="12" t="inlineStr">
        <is>
          <t>Product / risk code</t>
        </is>
      </c>
      <c r="D11" s="12" t="inlineStr">
        <is>
          <t>Code</t>
        </is>
      </c>
      <c r="E11" s="12" t="inlineStr">
        <is>
          <t>20</t>
        </is>
      </c>
      <c r="F11" s="12" t="inlineStr">
        <is>
          <t>Y</t>
        </is>
      </c>
      <c r="G11" s="12" t="inlineStr">
        <is>
          <t>Code map PRODUCT</t>
        </is>
      </c>
      <c r="H11" s="12" t="inlineStr">
        <is>
          <t>As stored in legacy</t>
        </is>
      </c>
      <c r="I11" s="12" t="inlineStr">
        <is>
          <t>MC-PC-COMP</t>
        </is>
      </c>
      <c r="J11" s="12" t="inlineStr">
        <is>
          <t>Mapped</t>
        </is>
      </c>
      <c r="K11" s="12" t="n"/>
      <c r="L11" s="12" t="n"/>
      <c r="M11" s="12" t="n"/>
      <c r="N11" s="25" t="n"/>
    </row>
    <row r="12">
      <c r="A12" s="12" t="n">
        <v>8</v>
      </c>
      <c r="B12" s="12" t="inlineStr">
        <is>
          <t>package_code</t>
        </is>
      </c>
      <c r="C12" s="12" t="inlineStr">
        <is>
          <t>Legacy package of a packaged policy</t>
        </is>
      </c>
      <c r="D12" s="12" t="inlineStr">
        <is>
          <t>Code</t>
        </is>
      </c>
      <c r="E12" s="12" t="inlineStr">
        <is>
          <t>20</t>
        </is>
      </c>
      <c r="F12" s="12" t="inlineStr">
        <is>
          <t>C</t>
        </is>
      </c>
      <c r="G12" s="12" t="inlineStr"/>
      <c r="H12" s="12" t="inlineStr">
        <is>
          <t>As stored in legacy</t>
        </is>
      </c>
      <c r="I12" s="12" t="inlineStr">
        <is>
          <t>PKG-MC-PRIV</t>
        </is>
      </c>
      <c r="J12" s="12" t="inlineStr">
        <is>
          <t>Mandatory for packaged policies; not mapped at load</t>
        </is>
      </c>
      <c r="K12" s="12" t="n"/>
      <c r="L12" s="12" t="n"/>
      <c r="M12" s="12" t="n"/>
      <c r="N12" s="25" t="n"/>
    </row>
    <row r="13">
      <c r="A13" s="12" t="n">
        <v>9</v>
      </c>
      <c r="B13" s="12" t="inlineStr">
        <is>
          <t>package_version</t>
        </is>
      </c>
      <c r="C13" s="12" t="inlineStr">
        <is>
          <t>Version of the legacy package</t>
        </is>
      </c>
      <c r="D13" s="12" t="inlineStr">
        <is>
          <t>Integer</t>
        </is>
      </c>
      <c r="E13" s="12" t="inlineStr">
        <is>
          <t>4</t>
        </is>
      </c>
      <c r="F13" s="12" t="inlineStr">
        <is>
          <t>C</t>
        </is>
      </c>
      <c r="G13" s="12" t="inlineStr"/>
      <c r="H13" s="12" t="inlineStr">
        <is>
          <t>Digits</t>
        </is>
      </c>
      <c r="I13" s="12" t="inlineStr">
        <is>
          <t>3</t>
        </is>
      </c>
      <c r="J13" s="12" t="inlineStr">
        <is>
          <t>Mandatory with package_code</t>
        </is>
      </c>
      <c r="K13" s="12" t="n"/>
      <c r="L13" s="12" t="n"/>
      <c r="M13" s="12" t="n"/>
      <c r="N13" s="25" t="n"/>
    </row>
    <row r="14">
      <c r="A14" s="12" t="n">
        <v>10</v>
      </c>
      <c r="B14" s="12" t="inlineStr">
        <is>
          <t>line_code</t>
        </is>
      </c>
      <c r="C14" s="12" t="inlineStr">
        <is>
          <t>Line of business</t>
        </is>
      </c>
      <c r="D14" s="12" t="inlineStr">
        <is>
          <t>Code</t>
        </is>
      </c>
      <c r="E14" s="12" t="inlineStr">
        <is>
          <t>30</t>
        </is>
      </c>
      <c r="F14" s="12" t="inlineStr">
        <is>
          <t>Y</t>
        </is>
      </c>
      <c r="G14" s="12" t="inlineStr">
        <is>
          <t>Code map LINE</t>
        </is>
      </c>
      <c r="H14" s="12" t="inlineStr">
        <is>
          <t>As stored in legacy</t>
        </is>
      </c>
      <c r="I14" s="12" t="inlineStr">
        <is>
          <t>MOTOR</t>
        </is>
      </c>
      <c r="J14" s="12" t="inlineStr">
        <is>
          <t>Mapped; consistent with risk_code</t>
        </is>
      </c>
      <c r="K14" s="12" t="n"/>
      <c r="L14" s="12" t="n"/>
      <c r="M14" s="12" t="n"/>
      <c r="N14" s="25" t="n"/>
    </row>
    <row r="15">
      <c r="A15" s="12" t="n">
        <v>11</v>
      </c>
      <c r="B15" s="12" t="inlineStr">
        <is>
          <t>cover_type_code</t>
        </is>
      </c>
      <c r="C15" s="12" t="inlineStr">
        <is>
          <t>Cover type</t>
        </is>
      </c>
      <c r="D15" s="12" t="inlineStr">
        <is>
          <t>Code</t>
        </is>
      </c>
      <c r="E15" s="12" t="inlineStr">
        <is>
          <t>30</t>
        </is>
      </c>
      <c r="F15" s="12" t="inlineStr">
        <is>
          <t>N</t>
        </is>
      </c>
      <c r="G15" s="12" t="inlineStr">
        <is>
          <t>Code map COVER_TYPE</t>
        </is>
      </c>
      <c r="H15" s="12" t="inlineStr">
        <is>
          <t>As stored in legacy</t>
        </is>
      </c>
      <c r="I15" s="12" t="inlineStr">
        <is>
          <t>COMP</t>
        </is>
      </c>
      <c r="J15" s="12" t="inlineStr">
        <is>
          <t>Mapped</t>
        </is>
      </c>
      <c r="K15" s="12" t="n"/>
      <c r="L15" s="12" t="n"/>
      <c r="M15" s="12" t="n"/>
      <c r="N15" s="25" t="n"/>
    </row>
    <row r="16">
      <c r="A16" s="12" t="n">
        <v>12</v>
      </c>
      <c r="B16" s="12" t="inlineStr">
        <is>
          <t>business_type</t>
        </is>
      </c>
      <c r="C16" s="12" t="inlineStr">
        <is>
          <t>New business or renewal</t>
        </is>
      </c>
      <c r="D16" s="12" t="inlineStr">
        <is>
          <t>Code</t>
        </is>
      </c>
      <c r="E16" s="12" t="inlineStr">
        <is>
          <t>2</t>
        </is>
      </c>
      <c r="F16" s="12" t="inlineStr">
        <is>
          <t>Y</t>
        </is>
      </c>
      <c r="G16" s="12" t="inlineStr">
        <is>
          <t>NB, RB</t>
        </is>
      </c>
      <c r="H16" s="12" t="inlineStr">
        <is>
          <t>Upper case</t>
        </is>
      </c>
      <c r="I16" s="12" t="inlineStr">
        <is>
          <t>RB</t>
        </is>
      </c>
      <c r="J16" s="12" t="inlineStr">
        <is>
          <t>In the list</t>
        </is>
      </c>
      <c r="K16" s="12" t="n"/>
      <c r="L16" s="12" t="n"/>
      <c r="M16" s="12" t="n"/>
      <c r="N16" s="25" t="n"/>
    </row>
    <row r="17">
      <c r="A17" s="12" t="n">
        <v>13</v>
      </c>
      <c r="B17" s="12" t="inlineStr">
        <is>
          <t>policy_status</t>
        </is>
      </c>
      <c r="C17" s="12" t="inlineStr">
        <is>
          <t>Status of the term in legacy</t>
        </is>
      </c>
      <c r="D17" s="12" t="inlineStr">
        <is>
          <t>Code</t>
        </is>
      </c>
      <c r="E17" s="12" t="inlineStr">
        <is>
          <t>20</t>
        </is>
      </c>
      <c r="F17" s="12" t="inlineStr">
        <is>
          <t>Y</t>
        </is>
      </c>
      <c r="G17" s="12" t="inlineStr">
        <is>
          <t>Code map STATUS:POLICY</t>
        </is>
      </c>
      <c r="H17" s="12" t="inlineStr">
        <is>
          <t>As stored in legacy</t>
        </is>
      </c>
      <c r="I17" s="12" t="inlineStr">
        <is>
          <t>ISSUED</t>
        </is>
      </c>
      <c r="J17" s="12" t="inlineStr">
        <is>
          <t>Mapped to an in-force status</t>
        </is>
      </c>
      <c r="K17" s="12" t="n"/>
      <c r="L17" s="12" t="n"/>
      <c r="M17" s="12" t="n"/>
      <c r="N17" s="25" t="n"/>
    </row>
    <row r="18">
      <c r="A18" s="12" t="n">
        <v>14</v>
      </c>
      <c r="B18" s="12" t="inlineStr">
        <is>
          <t>inception_date</t>
        </is>
      </c>
      <c r="C18" s="12" t="inlineStr">
        <is>
          <t>Period from</t>
        </is>
      </c>
      <c r="D18" s="12" t="inlineStr">
        <is>
          <t>Date</t>
        </is>
      </c>
      <c r="E18" s="12" t="inlineStr">
        <is>
          <t>10</t>
        </is>
      </c>
      <c r="F18" s="12" t="inlineStr">
        <is>
          <t>Y</t>
        </is>
      </c>
      <c r="G18" s="12" t="inlineStr"/>
      <c r="H18" s="12" t="inlineStr">
        <is>
          <t>yyyy-MM-dd</t>
        </is>
      </c>
      <c r="I18" s="12" t="inlineStr">
        <is>
          <t>2027-03-15</t>
        </is>
      </c>
      <c r="J18" s="12" t="inlineStr">
        <is>
          <t>Valid date</t>
        </is>
      </c>
      <c r="K18" s="12" t="n"/>
      <c r="L18" s="12" t="n"/>
      <c r="M18" s="12" t="n"/>
      <c r="N18" s="25" t="n"/>
    </row>
    <row r="19">
      <c r="A19" s="12" t="n">
        <v>15</v>
      </c>
      <c r="B19" s="12" t="inlineStr">
        <is>
          <t>expiry_date</t>
        </is>
      </c>
      <c r="C19" s="12" t="inlineStr">
        <is>
          <t>Period to</t>
        </is>
      </c>
      <c r="D19" s="12" t="inlineStr">
        <is>
          <t>Date</t>
        </is>
      </c>
      <c r="E19" s="12" t="inlineStr">
        <is>
          <t>10</t>
        </is>
      </c>
      <c r="F19" s="12" t="inlineStr">
        <is>
          <t>Y</t>
        </is>
      </c>
      <c r="G19" s="12" t="inlineStr"/>
      <c r="H19" s="12" t="inlineStr">
        <is>
          <t>yyyy-MM-dd</t>
        </is>
      </c>
      <c r="I19" s="12" t="inlineStr">
        <is>
          <t>2028-03-15</t>
        </is>
      </c>
      <c r="J19" s="12" t="inlineStr">
        <is>
          <t>After inception_date; on or after the cutover date; every expiry to 31-May-2028 present (go-live renewal extraction)</t>
        </is>
      </c>
      <c r="K19" s="12" t="n"/>
      <c r="L19" s="12" t="n"/>
      <c r="M19" s="12" t="n"/>
      <c r="N19" s="25" t="n"/>
    </row>
    <row r="20">
      <c r="A20" s="12" t="n">
        <v>16</v>
      </c>
      <c r="B20" s="12" t="inlineStr">
        <is>
          <t>currency</t>
        </is>
      </c>
      <c r="C20" s="12" t="inlineStr">
        <is>
          <t>Policy currency</t>
        </is>
      </c>
      <c r="D20" s="12" t="inlineStr">
        <is>
          <t>Code</t>
        </is>
      </c>
      <c r="E20" s="12" t="inlineStr">
        <is>
          <t>3</t>
        </is>
      </c>
      <c r="F20" s="12" t="inlineStr">
        <is>
          <t>Y</t>
        </is>
      </c>
      <c r="G20" s="12" t="inlineStr">
        <is>
          <t>ISO 4217</t>
        </is>
      </c>
      <c r="H20" s="12" t="inlineStr">
        <is>
          <t>Upper case</t>
        </is>
      </c>
      <c r="I20" s="12" t="inlineStr">
        <is>
          <t>PHP</t>
        </is>
      </c>
      <c r="J20" s="12" t="inlineStr">
        <is>
          <t>Valid code</t>
        </is>
      </c>
      <c r="K20" s="12" t="n"/>
      <c r="L20" s="12" t="n"/>
      <c r="M20" s="12" t="n"/>
      <c r="N20" s="25" t="n"/>
    </row>
    <row r="21">
      <c r="A21" s="12" t="n">
        <v>17</v>
      </c>
      <c r="B21" s="12" t="inlineStr">
        <is>
          <t>sum_insured</t>
        </is>
      </c>
      <c r="C21" s="12" t="inlineStr">
        <is>
          <t>Total sum insured</t>
        </is>
      </c>
      <c r="D21" s="12" t="inlineStr">
        <is>
          <t>Amount</t>
        </is>
      </c>
      <c r="E21" s="12" t="inlineStr">
        <is>
          <t>19,2</t>
        </is>
      </c>
      <c r="F21" s="12" t="inlineStr">
        <is>
          <t>Y</t>
        </is>
      </c>
      <c r="G21" s="12" t="inlineStr"/>
      <c r="H21" s="12" t="inlineStr">
        <is>
          <t>Dot decimal, 2 decimals</t>
        </is>
      </c>
      <c r="I21" s="12" t="inlineStr">
        <is>
          <t>950000.00</t>
        </is>
      </c>
      <c r="J21" s="12" t="inlineStr">
        <is>
          <t>0 or more</t>
        </is>
      </c>
      <c r="K21" s="12" t="n"/>
      <c r="L21" s="12" t="n"/>
      <c r="M21" s="12" t="n"/>
      <c r="N21" s="25" t="n"/>
    </row>
    <row r="22">
      <c r="A22" s="12" t="n">
        <v>18</v>
      </c>
      <c r="B22" s="12" t="inlineStr">
        <is>
          <t>net_premium</t>
        </is>
      </c>
      <c r="C22" s="12" t="inlineStr">
        <is>
          <t>Basic premium</t>
        </is>
      </c>
      <c r="D22" s="12" t="inlineStr">
        <is>
          <t>Amount</t>
        </is>
      </c>
      <c r="E22" s="12" t="inlineStr">
        <is>
          <t>19,2</t>
        </is>
      </c>
      <c r="F22" s="12" t="inlineStr">
        <is>
          <t>Y</t>
        </is>
      </c>
      <c r="G22" s="12" t="inlineStr"/>
      <c r="H22" s="12" t="inlineStr">
        <is>
          <t>Dot decimal, 2 decimals</t>
        </is>
      </c>
      <c r="I22" s="12" t="inlineStr">
        <is>
          <t>21375.00</t>
        </is>
      </c>
      <c r="J22" s="12" t="inlineStr">
        <is>
          <t>0 or more</t>
        </is>
      </c>
      <c r="K22" s="12" t="n"/>
      <c r="L22" s="12" t="n"/>
      <c r="M22" s="12" t="n"/>
      <c r="N22" s="25" t="n"/>
    </row>
    <row r="23">
      <c r="A23" s="12" t="n">
        <v>19</v>
      </c>
      <c r="B23" s="12" t="inlineStr">
        <is>
          <t>gross_premium</t>
        </is>
      </c>
      <c r="C23" s="12" t="inlineStr">
        <is>
          <t>Gross premium including taxes and charges</t>
        </is>
      </c>
      <c r="D23" s="12" t="inlineStr">
        <is>
          <t>Amount</t>
        </is>
      </c>
      <c r="E23" s="12" t="inlineStr">
        <is>
          <t>19,2</t>
        </is>
      </c>
      <c r="F23" s="12" t="inlineStr">
        <is>
          <t>Y</t>
        </is>
      </c>
      <c r="G23" s="12" t="inlineStr"/>
      <c r="H23" s="12" t="inlineStr">
        <is>
          <t>Dot decimal, 2 decimals</t>
        </is>
      </c>
      <c r="I23" s="12" t="inlineStr">
        <is>
          <t>25946.25</t>
        </is>
      </c>
      <c r="J23" s="12" t="inlineStr">
        <is>
          <t>Not below net_premium</t>
        </is>
      </c>
      <c r="K23" s="12" t="n"/>
      <c r="L23" s="12" t="n"/>
      <c r="M23" s="12" t="n"/>
      <c r="N23" s="25" t="n"/>
    </row>
    <row r="24">
      <c r="A24" s="12" t="n">
        <v>20</v>
      </c>
      <c r="B24" s="12" t="inlineStr">
        <is>
          <t>commission_rate_pct</t>
        </is>
      </c>
      <c r="C24" s="12" t="inlineStr">
        <is>
          <t>Commission rate in percent</t>
        </is>
      </c>
      <c r="D24" s="12" t="inlineStr">
        <is>
          <t>Decimal</t>
        </is>
      </c>
      <c r="E24" s="12" t="inlineStr">
        <is>
          <t>9,4</t>
        </is>
      </c>
      <c r="F24" s="12" t="inlineStr">
        <is>
          <t>N</t>
        </is>
      </c>
      <c r="G24" s="12" t="inlineStr"/>
      <c r="H24" s="12" t="inlineStr">
        <is>
          <t>Dot decimal</t>
        </is>
      </c>
      <c r="I24" s="12" t="inlineStr">
        <is>
          <t>20.0000</t>
        </is>
      </c>
      <c r="J24" s="12" t="inlineStr">
        <is>
          <t>0 to 100</t>
        </is>
      </c>
      <c r="K24" s="12" t="n"/>
      <c r="L24" s="12" t="n"/>
      <c r="M24" s="12" t="n"/>
      <c r="N24" s="25" t="n"/>
    </row>
    <row r="25">
      <c r="A25" s="12" t="n">
        <v>21</v>
      </c>
      <c r="B25" s="12" t="inlineStr">
        <is>
          <t>payment_arrangement</t>
        </is>
      </c>
      <c r="C25" s="12" t="inlineStr">
        <is>
          <t>Premium paid through BDOI or directly to the insurer</t>
        </is>
      </c>
      <c r="D25" s="12" t="inlineStr">
        <is>
          <t>Code</t>
        </is>
      </c>
      <c r="E25" s="12" t="inlineStr">
        <is>
          <t>20</t>
        </is>
      </c>
      <c r="F25" s="12" t="inlineStr">
        <is>
          <t>Y</t>
        </is>
      </c>
      <c r="G25" s="12" t="inlineStr">
        <is>
          <t>VIA_BDOI, DIRECT</t>
        </is>
      </c>
      <c r="H25" s="12" t="inlineStr">
        <is>
          <t>Upper case</t>
        </is>
      </c>
      <c r="I25" s="12" t="inlineStr">
        <is>
          <t>VIA_BDOI</t>
        </is>
      </c>
      <c r="J25" s="12" t="inlineStr">
        <is>
          <t>In the list</t>
        </is>
      </c>
      <c r="K25" s="12" t="n"/>
      <c r="L25" s="12" t="n"/>
      <c r="M25" s="12" t="n"/>
      <c r="N25" s="25" t="n"/>
    </row>
    <row r="26">
      <c r="A26" s="12" t="n">
        <v>22</v>
      </c>
      <c r="B26" s="12" t="inlineStr">
        <is>
          <t>pn_nos</t>
        </is>
      </c>
      <c r="C26" s="12" t="inlineStr">
        <is>
          <t>Loan promissory note numbers, separated by semicolons</t>
        </is>
      </c>
      <c r="D26" s="12" t="inlineStr">
        <is>
          <t>Text</t>
        </is>
      </c>
      <c r="E26" s="12" t="inlineStr">
        <is>
          <t>500</t>
        </is>
      </c>
      <c r="F26" s="12" t="inlineStr">
        <is>
          <t>N</t>
        </is>
      </c>
      <c r="G26" s="12" t="inlineStr"/>
      <c r="H26" s="12" t="inlineStr">
        <is>
          <t>PN;PN</t>
        </is>
      </c>
      <c r="I26" s="12" t="inlineStr">
        <is>
          <t>PN-2019-000123</t>
        </is>
      </c>
      <c r="J26" s="12" t="inlineStr"/>
      <c r="K26" s="12" t="n"/>
      <c r="L26" s="12" t="n"/>
      <c r="M26" s="12" t="n"/>
      <c r="N26" s="25" t="n"/>
    </row>
    <row r="27">
      <c r="A27" s="12" t="n">
        <v>23</v>
      </c>
      <c r="B27" s="12" t="inlineStr">
        <is>
          <t>loan_application_no</t>
        </is>
      </c>
      <c r="C27" s="12" t="inlineStr">
        <is>
          <t>Loan application number</t>
        </is>
      </c>
      <c r="D27" s="12" t="inlineStr">
        <is>
          <t>Text</t>
        </is>
      </c>
      <c r="E27" s="12" t="inlineStr">
        <is>
          <t>40</t>
        </is>
      </c>
      <c r="F27" s="12" t="inlineStr">
        <is>
          <t>N</t>
        </is>
      </c>
      <c r="G27" s="12" t="inlineStr"/>
      <c r="H27" s="12" t="inlineStr">
        <is>
          <t>As stored in legacy</t>
        </is>
      </c>
      <c r="I27" s="12" t="inlineStr">
        <is>
          <t>LA-2019-5566</t>
        </is>
      </c>
      <c r="J27" s="12" t="inlineStr"/>
      <c r="K27" s="12" t="n"/>
      <c r="L27" s="12" t="n"/>
      <c r="M27" s="12" t="n"/>
      <c r="N27" s="25" t="n"/>
    </row>
    <row r="28">
      <c r="A28" s="12" t="n">
        <v>24</v>
      </c>
      <c r="B28" s="12" t="inlineStr">
        <is>
          <t>mortgagee_bank</t>
        </is>
      </c>
      <c r="C28" s="12" t="inlineStr">
        <is>
          <t>Mortgagee</t>
        </is>
      </c>
      <c r="D28" s="12" t="inlineStr">
        <is>
          <t>Code</t>
        </is>
      </c>
      <c r="E28" s="12" t="inlineStr">
        <is>
          <t>40</t>
        </is>
      </c>
      <c r="F28" s="12" t="inlineStr">
        <is>
          <t>N</t>
        </is>
      </c>
      <c r="G28" s="12" t="inlineStr">
        <is>
          <t>Code map BANK</t>
        </is>
      </c>
      <c r="H28" s="12" t="inlineStr">
        <is>
          <t>As stored in legacy</t>
        </is>
      </c>
      <c r="I28" s="12" t="inlineStr">
        <is>
          <t>BDO</t>
        </is>
      </c>
      <c r="J28" s="12" t="inlineStr">
        <is>
          <t>Mapped</t>
        </is>
      </c>
      <c r="K28" s="12" t="n"/>
      <c r="L28" s="12" t="n"/>
      <c r="M28" s="12" t="n"/>
      <c r="N28" s="25" t="n"/>
    </row>
    <row r="29">
      <c r="A29" s="12" t="n">
        <v>25</v>
      </c>
      <c r="B29" s="12" t="inlineStr">
        <is>
          <t>ffy_flag</t>
        </is>
      </c>
      <c r="C29" s="12" t="inlineStr">
        <is>
          <t>Free first year</t>
        </is>
      </c>
      <c r="D29" s="12" t="inlineStr">
        <is>
          <t>Flag</t>
        </is>
      </c>
      <c r="E29" s="12" t="inlineStr">
        <is>
          <t>1</t>
        </is>
      </c>
      <c r="F29" s="12" t="inlineStr">
        <is>
          <t>N</t>
        </is>
      </c>
      <c r="G29" s="12" t="inlineStr">
        <is>
          <t>Y, N</t>
        </is>
      </c>
      <c r="H29" s="12" t="inlineStr">
        <is>
          <t>Y or N</t>
        </is>
      </c>
      <c r="I29" s="12" t="inlineStr">
        <is>
          <t>N</t>
        </is>
      </c>
      <c r="J29" s="12" t="inlineStr">
        <is>
          <t>Y or N</t>
        </is>
      </c>
      <c r="K29" s="12" t="n"/>
      <c r="L29" s="12" t="n"/>
      <c r="M29" s="12" t="n"/>
      <c r="N29" s="25" t="n"/>
    </row>
    <row r="30">
      <c r="A30" s="12" t="n">
        <v>26</v>
      </c>
      <c r="B30" s="12" t="inlineStr">
        <is>
          <t>ao_user_id</t>
        </is>
      </c>
      <c r="C30" s="12" t="inlineStr">
        <is>
          <t>Account officer</t>
        </is>
      </c>
      <c r="D30" s="12" t="inlineStr">
        <is>
          <t>Code</t>
        </is>
      </c>
      <c r="E30" s="12" t="inlineStr">
        <is>
          <t>50</t>
        </is>
      </c>
      <c r="F30" s="12" t="inlineStr">
        <is>
          <t>Y</t>
        </is>
      </c>
      <c r="G30" s="12" t="inlineStr">
        <is>
          <t>Code map USER</t>
        </is>
      </c>
      <c r="H30" s="12" t="inlineStr">
        <is>
          <t>As stored in legacy</t>
        </is>
      </c>
      <c r="I30" s="12" t="inlineStr">
        <is>
          <t>mreyes</t>
        </is>
      </c>
      <c r="J30" s="12" t="inlineStr">
        <is>
          <t>Mapped in USER</t>
        </is>
      </c>
      <c r="K30" s="12" t="n"/>
      <c r="L30" s="12" t="n"/>
      <c r="M30" s="12" t="n"/>
      <c r="N30" s="25" t="n"/>
    </row>
    <row r="31">
      <c r="A31" s="12" t="n">
        <v>27</v>
      </c>
      <c r="B31" s="12" t="inlineStr">
        <is>
          <t>sales_unit_code</t>
        </is>
      </c>
      <c r="C31" s="12" t="inlineStr">
        <is>
          <t>Sales team</t>
        </is>
      </c>
      <c r="D31" s="12" t="inlineStr">
        <is>
          <t>Code</t>
        </is>
      </c>
      <c r="E31" s="12" t="inlineStr">
        <is>
          <t>20</t>
        </is>
      </c>
      <c r="F31" s="12" t="inlineStr">
        <is>
          <t>Y</t>
        </is>
      </c>
      <c r="G31" s="12" t="inlineStr">
        <is>
          <t>Code map SALES_UNIT</t>
        </is>
      </c>
      <c r="H31" s="12" t="inlineStr">
        <is>
          <t>As stored in legacy</t>
        </is>
      </c>
      <c r="I31" s="12" t="inlineStr">
        <is>
          <t>T-RET-07</t>
        </is>
      </c>
      <c r="J31" s="12" t="inlineStr">
        <is>
          <t>Mapped</t>
        </is>
      </c>
      <c r="K31" s="12" t="n"/>
      <c r="L31" s="12" t="n"/>
      <c r="M31" s="12" t="n"/>
      <c r="N31" s="25" t="n"/>
    </row>
    <row r="32">
      <c r="A32" s="12" t="n">
        <v>28</v>
      </c>
      <c r="B32" s="12" t="inlineStr">
        <is>
          <t>branch_code</t>
        </is>
      </c>
      <c r="C32" s="12" t="inlineStr">
        <is>
          <t>Branch</t>
        </is>
      </c>
      <c r="D32" s="12" t="inlineStr">
        <is>
          <t>Code</t>
        </is>
      </c>
      <c r="E32" s="12" t="inlineStr">
        <is>
          <t>20</t>
        </is>
      </c>
      <c r="F32" s="12" t="inlineStr">
        <is>
          <t>Y</t>
        </is>
      </c>
      <c r="G32" s="12" t="inlineStr">
        <is>
          <t>Code map BRANCH</t>
        </is>
      </c>
      <c r="H32" s="12" t="inlineStr">
        <is>
          <t>As stored in legacy</t>
        </is>
      </c>
      <c r="I32" s="12" t="inlineStr">
        <is>
          <t>MKT01</t>
        </is>
      </c>
      <c r="J32" s="12" t="inlineStr">
        <is>
          <t>Mapped</t>
        </is>
      </c>
      <c r="K32" s="12" t="n"/>
      <c r="L32" s="12" t="n"/>
      <c r="M32" s="12" t="n"/>
      <c r="N32" s="25" t="n"/>
    </row>
    <row r="33">
      <c r="A33" s="12" t="n">
        <v>29</v>
      </c>
      <c r="B33" s="12" t="inlineStr">
        <is>
          <t>market_segment</t>
        </is>
      </c>
      <c r="C33" s="12" t="inlineStr">
        <is>
          <t>Market segment</t>
        </is>
      </c>
      <c r="D33" s="12" t="inlineStr">
        <is>
          <t>Code</t>
        </is>
      </c>
      <c r="E33" s="12" t="inlineStr">
        <is>
          <t>40</t>
        </is>
      </c>
      <c r="F33" s="12" t="inlineStr">
        <is>
          <t>Y</t>
        </is>
      </c>
      <c r="G33" s="12" t="inlineStr">
        <is>
          <t>Code map LOV:MARKET_SEGMENT</t>
        </is>
      </c>
      <c r="H33" s="12" t="inlineStr">
        <is>
          <t>As stored in legacy</t>
        </is>
      </c>
      <c r="I33" s="12" t="inlineStr">
        <is>
          <t>CBG</t>
        </is>
      </c>
      <c r="J33" s="12" t="inlineStr">
        <is>
          <t>Mapped</t>
        </is>
      </c>
      <c r="K33" s="12" t="n"/>
      <c r="L33" s="12" t="n"/>
      <c r="M33" s="12" t="n"/>
      <c r="N33" s="25" t="n"/>
    </row>
    <row r="34">
      <c r="A34" s="12" t="n">
        <v>30</v>
      </c>
      <c r="B34" s="12" t="inlineStr">
        <is>
          <t>source_channel</t>
        </is>
      </c>
      <c r="C34" s="12" t="inlineStr">
        <is>
          <t>Business origin / channel</t>
        </is>
      </c>
      <c r="D34" s="12" t="inlineStr">
        <is>
          <t>Code</t>
        </is>
      </c>
      <c r="E34" s="12" t="inlineStr">
        <is>
          <t>40</t>
        </is>
      </c>
      <c r="F34" s="12" t="inlineStr">
        <is>
          <t>N</t>
        </is>
      </c>
      <c r="G34" s="12" t="inlineStr">
        <is>
          <t>Code map MIS:BUSINESS_ORIGIN</t>
        </is>
      </c>
      <c r="H34" s="12" t="inlineStr">
        <is>
          <t>As stored in legacy</t>
        </is>
      </c>
      <c r="I34" s="12" t="inlineStr">
        <is>
          <t>BANK_REFERRAL</t>
        </is>
      </c>
      <c r="J34" s="12" t="inlineStr">
        <is>
          <t>Mapped</t>
        </is>
      </c>
      <c r="K34" s="12" t="n"/>
      <c r="L34" s="12" t="n"/>
      <c r="M34" s="12" t="n"/>
      <c r="N34" s="25" t="n"/>
    </row>
    <row r="35">
      <c r="A35" s="12" t="n">
        <v>31</v>
      </c>
      <c r="B35" s="12" t="inlineStr">
        <is>
          <t>risk_description</t>
        </is>
      </c>
      <c r="C35" s="12" t="inlineStr">
        <is>
          <t>Short risk description (vehicle, location)</t>
        </is>
      </c>
      <c r="D35" s="12" t="inlineStr">
        <is>
          <t>Text</t>
        </is>
      </c>
      <c r="E35" s="12" t="inlineStr">
        <is>
          <t>300</t>
        </is>
      </c>
      <c r="F35" s="12" t="inlineStr">
        <is>
          <t>N</t>
        </is>
      </c>
      <c r="G35" s="12" t="inlineStr"/>
      <c r="H35" s="12" t="inlineStr">
        <is>
          <t>Free text</t>
        </is>
      </c>
      <c r="I35" s="12" t="inlineStr">
        <is>
          <t>2022 Toyota Vios ABC 1234</t>
        </is>
      </c>
      <c r="J35" s="12" t="inlineStr"/>
      <c r="K35" s="12" t="n"/>
      <c r="L35" s="12" t="n"/>
      <c r="M35" s="12" t="n"/>
      <c r="N35" s="25" t="n"/>
    </row>
  </sheetData>
  <autoFilter ref="A4:N35"/>
  <mergeCells count="1">
    <mergeCell ref="A2:N2"/>
  </mergeCells>
  <conditionalFormatting sqref="A5:N535">
    <cfRule type="expression" priority="1" dxfId="0">
      <formula>AND(MOD(ROW(),2)=0,$A5&lt;&gt;"")</formula>
    </cfRule>
  </conditionalFormatting>
  <dataValidations count="3">
    <dataValidation sqref="F5:F535" showDropDown="0" showInputMessage="0" showErrorMessage="1" allowBlank="1" errorTitle="Mandatory" error="Choose a value from the list (Mandatory)." type="list">
      <formula1>'_lists'!$AH$1:$AH$3</formula1>
    </dataValidation>
    <dataValidation sqref="K5:K535" showDropDown="0" showInputMessage="0" showErrorMessage="1" allowBlank="1" errorTitle="BU review" error="Choose a value from the list (BU review)." type="list">
      <formula1>'_lists'!$AI$1:$AI$3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N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P01S Policy insurer shares</t>
        </is>
      </c>
    </row>
    <row r="2">
      <c r="A2" s="22" t="inlineStr">
        <is>
          <t>Layout P01S v1 of object P01: Policy insurer shares. Key legacy_policy_ref, share_seq. Template P01S_template.csv.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legacy_policy_ref</t>
        </is>
      </c>
      <c r="C5" s="12" t="inlineStr">
        <is>
          <t>Legacy reference of the policy term</t>
        </is>
      </c>
      <c r="D5" s="12" t="inlineStr">
        <is>
          <t>Code</t>
        </is>
      </c>
      <c r="E5" s="12" t="inlineStr">
        <is>
          <t>60</t>
        </is>
      </c>
      <c r="F5" s="12" t="inlineStr">
        <is>
          <t>Y</t>
        </is>
      </c>
      <c r="G5" s="12" t="inlineStr">
        <is>
          <t>legacy_policy_ref of P01</t>
        </is>
      </c>
      <c r="H5" s="12" t="inlineStr">
        <is>
          <t>As in P01</t>
        </is>
      </c>
      <c r="I5" s="12" t="inlineStr">
        <is>
          <t>C-2026-004512-01</t>
        </is>
      </c>
      <c r="J5" s="12" t="inlineStr">
        <is>
          <t>Exists in P01</t>
        </is>
      </c>
      <c r="K5" s="12" t="n"/>
      <c r="L5" s="12" t="n"/>
      <c r="M5" s="12" t="n"/>
      <c r="N5" s="25" t="n"/>
    </row>
    <row r="6">
      <c r="A6" s="12" t="n">
        <v>2</v>
      </c>
      <c r="B6" s="12" t="inlineStr">
        <is>
          <t>share_seq</t>
        </is>
      </c>
      <c r="C6" s="12" t="inlineStr">
        <is>
          <t>Sequence of the insurer</t>
        </is>
      </c>
      <c r="D6" s="12" t="inlineStr">
        <is>
          <t>Integer</t>
        </is>
      </c>
      <c r="E6" s="12" t="inlineStr">
        <is>
          <t>2</t>
        </is>
      </c>
      <c r="F6" s="12" t="inlineStr">
        <is>
          <t>Y</t>
        </is>
      </c>
      <c r="G6" s="12" t="inlineStr"/>
      <c r="H6" s="12" t="inlineStr">
        <is>
          <t>Digits</t>
        </is>
      </c>
      <c r="I6" s="12" t="inlineStr">
        <is>
          <t>1</t>
        </is>
      </c>
      <c r="J6" s="12" t="inlineStr">
        <is>
          <t>Unique per policy</t>
        </is>
      </c>
      <c r="K6" s="12" t="n"/>
      <c r="L6" s="12" t="n"/>
      <c r="M6" s="12" t="n"/>
      <c r="N6" s="25" t="n"/>
    </row>
    <row r="7">
      <c r="A7" s="12" t="n">
        <v>3</v>
      </c>
      <c r="B7" s="12" t="inlineStr">
        <is>
          <t>insurer_code</t>
        </is>
      </c>
      <c r="C7" s="12" t="inlineStr">
        <is>
          <t>Insurer</t>
        </is>
      </c>
      <c r="D7" s="12" t="inlineStr">
        <is>
          <t>Code</t>
        </is>
      </c>
      <c r="E7" s="12" t="inlineStr">
        <is>
          <t>30</t>
        </is>
      </c>
      <c r="F7" s="12" t="inlineStr">
        <is>
          <t>Y</t>
        </is>
      </c>
      <c r="G7" s="12" t="inlineStr">
        <is>
          <t>Code map INSURER</t>
        </is>
      </c>
      <c r="H7" s="12" t="inlineStr">
        <is>
          <t>As stored in legacy</t>
        </is>
      </c>
      <c r="I7" s="12" t="inlineStr">
        <is>
          <t>MAL</t>
        </is>
      </c>
      <c r="J7" s="12" t="inlineStr">
        <is>
          <t>Mapped</t>
        </is>
      </c>
      <c r="K7" s="12" t="n"/>
      <c r="L7" s="12" t="n"/>
      <c r="M7" s="12" t="n"/>
      <c r="N7" s="25" t="n"/>
    </row>
    <row r="8">
      <c r="A8" s="12" t="n">
        <v>4</v>
      </c>
      <c r="B8" s="12" t="inlineStr">
        <is>
          <t>insurer_branch_code</t>
        </is>
      </c>
      <c r="C8" s="12" t="inlineStr">
        <is>
          <t>Insurer branch</t>
        </is>
      </c>
      <c r="D8" s="12" t="inlineStr">
        <is>
          <t>Code</t>
        </is>
      </c>
      <c r="E8" s="12" t="inlineStr">
        <is>
          <t>20</t>
        </is>
      </c>
      <c r="F8" s="12" t="inlineStr">
        <is>
          <t>N</t>
        </is>
      </c>
      <c r="G8" s="12" t="inlineStr">
        <is>
          <t>Code map INSURER_BRANCH</t>
        </is>
      </c>
      <c r="H8" s="12" t="inlineStr">
        <is>
          <t>As stored in legacy</t>
        </is>
      </c>
      <c r="I8" s="12" t="inlineStr">
        <is>
          <t>MAL-CEB</t>
        </is>
      </c>
      <c r="J8" s="12" t="inlineStr">
        <is>
          <t>Mapped</t>
        </is>
      </c>
      <c r="K8" s="12" t="n"/>
      <c r="L8" s="12" t="n"/>
      <c r="M8" s="12" t="n"/>
      <c r="N8" s="25" t="n"/>
    </row>
    <row r="9">
      <c r="A9" s="12" t="n">
        <v>5</v>
      </c>
      <c r="B9" s="12" t="inlineStr">
        <is>
          <t>share_pct</t>
        </is>
      </c>
      <c r="C9" s="12" t="inlineStr">
        <is>
          <t>Share in percent</t>
        </is>
      </c>
      <c r="D9" s="12" t="inlineStr">
        <is>
          <t>Decimal</t>
        </is>
      </c>
      <c r="E9" s="12" t="inlineStr">
        <is>
          <t>9,4</t>
        </is>
      </c>
      <c r="F9" s="12" t="inlineStr">
        <is>
          <t>Y</t>
        </is>
      </c>
      <c r="G9" s="12" t="inlineStr"/>
      <c r="H9" s="12" t="inlineStr">
        <is>
          <t>Dot decimal</t>
        </is>
      </c>
      <c r="I9" s="12" t="inlineStr">
        <is>
          <t>100.0000</t>
        </is>
      </c>
      <c r="J9" s="12" t="inlineStr">
        <is>
          <t>Above 0; shares of a policy add to 100</t>
        </is>
      </c>
      <c r="K9" s="12" t="n"/>
      <c r="L9" s="12" t="n"/>
      <c r="M9" s="12" t="n"/>
      <c r="N9" s="25" t="n"/>
    </row>
    <row r="10">
      <c r="A10" s="12" t="n">
        <v>6</v>
      </c>
      <c r="B10" s="12" t="inlineStr">
        <is>
          <t>lead_flag</t>
        </is>
      </c>
      <c r="C10" s="12" t="inlineStr">
        <is>
          <t>Lead insurer</t>
        </is>
      </c>
      <c r="D10" s="12" t="inlineStr">
        <is>
          <t>Flag</t>
        </is>
      </c>
      <c r="E10" s="12" t="inlineStr">
        <is>
          <t>1</t>
        </is>
      </c>
      <c r="F10" s="12" t="inlineStr">
        <is>
          <t>Y</t>
        </is>
      </c>
      <c r="G10" s="12" t="inlineStr">
        <is>
          <t>Y, N</t>
        </is>
      </c>
      <c r="H10" s="12" t="inlineStr">
        <is>
          <t>Y or N</t>
        </is>
      </c>
      <c r="I10" s="12" t="inlineStr">
        <is>
          <t>Y</t>
        </is>
      </c>
      <c r="J10" s="12" t="inlineStr">
        <is>
          <t>One lead per policy</t>
        </is>
      </c>
      <c r="K10" s="12" t="n"/>
      <c r="L10" s="12" t="n"/>
      <c r="M10" s="12" t="n"/>
      <c r="N10" s="25" t="n"/>
    </row>
  </sheetData>
  <autoFilter ref="A4:N10"/>
  <mergeCells count="1">
    <mergeCell ref="A2:N2"/>
  </mergeCells>
  <conditionalFormatting sqref="A5:N510">
    <cfRule type="expression" priority="1" dxfId="0">
      <formula>AND(MOD(ROW(),2)=0,$A5&lt;&gt;"")</formula>
    </cfRule>
  </conditionalFormatting>
  <dataValidations count="3">
    <dataValidation sqref="F5:F510" showDropDown="0" showInputMessage="0" showErrorMessage="1" allowBlank="1" errorTitle="Mandatory" error="Choose a value from the list (Mandatory)." type="list">
      <formula1>'_lists'!$AJ$1:$AJ$3</formula1>
    </dataValidation>
    <dataValidation sqref="K5:K510" showDropDown="0" showInputMessage="0" showErrorMessage="1" allowBlank="1" errorTitle="BU review" error="Choose a value from the list (BU review)." type="list">
      <formula1>'_lists'!$AK$1:$AK$3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N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P03 Renewal advices already sen</t>
        </is>
      </c>
    </row>
    <row r="2">
      <c r="A2" s="22" t="inlineStr">
        <is>
          <t>Layout P03 v1 of object P03: Renewal advices already sent before go-live (RA-sent file). Key legacy_policy_ref. Template P03_template.csv.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legacy_policy_ref</t>
        </is>
      </c>
      <c r="C5" s="12" t="inlineStr">
        <is>
          <t>Legacy reference of the expiring policy term</t>
        </is>
      </c>
      <c r="D5" s="12" t="inlineStr">
        <is>
          <t>Code</t>
        </is>
      </c>
      <c r="E5" s="12" t="inlineStr">
        <is>
          <t>60</t>
        </is>
      </c>
      <c r="F5" s="12" t="inlineStr">
        <is>
          <t>Y</t>
        </is>
      </c>
      <c r="G5" s="12" t="inlineStr">
        <is>
          <t>legacy_policy_ref of P01</t>
        </is>
      </c>
      <c r="H5" s="12" t="inlineStr">
        <is>
          <t>As in P01</t>
        </is>
      </c>
      <c r="I5" s="12" t="inlineStr">
        <is>
          <t>C-2027-004512-01</t>
        </is>
      </c>
      <c r="J5" s="12" t="inlineStr">
        <is>
          <t>Exists in P01 of the same load</t>
        </is>
      </c>
      <c r="K5" s="12" t="n"/>
      <c r="L5" s="12" t="n"/>
      <c r="M5" s="12" t="n"/>
      <c r="N5" s="25" t="n"/>
    </row>
    <row r="6">
      <c r="A6" s="12" t="n">
        <v>2</v>
      </c>
      <c r="B6" s="12" t="inlineStr">
        <is>
          <t>cover_no</t>
        </is>
      </c>
      <c r="C6" s="12" t="inlineStr">
        <is>
          <t>Legacy cover number of the expiring term</t>
        </is>
      </c>
      <c r="D6" s="12" t="inlineStr">
        <is>
          <t>Text</t>
        </is>
      </c>
      <c r="E6" s="12" t="inlineStr">
        <is>
          <t>40</t>
        </is>
      </c>
      <c r="F6" s="12" t="inlineStr">
        <is>
          <t>Y</t>
        </is>
      </c>
      <c r="G6" s="12" t="inlineStr"/>
      <c r="H6" s="12" t="inlineStr">
        <is>
          <t>As stored in legacy</t>
        </is>
      </c>
      <c r="I6" s="12" t="inlineStr">
        <is>
          <t>C-2027-004512</t>
        </is>
      </c>
      <c r="J6" s="12" t="inlineStr">
        <is>
          <t>Equals the cover of the P01 header</t>
        </is>
      </c>
      <c r="K6" s="12" t="n"/>
      <c r="L6" s="12" t="n"/>
      <c r="M6" s="12" t="n"/>
      <c r="N6" s="25" t="n"/>
    </row>
    <row r="7">
      <c r="A7" s="12" t="n">
        <v>3</v>
      </c>
      <c r="B7" s="12" t="inlineStr">
        <is>
          <t>expiry_date</t>
        </is>
      </c>
      <c r="C7" s="12" t="inlineStr">
        <is>
          <t>Expiry of the expiring term</t>
        </is>
      </c>
      <c r="D7" s="12" t="inlineStr">
        <is>
          <t>Date</t>
        </is>
      </c>
      <c r="E7" s="12" t="inlineStr">
        <is>
          <t>10</t>
        </is>
      </c>
      <c r="F7" s="12" t="inlineStr">
        <is>
          <t>Y</t>
        </is>
      </c>
      <c r="G7" s="12" t="inlineStr"/>
      <c r="H7" s="12" t="inlineStr">
        <is>
          <t>yyyy-MM-dd</t>
        </is>
      </c>
      <c r="I7" s="12" t="inlineStr">
        <is>
          <t>2028-01-15</t>
        </is>
      </c>
      <c r="J7" s="12" t="inlineStr">
        <is>
          <t>Equals the P01 expiry; from T to 31-May-2028</t>
        </is>
      </c>
      <c r="K7" s="12" t="n"/>
      <c r="L7" s="12" t="n"/>
      <c r="M7" s="12" t="n"/>
      <c r="N7" s="25" t="n"/>
    </row>
    <row r="8">
      <c r="A8" s="12" t="n">
        <v>4</v>
      </c>
      <c r="B8" s="12" t="inlineStr">
        <is>
          <t>ra_sent_date</t>
        </is>
      </c>
      <c r="C8" s="12" t="inlineStr">
        <is>
          <t>Date the RA was sent</t>
        </is>
      </c>
      <c r="D8" s="12" t="inlineStr">
        <is>
          <t>Date</t>
        </is>
      </c>
      <c r="E8" s="12" t="inlineStr">
        <is>
          <t>10</t>
        </is>
      </c>
      <c r="F8" s="12" t="inlineStr">
        <is>
          <t>Y</t>
        </is>
      </c>
      <c r="G8" s="12" t="inlineStr"/>
      <c r="H8" s="12" t="inlineStr">
        <is>
          <t>yyyy-MM-dd</t>
        </is>
      </c>
      <c r="I8" s="12" t="inlineStr">
        <is>
          <t>2027-11-16</t>
        </is>
      </c>
      <c r="J8" s="12" t="inlineStr">
        <is>
          <t>Not after the last legacy business day; warning when more than 140 days before expiry</t>
        </is>
      </c>
      <c r="K8" s="12" t="n"/>
      <c r="L8" s="12" t="n"/>
      <c r="M8" s="12" t="n"/>
      <c r="N8" s="25" t="n"/>
    </row>
    <row r="9">
      <c r="A9" s="12" t="n">
        <v>5</v>
      </c>
      <c r="B9" s="12" t="inlineStr">
        <is>
          <t>ra_ref</t>
        </is>
      </c>
      <c r="C9" s="12" t="inlineStr">
        <is>
          <t>RA reference, if the tracker gives one</t>
        </is>
      </c>
      <c r="D9" s="12" t="inlineStr">
        <is>
          <t>Text</t>
        </is>
      </c>
      <c r="E9" s="12" t="inlineStr">
        <is>
          <t>30</t>
        </is>
      </c>
      <c r="F9" s="12" t="inlineStr">
        <is>
          <t>N</t>
        </is>
      </c>
      <c r="G9" s="12" t="inlineStr"/>
      <c r="H9" s="12" t="inlineStr">
        <is>
          <t>As in the tracker</t>
        </is>
      </c>
      <c r="I9" s="12" t="inlineStr">
        <is>
          <t>RA-2027-018833</t>
        </is>
      </c>
      <c r="J9" s="12" t="inlineStr"/>
      <c r="K9" s="12" t="n"/>
      <c r="L9" s="12" t="n"/>
      <c r="M9" s="12" t="n"/>
      <c r="N9" s="25" t="n"/>
    </row>
    <row r="10">
      <c r="A10" s="12" t="n">
        <v>6</v>
      </c>
      <c r="B10" s="12" t="inlineStr">
        <is>
          <t>ra_channel</t>
        </is>
      </c>
      <c r="C10" s="12" t="inlineStr">
        <is>
          <t>How the RA was sent</t>
        </is>
      </c>
      <c r="D10" s="12" t="inlineStr">
        <is>
          <t>Code</t>
        </is>
      </c>
      <c r="E10" s="12" t="inlineStr">
        <is>
          <t>10</t>
        </is>
      </c>
      <c r="F10" s="12" t="inlineStr">
        <is>
          <t>Y</t>
        </is>
      </c>
      <c r="G10" s="12" t="inlineStr">
        <is>
          <t>EMAIL, COURIER, HAND, OTHER</t>
        </is>
      </c>
      <c r="H10" s="12" t="inlineStr">
        <is>
          <t>Upper case</t>
        </is>
      </c>
      <c r="I10" s="12" t="inlineStr">
        <is>
          <t>EMAIL</t>
        </is>
      </c>
      <c r="J10" s="12" t="inlineStr">
        <is>
          <t>In the list</t>
        </is>
      </c>
      <c r="K10" s="12" t="n"/>
      <c r="L10" s="12" t="n"/>
      <c r="M10" s="12" t="n"/>
      <c r="N10" s="25" t="n"/>
    </row>
    <row r="11">
      <c r="A11" s="12" t="n">
        <v>7</v>
      </c>
      <c r="B11" s="12" t="inlineStr">
        <is>
          <t>sent_to</t>
        </is>
      </c>
      <c r="C11" s="12" t="inlineStr">
        <is>
          <t>Recipient (client name or e-mail address)</t>
        </is>
      </c>
      <c r="D11" s="12" t="inlineStr">
        <is>
          <t>Text</t>
        </is>
      </c>
      <c r="E11" s="12" t="inlineStr">
        <is>
          <t>250</t>
        </is>
      </c>
      <c r="F11" s="12" t="inlineStr">
        <is>
          <t>N</t>
        </is>
      </c>
      <c r="G11" s="12" t="inlineStr"/>
      <c r="H11" s="12" t="inlineStr">
        <is>
          <t>Free text</t>
        </is>
      </c>
      <c r="I11" s="12" t="inlineStr">
        <is>
          <t>ana.reyes@example.com</t>
        </is>
      </c>
      <c r="J11" s="12" t="inlineStr">
        <is>
          <t>Masked outside production</t>
        </is>
      </c>
      <c r="K11" s="12" t="n"/>
      <c r="L11" s="12" t="n"/>
      <c r="M11" s="12" t="n"/>
      <c r="N11" s="25" t="n"/>
    </row>
    <row r="12">
      <c r="A12" s="12" t="n">
        <v>8</v>
      </c>
      <c r="B12" s="12" t="inlineStr">
        <is>
          <t>proposed_insurer_code</t>
        </is>
      </c>
      <c r="C12" s="12" t="inlineStr">
        <is>
          <t>Insurer quoted on the RA</t>
        </is>
      </c>
      <c r="D12" s="12" t="inlineStr">
        <is>
          <t>Code</t>
        </is>
      </c>
      <c r="E12" s="12" t="inlineStr">
        <is>
          <t>30</t>
        </is>
      </c>
      <c r="F12" s="12" t="inlineStr">
        <is>
          <t>N</t>
        </is>
      </c>
      <c r="G12" s="12" t="inlineStr">
        <is>
          <t>Code map INSURER</t>
        </is>
      </c>
      <c r="H12" s="12" t="inlineStr">
        <is>
          <t>As stored in legacy</t>
        </is>
      </c>
      <c r="I12" s="12" t="inlineStr">
        <is>
          <t>MAL</t>
        </is>
      </c>
      <c r="J12" s="12" t="inlineStr">
        <is>
          <t>Mapped</t>
        </is>
      </c>
      <c r="K12" s="12" t="n"/>
      <c r="L12" s="12" t="n"/>
      <c r="M12" s="12" t="n"/>
      <c r="N12" s="25" t="n"/>
    </row>
    <row r="13">
      <c r="A13" s="12" t="n">
        <v>9</v>
      </c>
      <c r="B13" s="12" t="inlineStr">
        <is>
          <t>currency</t>
        </is>
      </c>
      <c r="C13" s="12" t="inlineStr">
        <is>
          <t>Currency of the quoted premium</t>
        </is>
      </c>
      <c r="D13" s="12" t="inlineStr">
        <is>
          <t>Code</t>
        </is>
      </c>
      <c r="E13" s="12" t="inlineStr">
        <is>
          <t>3</t>
        </is>
      </c>
      <c r="F13" s="12" t="inlineStr">
        <is>
          <t>C</t>
        </is>
      </c>
      <c r="G13" s="12" t="inlineStr">
        <is>
          <t>ISO 4217</t>
        </is>
      </c>
      <c r="H13" s="12" t="inlineStr">
        <is>
          <t>Upper case</t>
        </is>
      </c>
      <c r="I13" s="12" t="inlineStr">
        <is>
          <t>PHP</t>
        </is>
      </c>
      <c r="J13" s="12" t="inlineStr">
        <is>
          <t>Mandatory with proposed_premium</t>
        </is>
      </c>
      <c r="K13" s="12" t="n"/>
      <c r="L13" s="12" t="n"/>
      <c r="M13" s="12" t="n"/>
      <c r="N13" s="25" t="n"/>
    </row>
    <row r="14">
      <c r="A14" s="12" t="n">
        <v>10</v>
      </c>
      <c r="B14" s="12" t="inlineStr">
        <is>
          <t>proposed_premium</t>
        </is>
      </c>
      <c r="C14" s="12" t="inlineStr">
        <is>
          <t>Gross premium quoted on the RA</t>
        </is>
      </c>
      <c r="D14" s="12" t="inlineStr">
        <is>
          <t>Amount</t>
        </is>
      </c>
      <c r="E14" s="12" t="inlineStr">
        <is>
          <t>19,2</t>
        </is>
      </c>
      <c r="F14" s="12" t="inlineStr">
        <is>
          <t>N</t>
        </is>
      </c>
      <c r="G14" s="12" t="inlineStr"/>
      <c r="H14" s="12" t="inlineStr">
        <is>
          <t>Dot decimal, 2 decimals</t>
        </is>
      </c>
      <c r="I14" s="12" t="inlineStr">
        <is>
          <t>24650.00</t>
        </is>
      </c>
      <c r="J14" s="12" t="inlineStr">
        <is>
          <t>0 or more</t>
        </is>
      </c>
      <c r="K14" s="12" t="n"/>
      <c r="L14" s="12" t="n"/>
      <c r="M14" s="12" t="n"/>
      <c r="N14" s="25" t="n"/>
    </row>
    <row r="15">
      <c r="A15" s="12" t="n">
        <v>11</v>
      </c>
      <c r="B15" s="12" t="inlineStr">
        <is>
          <t>sent_by_user_id</t>
        </is>
      </c>
      <c r="C15" s="12" t="inlineStr">
        <is>
          <t>Renewal processor who sent the RA</t>
        </is>
      </c>
      <c r="D15" s="12" t="inlineStr">
        <is>
          <t>Code</t>
        </is>
      </c>
      <c r="E15" s="12" t="inlineStr">
        <is>
          <t>50</t>
        </is>
      </c>
      <c r="F15" s="12" t="inlineStr">
        <is>
          <t>N</t>
        </is>
      </c>
      <c r="G15" s="12" t="inlineStr">
        <is>
          <t>Code map USER</t>
        </is>
      </c>
      <c r="H15" s="12" t="inlineStr">
        <is>
          <t>As stored in legacy</t>
        </is>
      </c>
      <c r="I15" s="12" t="inlineStr">
        <is>
          <t>mreyes</t>
        </is>
      </c>
      <c r="J15" s="12" t="inlineStr">
        <is>
          <t>Mapped in USER</t>
        </is>
      </c>
      <c r="K15" s="12" t="n"/>
      <c r="L15" s="12" t="n"/>
      <c r="M15" s="12" t="n"/>
      <c r="N15" s="25" t="n"/>
    </row>
    <row r="16">
      <c r="A16" s="12" t="n">
        <v>12</v>
      </c>
      <c r="B16" s="12" t="inlineStr">
        <is>
          <t>tracker_name</t>
        </is>
      </c>
      <c r="C16" s="12" t="inlineStr">
        <is>
          <t>Tracker file and sheet the row comes from</t>
        </is>
      </c>
      <c r="D16" s="12" t="inlineStr">
        <is>
          <t>Text</t>
        </is>
      </c>
      <c r="E16" s="12" t="inlineStr">
        <is>
          <t>120</t>
        </is>
      </c>
      <c r="F16" s="12" t="inlineStr">
        <is>
          <t>Y</t>
        </is>
      </c>
      <c r="G16" s="12" t="inlineStr"/>
      <c r="H16" s="12" t="inlineStr">
        <is>
          <t>File / sheet</t>
        </is>
      </c>
      <c r="I16" s="12" t="inlineStr">
        <is>
          <t>Retail RA tracker Jan-2028 / MKT01</t>
        </is>
      </c>
      <c r="J16" s="12" t="inlineStr">
        <is>
          <t>Not blank</t>
        </is>
      </c>
      <c r="K16" s="12" t="n"/>
      <c r="L16" s="12" t="n"/>
      <c r="M16" s="12" t="n"/>
      <c r="N16" s="25" t="n"/>
    </row>
    <row r="17">
      <c r="A17" s="12" t="n">
        <v>13</v>
      </c>
      <c r="B17" s="12" t="inlineStr">
        <is>
          <t>remarks</t>
        </is>
      </c>
      <c r="C17" s="12" t="inlineStr">
        <is>
          <t>Remarks of the processor</t>
        </is>
      </c>
      <c r="D17" s="12" t="inlineStr">
        <is>
          <t>Text</t>
        </is>
      </c>
      <c r="E17" s="12" t="inlineStr">
        <is>
          <t>500</t>
        </is>
      </c>
      <c r="F17" s="12" t="inlineStr">
        <is>
          <t>N</t>
        </is>
      </c>
      <c r="G17" s="12" t="inlineStr"/>
      <c r="H17" s="12" t="inlineStr">
        <is>
          <t>Free text</t>
        </is>
      </c>
      <c r="I17" s="12" t="inlineStr">
        <is>
          <t>Client asked for a quote with higher SI</t>
        </is>
      </c>
      <c r="J17" s="12" t="inlineStr"/>
      <c r="K17" s="12" t="n"/>
      <c r="L17" s="12" t="n"/>
      <c r="M17" s="12" t="n"/>
      <c r="N17" s="25" t="n"/>
    </row>
  </sheetData>
  <autoFilter ref="A4:N17"/>
  <mergeCells count="1">
    <mergeCell ref="A2:N2"/>
  </mergeCells>
  <conditionalFormatting sqref="A5:N517">
    <cfRule type="expression" priority="1" dxfId="0">
      <formula>AND(MOD(ROW(),2)=0,$A5&lt;&gt;"")</formula>
    </cfRule>
  </conditionalFormatting>
  <dataValidations count="3">
    <dataValidation sqref="F5:F517" showDropDown="0" showInputMessage="0" showErrorMessage="1" allowBlank="1" errorTitle="Mandatory" error="Choose a value from the list (Mandatory)." type="list">
      <formula1>'_lists'!$AL$1:$AL$3</formula1>
    </dataValidation>
    <dataValidation sqref="K5:K517" showDropDown="0" showInputMessage="0" showErrorMessage="1" allowBlank="1" errorTitle="BU review" error="Choose a value from the list (BU review)." type="list">
      <formula1>'_lists'!$AM$1:$AM$3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N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F01 Open legacy invoices - head</t>
        </is>
      </c>
    </row>
    <row r="2">
      <c r="A2" s="22" t="inlineStr">
        <is>
          <t>Layout F01 v1 of object F01: Open legacy invoices - header. Key legacy_invoice_no. Template F01_template.csv.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number in the source system</t>
        </is>
      </c>
      <c r="D5" s="12" t="inlineStr">
        <is>
          <t>Code</t>
        </is>
      </c>
      <c r="E5" s="12" t="inlineStr">
        <is>
          <t>40</t>
        </is>
      </c>
      <c r="F5" s="12" t="inlineStr">
        <is>
          <t>Y</t>
        </is>
      </c>
      <c r="G5" s="12" t="inlineStr"/>
      <c r="H5" s="12" t="inlineStr">
        <is>
          <t>EBIX I########</t>
        </is>
      </c>
      <c r="I5" s="12" t="inlineStr">
        <is>
          <t>I00123456</t>
        </is>
      </c>
      <c r="J5" s="12" t="inlineStr">
        <is>
          <t>Unique across EBIX and QPS</t>
        </is>
      </c>
      <c r="K5" s="12" t="n"/>
      <c r="L5" s="12" t="n"/>
      <c r="M5" s="12" t="n"/>
      <c r="N5" s="25" t="n"/>
    </row>
    <row r="6">
      <c r="A6" s="12" t="n">
        <v>2</v>
      </c>
      <c r="B6" s="12" t="inlineStr">
        <is>
          <t>invoice_kind</t>
        </is>
      </c>
      <c r="C6" s="12" t="inlineStr">
        <is>
          <t>Kind of invoice</t>
        </is>
      </c>
      <c r="D6" s="12" t="inlineStr">
        <is>
          <t>Code</t>
        </is>
      </c>
      <c r="E6" s="12" t="inlineStr">
        <is>
          <t>20</t>
        </is>
      </c>
      <c r="F6" s="12" t="inlineStr">
        <is>
          <t>Y</t>
        </is>
      </c>
      <c r="G6" s="12" t="inlineStr">
        <is>
          <t>BOOKING, ENDORSEMENT_PLUS, ENDORSEMENT_MINUS, CANCELLATION</t>
        </is>
      </c>
      <c r="H6" s="12" t="inlineStr">
        <is>
          <t>Upper case</t>
        </is>
      </c>
      <c r="I6" s="12" t="inlineStr">
        <is>
          <t>BOOKING</t>
        </is>
      </c>
      <c r="J6" s="12" t="inlineStr">
        <is>
          <t>In the list</t>
        </is>
      </c>
      <c r="K6" s="12" t="n"/>
      <c r="L6" s="12" t="n"/>
      <c r="M6" s="12" t="n"/>
      <c r="N6" s="25" t="n"/>
    </row>
    <row r="7">
      <c r="A7" s="12" t="n">
        <v>3</v>
      </c>
      <c r="B7" s="12" t="inlineStr">
        <is>
          <t>parent_invoice_no</t>
        </is>
      </c>
      <c r="C7" s="12" t="inlineStr">
        <is>
          <t>Original invoice of an endorsement or cancellation invoice</t>
        </is>
      </c>
      <c r="D7" s="12" t="inlineStr">
        <is>
          <t>Code</t>
        </is>
      </c>
      <c r="E7" s="12" t="inlineStr">
        <is>
          <t>40</t>
        </is>
      </c>
      <c r="F7" s="12" t="inlineStr">
        <is>
          <t>C</t>
        </is>
      </c>
      <c r="G7" s="12" t="inlineStr">
        <is>
          <t>legacy_invoice_no values</t>
        </is>
      </c>
      <c r="H7" s="12" t="inlineStr">
        <is>
          <t>As stored in legacy</t>
        </is>
      </c>
      <c r="I7" s="12" t="inlineStr">
        <is>
          <t>I00119876</t>
        </is>
      </c>
      <c r="J7" s="12" t="inlineStr">
        <is>
          <t>Mandatory for ENDORSEMENT_PLUS, ENDORSEMENT_MINUS and CANCELLATION; parent in the file or loaded</t>
        </is>
      </c>
      <c r="K7" s="12" t="n"/>
      <c r="L7" s="12" t="n"/>
      <c r="M7" s="12" t="n"/>
      <c r="N7" s="25" t="n"/>
    </row>
    <row r="8">
      <c r="A8" s="12" t="n">
        <v>4</v>
      </c>
      <c r="B8" s="12" t="inlineStr">
        <is>
          <t>endorsement_no</t>
        </is>
      </c>
      <c r="C8" s="12" t="inlineStr">
        <is>
          <t>Legacy endorsement number</t>
        </is>
      </c>
      <c r="D8" s="12" t="inlineStr">
        <is>
          <t>Text</t>
        </is>
      </c>
      <c r="E8" s="12" t="inlineStr">
        <is>
          <t>40</t>
        </is>
      </c>
      <c r="F8" s="12" t="inlineStr">
        <is>
          <t>N</t>
        </is>
      </c>
      <c r="G8" s="12" t="inlineStr"/>
      <c r="H8" s="12" t="inlineStr">
        <is>
          <t>As stored in legacy</t>
        </is>
      </c>
      <c r="I8" s="12" t="inlineStr">
        <is>
          <t>END-2026-0456</t>
        </is>
      </c>
      <c r="J8" s="12" t="inlineStr"/>
      <c r="K8" s="12" t="n"/>
      <c r="L8" s="12" t="n"/>
      <c r="M8" s="12" t="n"/>
      <c r="N8" s="25" t="n"/>
    </row>
    <row r="9">
      <c r="A9" s="12" t="n">
        <v>5</v>
      </c>
      <c r="B9" s="12" t="inlineStr">
        <is>
          <t>legacy_policy_ref</t>
        </is>
      </c>
      <c r="C9" s="12" t="inlineStr">
        <is>
          <t>Legacy reference of the policy term</t>
        </is>
      </c>
      <c r="D9" s="12" t="inlineStr">
        <is>
          <t>Code</t>
        </is>
      </c>
      <c r="E9" s="12" t="inlineStr">
        <is>
          <t>60</t>
        </is>
      </c>
      <c r="F9" s="12" t="inlineStr">
        <is>
          <t>C</t>
        </is>
      </c>
      <c r="G9" s="12" t="inlineStr">
        <is>
          <t>legacy_policy_ref of P01</t>
        </is>
      </c>
      <c r="H9" s="12" t="inlineStr">
        <is>
          <t>As in P01</t>
        </is>
      </c>
      <c r="I9" s="12" t="inlineStr">
        <is>
          <t>C-2026-004512-01</t>
        </is>
      </c>
      <c r="J9" s="12" t="inlineStr">
        <is>
          <t>Mandatory when P01 is in scope; exists in P01</t>
        </is>
      </c>
      <c r="K9" s="12" t="n"/>
      <c r="L9" s="12" t="n"/>
      <c r="M9" s="12" t="n"/>
      <c r="N9" s="25" t="n"/>
    </row>
    <row r="10">
      <c r="A10" s="12" t="n">
        <v>6</v>
      </c>
      <c r="B10" s="12" t="inlineStr">
        <is>
          <t>policy_no</t>
        </is>
      </c>
      <c r="C10" s="12" t="inlineStr">
        <is>
          <t>Insurer policy number</t>
        </is>
      </c>
      <c r="D10" s="12" t="inlineStr">
        <is>
          <t>Text</t>
        </is>
      </c>
      <c r="E10" s="12" t="inlineStr">
        <is>
          <t>60</t>
        </is>
      </c>
      <c r="F10" s="12" t="inlineStr">
        <is>
          <t>Y</t>
        </is>
      </c>
      <c r="G10" s="12" t="inlineStr"/>
      <c r="H10" s="12" t="inlineStr">
        <is>
          <t>As issued</t>
        </is>
      </c>
      <c r="I10" s="12" t="inlineStr">
        <is>
          <t>MC-PC-26-0012345</t>
        </is>
      </c>
      <c r="J10" s="12" t="inlineStr">
        <is>
          <t>Not blank</t>
        </is>
      </c>
      <c r="K10" s="12" t="n"/>
      <c r="L10" s="12" t="n"/>
      <c r="M10" s="12" t="n"/>
      <c r="N10" s="25" t="n"/>
    </row>
    <row r="11">
      <c r="A11" s="12" t="n">
        <v>7</v>
      </c>
      <c r="B11" s="12" t="inlineStr">
        <is>
          <t>policy_year</t>
        </is>
      </c>
      <c r="C11" s="12" t="inlineStr">
        <is>
          <t>Year of a multi-year policy</t>
        </is>
      </c>
      <c r="D11" s="12" t="inlineStr">
        <is>
          <t>Integer</t>
        </is>
      </c>
      <c r="E11" s="12" t="inlineStr">
        <is>
          <t>2</t>
        </is>
      </c>
      <c r="F11" s="12" t="inlineStr">
        <is>
          <t>N</t>
        </is>
      </c>
      <c r="G11" s="12" t="inlineStr"/>
      <c r="H11" s="12" t="inlineStr">
        <is>
          <t>Digits</t>
        </is>
      </c>
      <c r="I11" s="12" t="inlineStr">
        <is>
          <t>1</t>
        </is>
      </c>
      <c r="J11" s="12" t="inlineStr">
        <is>
          <t>1 or more</t>
        </is>
      </c>
      <c r="K11" s="12" t="n"/>
      <c r="L11" s="12" t="n"/>
      <c r="M11" s="12" t="n"/>
      <c r="N11" s="25" t="n"/>
    </row>
    <row r="12">
      <c r="A12" s="12" t="n">
        <v>8</v>
      </c>
      <c r="B12" s="12" t="inlineStr">
        <is>
          <t>legacy_client_no</t>
        </is>
      </c>
      <c r="C12" s="12" t="inlineStr">
        <is>
          <t>Client number of the assured</t>
        </is>
      </c>
      <c r="D12" s="12" t="inlineStr">
        <is>
          <t>Code</t>
        </is>
      </c>
      <c r="E12" s="12" t="inlineStr">
        <is>
          <t>30</t>
        </is>
      </c>
      <c r="F12" s="12" t="inlineStr">
        <is>
          <t>Y</t>
        </is>
      </c>
      <c r="G12" s="12" t="inlineStr">
        <is>
          <t>legacy_client_no of C01</t>
        </is>
      </c>
      <c r="H12" s="12" t="inlineStr">
        <is>
          <t>As stored in legacy</t>
        </is>
      </c>
      <c r="I12" s="12" t="inlineStr">
        <is>
          <t>Q-0012345</t>
        </is>
      </c>
      <c r="J12" s="12" t="inlineStr">
        <is>
          <t>Client loaded</t>
        </is>
      </c>
      <c r="K12" s="12" t="n"/>
      <c r="L12" s="12" t="n"/>
      <c r="M12" s="12" t="n"/>
      <c r="N12" s="25" t="n"/>
    </row>
    <row r="13">
      <c r="A13" s="12" t="n">
        <v>9</v>
      </c>
      <c r="B13" s="12" t="inlineStr">
        <is>
          <t>assured_name</t>
        </is>
      </c>
      <c r="C13" s="12" t="inlineStr">
        <is>
          <t>Assured name on the invoice</t>
        </is>
      </c>
      <c r="D13" s="12" t="inlineStr">
        <is>
          <t>Text</t>
        </is>
      </c>
      <c r="E13" s="12" t="inlineStr">
        <is>
          <t>250</t>
        </is>
      </c>
      <c r="F13" s="12" t="inlineStr">
        <is>
          <t>Y</t>
        </is>
      </c>
      <c r="G13" s="12" t="inlineStr"/>
      <c r="H13" s="12" t="inlineStr">
        <is>
          <t>Free text</t>
        </is>
      </c>
      <c r="I13" s="12" t="inlineStr">
        <is>
          <t>Ana C. Reyes</t>
        </is>
      </c>
      <c r="J13" s="12" t="inlineStr">
        <is>
          <t>Not blank</t>
        </is>
      </c>
      <c r="K13" s="12" t="n"/>
      <c r="L13" s="12" t="n"/>
      <c r="M13" s="12" t="n"/>
      <c r="N13" s="25" t="n"/>
    </row>
    <row r="14">
      <c r="A14" s="12" t="n">
        <v>10</v>
      </c>
      <c r="B14" s="12" t="inlineStr">
        <is>
          <t>payor_name</t>
        </is>
      </c>
      <c r="C14" s="12" t="inlineStr">
        <is>
          <t>Payor if not the assured</t>
        </is>
      </c>
      <c r="D14" s="12" t="inlineStr">
        <is>
          <t>Text</t>
        </is>
      </c>
      <c r="E14" s="12" t="inlineStr">
        <is>
          <t>250</t>
        </is>
      </c>
      <c r="F14" s="12" t="inlineStr">
        <is>
          <t>N</t>
        </is>
      </c>
      <c r="G14" s="12" t="inlineStr"/>
      <c r="H14" s="12" t="inlineStr">
        <is>
          <t>Free text</t>
        </is>
      </c>
      <c r="I14" s="12" t="inlineStr">
        <is>
          <t>BDO Unibank - Auto Loans</t>
        </is>
      </c>
      <c r="J14" s="12" t="inlineStr"/>
      <c r="K14" s="12" t="n"/>
      <c r="L14" s="12" t="n"/>
      <c r="M14" s="12" t="n"/>
      <c r="N14" s="25" t="n"/>
    </row>
    <row r="15">
      <c r="A15" s="12" t="n">
        <v>11</v>
      </c>
      <c r="B15" s="12" t="inlineStr">
        <is>
          <t>currency</t>
        </is>
      </c>
      <c r="C15" s="12" t="inlineStr">
        <is>
          <t>Invoice currency</t>
        </is>
      </c>
      <c r="D15" s="12" t="inlineStr">
        <is>
          <t>Code</t>
        </is>
      </c>
      <c r="E15" s="12" t="inlineStr">
        <is>
          <t>3</t>
        </is>
      </c>
      <c r="F15" s="12" t="inlineStr">
        <is>
          <t>Y</t>
        </is>
      </c>
      <c r="G15" s="12" t="inlineStr">
        <is>
          <t>ISO 4217</t>
        </is>
      </c>
      <c r="H15" s="12" t="inlineStr">
        <is>
          <t>Upper case</t>
        </is>
      </c>
      <c r="I15" s="12" t="inlineStr">
        <is>
          <t>PHP</t>
        </is>
      </c>
      <c r="J15" s="12" t="inlineStr">
        <is>
          <t>Valid code</t>
        </is>
      </c>
      <c r="K15" s="12" t="n"/>
      <c r="L15" s="12" t="n"/>
      <c r="M15" s="12" t="n"/>
      <c r="N15" s="25" t="n"/>
    </row>
    <row r="16">
      <c r="A16" s="12" t="n">
        <v>12</v>
      </c>
      <c r="B16" s="12" t="inlineStr">
        <is>
          <t>booking_fx_rate</t>
        </is>
      </c>
      <c r="C16" s="12" t="inlineStr">
        <is>
          <t>Exchange rate used at booking (foreign currency)</t>
        </is>
      </c>
      <c r="D16" s="12" t="inlineStr">
        <is>
          <t>Decimal</t>
        </is>
      </c>
      <c r="E16" s="12" t="inlineStr">
        <is>
          <t>12,6</t>
        </is>
      </c>
      <c r="F16" s="12" t="inlineStr">
        <is>
          <t>C</t>
        </is>
      </c>
      <c r="G16" s="12" t="inlineStr"/>
      <c r="H16" s="12" t="inlineStr">
        <is>
          <t>Dot decimal</t>
        </is>
      </c>
      <c r="I16" s="12" t="inlineStr">
        <is>
          <t>56.125000</t>
        </is>
      </c>
      <c r="J16" s="12" t="inlineStr">
        <is>
          <t>Mandatory when currency is not PHP</t>
        </is>
      </c>
      <c r="K16" s="12" t="n"/>
      <c r="L16" s="12" t="n"/>
      <c r="M16" s="12" t="n"/>
      <c r="N16" s="25" t="n"/>
    </row>
    <row r="17">
      <c r="A17" s="12" t="n">
        <v>13</v>
      </c>
      <c r="B17" s="12" t="inlineStr">
        <is>
          <t>booking_date</t>
        </is>
      </c>
      <c r="C17" s="12" t="inlineStr">
        <is>
          <t>Legacy booking date</t>
        </is>
      </c>
      <c r="D17" s="12" t="inlineStr">
        <is>
          <t>Date</t>
        </is>
      </c>
      <c r="E17" s="12" t="inlineStr">
        <is>
          <t>10</t>
        </is>
      </c>
      <c r="F17" s="12" t="inlineStr">
        <is>
          <t>Y</t>
        </is>
      </c>
      <c r="G17" s="12" t="inlineStr"/>
      <c r="H17" s="12" t="inlineStr">
        <is>
          <t>yyyy-MM-dd</t>
        </is>
      </c>
      <c r="I17" s="12" t="inlineStr">
        <is>
          <t>2027-03-10</t>
        </is>
      </c>
      <c r="J17" s="12" t="inlineStr">
        <is>
          <t>Before the cutover date</t>
        </is>
      </c>
      <c r="K17" s="12" t="n"/>
      <c r="L17" s="12" t="n"/>
      <c r="M17" s="12" t="n"/>
      <c r="N17" s="25" t="n"/>
    </row>
    <row r="18">
      <c r="A18" s="12" t="n">
        <v>14</v>
      </c>
      <c r="B18" s="12" t="inlineStr">
        <is>
          <t>invoice_date</t>
        </is>
      </c>
      <c r="C18" s="12" t="inlineStr">
        <is>
          <t>Invoice date</t>
        </is>
      </c>
      <c r="D18" s="12" t="inlineStr">
        <is>
          <t>Date</t>
        </is>
      </c>
      <c r="E18" s="12" t="inlineStr">
        <is>
          <t>10</t>
        </is>
      </c>
      <c r="F18" s="12" t="inlineStr">
        <is>
          <t>Y</t>
        </is>
      </c>
      <c r="G18" s="12" t="inlineStr"/>
      <c r="H18" s="12" t="inlineStr">
        <is>
          <t>yyyy-MM-dd</t>
        </is>
      </c>
      <c r="I18" s="12" t="inlineStr">
        <is>
          <t>2027-03-10</t>
        </is>
      </c>
      <c r="J18" s="12" t="inlineStr">
        <is>
          <t>Before the cutover date</t>
        </is>
      </c>
      <c r="K18" s="12" t="n"/>
      <c r="L18" s="12" t="n"/>
      <c r="M18" s="12" t="n"/>
      <c r="N18" s="25" t="n"/>
    </row>
    <row r="19">
      <c r="A19" s="12" t="n">
        <v>15</v>
      </c>
      <c r="B19" s="12" t="inlineStr">
        <is>
          <t>due_date</t>
        </is>
      </c>
      <c r="C19" s="12" t="inlineStr">
        <is>
          <t>Due date</t>
        </is>
      </c>
      <c r="D19" s="12" t="inlineStr">
        <is>
          <t>Date</t>
        </is>
      </c>
      <c r="E19" s="12" t="inlineStr">
        <is>
          <t>10</t>
        </is>
      </c>
      <c r="F19" s="12" t="inlineStr">
        <is>
          <t>Y</t>
        </is>
      </c>
      <c r="G19" s="12" t="inlineStr"/>
      <c r="H19" s="12" t="inlineStr">
        <is>
          <t>yyyy-MM-dd</t>
        </is>
      </c>
      <c r="I19" s="12" t="inlineStr">
        <is>
          <t>2027-04-09</t>
        </is>
      </c>
      <c r="J19" s="12" t="inlineStr">
        <is>
          <t>Valid date</t>
        </is>
      </c>
      <c r="K19" s="12" t="n"/>
      <c r="L19" s="12" t="n"/>
      <c r="M19" s="12" t="n"/>
      <c r="N19" s="25" t="n"/>
    </row>
    <row r="20">
      <c r="A20" s="12" t="n">
        <v>16</v>
      </c>
      <c r="B20" s="12" t="inlineStr">
        <is>
          <t>inception_date</t>
        </is>
      </c>
      <c r="C20" s="12" t="inlineStr">
        <is>
          <t>Period from</t>
        </is>
      </c>
      <c r="D20" s="12" t="inlineStr">
        <is>
          <t>Date</t>
        </is>
      </c>
      <c r="E20" s="12" t="inlineStr">
        <is>
          <t>10</t>
        </is>
      </c>
      <c r="F20" s="12" t="inlineStr">
        <is>
          <t>Y</t>
        </is>
      </c>
      <c r="G20" s="12" t="inlineStr"/>
      <c r="H20" s="12" t="inlineStr">
        <is>
          <t>yyyy-MM-dd</t>
        </is>
      </c>
      <c r="I20" s="12" t="inlineStr">
        <is>
          <t>2027-03-15</t>
        </is>
      </c>
      <c r="J20" s="12" t="inlineStr">
        <is>
          <t>Valid date</t>
        </is>
      </c>
      <c r="K20" s="12" t="n"/>
      <c r="L20" s="12" t="n"/>
      <c r="M20" s="12" t="n"/>
      <c r="N20" s="25" t="n"/>
    </row>
    <row r="21">
      <c r="A21" s="12" t="n">
        <v>17</v>
      </c>
      <c r="B21" s="12" t="inlineStr">
        <is>
          <t>expiry_date</t>
        </is>
      </c>
      <c r="C21" s="12" t="inlineStr">
        <is>
          <t>Period to</t>
        </is>
      </c>
      <c r="D21" s="12" t="inlineStr">
        <is>
          <t>Date</t>
        </is>
      </c>
      <c r="E21" s="12" t="inlineStr">
        <is>
          <t>10</t>
        </is>
      </c>
      <c r="F21" s="12" t="inlineStr">
        <is>
          <t>Y</t>
        </is>
      </c>
      <c r="G21" s="12" t="inlineStr"/>
      <c r="H21" s="12" t="inlineStr">
        <is>
          <t>yyyy-MM-dd</t>
        </is>
      </c>
      <c r="I21" s="12" t="inlineStr">
        <is>
          <t>2028-03-15</t>
        </is>
      </c>
      <c r="J21" s="12" t="inlineStr">
        <is>
          <t>On or after inception_date</t>
        </is>
      </c>
      <c r="K21" s="12" t="n"/>
      <c r="L21" s="12" t="n"/>
      <c r="M21" s="12" t="n"/>
      <c r="N21" s="25" t="n"/>
    </row>
    <row r="22">
      <c r="A22" s="12" t="n">
        <v>18</v>
      </c>
      <c r="B22" s="12" t="inlineStr">
        <is>
          <t>risk_code</t>
        </is>
      </c>
      <c r="C22" s="12" t="inlineStr">
        <is>
          <t>Product / risk code</t>
        </is>
      </c>
      <c r="D22" s="12" t="inlineStr">
        <is>
          <t>Code</t>
        </is>
      </c>
      <c r="E22" s="12" t="inlineStr">
        <is>
          <t>20</t>
        </is>
      </c>
      <c r="F22" s="12" t="inlineStr">
        <is>
          <t>Y</t>
        </is>
      </c>
      <c r="G22" s="12" t="inlineStr">
        <is>
          <t>Code map PRODUCT</t>
        </is>
      </c>
      <c r="H22" s="12" t="inlineStr">
        <is>
          <t>As stored in legacy</t>
        </is>
      </c>
      <c r="I22" s="12" t="inlineStr">
        <is>
          <t>MC-PC-COMP</t>
        </is>
      </c>
      <c r="J22" s="12" t="inlineStr">
        <is>
          <t>Mapped</t>
        </is>
      </c>
      <c r="K22" s="12" t="n"/>
      <c r="L22" s="12" t="n"/>
      <c r="M22" s="12" t="n"/>
      <c r="N22" s="25" t="n"/>
    </row>
    <row r="23">
      <c r="A23" s="12" t="n">
        <v>19</v>
      </c>
      <c r="B23" s="12" t="inlineStr">
        <is>
          <t>line_code</t>
        </is>
      </c>
      <c r="C23" s="12" t="inlineStr">
        <is>
          <t>Line of business</t>
        </is>
      </c>
      <c r="D23" s="12" t="inlineStr">
        <is>
          <t>Code</t>
        </is>
      </c>
      <c r="E23" s="12" t="inlineStr">
        <is>
          <t>30</t>
        </is>
      </c>
      <c r="F23" s="12" t="inlineStr">
        <is>
          <t>Y</t>
        </is>
      </c>
      <c r="G23" s="12" t="inlineStr">
        <is>
          <t>Code map LINE</t>
        </is>
      </c>
      <c r="H23" s="12" t="inlineStr">
        <is>
          <t>As stored in legacy</t>
        </is>
      </c>
      <c r="I23" s="12" t="inlineStr">
        <is>
          <t>MOTOR</t>
        </is>
      </c>
      <c r="J23" s="12" t="inlineStr">
        <is>
          <t>Mapped</t>
        </is>
      </c>
      <c r="K23" s="12" t="n"/>
      <c r="L23" s="12" t="n"/>
      <c r="M23" s="12" t="n"/>
      <c r="N23" s="25" t="n"/>
    </row>
    <row r="24">
      <c r="A24" s="12" t="n">
        <v>20</v>
      </c>
      <c r="B24" s="12" t="inlineStr">
        <is>
          <t>market_segment</t>
        </is>
      </c>
      <c r="C24" s="12" t="inlineStr">
        <is>
          <t>Market segment</t>
        </is>
      </c>
      <c r="D24" s="12" t="inlineStr">
        <is>
          <t>Code</t>
        </is>
      </c>
      <c r="E24" s="12" t="inlineStr">
        <is>
          <t>40</t>
        </is>
      </c>
      <c r="F24" s="12" t="inlineStr">
        <is>
          <t>Y</t>
        </is>
      </c>
      <c r="G24" s="12" t="inlineStr">
        <is>
          <t>Code map LOV:MARKET_SEGMENT</t>
        </is>
      </c>
      <c r="H24" s="12" t="inlineStr">
        <is>
          <t>As stored in legacy</t>
        </is>
      </c>
      <c r="I24" s="12" t="inlineStr">
        <is>
          <t>CBG</t>
        </is>
      </c>
      <c r="J24" s="12" t="inlineStr">
        <is>
          <t>Mapped</t>
        </is>
      </c>
      <c r="K24" s="12" t="n"/>
      <c r="L24" s="12" t="n"/>
      <c r="M24" s="12" t="n"/>
      <c r="N24" s="25" t="n"/>
    </row>
    <row r="25">
      <c r="A25" s="12" t="n">
        <v>21</v>
      </c>
      <c r="B25" s="12" t="inlineStr">
        <is>
          <t>ao_user_id</t>
        </is>
      </c>
      <c r="C25" s="12" t="inlineStr">
        <is>
          <t>Account officer</t>
        </is>
      </c>
      <c r="D25" s="12" t="inlineStr">
        <is>
          <t>Code</t>
        </is>
      </c>
      <c r="E25" s="12" t="inlineStr">
        <is>
          <t>50</t>
        </is>
      </c>
      <c r="F25" s="12" t="inlineStr">
        <is>
          <t>Y</t>
        </is>
      </c>
      <c r="G25" s="12" t="inlineStr">
        <is>
          <t>Code map USER</t>
        </is>
      </c>
      <c r="H25" s="12" t="inlineStr">
        <is>
          <t>As stored in legacy</t>
        </is>
      </c>
      <c r="I25" s="12" t="inlineStr">
        <is>
          <t>mreyes</t>
        </is>
      </c>
      <c r="J25" s="12" t="inlineStr">
        <is>
          <t>Mapped in USER</t>
        </is>
      </c>
      <c r="K25" s="12" t="n"/>
      <c r="L25" s="12" t="n"/>
      <c r="M25" s="12" t="n"/>
      <c r="N25" s="25" t="n"/>
    </row>
    <row r="26">
      <c r="A26" s="12" t="n">
        <v>22</v>
      </c>
      <c r="B26" s="12" t="inlineStr">
        <is>
          <t>sales_unit_code</t>
        </is>
      </c>
      <c r="C26" s="12" t="inlineStr">
        <is>
          <t>Sales team</t>
        </is>
      </c>
      <c r="D26" s="12" t="inlineStr">
        <is>
          <t>Code</t>
        </is>
      </c>
      <c r="E26" s="12" t="inlineStr">
        <is>
          <t>20</t>
        </is>
      </c>
      <c r="F26" s="12" t="inlineStr">
        <is>
          <t>Y</t>
        </is>
      </c>
      <c r="G26" s="12" t="inlineStr">
        <is>
          <t>Code map SALES_UNIT</t>
        </is>
      </c>
      <c r="H26" s="12" t="inlineStr">
        <is>
          <t>As stored in legacy</t>
        </is>
      </c>
      <c r="I26" s="12" t="inlineStr">
        <is>
          <t>T-RET-07</t>
        </is>
      </c>
      <c r="J26" s="12" t="inlineStr">
        <is>
          <t>Mapped</t>
        </is>
      </c>
      <c r="K26" s="12" t="n"/>
      <c r="L26" s="12" t="n"/>
      <c r="M26" s="12" t="n"/>
      <c r="N26" s="25" t="n"/>
    </row>
    <row r="27">
      <c r="A27" s="12" t="n">
        <v>23</v>
      </c>
      <c r="B27" s="12" t="inlineStr">
        <is>
          <t>branch_code</t>
        </is>
      </c>
      <c r="C27" s="12" t="inlineStr">
        <is>
          <t>Invoicing branch</t>
        </is>
      </c>
      <c r="D27" s="12" t="inlineStr">
        <is>
          <t>Code</t>
        </is>
      </c>
      <c r="E27" s="12" t="inlineStr">
        <is>
          <t>20</t>
        </is>
      </c>
      <c r="F27" s="12" t="inlineStr">
        <is>
          <t>Y</t>
        </is>
      </c>
      <c r="G27" s="12" t="inlineStr">
        <is>
          <t>Code map BRANCH</t>
        </is>
      </c>
      <c r="H27" s="12" t="inlineStr">
        <is>
          <t>As stored in legacy</t>
        </is>
      </c>
      <c r="I27" s="12" t="inlineStr">
        <is>
          <t>MKT01</t>
        </is>
      </c>
      <c r="J27" s="12" t="inlineStr">
        <is>
          <t>Mapped</t>
        </is>
      </c>
      <c r="K27" s="12" t="n"/>
      <c r="L27" s="12" t="n"/>
      <c r="M27" s="12" t="n"/>
      <c r="N27" s="25" t="n"/>
    </row>
    <row r="28">
      <c r="A28" s="12" t="n">
        <v>24</v>
      </c>
      <c r="B28" s="12" t="inlineStr">
        <is>
          <t>cost_center</t>
        </is>
      </c>
      <c r="C28" s="12" t="inlineStr">
        <is>
          <t>Cost centre</t>
        </is>
      </c>
      <c r="D28" s="12" t="inlineStr">
        <is>
          <t>Code</t>
        </is>
      </c>
      <c r="E28" s="12" t="inlineStr">
        <is>
          <t>20</t>
        </is>
      </c>
      <c r="F28" s="12" t="inlineStr">
        <is>
          <t>N</t>
        </is>
      </c>
      <c r="G28" s="12" t="inlineStr">
        <is>
          <t>Code map COST_CENTER</t>
        </is>
      </c>
      <c r="H28" s="12" t="inlineStr">
        <is>
          <t>As stored in legacy</t>
        </is>
      </c>
      <c r="I28" s="12" t="inlineStr">
        <is>
          <t>4100</t>
        </is>
      </c>
      <c r="J28" s="12" t="inlineStr">
        <is>
          <t>Mapped</t>
        </is>
      </c>
      <c r="K28" s="12" t="n"/>
      <c r="L28" s="12" t="n"/>
      <c r="M28" s="12" t="n"/>
      <c r="N28" s="25" t="n"/>
    </row>
    <row r="29">
      <c r="A29" s="12" t="n">
        <v>25</v>
      </c>
      <c r="B29" s="12" t="inlineStr">
        <is>
          <t>pn_nos</t>
        </is>
      </c>
      <c r="C29" s="12" t="inlineStr">
        <is>
          <t>Loan PN numbers, separated by semicolons</t>
        </is>
      </c>
      <c r="D29" s="12" t="inlineStr">
        <is>
          <t>Text</t>
        </is>
      </c>
      <c r="E29" s="12" t="inlineStr">
        <is>
          <t>500</t>
        </is>
      </c>
      <c r="F29" s="12" t="inlineStr">
        <is>
          <t>N</t>
        </is>
      </c>
      <c r="G29" s="12" t="inlineStr"/>
      <c r="H29" s="12" t="inlineStr">
        <is>
          <t>PN;PN</t>
        </is>
      </c>
      <c r="I29" s="12" t="inlineStr">
        <is>
          <t>PN-2019-000123</t>
        </is>
      </c>
      <c r="J29" s="12" t="inlineStr"/>
      <c r="K29" s="12" t="n"/>
      <c r="L29" s="12" t="n"/>
      <c r="M29" s="12" t="n"/>
      <c r="N29" s="25" t="n"/>
    </row>
    <row r="30">
      <c r="A30" s="12" t="n">
        <v>26</v>
      </c>
      <c r="B30" s="12" t="inlineStr">
        <is>
          <t>gross_premium</t>
        </is>
      </c>
      <c r="C30" s="12" t="inlineStr">
        <is>
          <t>Gross premium of the invoice (sum of the six premium components)</t>
        </is>
      </c>
      <c r="D30" s="12" t="inlineStr">
        <is>
          <t>Amount</t>
        </is>
      </c>
      <c r="E30" s="12" t="inlineStr">
        <is>
          <t>19,2</t>
        </is>
      </c>
      <c r="F30" s="12" t="inlineStr">
        <is>
          <t>Y</t>
        </is>
      </c>
      <c r="G30" s="12" t="inlineStr"/>
      <c r="H30" s="12" t="inlineStr">
        <is>
          <t>Dot decimal, 2 decimals; minus for return invoices</t>
        </is>
      </c>
      <c r="I30" s="12" t="inlineStr">
        <is>
          <t>25946.25</t>
        </is>
      </c>
      <c r="J30" s="12">
        <f> sum of F01C booked for BASIC, DST, PREMIUM_TAX_VAT, LGT, FST, OTHER</f>
        <v/>
      </c>
      <c r="K30" s="12" t="n"/>
      <c r="L30" s="12" t="n"/>
      <c r="M30" s="12" t="n"/>
      <c r="N30" s="25" t="n"/>
    </row>
    <row r="31">
      <c r="A31" s="12" t="n">
        <v>27</v>
      </c>
      <c r="B31" s="12" t="inlineStr">
        <is>
          <t>commission</t>
        </is>
      </c>
      <c r="C31" s="12" t="inlineStr">
        <is>
          <t>Commission of the invoice</t>
        </is>
      </c>
      <c r="D31" s="12" t="inlineStr">
        <is>
          <t>Amount</t>
        </is>
      </c>
      <c r="E31" s="12" t="inlineStr">
        <is>
          <t>19,2</t>
        </is>
      </c>
      <c r="F31" s="12" t="inlineStr">
        <is>
          <t>Y</t>
        </is>
      </c>
      <c r="G31" s="12" t="inlineStr"/>
      <c r="H31" s="12" t="inlineStr">
        <is>
          <t>Dot decimal, 2 decimals</t>
        </is>
      </c>
      <c r="I31" s="12" t="inlineStr">
        <is>
          <t>4275.00</t>
        </is>
      </c>
      <c r="J31" s="12">
        <f> F01C booked COMMISSION</f>
        <v/>
      </c>
      <c r="K31" s="12" t="n"/>
      <c r="L31" s="12" t="n"/>
      <c r="M31" s="12" t="n"/>
      <c r="N31" s="25" t="n"/>
    </row>
    <row r="32">
      <c r="A32" s="12" t="n">
        <v>28</v>
      </c>
      <c r="B32" s="12" t="inlineStr">
        <is>
          <t>vat_on_commission</t>
        </is>
      </c>
      <c r="C32" s="12" t="inlineStr">
        <is>
          <t>VAT on commission</t>
        </is>
      </c>
      <c r="D32" s="12" t="inlineStr">
        <is>
          <t>Amount</t>
        </is>
      </c>
      <c r="E32" s="12" t="inlineStr">
        <is>
          <t>19,2</t>
        </is>
      </c>
      <c r="F32" s="12" t="inlineStr">
        <is>
          <t>Y</t>
        </is>
      </c>
      <c r="G32" s="12" t="inlineStr"/>
      <c r="H32" s="12" t="inlineStr">
        <is>
          <t>Dot decimal, 2 decimals</t>
        </is>
      </c>
      <c r="I32" s="12" t="inlineStr">
        <is>
          <t>513.00</t>
        </is>
      </c>
      <c r="J32" s="12">
        <f> F01C booked COMMISSION_VAT</f>
        <v/>
      </c>
      <c r="K32" s="12" t="n"/>
      <c r="L32" s="12" t="n"/>
      <c r="M32" s="12" t="n"/>
      <c r="N32" s="25" t="n"/>
    </row>
    <row r="33">
      <c r="A33" s="12" t="n">
        <v>29</v>
      </c>
      <c r="B33" s="12" t="inlineStr">
        <is>
          <t>wtax_rate_pct</t>
        </is>
      </c>
      <c r="C33" s="12" t="inlineStr">
        <is>
          <t>Withholding tax rate on commission, in percent</t>
        </is>
      </c>
      <c r="D33" s="12" t="inlineStr">
        <is>
          <t>Decimal</t>
        </is>
      </c>
      <c r="E33" s="12" t="inlineStr">
        <is>
          <t>9,4</t>
        </is>
      </c>
      <c r="F33" s="12" t="inlineStr">
        <is>
          <t>Y</t>
        </is>
      </c>
      <c r="G33" s="12" t="inlineStr"/>
      <c r="H33" s="12" t="inlineStr">
        <is>
          <t>Dot decimal</t>
        </is>
      </c>
      <c r="I33" s="12" t="inlineStr">
        <is>
          <t>10.0000</t>
        </is>
      </c>
      <c r="J33" s="12" t="inlineStr">
        <is>
          <t>0 to 100</t>
        </is>
      </c>
      <c r="K33" s="12" t="n"/>
      <c r="L33" s="12" t="n"/>
      <c r="M33" s="12" t="n"/>
      <c r="N33" s="25" t="n"/>
    </row>
    <row r="34">
      <c r="A34" s="12" t="n">
        <v>30</v>
      </c>
      <c r="B34" s="12" t="inlineStr">
        <is>
          <t>commission_realised</t>
        </is>
      </c>
      <c r="C34" s="12" t="inlineStr">
        <is>
          <t>Commission already realised (recognised as income) in legacy</t>
        </is>
      </c>
      <c r="D34" s="12" t="inlineStr">
        <is>
          <t>Amount</t>
        </is>
      </c>
      <c r="E34" s="12" t="inlineStr">
        <is>
          <t>19,2</t>
        </is>
      </c>
      <c r="F34" s="12" t="inlineStr">
        <is>
          <t>Y</t>
        </is>
      </c>
      <c r="G34" s="12" t="inlineStr"/>
      <c r="H34" s="12" t="inlineStr">
        <is>
          <t>Dot decimal, 2 decimals</t>
        </is>
      </c>
      <c r="I34" s="12" t="inlineStr">
        <is>
          <t>1710.00</t>
        </is>
      </c>
      <c r="J34" s="12" t="inlineStr">
        <is>
          <t>0 to commission</t>
        </is>
      </c>
      <c r="K34" s="12" t="n"/>
      <c r="L34" s="12" t="n"/>
      <c r="M34" s="12" t="n"/>
      <c r="N34" s="25" t="n"/>
    </row>
    <row r="35">
      <c r="A35" s="12" t="n">
        <v>31</v>
      </c>
      <c r="B35" s="12" t="inlineStr">
        <is>
          <t>deferred_vat_open</t>
        </is>
      </c>
      <c r="C35" s="12" t="inlineStr">
        <is>
          <t>Output VAT on commission still deferred</t>
        </is>
      </c>
      <c r="D35" s="12" t="inlineStr">
        <is>
          <t>Amount</t>
        </is>
      </c>
      <c r="E35" s="12" t="inlineStr">
        <is>
          <t>19,2</t>
        </is>
      </c>
      <c r="F35" s="12" t="inlineStr">
        <is>
          <t>N</t>
        </is>
      </c>
      <c r="G35" s="12" t="inlineStr"/>
      <c r="H35" s="12" t="inlineStr">
        <is>
          <t>Dot decimal, 2 decimals</t>
        </is>
      </c>
      <c r="I35" s="12" t="inlineStr">
        <is>
          <t>307.80</t>
        </is>
      </c>
      <c r="J35" s="12" t="inlineStr">
        <is>
          <t>0 to vat_on_commission</t>
        </is>
      </c>
      <c r="K35" s="12" t="n"/>
      <c r="L35" s="12" t="n"/>
      <c r="M35" s="12" t="n"/>
      <c r="N35" s="25" t="n"/>
    </row>
    <row r="36">
      <c r="A36" s="12" t="n">
        <v>32</v>
      </c>
      <c r="B36" s="12" t="inlineStr">
        <is>
          <t>dp_flag</t>
        </is>
      </c>
      <c r="C36" s="12" t="inlineStr">
        <is>
          <t>Direct-payment invoice (premium paid to the insurer)</t>
        </is>
      </c>
      <c r="D36" s="12" t="inlineStr">
        <is>
          <t>Flag</t>
        </is>
      </c>
      <c r="E36" s="12" t="inlineStr">
        <is>
          <t>1</t>
        </is>
      </c>
      <c r="F36" s="12" t="inlineStr">
        <is>
          <t>Y</t>
        </is>
      </c>
      <c r="G36" s="12" t="inlineStr">
        <is>
          <t>Y, N</t>
        </is>
      </c>
      <c r="H36" s="12" t="inlineStr">
        <is>
          <t>Y or N</t>
        </is>
      </c>
      <c r="I36" s="12" t="inlineStr">
        <is>
          <t>N</t>
        </is>
      </c>
      <c r="J36" s="12" t="inlineStr">
        <is>
          <t>Y or N</t>
        </is>
      </c>
      <c r="K36" s="12" t="n"/>
      <c r="L36" s="12" t="n"/>
      <c r="M36" s="12" t="n"/>
      <c r="N36" s="25" t="n"/>
    </row>
    <row r="37">
      <c r="A37" s="12" t="n">
        <v>33</v>
      </c>
      <c r="B37" s="12" t="inlineStr">
        <is>
          <t>cwt_flag</t>
        </is>
      </c>
      <c r="C37" s="12" t="inlineStr">
        <is>
          <t>Client withholds 2% (BIR 2307)</t>
        </is>
      </c>
      <c r="D37" s="12" t="inlineStr">
        <is>
          <t>Flag</t>
        </is>
      </c>
      <c r="E37" s="12" t="inlineStr">
        <is>
          <t>1</t>
        </is>
      </c>
      <c r="F37" s="12" t="inlineStr">
        <is>
          <t>Y</t>
        </is>
      </c>
      <c r="G37" s="12" t="inlineStr">
        <is>
          <t>Y, N</t>
        </is>
      </c>
      <c r="H37" s="12" t="inlineStr">
        <is>
          <t>Y or N</t>
        </is>
      </c>
      <c r="I37" s="12" t="inlineStr">
        <is>
          <t>N</t>
        </is>
      </c>
      <c r="J37" s="12" t="inlineStr">
        <is>
          <t>Y or N</t>
        </is>
      </c>
      <c r="K37" s="12" t="n"/>
      <c r="L37" s="12" t="n"/>
      <c r="M37" s="12" t="n"/>
      <c r="N37" s="25" t="n"/>
    </row>
    <row r="38">
      <c r="A38" s="12" t="n">
        <v>34</v>
      </c>
      <c r="B38" s="12" t="inlineStr">
        <is>
          <t>incentive_eligible_flag</t>
        </is>
      </c>
      <c r="C38" s="12" t="inlineStr">
        <is>
          <t>Counts for incentive programmes</t>
        </is>
      </c>
      <c r="D38" s="12" t="inlineStr">
        <is>
          <t>Flag</t>
        </is>
      </c>
      <c r="E38" s="12" t="inlineStr">
        <is>
          <t>1</t>
        </is>
      </c>
      <c r="F38" s="12" t="inlineStr">
        <is>
          <t>N</t>
        </is>
      </c>
      <c r="G38" s="12" t="inlineStr">
        <is>
          <t>Y, N</t>
        </is>
      </c>
      <c r="H38" s="12" t="inlineStr">
        <is>
          <t>Y or N</t>
        </is>
      </c>
      <c r="I38" s="12" t="inlineStr">
        <is>
          <t>N</t>
        </is>
      </c>
      <c r="J38" s="12" t="inlineStr">
        <is>
          <t>Y or N</t>
        </is>
      </c>
      <c r="K38" s="12" t="n"/>
      <c r="L38" s="12" t="n"/>
      <c r="M38" s="12" t="n"/>
      <c r="N38" s="25" t="n"/>
    </row>
    <row r="39">
      <c r="A39" s="12" t="n">
        <v>35</v>
      </c>
      <c r="B39" s="12" t="inlineStr">
        <is>
          <t>hold_flag</t>
        </is>
      </c>
      <c r="C39" s="12" t="inlineStr">
        <is>
          <t>Remittance on hold in legacy</t>
        </is>
      </c>
      <c r="D39" s="12" t="inlineStr">
        <is>
          <t>Flag</t>
        </is>
      </c>
      <c r="E39" s="12" t="inlineStr">
        <is>
          <t>1</t>
        </is>
      </c>
      <c r="F39" s="12" t="inlineStr">
        <is>
          <t>N</t>
        </is>
      </c>
      <c r="G39" s="12" t="inlineStr">
        <is>
          <t>Y, N</t>
        </is>
      </c>
      <c r="H39" s="12" t="inlineStr">
        <is>
          <t>Y or N</t>
        </is>
      </c>
      <c r="I39" s="12" t="inlineStr">
        <is>
          <t>N</t>
        </is>
      </c>
      <c r="J39" s="12" t="inlineStr">
        <is>
          <t>Y or N</t>
        </is>
      </c>
      <c r="K39" s="12" t="n"/>
      <c r="L39" s="12" t="n"/>
      <c r="M39" s="12" t="n"/>
      <c r="N39" s="25" t="n"/>
    </row>
    <row r="40">
      <c r="A40" s="12" t="n">
        <v>36</v>
      </c>
      <c r="B40" s="12" t="inlineStr">
        <is>
          <t>legacy_service_invoice_no</t>
        </is>
      </c>
      <c r="C40" s="12" t="inlineStr">
        <is>
          <t>Legacy service invoice issued for the commission</t>
        </is>
      </c>
      <c r="D40" s="12" t="inlineStr">
        <is>
          <t>Text</t>
        </is>
      </c>
      <c r="E40" s="12" t="inlineStr">
        <is>
          <t>40</t>
        </is>
      </c>
      <c r="F40" s="12" t="inlineStr">
        <is>
          <t>N</t>
        </is>
      </c>
      <c r="G40" s="12" t="inlineStr"/>
      <c r="H40" s="12" t="inlineStr">
        <is>
          <t>As printed</t>
        </is>
      </c>
      <c r="I40" s="12" t="inlineStr">
        <is>
          <t>SI-000456789</t>
        </is>
      </c>
      <c r="J40" s="12" t="inlineStr"/>
      <c r="K40" s="12" t="n"/>
      <c r="L40" s="12" t="n"/>
      <c r="M40" s="12" t="n"/>
      <c r="N40" s="25" t="n"/>
    </row>
    <row r="41">
      <c r="A41" s="12" t="n">
        <v>37</v>
      </c>
      <c r="B41" s="12" t="inlineStr">
        <is>
          <t>last_payment_date</t>
        </is>
      </c>
      <c r="C41" s="12" t="inlineStr">
        <is>
          <t>Date of the last payment applied in legacy</t>
        </is>
      </c>
      <c r="D41" s="12" t="inlineStr">
        <is>
          <t>Date</t>
        </is>
      </c>
      <c r="E41" s="12" t="inlineStr">
        <is>
          <t>10</t>
        </is>
      </c>
      <c r="F41" s="12" t="inlineStr">
        <is>
          <t>N</t>
        </is>
      </c>
      <c r="G41" s="12" t="inlineStr"/>
      <c r="H41" s="12" t="inlineStr">
        <is>
          <t>yyyy-MM-dd</t>
        </is>
      </c>
      <c r="I41" s="12" t="inlineStr">
        <is>
          <t>2027-05-02</t>
        </is>
      </c>
      <c r="J41" s="12" t="inlineStr">
        <is>
          <t>Not after the freeze</t>
        </is>
      </c>
      <c r="K41" s="12" t="n"/>
      <c r="L41" s="12" t="n"/>
      <c r="M41" s="12" t="n"/>
      <c r="N41" s="25" t="n"/>
    </row>
    <row r="42">
      <c r="A42" s="12" t="n">
        <v>38</v>
      </c>
      <c r="B42" s="12" t="inlineStr">
        <is>
          <t>remarks</t>
        </is>
      </c>
      <c r="C42" s="12" t="inlineStr">
        <is>
          <t>Legacy remarks</t>
        </is>
      </c>
      <c r="D42" s="12" t="inlineStr">
        <is>
          <t>Text</t>
        </is>
      </c>
      <c r="E42" s="12" t="inlineStr">
        <is>
          <t>500</t>
        </is>
      </c>
      <c r="F42" s="12" t="inlineStr">
        <is>
          <t>N</t>
        </is>
      </c>
      <c r="G42" s="12" t="inlineStr"/>
      <c r="H42" s="12" t="inlineStr">
        <is>
          <t>Free text</t>
        </is>
      </c>
      <c r="I42" s="12" t="inlineStr">
        <is>
          <t>Balance under dispute</t>
        </is>
      </c>
      <c r="J42" s="12" t="inlineStr"/>
      <c r="K42" s="12" t="n"/>
      <c r="L42" s="12" t="n"/>
      <c r="M42" s="12" t="n"/>
      <c r="N42" s="25" t="n"/>
    </row>
  </sheetData>
  <autoFilter ref="A4:N42"/>
  <mergeCells count="1">
    <mergeCell ref="A2:N2"/>
  </mergeCells>
  <conditionalFormatting sqref="A5:N542">
    <cfRule type="expression" priority="1" dxfId="0">
      <formula>AND(MOD(ROW(),2)=0,$A5&lt;&gt;"")</formula>
    </cfRule>
  </conditionalFormatting>
  <dataValidations count="3">
    <dataValidation sqref="F5:F542" showDropDown="0" showInputMessage="0" showErrorMessage="1" allowBlank="1" errorTitle="Mandatory" error="Choose a value from the list (Mandatory)." type="list">
      <formula1>'_lists'!$AN$1:$AN$3</formula1>
    </dataValidation>
    <dataValidation sqref="K5:K542" showDropDown="0" showInputMessage="0" showErrorMessage="1" allowBlank="1" errorTitle="BU review" error="Choose a value from the list (BU review)." type="list">
      <formula1>'_lists'!$AO$1:$AO$3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N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F01S Open legacy invoices - ins</t>
        </is>
      </c>
    </row>
    <row r="2">
      <c r="A2" s="22" t="inlineStr">
        <is>
          <t>Layout F01S v1 of object F01: Open legacy invoices - insurer shares. Key legacy_invoice_no, share_seq. Template F01S_template.csv.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number in the source system</t>
        </is>
      </c>
      <c r="D5" s="12" t="inlineStr">
        <is>
          <t>Code</t>
        </is>
      </c>
      <c r="E5" s="12" t="inlineStr">
        <is>
          <t>40</t>
        </is>
      </c>
      <c r="F5" s="12" t="inlineStr">
        <is>
          <t>Y</t>
        </is>
      </c>
      <c r="G5" s="12" t="inlineStr">
        <is>
          <t>legacy_invoice_no of F01</t>
        </is>
      </c>
      <c r="H5" s="12" t="inlineStr">
        <is>
          <t>As in F01</t>
        </is>
      </c>
      <c r="I5" s="12" t="inlineStr">
        <is>
          <t>I00123456</t>
        </is>
      </c>
      <c r="J5" s="12" t="inlineStr">
        <is>
          <t>Exists in F01</t>
        </is>
      </c>
      <c r="K5" s="12" t="n"/>
      <c r="L5" s="12" t="n"/>
      <c r="M5" s="12" t="n"/>
      <c r="N5" s="25" t="n"/>
    </row>
    <row r="6">
      <c r="A6" s="12" t="n">
        <v>2</v>
      </c>
      <c r="B6" s="12" t="inlineStr">
        <is>
          <t>share_seq</t>
        </is>
      </c>
      <c r="C6" s="12" t="inlineStr">
        <is>
          <t>Sequence of the insurer</t>
        </is>
      </c>
      <c r="D6" s="12" t="inlineStr">
        <is>
          <t>Integer</t>
        </is>
      </c>
      <c r="E6" s="12" t="inlineStr">
        <is>
          <t>2</t>
        </is>
      </c>
      <c r="F6" s="12" t="inlineStr">
        <is>
          <t>Y</t>
        </is>
      </c>
      <c r="G6" s="12" t="inlineStr"/>
      <c r="H6" s="12" t="inlineStr">
        <is>
          <t>Digits</t>
        </is>
      </c>
      <c r="I6" s="12" t="inlineStr">
        <is>
          <t>1</t>
        </is>
      </c>
      <c r="J6" s="12" t="inlineStr">
        <is>
          <t>Unique per invoice</t>
        </is>
      </c>
      <c r="K6" s="12" t="n"/>
      <c r="L6" s="12" t="n"/>
      <c r="M6" s="12" t="n"/>
      <c r="N6" s="25" t="n"/>
    </row>
    <row r="7">
      <c r="A7" s="12" t="n">
        <v>3</v>
      </c>
      <c r="B7" s="12" t="inlineStr">
        <is>
          <t>insurer_code</t>
        </is>
      </c>
      <c r="C7" s="12" t="inlineStr">
        <is>
          <t>Insurer</t>
        </is>
      </c>
      <c r="D7" s="12" t="inlineStr">
        <is>
          <t>Code</t>
        </is>
      </c>
      <c r="E7" s="12" t="inlineStr">
        <is>
          <t>30</t>
        </is>
      </c>
      <c r="F7" s="12" t="inlineStr">
        <is>
          <t>Y</t>
        </is>
      </c>
      <c r="G7" s="12" t="inlineStr">
        <is>
          <t>Code map INSURER</t>
        </is>
      </c>
      <c r="H7" s="12" t="inlineStr">
        <is>
          <t>As stored in legacy</t>
        </is>
      </c>
      <c r="I7" s="12" t="inlineStr">
        <is>
          <t>MAL</t>
        </is>
      </c>
      <c r="J7" s="12" t="inlineStr">
        <is>
          <t>Mapped</t>
        </is>
      </c>
      <c r="K7" s="12" t="n"/>
      <c r="L7" s="12" t="n"/>
      <c r="M7" s="12" t="n"/>
      <c r="N7" s="25" t="n"/>
    </row>
    <row r="8">
      <c r="A8" s="12" t="n">
        <v>4</v>
      </c>
      <c r="B8" s="12" t="inlineStr">
        <is>
          <t>share_pct</t>
        </is>
      </c>
      <c r="C8" s="12" t="inlineStr">
        <is>
          <t>Share in percent</t>
        </is>
      </c>
      <c r="D8" s="12" t="inlineStr">
        <is>
          <t>Decimal</t>
        </is>
      </c>
      <c r="E8" s="12" t="inlineStr">
        <is>
          <t>9,4</t>
        </is>
      </c>
      <c r="F8" s="12" t="inlineStr">
        <is>
          <t>Y</t>
        </is>
      </c>
      <c r="G8" s="12" t="inlineStr"/>
      <c r="H8" s="12" t="inlineStr">
        <is>
          <t>Dot decimal</t>
        </is>
      </c>
      <c r="I8" s="12" t="inlineStr">
        <is>
          <t>100.0000</t>
        </is>
      </c>
      <c r="J8" s="12" t="inlineStr">
        <is>
          <t>Above 0 and at most 100; shares of an invoice add to 100</t>
        </is>
      </c>
      <c r="K8" s="12" t="n"/>
      <c r="L8" s="12" t="n"/>
      <c r="M8" s="12" t="n"/>
      <c r="N8" s="25" t="n"/>
    </row>
    <row r="9">
      <c r="A9" s="12" t="n">
        <v>5</v>
      </c>
      <c r="B9" s="12" t="inlineStr">
        <is>
          <t>lead_flag</t>
        </is>
      </c>
      <c r="C9" s="12" t="inlineStr">
        <is>
          <t>Lead insurer</t>
        </is>
      </c>
      <c r="D9" s="12" t="inlineStr">
        <is>
          <t>Flag</t>
        </is>
      </c>
      <c r="E9" s="12" t="inlineStr">
        <is>
          <t>1</t>
        </is>
      </c>
      <c r="F9" s="12" t="inlineStr">
        <is>
          <t>Y</t>
        </is>
      </c>
      <c r="G9" s="12" t="inlineStr">
        <is>
          <t>Y, N</t>
        </is>
      </c>
      <c r="H9" s="12" t="inlineStr">
        <is>
          <t>Y or N</t>
        </is>
      </c>
      <c r="I9" s="12" t="inlineStr">
        <is>
          <t>Y</t>
        </is>
      </c>
      <c r="J9" s="12" t="inlineStr">
        <is>
          <t>One lead per invoice</t>
        </is>
      </c>
      <c r="K9" s="12" t="n"/>
      <c r="L9" s="12" t="n"/>
      <c r="M9" s="12" t="n"/>
      <c r="N9" s="25" t="n"/>
    </row>
  </sheetData>
  <autoFilter ref="A4:N9"/>
  <mergeCells count="1">
    <mergeCell ref="A2:N2"/>
  </mergeCells>
  <conditionalFormatting sqref="A5:N509">
    <cfRule type="expression" priority="1" dxfId="0">
      <formula>AND(MOD(ROW(),2)=0,$A5&lt;&gt;"")</formula>
    </cfRule>
  </conditionalFormatting>
  <dataValidations count="3">
    <dataValidation sqref="F5:F509" showDropDown="0" showInputMessage="0" showErrorMessage="1" allowBlank="1" errorTitle="Mandatory" error="Choose a value from the list (Mandatory)." type="list">
      <formula1>'_lists'!$AP$1:$AP$3</formula1>
    </dataValidation>
    <dataValidation sqref="K5:K509" showDropDown="0" showInputMessage="0" showErrorMessage="1" allowBlank="1" errorTitle="BU review" error="Choose a value from the list (BU review)." type="list">
      <formula1>'_lists'!$AQ$1:$AQ$3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F01C Open legacy invoices - com</t>
        </is>
      </c>
    </row>
    <row r="2">
      <c r="A2" s="22" t="inlineStr">
        <is>
          <t>Layout F01C v1 of object F01: Open legacy invoices - components and positions. Key legacy_invoice_no, component. Template F01C_template.csv.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number in the source system</t>
        </is>
      </c>
      <c r="D5" s="12" t="inlineStr">
        <is>
          <t>Code</t>
        </is>
      </c>
      <c r="E5" s="12" t="inlineStr">
        <is>
          <t>40</t>
        </is>
      </c>
      <c r="F5" s="12" t="inlineStr">
        <is>
          <t>Y</t>
        </is>
      </c>
      <c r="G5" s="12" t="inlineStr">
        <is>
          <t>legacy_invoice_no of F01</t>
        </is>
      </c>
      <c r="H5" s="12" t="inlineStr">
        <is>
          <t>As in F01</t>
        </is>
      </c>
      <c r="I5" s="12" t="inlineStr">
        <is>
          <t>I00123456</t>
        </is>
      </c>
      <c r="J5" s="12" t="inlineStr">
        <is>
          <t>Exists in F01</t>
        </is>
      </c>
      <c r="K5" s="12" t="n"/>
      <c r="L5" s="12" t="n"/>
      <c r="M5" s="12" t="n"/>
      <c r="N5" s="25" t="n"/>
    </row>
    <row r="6">
      <c r="A6" s="12" t="n">
        <v>2</v>
      </c>
      <c r="B6" s="12" t="inlineStr">
        <is>
          <t>component</t>
        </is>
      </c>
      <c r="C6" s="12" t="inlineStr">
        <is>
          <t>Premium or settlement component</t>
        </is>
      </c>
      <c r="D6" s="12" t="inlineStr">
        <is>
          <t>Code</t>
        </is>
      </c>
      <c r="E6" s="12" t="inlineStr">
        <is>
          <t>20</t>
        </is>
      </c>
      <c r="F6" s="12" t="inlineStr">
        <is>
          <t>Y</t>
        </is>
      </c>
      <c r="G6" s="12" t="inlineStr">
        <is>
          <t>BASIC, DST, PREMIUM_TAX_VAT, LGT, FST, OTHER, DTIP, COMMISSION, COMMISSION_VAT, WTAX, PR2307</t>
        </is>
      </c>
      <c r="H6" s="12" t="inlineStr">
        <is>
          <t>Upper case</t>
        </is>
      </c>
      <c r="I6" s="12" t="inlineStr">
        <is>
          <t>BASIC</t>
        </is>
      </c>
      <c r="J6" s="12" t="inlineStr">
        <is>
          <t>In the list; one row per component and invoice</t>
        </is>
      </c>
      <c r="K6" s="12" t="n"/>
      <c r="L6" s="12" t="n"/>
      <c r="M6" s="12" t="n"/>
      <c r="N6" s="25" t="n"/>
    </row>
    <row r="7">
      <c r="A7" s="12" t="n">
        <v>3</v>
      </c>
      <c r="B7" s="12" t="inlineStr">
        <is>
          <t>booked</t>
        </is>
      </c>
      <c r="C7" s="12" t="inlineStr">
        <is>
          <t>Amount booked in legacy</t>
        </is>
      </c>
      <c r="D7" s="12" t="inlineStr">
        <is>
          <t>Amount</t>
        </is>
      </c>
      <c r="E7" s="12" t="inlineStr">
        <is>
          <t>19,2</t>
        </is>
      </c>
      <c r="F7" s="12" t="inlineStr">
        <is>
          <t>Y</t>
        </is>
      </c>
      <c r="G7" s="12" t="inlineStr"/>
      <c r="H7" s="12" t="inlineStr">
        <is>
          <t>Dot decimal, 2 decimals; minus for return invoices</t>
        </is>
      </c>
      <c r="I7" s="12" t="inlineStr">
        <is>
          <t>21375.00</t>
        </is>
      </c>
      <c r="J7" s="12" t="inlineStr">
        <is>
          <t>Same sign as the invoice</t>
        </is>
      </c>
      <c r="K7" s="12" t="n"/>
      <c r="L7" s="12" t="n"/>
      <c r="M7" s="12" t="n"/>
      <c r="N7" s="25" t="n"/>
    </row>
    <row r="8">
      <c r="A8" s="12" t="n">
        <v>4</v>
      </c>
      <c r="B8" s="12" t="inlineStr">
        <is>
          <t>adjusted</t>
        </is>
      </c>
      <c r="C8" s="12" t="inlineStr">
        <is>
          <t>Net legacy adjustments kept on the same invoice</t>
        </is>
      </c>
      <c r="D8" s="12" t="inlineStr">
        <is>
          <t>Amount</t>
        </is>
      </c>
      <c r="E8" s="12" t="inlineStr">
        <is>
          <t>19,2</t>
        </is>
      </c>
      <c r="F8" s="12" t="inlineStr">
        <is>
          <t>Y</t>
        </is>
      </c>
      <c r="G8" s="12" t="inlineStr"/>
      <c r="H8" s="12" t="inlineStr">
        <is>
          <t>Dot decimal, 2 decimals</t>
        </is>
      </c>
      <c r="I8" s="12" t="inlineStr">
        <is>
          <t>0.00</t>
        </is>
      </c>
      <c r="J8" s="12" t="inlineStr"/>
      <c r="K8" s="12" t="n"/>
      <c r="L8" s="12" t="n"/>
      <c r="M8" s="12" t="n"/>
      <c r="N8" s="25" t="n"/>
    </row>
    <row r="9">
      <c r="A9" s="12" t="n">
        <v>5</v>
      </c>
      <c r="B9" s="12" t="inlineStr">
        <is>
          <t>paid</t>
        </is>
      </c>
      <c r="C9" s="12" t="inlineStr">
        <is>
          <t>Paid by the client before cutover (premium components and PR2307)</t>
        </is>
      </c>
      <c r="D9" s="12" t="inlineStr">
        <is>
          <t>Amount</t>
        </is>
      </c>
      <c r="E9" s="12" t="inlineStr">
        <is>
          <t>19,2</t>
        </is>
      </c>
      <c r="F9" s="12" t="inlineStr">
        <is>
          <t>Y</t>
        </is>
      </c>
      <c r="G9" s="12" t="inlineStr"/>
      <c r="H9" s="12" t="inlineStr">
        <is>
          <t>Dot decimal, 2 decimals</t>
        </is>
      </c>
      <c r="I9" s="12" t="inlineStr">
        <is>
          <t>8550.00</t>
        </is>
      </c>
      <c r="J9" s="12" t="inlineStr">
        <is>
          <t>0 for DTIP, COMMISSION, COMMISSION_VAT, WTAX</t>
        </is>
      </c>
      <c r="K9" s="12" t="n"/>
      <c r="L9" s="12" t="n"/>
      <c r="M9" s="12" t="n"/>
      <c r="N9" s="25" t="n"/>
    </row>
    <row r="10">
      <c r="A10" s="12" t="n">
        <v>6</v>
      </c>
      <c r="B10" s="12" t="inlineStr">
        <is>
          <t>remitted</t>
        </is>
      </c>
      <c r="C10" s="12" t="inlineStr">
        <is>
          <t>Settled with the insurer before cutover (DTIP, commission, VAT on commission, WTAX)</t>
        </is>
      </c>
      <c r="D10" s="12" t="inlineStr">
        <is>
          <t>Amount</t>
        </is>
      </c>
      <c r="E10" s="12" t="inlineStr">
        <is>
          <t>19,2</t>
        </is>
      </c>
      <c r="F10" s="12" t="inlineStr">
        <is>
          <t>Y</t>
        </is>
      </c>
      <c r="G10" s="12" t="inlineStr"/>
      <c r="H10" s="12" t="inlineStr">
        <is>
          <t>Dot decimal, 2 decimals</t>
        </is>
      </c>
      <c r="I10" s="12" t="inlineStr">
        <is>
          <t>0.00</t>
        </is>
      </c>
      <c r="J10" s="12" t="inlineStr">
        <is>
          <t>0 for premium components</t>
        </is>
      </c>
      <c r="K10" s="12" t="n"/>
      <c r="L10" s="12" t="n"/>
      <c r="M10" s="12" t="n"/>
      <c r="N10" s="25" t="n"/>
    </row>
    <row r="11">
      <c r="A11" s="12" t="n">
        <v>7</v>
      </c>
      <c r="B11" s="12" t="inlineStr">
        <is>
          <t>written_off</t>
        </is>
      </c>
      <c r="C11" s="12" t="inlineStr">
        <is>
          <t>Written off or DP-reversed before cutover</t>
        </is>
      </c>
      <c r="D11" s="12" t="inlineStr">
        <is>
          <t>Amount</t>
        </is>
      </c>
      <c r="E11" s="12" t="inlineStr">
        <is>
          <t>19,2</t>
        </is>
      </c>
      <c r="F11" s="12" t="inlineStr">
        <is>
          <t>Y</t>
        </is>
      </c>
      <c r="G11" s="12" t="inlineStr"/>
      <c r="H11" s="12" t="inlineStr">
        <is>
          <t>Dot decimal, 2 decimals</t>
        </is>
      </c>
      <c r="I11" s="12" t="inlineStr">
        <is>
          <t>0.00</t>
        </is>
      </c>
      <c r="J11" s="12" t="inlineStr"/>
      <c r="K11" s="12" t="n"/>
      <c r="L11" s="12" t="n"/>
      <c r="M11" s="12" t="n"/>
      <c r="N11" s="25" t="n"/>
    </row>
    <row r="12">
      <c r="A12" s="12" t="n">
        <v>8</v>
      </c>
      <c r="B12" s="12" t="inlineStr">
        <is>
          <t>open_balance</t>
        </is>
      </c>
      <c r="C12" s="12" t="inlineStr">
        <is>
          <t>Open balance at the freeze</t>
        </is>
      </c>
      <c r="D12" s="12" t="inlineStr">
        <is>
          <t>Amount</t>
        </is>
      </c>
      <c r="E12" s="12" t="inlineStr">
        <is>
          <t>19,2</t>
        </is>
      </c>
      <c r="F12" s="12" t="inlineStr">
        <is>
          <t>Y</t>
        </is>
      </c>
      <c r="G12" s="12" t="inlineStr"/>
      <c r="H12" s="12" t="inlineStr">
        <is>
          <t>Dot decimal, 2 decimals</t>
        </is>
      </c>
      <c r="I12" s="12" t="inlineStr">
        <is>
          <t>12825.00</t>
        </is>
      </c>
      <c r="J12" s="12" t="inlineStr">
        <is>
          <t>Premium components and PR2307 = booked + adjusted - paid - written_off; DTIP, COMMISSION, COMMISSION_VAT, WTAX = booked + adjusted - remitted - written_off; within 0 and booked + adjusted</t>
        </is>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'_lists'!$AR$1:$AR$3</formula1>
    </dataValidation>
    <dataValidation sqref="K5:K512" showDropDown="0" showInputMessage="0" showErrorMessage="1" allowBlank="1" errorTitle="BU review" error="Choose a value from the list (BU review)." type="list">
      <formula1>'_lists'!$AS$1:$AS$3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N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F02 Unapplied premium payments</t>
        </is>
      </c>
    </row>
    <row r="2">
      <c r="A2" s="22" t="inlineStr">
        <is>
          <t>Layout F02 v1 of object F02: Unapplied premium payments (UPP). Key legacy_upp_ref. Template F02_template.csv.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legacy_upp_ref</t>
        </is>
      </c>
      <c r="C5" s="12" t="inlineStr">
        <is>
          <t>UPP reference in the source system</t>
        </is>
      </c>
      <c r="D5" s="12" t="inlineStr">
        <is>
          <t>Code</t>
        </is>
      </c>
      <c r="E5" s="12" t="inlineStr">
        <is>
          <t>40</t>
        </is>
      </c>
      <c r="F5" s="12" t="inlineStr">
        <is>
          <t>Y</t>
        </is>
      </c>
      <c r="G5" s="12" t="inlineStr"/>
      <c r="H5" s="12" t="inlineStr">
        <is>
          <t>As stored in legacy</t>
        </is>
      </c>
      <c r="I5" s="12" t="inlineStr">
        <is>
          <t>UPP-2026-004321</t>
        </is>
      </c>
      <c r="J5" s="12" t="inlineStr">
        <is>
          <t>Unique</t>
        </is>
      </c>
      <c r="K5" s="12" t="n"/>
      <c r="L5" s="12" t="n"/>
      <c r="M5" s="12" t="n"/>
      <c r="N5" s="25" t="n"/>
    </row>
    <row r="6">
      <c r="A6" s="12" t="n">
        <v>2</v>
      </c>
      <c r="B6" s="12" t="inlineStr">
        <is>
          <t>legacy_ar_no</t>
        </is>
      </c>
      <c r="C6" s="12" t="inlineStr">
        <is>
          <t>Acknowledgment receipt issued in legacy</t>
        </is>
      </c>
      <c r="D6" s="12" t="inlineStr">
        <is>
          <t>Text</t>
        </is>
      </c>
      <c r="E6" s="12" t="inlineStr">
        <is>
          <t>40</t>
        </is>
      </c>
      <c r="F6" s="12" t="inlineStr">
        <is>
          <t>Y</t>
        </is>
      </c>
      <c r="G6" s="12" t="inlineStr"/>
      <c r="H6" s="12" t="inlineStr">
        <is>
          <t>As printed</t>
        </is>
      </c>
      <c r="I6" s="12" t="inlineStr">
        <is>
          <t>AR-MKT-131002</t>
        </is>
      </c>
      <c r="J6" s="12" t="inlineStr">
        <is>
          <t>Not blank</t>
        </is>
      </c>
      <c r="K6" s="12" t="n"/>
      <c r="L6" s="12" t="n"/>
      <c r="M6" s="12" t="n"/>
      <c r="N6" s="25" t="n"/>
    </row>
    <row r="7">
      <c r="A7" s="12" t="n">
        <v>3</v>
      </c>
      <c r="B7" s="12" t="inlineStr">
        <is>
          <t>legacy_ar_date</t>
        </is>
      </c>
      <c r="C7" s="12" t="inlineStr">
        <is>
          <t>AR date</t>
        </is>
      </c>
      <c r="D7" s="12" t="inlineStr">
        <is>
          <t>Date</t>
        </is>
      </c>
      <c r="E7" s="12" t="inlineStr">
        <is>
          <t>10</t>
        </is>
      </c>
      <c r="F7" s="12" t="inlineStr">
        <is>
          <t>Y</t>
        </is>
      </c>
      <c r="G7" s="12" t="inlineStr"/>
      <c r="H7" s="12" t="inlineStr">
        <is>
          <t>yyyy-MM-dd</t>
        </is>
      </c>
      <c r="I7" s="12" t="inlineStr">
        <is>
          <t>2026-07-14</t>
        </is>
      </c>
      <c r="J7" s="12" t="inlineStr">
        <is>
          <t>Before the cutover date</t>
        </is>
      </c>
      <c r="K7" s="12" t="n"/>
      <c r="L7" s="12" t="n"/>
      <c r="M7" s="12" t="n"/>
      <c r="N7" s="25" t="n"/>
    </row>
    <row r="8">
      <c r="A8" s="12" t="n">
        <v>4</v>
      </c>
      <c r="B8" s="12" t="inlineStr">
        <is>
          <t>value_date</t>
        </is>
      </c>
      <c r="C8" s="12" t="inlineStr">
        <is>
          <t>Value date of the cash</t>
        </is>
      </c>
      <c r="D8" s="12" t="inlineStr">
        <is>
          <t>Date</t>
        </is>
      </c>
      <c r="E8" s="12" t="inlineStr">
        <is>
          <t>10</t>
        </is>
      </c>
      <c r="F8" s="12" t="inlineStr">
        <is>
          <t>Y</t>
        </is>
      </c>
      <c r="G8" s="12" t="inlineStr"/>
      <c r="H8" s="12" t="inlineStr">
        <is>
          <t>yyyy-MM-dd</t>
        </is>
      </c>
      <c r="I8" s="12" t="inlineStr">
        <is>
          <t>2026-07-14</t>
        </is>
      </c>
      <c r="J8" s="12" t="inlineStr">
        <is>
          <t>Before the cutover date</t>
        </is>
      </c>
      <c r="K8" s="12" t="n"/>
      <c r="L8" s="12" t="n"/>
      <c r="M8" s="12" t="n"/>
      <c r="N8" s="25" t="n"/>
    </row>
    <row r="9">
      <c r="A9" s="12" t="n">
        <v>5</v>
      </c>
      <c r="B9" s="12" t="inlineStr">
        <is>
          <t>channel</t>
        </is>
      </c>
      <c r="C9" s="12" t="inlineStr">
        <is>
          <t>Channel of the payment</t>
        </is>
      </c>
      <c r="D9" s="12" t="inlineStr">
        <is>
          <t>Code</t>
        </is>
      </c>
      <c r="E9" s="12" t="inlineStr">
        <is>
          <t>20</t>
        </is>
      </c>
      <c r="F9" s="12" t="inlineStr">
        <is>
          <t>Y</t>
        </is>
      </c>
      <c r="G9" s="12" t="inlineStr">
        <is>
          <t>OTC, BILLS_PAYMENT, TRADE, CLPC, DIRECT_CREDIT, CHECK, OTHER</t>
        </is>
      </c>
      <c r="H9" s="12" t="inlineStr">
        <is>
          <t>Upper case</t>
        </is>
      </c>
      <c r="I9" s="12" t="inlineStr">
        <is>
          <t>DIRECT_CREDIT</t>
        </is>
      </c>
      <c r="J9" s="12" t="inlineStr">
        <is>
          <t>In the list</t>
        </is>
      </c>
      <c r="K9" s="12" t="n"/>
      <c r="L9" s="12" t="n"/>
      <c r="M9" s="12" t="n"/>
      <c r="N9" s="25" t="n"/>
    </row>
    <row r="10">
      <c r="A10" s="12" t="n">
        <v>6</v>
      </c>
      <c r="B10" s="12" t="inlineStr">
        <is>
          <t>payor_name</t>
        </is>
      </c>
      <c r="C10" s="12" t="inlineStr">
        <is>
          <t>Payor</t>
        </is>
      </c>
      <c r="D10" s="12" t="inlineStr">
        <is>
          <t>Text</t>
        </is>
      </c>
      <c r="E10" s="12" t="inlineStr">
        <is>
          <t>250</t>
        </is>
      </c>
      <c r="F10" s="12" t="inlineStr">
        <is>
          <t>Y</t>
        </is>
      </c>
      <c r="G10" s="12" t="inlineStr"/>
      <c r="H10" s="12" t="inlineStr">
        <is>
          <t>Free text</t>
        </is>
      </c>
      <c r="I10" s="12" t="inlineStr">
        <is>
          <t>Ana C. Reyes</t>
        </is>
      </c>
      <c r="J10" s="12" t="inlineStr">
        <is>
          <t>Not blank</t>
        </is>
      </c>
      <c r="K10" s="12" t="n"/>
      <c r="L10" s="12" t="n"/>
      <c r="M10" s="12" t="n"/>
      <c r="N10" s="25" t="n"/>
    </row>
    <row r="11">
      <c r="A11" s="12" t="n">
        <v>7</v>
      </c>
      <c r="B11" s="12" t="inlineStr">
        <is>
          <t>legacy_client_no</t>
        </is>
      </c>
      <c r="C11" s="12" t="inlineStr">
        <is>
          <t>Client if identified</t>
        </is>
      </c>
      <c r="D11" s="12" t="inlineStr">
        <is>
          <t>Code</t>
        </is>
      </c>
      <c r="E11" s="12" t="inlineStr">
        <is>
          <t>30</t>
        </is>
      </c>
      <c r="F11" s="12" t="inlineStr">
        <is>
          <t>N</t>
        </is>
      </c>
      <c r="G11" s="12" t="inlineStr">
        <is>
          <t>legacy_client_no of C01</t>
        </is>
      </c>
      <c r="H11" s="12" t="inlineStr">
        <is>
          <t>As stored in legacy</t>
        </is>
      </c>
      <c r="I11" s="12" t="inlineStr">
        <is>
          <t>Q-0012345</t>
        </is>
      </c>
      <c r="J11" s="12" t="inlineStr">
        <is>
          <t>Client loaded when given</t>
        </is>
      </c>
      <c r="K11" s="12" t="n"/>
      <c r="L11" s="12" t="n"/>
      <c r="M11" s="12" t="n"/>
      <c r="N11" s="25" t="n"/>
    </row>
    <row r="12">
      <c r="A12" s="12" t="n">
        <v>8</v>
      </c>
      <c r="B12" s="12" t="inlineStr">
        <is>
          <t>currency</t>
        </is>
      </c>
      <c r="C12" s="12" t="inlineStr">
        <is>
          <t>Currency</t>
        </is>
      </c>
      <c r="D12" s="12" t="inlineStr">
        <is>
          <t>Code</t>
        </is>
      </c>
      <c r="E12" s="12" t="inlineStr">
        <is>
          <t>3</t>
        </is>
      </c>
      <c r="F12" s="12" t="inlineStr">
        <is>
          <t>Y</t>
        </is>
      </c>
      <c r="G12" s="12" t="inlineStr">
        <is>
          <t>ISO 4217</t>
        </is>
      </c>
      <c r="H12" s="12" t="inlineStr">
        <is>
          <t>Upper case</t>
        </is>
      </c>
      <c r="I12" s="12" t="inlineStr">
        <is>
          <t>PHP</t>
        </is>
      </c>
      <c r="J12" s="12" t="inlineStr">
        <is>
          <t>Valid code</t>
        </is>
      </c>
      <c r="K12" s="12" t="n"/>
      <c r="L12" s="12" t="n"/>
      <c r="M12" s="12" t="n"/>
      <c r="N12" s="25" t="n"/>
    </row>
    <row r="13">
      <c r="A13" s="12" t="n">
        <v>9</v>
      </c>
      <c r="B13" s="12" t="inlineStr">
        <is>
          <t>amount</t>
        </is>
      </c>
      <c r="C13" s="12" t="inlineStr">
        <is>
          <t>Amount received</t>
        </is>
      </c>
      <c r="D13" s="12" t="inlineStr">
        <is>
          <t>Amount</t>
        </is>
      </c>
      <c r="E13" s="12" t="inlineStr">
        <is>
          <t>19,2</t>
        </is>
      </c>
      <c r="F13" s="12" t="inlineStr">
        <is>
          <t>Y</t>
        </is>
      </c>
      <c r="G13" s="12" t="inlineStr"/>
      <c r="H13" s="12" t="inlineStr">
        <is>
          <t>Dot decimal, 2 decimals</t>
        </is>
      </c>
      <c r="I13" s="12" t="inlineStr">
        <is>
          <t>5000.00</t>
        </is>
      </c>
      <c r="J13" s="12" t="inlineStr">
        <is>
          <t>Above 0</t>
        </is>
      </c>
      <c r="K13" s="12" t="n"/>
      <c r="L13" s="12" t="n"/>
      <c r="M13" s="12" t="n"/>
      <c r="N13" s="25" t="n"/>
    </row>
    <row r="14">
      <c r="A14" s="12" t="n">
        <v>10</v>
      </c>
      <c r="B14" s="12" t="inlineStr">
        <is>
          <t>balance</t>
        </is>
      </c>
      <c r="C14" s="12" t="inlineStr">
        <is>
          <t>Unapplied balance at the freeze</t>
        </is>
      </c>
      <c r="D14" s="12" t="inlineStr">
        <is>
          <t>Amount</t>
        </is>
      </c>
      <c r="E14" s="12" t="inlineStr">
        <is>
          <t>19,2</t>
        </is>
      </c>
      <c r="F14" s="12" t="inlineStr">
        <is>
          <t>Y</t>
        </is>
      </c>
      <c r="G14" s="12" t="inlineStr"/>
      <c r="H14" s="12" t="inlineStr">
        <is>
          <t>Dot decimal, 2 decimals</t>
        </is>
      </c>
      <c r="I14" s="12" t="inlineStr">
        <is>
          <t>5000.00</t>
        </is>
      </c>
      <c r="J14" s="12" t="inlineStr">
        <is>
          <t>Above 0 and at most amount</t>
        </is>
      </c>
      <c r="K14" s="12" t="n"/>
      <c r="L14" s="12" t="n"/>
      <c r="M14" s="12" t="n"/>
      <c r="N14" s="25" t="n"/>
    </row>
    <row r="15">
      <c r="A15" s="12" t="n">
        <v>11</v>
      </c>
      <c r="B15" s="12" t="inlineStr">
        <is>
          <t>sales_unit_code</t>
        </is>
      </c>
      <c r="C15" s="12" t="inlineStr">
        <is>
          <t>Sales unit</t>
        </is>
      </c>
      <c r="D15" s="12" t="inlineStr">
        <is>
          <t>Code</t>
        </is>
      </c>
      <c r="E15" s="12" t="inlineStr">
        <is>
          <t>20</t>
        </is>
      </c>
      <c r="F15" s="12" t="inlineStr">
        <is>
          <t>N</t>
        </is>
      </c>
      <c r="G15" s="12" t="inlineStr">
        <is>
          <t>Code map SALES_UNIT</t>
        </is>
      </c>
      <c r="H15" s="12" t="inlineStr">
        <is>
          <t>As stored in legacy</t>
        </is>
      </c>
      <c r="I15" s="12" t="inlineStr">
        <is>
          <t>T-RET-07</t>
        </is>
      </c>
      <c r="J15" s="12" t="inlineStr">
        <is>
          <t>Mapped</t>
        </is>
      </c>
      <c r="K15" s="12" t="n"/>
      <c r="L15" s="12" t="n"/>
      <c r="M15" s="12" t="n"/>
      <c r="N15" s="25" t="n"/>
    </row>
    <row r="16">
      <c r="A16" s="12" t="n">
        <v>12</v>
      </c>
      <c r="B16" s="12" t="inlineStr">
        <is>
          <t>branch_code</t>
        </is>
      </c>
      <c r="C16" s="12" t="inlineStr">
        <is>
          <t>Branch that received the cash</t>
        </is>
      </c>
      <c r="D16" s="12" t="inlineStr">
        <is>
          <t>Code</t>
        </is>
      </c>
      <c r="E16" s="12" t="inlineStr">
        <is>
          <t>20</t>
        </is>
      </c>
      <c r="F16" s="12" t="inlineStr">
        <is>
          <t>Y</t>
        </is>
      </c>
      <c r="G16" s="12" t="inlineStr">
        <is>
          <t>Code map BRANCH</t>
        </is>
      </c>
      <c r="H16" s="12" t="inlineStr">
        <is>
          <t>As stored in legacy</t>
        </is>
      </c>
      <c r="I16" s="12" t="inlineStr">
        <is>
          <t>MKT01</t>
        </is>
      </c>
      <c r="J16" s="12" t="inlineStr">
        <is>
          <t>Mapped</t>
        </is>
      </c>
      <c r="K16" s="12" t="n"/>
      <c r="L16" s="12" t="n"/>
      <c r="M16" s="12" t="n"/>
      <c r="N16" s="25" t="n"/>
    </row>
    <row r="17">
      <c r="A17" s="12" t="n">
        <v>13</v>
      </c>
      <c r="B17" s="12" t="inlineStr">
        <is>
          <t>ref_invoice_nos</t>
        </is>
      </c>
      <c r="C17" s="12" t="inlineStr">
        <is>
          <t>Invoice numbers the payor quoted, separated by semicolons</t>
        </is>
      </c>
      <c r="D17" s="12" t="inlineStr">
        <is>
          <t>Text</t>
        </is>
      </c>
      <c r="E17" s="12" t="inlineStr">
        <is>
          <t>400</t>
        </is>
      </c>
      <c r="F17" s="12" t="inlineStr">
        <is>
          <t>N</t>
        </is>
      </c>
      <c r="G17" s="12" t="inlineStr"/>
      <c r="H17" s="12" t="inlineStr">
        <is>
          <t>NO;NO</t>
        </is>
      </c>
      <c r="I17" s="12" t="inlineStr">
        <is>
          <t>I00123456</t>
        </is>
      </c>
      <c r="J17" s="12" t="inlineStr">
        <is>
          <t>At least one ref_ field is recommended</t>
        </is>
      </c>
      <c r="K17" s="12" t="n"/>
      <c r="L17" s="12" t="n"/>
      <c r="M17" s="12" t="n"/>
      <c r="N17" s="25" t="n"/>
    </row>
    <row r="18">
      <c r="A18" s="12" t="n">
        <v>14</v>
      </c>
      <c r="B18" s="12" t="inlineStr">
        <is>
          <t>ref_cover_nos</t>
        </is>
      </c>
      <c r="C18" s="12" t="inlineStr">
        <is>
          <t>Cover or policy numbers quoted</t>
        </is>
      </c>
      <c r="D18" s="12" t="inlineStr">
        <is>
          <t>Text</t>
        </is>
      </c>
      <c r="E18" s="12" t="inlineStr">
        <is>
          <t>400</t>
        </is>
      </c>
      <c r="F18" s="12" t="inlineStr">
        <is>
          <t>N</t>
        </is>
      </c>
      <c r="G18" s="12" t="inlineStr"/>
      <c r="H18" s="12" t="inlineStr">
        <is>
          <t>NO;NO</t>
        </is>
      </c>
      <c r="I18" s="12" t="inlineStr">
        <is>
          <t>C-2026-004512</t>
        </is>
      </c>
      <c r="J18" s="12" t="inlineStr"/>
      <c r="K18" s="12" t="n"/>
      <c r="L18" s="12" t="n"/>
      <c r="M18" s="12" t="n"/>
      <c r="N18" s="25" t="n"/>
    </row>
    <row r="19">
      <c r="A19" s="12" t="n">
        <v>15</v>
      </c>
      <c r="B19" s="12" t="inlineStr">
        <is>
          <t>ref_pn_nos</t>
        </is>
      </c>
      <c r="C19" s="12" t="inlineStr">
        <is>
          <t>PN numbers quoted</t>
        </is>
      </c>
      <c r="D19" s="12" t="inlineStr">
        <is>
          <t>Text</t>
        </is>
      </c>
      <c r="E19" s="12" t="inlineStr">
        <is>
          <t>400</t>
        </is>
      </c>
      <c r="F19" s="12" t="inlineStr">
        <is>
          <t>N</t>
        </is>
      </c>
      <c r="G19" s="12" t="inlineStr"/>
      <c r="H19" s="12" t="inlineStr">
        <is>
          <t>PN;PN</t>
        </is>
      </c>
      <c r="I19" s="12" t="inlineStr">
        <is>
          <t>PN-2019-000123</t>
        </is>
      </c>
      <c r="J19" s="12" t="inlineStr"/>
      <c r="K19" s="12" t="n"/>
      <c r="L19" s="12" t="n"/>
      <c r="M19" s="12" t="n"/>
      <c r="N19" s="25" t="n"/>
    </row>
    <row r="20">
      <c r="A20" s="12" t="n">
        <v>16</v>
      </c>
      <c r="B20" s="12" t="inlineStr">
        <is>
          <t>ref_bank_reference</t>
        </is>
      </c>
      <c r="C20" s="12" t="inlineStr">
        <is>
          <t>Bank or payment file reference</t>
        </is>
      </c>
      <c r="D20" s="12" t="inlineStr">
        <is>
          <t>Text</t>
        </is>
      </c>
      <c r="E20" s="12" t="inlineStr">
        <is>
          <t>80</t>
        </is>
      </c>
      <c r="F20" s="12" t="inlineStr">
        <is>
          <t>N</t>
        </is>
      </c>
      <c r="G20" s="12" t="inlineStr"/>
      <c r="H20" s="12" t="inlineStr">
        <is>
          <t>As in the payment file</t>
        </is>
      </c>
      <c r="I20" s="12" t="inlineStr">
        <is>
          <t>DC20260714-000981</t>
        </is>
      </c>
      <c r="J20" s="12" t="inlineStr"/>
      <c r="K20" s="12" t="n"/>
      <c r="L20" s="12" t="n"/>
      <c r="M20" s="12" t="n"/>
      <c r="N20" s="25" t="n"/>
    </row>
    <row r="21">
      <c r="A21" s="12" t="n">
        <v>17</v>
      </c>
      <c r="B21" s="12" t="inlineStr">
        <is>
          <t>legacy_status</t>
        </is>
      </c>
      <c r="C21" s="12" t="inlineStr">
        <is>
          <t>UPP status in legacy</t>
        </is>
      </c>
      <c r="D21" s="12" t="inlineStr">
        <is>
          <t>Code</t>
        </is>
      </c>
      <c r="E21" s="12" t="inlineStr">
        <is>
          <t>30</t>
        </is>
      </c>
      <c r="F21" s="12" t="inlineStr">
        <is>
          <t>Y</t>
        </is>
      </c>
      <c r="G21" s="12" t="inlineStr">
        <is>
          <t>Code map STATUS:UPP</t>
        </is>
      </c>
      <c r="H21" s="12" t="inlineStr">
        <is>
          <t>As stored in legacy</t>
        </is>
      </c>
      <c r="I21" s="12" t="inlineStr">
        <is>
          <t>FOR_MONITORING</t>
        </is>
      </c>
      <c r="J21" s="12" t="inlineStr">
        <is>
          <t>Mapped</t>
        </is>
      </c>
      <c r="K21" s="12" t="n"/>
      <c r="L21" s="12" t="n"/>
      <c r="M21" s="12" t="n"/>
      <c r="N21" s="25" t="n"/>
    </row>
    <row r="22">
      <c r="A22" s="12" t="n">
        <v>18</v>
      </c>
      <c r="B22" s="12" t="inlineStr">
        <is>
          <t>disposition_type</t>
        </is>
      </c>
      <c r="C22" s="12" t="inlineStr">
        <is>
          <t>Disposition in progress in legacy</t>
        </is>
      </c>
      <c r="D22" s="12" t="inlineStr">
        <is>
          <t>Code</t>
        </is>
      </c>
      <c r="E22" s="12" t="inlineStr">
        <is>
          <t>40</t>
        </is>
      </c>
      <c r="F22" s="12" t="inlineStr">
        <is>
          <t>N</t>
        </is>
      </c>
      <c r="G22" s="12" t="inlineStr">
        <is>
          <t>Code map DISPOSITION_TYPE</t>
        </is>
      </c>
      <c r="H22" s="12" t="inlineStr">
        <is>
          <t>As stored in legacy</t>
        </is>
      </c>
      <c r="I22" s="12" t="inlineStr">
        <is>
          <t>REFUND</t>
        </is>
      </c>
      <c r="J22" s="12" t="inlineStr">
        <is>
          <t>Mapped</t>
        </is>
      </c>
      <c r="K22" s="12" t="n"/>
      <c r="L22" s="12" t="n"/>
      <c r="M22" s="12" t="n"/>
      <c r="N22" s="25" t="n"/>
    </row>
    <row r="23">
      <c r="A23" s="12" t="n">
        <v>19</v>
      </c>
      <c r="B23" s="12" t="inlineStr">
        <is>
          <t>disposition_status</t>
        </is>
      </c>
      <c r="C23" s="12" t="inlineStr">
        <is>
          <t>Status of the disposition</t>
        </is>
      </c>
      <c r="D23" s="12" t="inlineStr">
        <is>
          <t>Code</t>
        </is>
      </c>
      <c r="E23" s="12" t="inlineStr">
        <is>
          <t>20</t>
        </is>
      </c>
      <c r="F23" s="12" t="inlineStr">
        <is>
          <t>C</t>
        </is>
      </c>
      <c r="G23" s="12" t="inlineStr">
        <is>
          <t>MONITORING, FOR_APPROVAL, IN_PROCESS</t>
        </is>
      </c>
      <c r="H23" s="12" t="inlineStr">
        <is>
          <t>Upper case</t>
        </is>
      </c>
      <c r="I23" s="12" t="inlineStr">
        <is>
          <t>FOR_APPROVAL</t>
        </is>
      </c>
      <c r="J23" s="12" t="inlineStr">
        <is>
          <t>Mandatory when disposition_type is given</t>
        </is>
      </c>
      <c r="K23" s="12" t="n"/>
      <c r="L23" s="12" t="n"/>
      <c r="M23" s="12" t="n"/>
      <c r="N23" s="25" t="n"/>
    </row>
    <row r="24">
      <c r="A24" s="12" t="n">
        <v>20</v>
      </c>
      <c r="B24" s="12" t="inlineStr">
        <is>
          <t>disposition_details</t>
        </is>
      </c>
      <c r="C24" s="12" t="inlineStr">
        <is>
          <t>Details (target invoice, refund payee, amount)</t>
        </is>
      </c>
      <c r="D24" s="12" t="inlineStr">
        <is>
          <t>Text</t>
        </is>
      </c>
      <c r="E24" s="12" t="inlineStr">
        <is>
          <t>500</t>
        </is>
      </c>
      <c r="F24" s="12" t="inlineStr">
        <is>
          <t>N</t>
        </is>
      </c>
      <c r="G24" s="12" t="inlineStr"/>
      <c r="H24" s="12" t="inlineStr">
        <is>
          <t>Free text</t>
        </is>
      </c>
      <c r="I24" s="12" t="inlineStr">
        <is>
          <t>Refund to CTA 001234567890</t>
        </is>
      </c>
      <c r="J24" s="12" t="inlineStr"/>
      <c r="K24" s="12" t="n"/>
      <c r="L24" s="12" t="n"/>
      <c r="M24" s="12" t="n"/>
      <c r="N24" s="25" t="n"/>
    </row>
    <row r="25">
      <c r="A25" s="12" t="n">
        <v>21</v>
      </c>
      <c r="B25" s="12" t="inlineStr">
        <is>
          <t>remarks</t>
        </is>
      </c>
      <c r="C25" s="12" t="inlineStr">
        <is>
          <t>Legacy remarks</t>
        </is>
      </c>
      <c r="D25" s="12" t="inlineStr">
        <is>
          <t>Text</t>
        </is>
      </c>
      <c r="E25" s="12" t="inlineStr">
        <is>
          <t>250</t>
        </is>
      </c>
      <c r="F25" s="12" t="inlineStr">
        <is>
          <t>N</t>
        </is>
      </c>
      <c r="G25" s="12" t="inlineStr"/>
      <c r="H25" s="12" t="inlineStr">
        <is>
          <t>Free text</t>
        </is>
      </c>
      <c r="I25" s="12" t="inlineStr">
        <is>
          <t>Client to confirm invoice</t>
        </is>
      </c>
      <c r="J25" s="12" t="inlineStr"/>
      <c r="K25" s="12" t="n"/>
      <c r="L25" s="12" t="n"/>
      <c r="M25" s="12" t="n"/>
      <c r="N25" s="25" t="n"/>
    </row>
  </sheetData>
  <autoFilter ref="A4:N25"/>
  <mergeCells count="1">
    <mergeCell ref="A2:N2"/>
  </mergeCells>
  <conditionalFormatting sqref="A5:N525">
    <cfRule type="expression" priority="1" dxfId="0">
      <formula>AND(MOD(ROW(),2)=0,$A5&lt;&gt;"")</formula>
    </cfRule>
  </conditionalFormatting>
  <dataValidations count="3">
    <dataValidation sqref="F5:F525" showDropDown="0" showInputMessage="0" showErrorMessage="1" allowBlank="1" errorTitle="Mandatory" error="Choose a value from the list (Mandatory)." type="list">
      <formula1>'_lists'!$AT$1:$AT$3</formula1>
    </dataValidation>
    <dataValidation sqref="K5:K525" showDropDown="0" showInputMessage="0" showErrorMessage="1" allowBlank="1" errorTitle="BU review" error="Choose a value from the list (BU review)." type="list">
      <formula1>'_lists'!$AU$1:$AU$3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N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F03 Open collection state</t>
        </is>
      </c>
    </row>
    <row r="2">
      <c r="A2" s="22" t="inlineStr">
        <is>
          <t>Layout F03 v1 of object F03: Open collection state. Key legacy_invoice_no, record_type, seq_no. Template F03_template.csv.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legacy_invoice_no</t>
        </is>
      </c>
      <c r="C5" s="12" t="inlineStr">
        <is>
          <t>Invoice the follow-up belongs to</t>
        </is>
      </c>
      <c r="D5" s="12" t="inlineStr">
        <is>
          <t>Code</t>
        </is>
      </c>
      <c r="E5" s="12" t="inlineStr">
        <is>
          <t>40</t>
        </is>
      </c>
      <c r="F5" s="12" t="inlineStr">
        <is>
          <t>Y</t>
        </is>
      </c>
      <c r="G5" s="12" t="inlineStr">
        <is>
          <t>legacy_invoice_no of F01</t>
        </is>
      </c>
      <c r="H5" s="12" t="inlineStr">
        <is>
          <t>As in F01</t>
        </is>
      </c>
      <c r="I5" s="12" t="inlineStr">
        <is>
          <t>I00123456</t>
        </is>
      </c>
      <c r="J5" s="12" t="inlineStr">
        <is>
          <t>Exists in F01</t>
        </is>
      </c>
      <c r="K5" s="12" t="n"/>
      <c r="L5" s="12" t="n"/>
      <c r="M5" s="12" t="n"/>
      <c r="N5" s="25" t="n"/>
    </row>
    <row r="6">
      <c r="A6" s="12" t="n">
        <v>2</v>
      </c>
      <c r="B6" s="12" t="inlineStr">
        <is>
          <t>record_type</t>
        </is>
      </c>
      <c r="C6" s="12" t="inlineStr">
        <is>
          <t>Kind of row</t>
        </is>
      </c>
      <c r="D6" s="12" t="inlineStr">
        <is>
          <t>Code</t>
        </is>
      </c>
      <c r="E6" s="12" t="inlineStr">
        <is>
          <t>12</t>
        </is>
      </c>
      <c r="F6" s="12" t="inlineStr">
        <is>
          <t>Y</t>
        </is>
      </c>
      <c r="G6" s="12" t="inlineStr">
        <is>
          <t>DISPOSITION, PROMISE, INSTALLMENT, ASSIGNMENT</t>
        </is>
      </c>
      <c r="H6" s="12" t="inlineStr">
        <is>
          <t>Upper case</t>
        </is>
      </c>
      <c r="I6" s="12" t="inlineStr">
        <is>
          <t>PROMISE</t>
        </is>
      </c>
      <c r="J6" s="12" t="inlineStr">
        <is>
          <t>In the list</t>
        </is>
      </c>
      <c r="K6" s="12" t="n"/>
      <c r="L6" s="12" t="n"/>
      <c r="M6" s="12" t="n"/>
      <c r="N6" s="25" t="n"/>
    </row>
    <row r="7">
      <c r="A7" s="12" t="n">
        <v>3</v>
      </c>
      <c r="B7" s="12" t="inlineStr">
        <is>
          <t>seq_no</t>
        </is>
      </c>
      <c r="C7" s="12" t="inlineStr">
        <is>
          <t>Sequence within the invoice and record type</t>
        </is>
      </c>
      <c r="D7" s="12" t="inlineStr">
        <is>
          <t>Integer</t>
        </is>
      </c>
      <c r="E7" s="12" t="inlineStr">
        <is>
          <t>3</t>
        </is>
      </c>
      <c r="F7" s="12" t="inlineStr">
        <is>
          <t>Y</t>
        </is>
      </c>
      <c r="G7" s="12" t="inlineStr"/>
      <c r="H7" s="12" t="inlineStr">
        <is>
          <t>Digits</t>
        </is>
      </c>
      <c r="I7" s="12" t="inlineStr">
        <is>
          <t>1</t>
        </is>
      </c>
      <c r="J7" s="12" t="inlineStr">
        <is>
          <t>Unique per invoice and record type</t>
        </is>
      </c>
      <c r="K7" s="12" t="n"/>
      <c r="L7" s="12" t="n"/>
      <c r="M7" s="12" t="n"/>
      <c r="N7" s="25" t="n"/>
    </row>
    <row r="8">
      <c r="A8" s="12" t="n">
        <v>4</v>
      </c>
      <c r="B8" s="12" t="inlineStr">
        <is>
          <t>disposition_code</t>
        </is>
      </c>
      <c r="C8" s="12" t="inlineStr">
        <is>
          <t>Latest disposition</t>
        </is>
      </c>
      <c r="D8" s="12" t="inlineStr">
        <is>
          <t>Code</t>
        </is>
      </c>
      <c r="E8" s="12" t="inlineStr">
        <is>
          <t>40</t>
        </is>
      </c>
      <c r="F8" s="12" t="inlineStr">
        <is>
          <t>C</t>
        </is>
      </c>
      <c r="G8" s="12" t="inlineStr">
        <is>
          <t>Code map DISPOSITION_CLX</t>
        </is>
      </c>
      <c r="H8" s="12" t="inlineStr">
        <is>
          <t>As stored in legacy</t>
        </is>
      </c>
      <c r="I8" s="12" t="inlineStr">
        <is>
          <t>PTP</t>
        </is>
      </c>
      <c r="J8" s="12" t="inlineStr">
        <is>
          <t>Mandatory for DISPOSITION; mapped</t>
        </is>
      </c>
      <c r="K8" s="12" t="n"/>
      <c r="L8" s="12" t="n"/>
      <c r="M8" s="12" t="n"/>
      <c r="N8" s="25" t="n"/>
    </row>
    <row r="9">
      <c r="A9" s="12" t="n">
        <v>5</v>
      </c>
      <c r="B9" s="12" t="inlineStr">
        <is>
          <t>disposition_date</t>
        </is>
      </c>
      <c r="C9" s="12" t="inlineStr">
        <is>
          <t>Date of the disposition</t>
        </is>
      </c>
      <c r="D9" s="12" t="inlineStr">
        <is>
          <t>Date</t>
        </is>
      </c>
      <c r="E9" s="12" t="inlineStr">
        <is>
          <t>10</t>
        </is>
      </c>
      <c r="F9" s="12" t="inlineStr">
        <is>
          <t>C</t>
        </is>
      </c>
      <c r="G9" s="12" t="inlineStr"/>
      <c r="H9" s="12" t="inlineStr">
        <is>
          <t>yyyy-MM-dd</t>
        </is>
      </c>
      <c r="I9" s="12" t="inlineStr">
        <is>
          <t>2027-12-20</t>
        </is>
      </c>
      <c r="J9" s="12" t="inlineStr">
        <is>
          <t>Mandatory for DISPOSITION</t>
        </is>
      </c>
      <c r="K9" s="12" t="n"/>
      <c r="L9" s="12" t="n"/>
      <c r="M9" s="12" t="n"/>
      <c r="N9" s="25" t="n"/>
    </row>
    <row r="10">
      <c r="A10" s="12" t="n">
        <v>6</v>
      </c>
      <c r="B10" s="12" t="inlineStr">
        <is>
          <t>promise_date</t>
        </is>
      </c>
      <c r="C10" s="12" t="inlineStr">
        <is>
          <t>Promised payment date</t>
        </is>
      </c>
      <c r="D10" s="12" t="inlineStr">
        <is>
          <t>Date</t>
        </is>
      </c>
      <c r="E10" s="12" t="inlineStr">
        <is>
          <t>10</t>
        </is>
      </c>
      <c r="F10" s="12" t="inlineStr">
        <is>
          <t>C</t>
        </is>
      </c>
      <c r="G10" s="12" t="inlineStr"/>
      <c r="H10" s="12" t="inlineStr">
        <is>
          <t>yyyy-MM-dd</t>
        </is>
      </c>
      <c r="I10" s="12" t="inlineStr">
        <is>
          <t>2028-01-14</t>
        </is>
      </c>
      <c r="J10" s="12" t="inlineStr">
        <is>
          <t>Mandatory for PROMISE</t>
        </is>
      </c>
      <c r="K10" s="12" t="n"/>
      <c r="L10" s="12" t="n"/>
      <c r="M10" s="12" t="n"/>
      <c r="N10" s="25" t="n"/>
    </row>
    <row r="11">
      <c r="A11" s="12" t="n">
        <v>7</v>
      </c>
      <c r="B11" s="12" t="inlineStr">
        <is>
          <t>promise_amount</t>
        </is>
      </c>
      <c r="C11" s="12" t="inlineStr">
        <is>
          <t>Promised amount</t>
        </is>
      </c>
      <c r="D11" s="12" t="inlineStr">
        <is>
          <t>Amount</t>
        </is>
      </c>
      <c r="E11" s="12" t="inlineStr">
        <is>
          <t>19,2</t>
        </is>
      </c>
      <c r="F11" s="12" t="inlineStr">
        <is>
          <t>C</t>
        </is>
      </c>
      <c r="G11" s="12" t="inlineStr"/>
      <c r="H11" s="12" t="inlineStr">
        <is>
          <t>Dot decimal, 2 decimals</t>
        </is>
      </c>
      <c r="I11" s="12" t="inlineStr">
        <is>
          <t>6000.00</t>
        </is>
      </c>
      <c r="J11" s="12" t="inlineStr">
        <is>
          <t>Mandatory for PROMISE; at most the open PR</t>
        </is>
      </c>
      <c r="K11" s="12" t="n"/>
      <c r="L11" s="12" t="n"/>
      <c r="M11" s="12" t="n"/>
      <c r="N11" s="25" t="n"/>
    </row>
    <row r="12">
      <c r="A12" s="12" t="n">
        <v>8</v>
      </c>
      <c r="B12" s="12" t="inlineStr">
        <is>
          <t>installment_no</t>
        </is>
      </c>
      <c r="C12" s="12" t="inlineStr">
        <is>
          <t>Installment number</t>
        </is>
      </c>
      <c r="D12" s="12" t="inlineStr">
        <is>
          <t>Integer</t>
        </is>
      </c>
      <c r="E12" s="12" t="inlineStr">
        <is>
          <t>3</t>
        </is>
      </c>
      <c r="F12" s="12" t="inlineStr">
        <is>
          <t>C</t>
        </is>
      </c>
      <c r="G12" s="12" t="inlineStr"/>
      <c r="H12" s="12" t="inlineStr">
        <is>
          <t>Digits</t>
        </is>
      </c>
      <c r="I12" s="12" t="inlineStr">
        <is>
          <t>2</t>
        </is>
      </c>
      <c r="J12" s="12" t="inlineStr">
        <is>
          <t>Mandatory for INSTALLMENT</t>
        </is>
      </c>
      <c r="K12" s="12" t="n"/>
      <c r="L12" s="12" t="n"/>
      <c r="M12" s="12" t="n"/>
      <c r="N12" s="25" t="n"/>
    </row>
    <row r="13">
      <c r="A13" s="12" t="n">
        <v>9</v>
      </c>
      <c r="B13" s="12" t="inlineStr">
        <is>
          <t>installment_due</t>
        </is>
      </c>
      <c r="C13" s="12" t="inlineStr">
        <is>
          <t>Installment due date</t>
        </is>
      </c>
      <c r="D13" s="12" t="inlineStr">
        <is>
          <t>Date</t>
        </is>
      </c>
      <c r="E13" s="12" t="inlineStr">
        <is>
          <t>10</t>
        </is>
      </c>
      <c r="F13" s="12" t="inlineStr">
        <is>
          <t>C</t>
        </is>
      </c>
      <c r="G13" s="12" t="inlineStr"/>
      <c r="H13" s="12" t="inlineStr">
        <is>
          <t>yyyy-MM-dd</t>
        </is>
      </c>
      <c r="I13" s="12" t="inlineStr">
        <is>
          <t>2028-01-15</t>
        </is>
      </c>
      <c r="J13" s="12" t="inlineStr">
        <is>
          <t>Mandatory for INSTALLMENT</t>
        </is>
      </c>
      <c r="K13" s="12" t="n"/>
      <c r="L13" s="12" t="n"/>
      <c r="M13" s="12" t="n"/>
      <c r="N13" s="25" t="n"/>
    </row>
    <row r="14">
      <c r="A14" s="12" t="n">
        <v>10</v>
      </c>
      <c r="B14" s="12" t="inlineStr">
        <is>
          <t>installment_amount</t>
        </is>
      </c>
      <c r="C14" s="12" t="inlineStr">
        <is>
          <t>Installment amount</t>
        </is>
      </c>
      <c r="D14" s="12" t="inlineStr">
        <is>
          <t>Amount</t>
        </is>
      </c>
      <c r="E14" s="12" t="inlineStr">
        <is>
          <t>19,2</t>
        </is>
      </c>
      <c r="F14" s="12" t="inlineStr">
        <is>
          <t>C</t>
        </is>
      </c>
      <c r="G14" s="12" t="inlineStr"/>
      <c r="H14" s="12" t="inlineStr">
        <is>
          <t>Dot decimal, 2 decimals</t>
        </is>
      </c>
      <c r="I14" s="12" t="inlineStr">
        <is>
          <t>3000.00</t>
        </is>
      </c>
      <c r="J14" s="12" t="inlineStr">
        <is>
          <t>Mandatory for INSTALLMENT</t>
        </is>
      </c>
      <c r="K14" s="12" t="n"/>
      <c r="L14" s="12" t="n"/>
      <c r="M14" s="12" t="n"/>
      <c r="N14" s="25" t="n"/>
    </row>
    <row r="15">
      <c r="A15" s="12" t="n">
        <v>11</v>
      </c>
      <c r="B15" s="12" t="inlineStr">
        <is>
          <t>collector_user_id</t>
        </is>
      </c>
      <c r="C15" s="12" t="inlineStr">
        <is>
          <t>Assigned collector</t>
        </is>
      </c>
      <c r="D15" s="12" t="inlineStr">
        <is>
          <t>Code</t>
        </is>
      </c>
      <c r="E15" s="12" t="inlineStr">
        <is>
          <t>50</t>
        </is>
      </c>
      <c r="F15" s="12" t="inlineStr">
        <is>
          <t>C</t>
        </is>
      </c>
      <c r="G15" s="12" t="inlineStr">
        <is>
          <t>Code map USER</t>
        </is>
      </c>
      <c r="H15" s="12" t="inlineStr">
        <is>
          <t>As stored in legacy</t>
        </is>
      </c>
      <c r="I15" s="12" t="inlineStr">
        <is>
          <t>jgarcia</t>
        </is>
      </c>
      <c r="J15" s="12" t="inlineStr">
        <is>
          <t>Mandatory for ASSIGNMENT; mapped</t>
        </is>
      </c>
      <c r="K15" s="12" t="n"/>
      <c r="L15" s="12" t="n"/>
      <c r="M15" s="12" t="n"/>
      <c r="N15" s="25" t="n"/>
    </row>
    <row r="16">
      <c r="A16" s="12" t="n">
        <v>12</v>
      </c>
      <c r="B16" s="12" t="inlineStr">
        <is>
          <t>remarks</t>
        </is>
      </c>
      <c r="C16" s="12" t="inlineStr">
        <is>
          <t>Collector remarks</t>
        </is>
      </c>
      <c r="D16" s="12" t="inlineStr">
        <is>
          <t>Text</t>
        </is>
      </c>
      <c r="E16" s="12" t="inlineStr">
        <is>
          <t>500</t>
        </is>
      </c>
      <c r="F16" s="12" t="inlineStr">
        <is>
          <t>N</t>
        </is>
      </c>
      <c r="G16" s="12" t="inlineStr"/>
      <c r="H16" s="12" t="inlineStr">
        <is>
          <t>Free text</t>
        </is>
      </c>
      <c r="I16" s="12" t="inlineStr">
        <is>
          <t>Client will pay after salary</t>
        </is>
      </c>
      <c r="J16" s="12" t="inlineStr"/>
      <c r="K16" s="12" t="n"/>
      <c r="L16" s="12" t="n"/>
      <c r="M16" s="12" t="n"/>
      <c r="N16" s="25" t="n"/>
    </row>
  </sheetData>
  <autoFilter ref="A4:N16"/>
  <mergeCells count="1">
    <mergeCell ref="A2:N2"/>
  </mergeCells>
  <conditionalFormatting sqref="A5:N516">
    <cfRule type="expression" priority="1" dxfId="0">
      <formula>AND(MOD(ROW(),2)=0,$A5&lt;&gt;"")</formula>
    </cfRule>
  </conditionalFormatting>
  <dataValidations count="3">
    <dataValidation sqref="F5:F516" showDropDown="0" showInputMessage="0" showErrorMessage="1" allowBlank="1" errorTitle="Mandatory" error="Choose a value from the list (Mandatory)." type="list">
      <formula1>'_lists'!$AV$1:$AV$3</formula1>
    </dataValidation>
    <dataValidation sqref="K5:K516" showDropDown="0" showInputMessage="0" showErrorMessage="1" allowBlank="1" errorTitle="BU review" error="Choose a value from the list (BU review)." type="list">
      <formula1>'_lists'!$AW$1:$AW$3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N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F04 Remittance in flight</t>
        </is>
      </c>
    </row>
    <row r="2">
      <c r="A2" s="22" t="inlineStr">
        <is>
          <t>Layout F04 v1 of object F04: Remittance in flight. Key legacy_batch_no, legacy_invoice_no. Template F04_template.csv.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row</t>
        </is>
      </c>
      <c r="D5" s="12" t="inlineStr">
        <is>
          <t>Code</t>
        </is>
      </c>
      <c r="E5" s="12" t="inlineStr">
        <is>
          <t>10</t>
        </is>
      </c>
      <c r="F5" s="12" t="inlineStr">
        <is>
          <t>Y</t>
        </is>
      </c>
      <c r="G5" s="12" t="inlineStr">
        <is>
          <t>HOLD, SPECIAL, BATCH</t>
        </is>
      </c>
      <c r="H5" s="12" t="inlineStr">
        <is>
          <t>Upper case</t>
        </is>
      </c>
      <c r="I5" s="12" t="inlineStr">
        <is>
          <t>HOLD</t>
        </is>
      </c>
      <c r="J5" s="12" t="inlineStr">
        <is>
          <t>In the list</t>
        </is>
      </c>
      <c r="K5" s="12" t="n"/>
      <c r="L5" s="12" t="n"/>
      <c r="M5" s="12" t="n"/>
      <c r="N5" s="25" t="n"/>
    </row>
    <row r="6">
      <c r="A6" s="12" t="n">
        <v>2</v>
      </c>
      <c r="B6" s="12" t="inlineStr">
        <is>
          <t>legacy_batch_no</t>
        </is>
      </c>
      <c r="C6" s="12" t="inlineStr">
        <is>
          <t>Legacy remittance batch number (BATCH, SPECIAL)</t>
        </is>
      </c>
      <c r="D6" s="12" t="inlineStr">
        <is>
          <t>Text</t>
        </is>
      </c>
      <c r="E6" s="12" t="inlineStr">
        <is>
          <t>40</t>
        </is>
      </c>
      <c r="F6" s="12" t="inlineStr">
        <is>
          <t>C</t>
        </is>
      </c>
      <c r="G6" s="12" t="inlineStr"/>
      <c r="H6" s="12" t="inlineStr">
        <is>
          <t>As stored in legacy</t>
        </is>
      </c>
      <c r="I6" s="12" t="inlineStr">
        <is>
          <t>RB-2026-0877</t>
        </is>
      </c>
      <c r="J6" s="12" t="inlineStr">
        <is>
          <t>Mandatory for BATCH and SPECIAL</t>
        </is>
      </c>
      <c r="K6" s="12" t="n"/>
      <c r="L6" s="12" t="n"/>
      <c r="M6" s="12" t="n"/>
      <c r="N6" s="25" t="n"/>
    </row>
    <row r="7">
      <c r="A7" s="12" t="n">
        <v>3</v>
      </c>
      <c r="B7" s="12" t="inlineStr">
        <is>
          <t>insurer_code</t>
        </is>
      </c>
      <c r="C7" s="12" t="inlineStr">
        <is>
          <t>Insurer</t>
        </is>
      </c>
      <c r="D7" s="12" t="inlineStr">
        <is>
          <t>Code</t>
        </is>
      </c>
      <c r="E7" s="12" t="inlineStr">
        <is>
          <t>30</t>
        </is>
      </c>
      <c r="F7" s="12" t="inlineStr">
        <is>
          <t>Y</t>
        </is>
      </c>
      <c r="G7" s="12" t="inlineStr">
        <is>
          <t>Code map INSURER</t>
        </is>
      </c>
      <c r="H7" s="12" t="inlineStr">
        <is>
          <t>As stored in legacy</t>
        </is>
      </c>
      <c r="I7" s="12" t="inlineStr">
        <is>
          <t>MAL</t>
        </is>
      </c>
      <c r="J7" s="12" t="inlineStr">
        <is>
          <t>Mapped</t>
        </is>
      </c>
      <c r="K7" s="12" t="n"/>
      <c r="L7" s="12" t="n"/>
      <c r="M7" s="12" t="n"/>
      <c r="N7" s="25" t="n"/>
    </row>
    <row r="8">
      <c r="A8" s="12" t="n">
        <v>4</v>
      </c>
      <c r="B8" s="12" t="inlineStr">
        <is>
          <t>legacy_invoice_no</t>
        </is>
      </c>
      <c r="C8" s="12" t="inlineStr">
        <is>
          <t>Invoice of the line</t>
        </is>
      </c>
      <c r="D8" s="12" t="inlineStr">
        <is>
          <t>Code</t>
        </is>
      </c>
      <c r="E8" s="12" t="inlineStr">
        <is>
          <t>40</t>
        </is>
      </c>
      <c r="F8" s="12" t="inlineStr">
        <is>
          <t>Y</t>
        </is>
      </c>
      <c r="G8" s="12" t="inlineStr">
        <is>
          <t>legacy_invoice_no of F01</t>
        </is>
      </c>
      <c r="H8" s="12" t="inlineStr">
        <is>
          <t>As in F01</t>
        </is>
      </c>
      <c r="I8" s="12" t="inlineStr">
        <is>
          <t>I00123456</t>
        </is>
      </c>
      <c r="J8" s="12" t="inlineStr">
        <is>
          <t>Exists in F01</t>
        </is>
      </c>
      <c r="K8" s="12" t="n"/>
      <c r="L8" s="12" t="n"/>
      <c r="M8" s="12" t="n"/>
      <c r="N8" s="25" t="n"/>
    </row>
    <row r="9">
      <c r="A9" s="12" t="n">
        <v>5</v>
      </c>
      <c r="B9" s="12" t="inlineStr">
        <is>
          <t>currency</t>
        </is>
      </c>
      <c r="C9" s="12" t="inlineStr">
        <is>
          <t>Currency</t>
        </is>
      </c>
      <c r="D9" s="12" t="inlineStr">
        <is>
          <t>Code</t>
        </is>
      </c>
      <c r="E9" s="12" t="inlineStr">
        <is>
          <t>3</t>
        </is>
      </c>
      <c r="F9" s="12" t="inlineStr">
        <is>
          <t>Y</t>
        </is>
      </c>
      <c r="G9" s="12" t="inlineStr">
        <is>
          <t>ISO 4217</t>
        </is>
      </c>
      <c r="H9" s="12" t="inlineStr">
        <is>
          <t>Upper case</t>
        </is>
      </c>
      <c r="I9" s="12" t="inlineStr">
        <is>
          <t>PHP</t>
        </is>
      </c>
      <c r="J9" s="12" t="inlineStr">
        <is>
          <t>Valid code</t>
        </is>
      </c>
      <c r="K9" s="12" t="n"/>
      <c r="L9" s="12" t="n"/>
      <c r="M9" s="12" t="n"/>
      <c r="N9" s="25" t="n"/>
    </row>
    <row r="10">
      <c r="A10" s="12" t="n">
        <v>6</v>
      </c>
      <c r="B10" s="12" t="inlineStr">
        <is>
          <t>amount</t>
        </is>
      </c>
      <c r="C10" s="12" t="inlineStr">
        <is>
          <t>Amount held or to remit</t>
        </is>
      </c>
      <c r="D10" s="12" t="inlineStr">
        <is>
          <t>Amount</t>
        </is>
      </c>
      <c r="E10" s="12" t="inlineStr">
        <is>
          <t>19,2</t>
        </is>
      </c>
      <c r="F10" s="12" t="inlineStr">
        <is>
          <t>Y</t>
        </is>
      </c>
      <c r="G10" s="12" t="inlineStr"/>
      <c r="H10" s="12" t="inlineStr">
        <is>
          <t>Dot decimal, 2 decimals</t>
        </is>
      </c>
      <c r="I10" s="12" t="inlineStr">
        <is>
          <t>21671.25</t>
        </is>
      </c>
      <c r="J10" s="12" t="inlineStr">
        <is>
          <t>At most the open DTIP</t>
        </is>
      </c>
      <c r="K10" s="12" t="n"/>
      <c r="L10" s="12" t="n"/>
      <c r="M10" s="12" t="n"/>
      <c r="N10" s="25" t="n"/>
    </row>
    <row r="11">
      <c r="A11" s="12" t="n">
        <v>7</v>
      </c>
      <c r="B11" s="12" t="inlineStr">
        <is>
          <t>status</t>
        </is>
      </c>
      <c r="C11" s="12" t="inlineStr">
        <is>
          <t>Status in legacy</t>
        </is>
      </c>
      <c r="D11" s="12" t="inlineStr">
        <is>
          <t>Code</t>
        </is>
      </c>
      <c r="E11" s="12" t="inlineStr">
        <is>
          <t>30</t>
        </is>
      </c>
      <c r="F11" s="12" t="inlineStr">
        <is>
          <t>Y</t>
        </is>
      </c>
      <c r="G11" s="12" t="inlineStr">
        <is>
          <t>Code map STATUS:REMITTANCE</t>
        </is>
      </c>
      <c r="H11" s="12" t="inlineStr">
        <is>
          <t>As stored in legacy</t>
        </is>
      </c>
      <c r="I11" s="12" t="inlineStr">
        <is>
          <t>ON_HOLD</t>
        </is>
      </c>
      <c r="J11" s="12" t="inlineStr">
        <is>
          <t>Mapped</t>
        </is>
      </c>
      <c r="K11" s="12" t="n"/>
      <c r="L11" s="12" t="n"/>
      <c r="M11" s="12" t="n"/>
      <c r="N11" s="25" t="n"/>
    </row>
    <row r="12">
      <c r="A12" s="12" t="n">
        <v>8</v>
      </c>
      <c r="B12" s="12" t="inlineStr">
        <is>
          <t>hold_reason</t>
        </is>
      </c>
      <c r="C12" s="12" t="inlineStr">
        <is>
          <t>Reason of the hold</t>
        </is>
      </c>
      <c r="D12" s="12" t="inlineStr">
        <is>
          <t>Text</t>
        </is>
      </c>
      <c r="E12" s="12" t="inlineStr">
        <is>
          <t>250</t>
        </is>
      </c>
      <c r="F12" s="12" t="inlineStr">
        <is>
          <t>C</t>
        </is>
      </c>
      <c r="G12" s="12" t="inlineStr"/>
      <c r="H12" s="12" t="inlineStr">
        <is>
          <t>Free text</t>
        </is>
      </c>
      <c r="I12" s="12" t="inlineStr">
        <is>
          <t>Pending negative endorsement</t>
        </is>
      </c>
      <c r="J12" s="12" t="inlineStr">
        <is>
          <t>Mandatory for HOLD</t>
        </is>
      </c>
      <c r="K12" s="12" t="n"/>
      <c r="L12" s="12" t="n"/>
      <c r="M12" s="12" t="n"/>
      <c r="N12" s="25" t="n"/>
    </row>
    <row r="13">
      <c r="A13" s="12" t="n">
        <v>9</v>
      </c>
      <c r="B13" s="12" t="inlineStr">
        <is>
          <t>hold_until</t>
        </is>
      </c>
      <c r="C13" s="12" t="inlineStr">
        <is>
          <t>End of the hold</t>
        </is>
      </c>
      <c r="D13" s="12" t="inlineStr">
        <is>
          <t>Date</t>
        </is>
      </c>
      <c r="E13" s="12" t="inlineStr">
        <is>
          <t>10</t>
        </is>
      </c>
      <c r="F13" s="12" t="inlineStr">
        <is>
          <t>N</t>
        </is>
      </c>
      <c r="G13" s="12" t="inlineStr"/>
      <c r="H13" s="12" t="inlineStr">
        <is>
          <t>yyyy-MM-dd</t>
        </is>
      </c>
      <c r="I13" s="12" t="inlineStr">
        <is>
          <t>2028-01-31</t>
        </is>
      </c>
      <c r="J13" s="12" t="inlineStr">
        <is>
          <t>Valid date</t>
        </is>
      </c>
      <c r="K13" s="12" t="n"/>
      <c r="L13" s="12" t="n"/>
      <c r="M13" s="12" t="n"/>
      <c r="N13" s="25" t="n"/>
    </row>
    <row r="14">
      <c r="A14" s="12" t="n">
        <v>10</v>
      </c>
      <c r="B14" s="12" t="inlineStr">
        <is>
          <t>requested_by_user_id</t>
        </is>
      </c>
      <c r="C14" s="12" t="inlineStr">
        <is>
          <t>Requester</t>
        </is>
      </c>
      <c r="D14" s="12" t="inlineStr">
        <is>
          <t>Code</t>
        </is>
      </c>
      <c r="E14" s="12" t="inlineStr">
        <is>
          <t>50</t>
        </is>
      </c>
      <c r="F14" s="12" t="inlineStr">
        <is>
          <t>N</t>
        </is>
      </c>
      <c r="G14" s="12" t="inlineStr">
        <is>
          <t>Code map USER</t>
        </is>
      </c>
      <c r="H14" s="12" t="inlineStr">
        <is>
          <t>As stored in legacy</t>
        </is>
      </c>
      <c r="I14" s="12" t="inlineStr">
        <is>
          <t>rtan</t>
        </is>
      </c>
      <c r="J14" s="12" t="inlineStr">
        <is>
          <t>Mapped</t>
        </is>
      </c>
      <c r="K14" s="12" t="n"/>
      <c r="L14" s="12" t="n"/>
      <c r="M14" s="12" t="n"/>
      <c r="N14" s="25" t="n"/>
    </row>
  </sheetData>
  <autoFilter ref="A4:N14"/>
  <mergeCells count="1">
    <mergeCell ref="A2:N2"/>
  </mergeCells>
  <conditionalFormatting sqref="A5:N514">
    <cfRule type="expression" priority="1" dxfId="0">
      <formula>AND(MOD(ROW(),2)=0,$A5&lt;&gt;"")</formula>
    </cfRule>
  </conditionalFormatting>
  <dataValidations count="3">
    <dataValidation sqref="F5:F514" showDropDown="0" showInputMessage="0" showErrorMessage="1" allowBlank="1" errorTitle="Mandatory" error="Choose a value from the list (Mandatory)." type="list">
      <formula1>'_lists'!$AX$1:$AX$3</formula1>
    </dataValidation>
    <dataValidation sqref="K5:K514" showDropDown="0" showInputMessage="0" showErrorMessage="1" allowBlank="1" errorTitle="BU review" error="Choose a value from the list (BU review)." type="list">
      <formula1>'_lists'!$AY$1:$AY$3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N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F06 PDCs, check pick-ups and re</t>
        </is>
      </c>
    </row>
    <row r="2">
      <c r="A2" s="22" t="inlineStr">
        <is>
          <t>Layout F06 v1 of object F06: PDCs, check pick-ups and refunds in process. Key record_type, reference. Template F06_template.csv.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item</t>
        </is>
      </c>
      <c r="D5" s="12" t="inlineStr">
        <is>
          <t>Code</t>
        </is>
      </c>
      <c r="E5" s="12" t="inlineStr">
        <is>
          <t>10</t>
        </is>
      </c>
      <c r="F5" s="12" t="inlineStr">
        <is>
          <t>Y</t>
        </is>
      </c>
      <c r="G5" s="12" t="inlineStr">
        <is>
          <t>PDC, PICKUP, REFUND</t>
        </is>
      </c>
      <c r="H5" s="12" t="inlineStr">
        <is>
          <t>Upper case</t>
        </is>
      </c>
      <c r="I5" s="12" t="inlineStr">
        <is>
          <t>PDC</t>
        </is>
      </c>
      <c r="J5" s="12" t="inlineStr">
        <is>
          <t>In the list</t>
        </is>
      </c>
      <c r="K5" s="12" t="n"/>
      <c r="L5" s="12" t="n"/>
      <c r="M5" s="12" t="n"/>
      <c r="N5" s="25" t="n"/>
    </row>
    <row r="6">
      <c r="A6" s="12" t="n">
        <v>2</v>
      </c>
      <c r="B6" s="12" t="inlineStr">
        <is>
          <t>reference</t>
        </is>
      </c>
      <c r="C6" s="12" t="inlineStr">
        <is>
          <t>Legacy reference of the item</t>
        </is>
      </c>
      <c r="D6" s="12" t="inlineStr">
        <is>
          <t>Text</t>
        </is>
      </c>
      <c r="E6" s="12" t="inlineStr">
        <is>
          <t>80</t>
        </is>
      </c>
      <c r="F6" s="12" t="inlineStr">
        <is>
          <t>Y</t>
        </is>
      </c>
      <c r="G6" s="12" t="inlineStr"/>
      <c r="H6" s="12" t="inlineStr">
        <is>
          <t>As stored in legacy</t>
        </is>
      </c>
      <c r="I6" s="12" t="inlineStr">
        <is>
          <t>PDC-2026-000345</t>
        </is>
      </c>
      <c r="J6" s="12" t="inlineStr">
        <is>
          <t>Unique per record type</t>
        </is>
      </c>
      <c r="K6" s="12" t="n"/>
      <c r="L6" s="12" t="n"/>
      <c r="M6" s="12" t="n"/>
      <c r="N6" s="25" t="n"/>
    </row>
    <row r="7">
      <c r="A7" s="12" t="n">
        <v>3</v>
      </c>
      <c r="B7" s="12" t="inlineStr">
        <is>
          <t>warehouse_no</t>
        </is>
      </c>
      <c r="C7" s="12" t="inlineStr">
        <is>
          <t>PDC warehouse number</t>
        </is>
      </c>
      <c r="D7" s="12" t="inlineStr">
        <is>
          <t>Text</t>
        </is>
      </c>
      <c r="E7" s="12" t="inlineStr">
        <is>
          <t>30</t>
        </is>
      </c>
      <c r="F7" s="12" t="inlineStr">
        <is>
          <t>C</t>
        </is>
      </c>
      <c r="G7" s="12" t="inlineStr"/>
      <c r="H7" s="12" t="inlineStr">
        <is>
          <t>As stored in legacy</t>
        </is>
      </c>
      <c r="I7" s="12" t="inlineStr">
        <is>
          <t>WH-02</t>
        </is>
      </c>
      <c r="J7" s="12" t="inlineStr">
        <is>
          <t>Mandatory for PDC</t>
        </is>
      </c>
      <c r="K7" s="12" t="n"/>
      <c r="L7" s="12" t="n"/>
      <c r="M7" s="12" t="n"/>
      <c r="N7" s="25" t="n"/>
    </row>
    <row r="8">
      <c r="A8" s="12" t="n">
        <v>4</v>
      </c>
      <c r="B8" s="12" t="inlineStr">
        <is>
          <t>check_no</t>
        </is>
      </c>
      <c r="C8" s="12" t="inlineStr">
        <is>
          <t>Check number</t>
        </is>
      </c>
      <c r="D8" s="12" t="inlineStr">
        <is>
          <t>Text</t>
        </is>
      </c>
      <c r="E8" s="12" t="inlineStr">
        <is>
          <t>40</t>
        </is>
      </c>
      <c r="F8" s="12" t="inlineStr">
        <is>
          <t>C</t>
        </is>
      </c>
      <c r="G8" s="12" t="inlineStr"/>
      <c r="H8" s="12" t="inlineStr">
        <is>
          <t>Digits</t>
        </is>
      </c>
      <c r="I8" s="12" t="inlineStr">
        <is>
          <t>0004567</t>
        </is>
      </c>
      <c r="J8" s="12" t="inlineStr">
        <is>
          <t>Mandatory for PDC and PICKUP</t>
        </is>
      </c>
      <c r="K8" s="12" t="n"/>
      <c r="L8" s="12" t="n"/>
      <c r="M8" s="12" t="n"/>
      <c r="N8" s="25" t="n"/>
    </row>
    <row r="9">
      <c r="A9" s="12" t="n">
        <v>5</v>
      </c>
      <c r="B9" s="12" t="inlineStr">
        <is>
          <t>bank_code</t>
        </is>
      </c>
      <c r="C9" s="12" t="inlineStr">
        <is>
          <t>Drawee bank</t>
        </is>
      </c>
      <c r="D9" s="12" t="inlineStr">
        <is>
          <t>Code</t>
        </is>
      </c>
      <c r="E9" s="12" t="inlineStr">
        <is>
          <t>30</t>
        </is>
      </c>
      <c r="F9" s="12" t="inlineStr">
        <is>
          <t>C</t>
        </is>
      </c>
      <c r="G9" s="12" t="inlineStr">
        <is>
          <t>Code map BANK</t>
        </is>
      </c>
      <c r="H9" s="12" t="inlineStr">
        <is>
          <t>As stored in legacy</t>
        </is>
      </c>
      <c r="I9" s="12" t="inlineStr">
        <is>
          <t>BPI</t>
        </is>
      </c>
      <c r="J9" s="12" t="inlineStr">
        <is>
          <t>Mandatory for PDC; mapped</t>
        </is>
      </c>
      <c r="K9" s="12" t="n"/>
      <c r="L9" s="12" t="n"/>
      <c r="M9" s="12" t="n"/>
      <c r="N9" s="25" t="n"/>
    </row>
    <row r="10">
      <c r="A10" s="12" t="n">
        <v>6</v>
      </c>
      <c r="B10" s="12" t="inlineStr">
        <is>
          <t>check_branch</t>
        </is>
      </c>
      <c r="C10" s="12" t="inlineStr">
        <is>
          <t>Drawee branch</t>
        </is>
      </c>
      <c r="D10" s="12" t="inlineStr">
        <is>
          <t>Text</t>
        </is>
      </c>
      <c r="E10" s="12" t="inlineStr">
        <is>
          <t>60</t>
        </is>
      </c>
      <c r="F10" s="12" t="inlineStr">
        <is>
          <t>N</t>
        </is>
      </c>
      <c r="G10" s="12" t="inlineStr"/>
      <c r="H10" s="12" t="inlineStr">
        <is>
          <t>Free text</t>
        </is>
      </c>
      <c r="I10" s="12" t="inlineStr">
        <is>
          <t>BPI Ortigas</t>
        </is>
      </c>
      <c r="J10" s="12" t="inlineStr"/>
      <c r="K10" s="12" t="n"/>
      <c r="L10" s="12" t="n"/>
      <c r="M10" s="12" t="n"/>
      <c r="N10" s="25" t="n"/>
    </row>
    <row r="11">
      <c r="A11" s="12" t="n">
        <v>7</v>
      </c>
      <c r="B11" s="12" t="inlineStr">
        <is>
          <t>check_date</t>
        </is>
      </c>
      <c r="C11" s="12" t="inlineStr">
        <is>
          <t>Check date or maturity date</t>
        </is>
      </c>
      <c r="D11" s="12" t="inlineStr">
        <is>
          <t>Date</t>
        </is>
      </c>
      <c r="E11" s="12" t="inlineStr">
        <is>
          <t>10</t>
        </is>
      </c>
      <c r="F11" s="12" t="inlineStr">
        <is>
          <t>C</t>
        </is>
      </c>
      <c r="G11" s="12" t="inlineStr"/>
      <c r="H11" s="12" t="inlineStr">
        <is>
          <t>yyyy-MM-dd</t>
        </is>
      </c>
      <c r="I11" s="12" t="inlineStr">
        <is>
          <t>2028-01-15</t>
        </is>
      </c>
      <c r="J11" s="12" t="inlineStr">
        <is>
          <t>Mandatory for PDC</t>
        </is>
      </c>
      <c r="K11" s="12" t="n"/>
      <c r="L11" s="12" t="n"/>
      <c r="M11" s="12" t="n"/>
      <c r="N11" s="25" t="n"/>
    </row>
    <row r="12">
      <c r="A12" s="12" t="n">
        <v>8</v>
      </c>
      <c r="B12" s="12" t="inlineStr">
        <is>
          <t>currency</t>
        </is>
      </c>
      <c r="C12" s="12" t="inlineStr">
        <is>
          <t>Currency</t>
        </is>
      </c>
      <c r="D12" s="12" t="inlineStr">
        <is>
          <t>Code</t>
        </is>
      </c>
      <c r="E12" s="12" t="inlineStr">
        <is>
          <t>3</t>
        </is>
      </c>
      <c r="F12" s="12" t="inlineStr">
        <is>
          <t>Y</t>
        </is>
      </c>
      <c r="G12" s="12" t="inlineStr">
        <is>
          <t>ISO 4217</t>
        </is>
      </c>
      <c r="H12" s="12" t="inlineStr">
        <is>
          <t>Upper case</t>
        </is>
      </c>
      <c r="I12" s="12" t="inlineStr">
        <is>
          <t>PHP</t>
        </is>
      </c>
      <c r="J12" s="12" t="inlineStr">
        <is>
          <t>Valid code</t>
        </is>
      </c>
      <c r="K12" s="12" t="n"/>
      <c r="L12" s="12" t="n"/>
      <c r="M12" s="12" t="n"/>
      <c r="N12" s="25" t="n"/>
    </row>
    <row r="13">
      <c r="A13" s="12" t="n">
        <v>9</v>
      </c>
      <c r="B13" s="12" t="inlineStr">
        <is>
          <t>amount</t>
        </is>
      </c>
      <c r="C13" s="12" t="inlineStr">
        <is>
          <t>Amount</t>
        </is>
      </c>
      <c r="D13" s="12" t="inlineStr">
        <is>
          <t>Amount</t>
        </is>
      </c>
      <c r="E13" s="12" t="inlineStr">
        <is>
          <t>19,2</t>
        </is>
      </c>
      <c r="F13" s="12" t="inlineStr">
        <is>
          <t>Y</t>
        </is>
      </c>
      <c r="G13" s="12" t="inlineStr"/>
      <c r="H13" s="12" t="inlineStr">
        <is>
          <t>Dot decimal, 2 decimals</t>
        </is>
      </c>
      <c r="I13" s="12" t="inlineStr">
        <is>
          <t>6000.00</t>
        </is>
      </c>
      <c r="J13" s="12" t="inlineStr">
        <is>
          <t>Above 0</t>
        </is>
      </c>
      <c r="K13" s="12" t="n"/>
      <c r="L13" s="12" t="n"/>
      <c r="M13" s="12" t="n"/>
      <c r="N13" s="25" t="n"/>
    </row>
    <row r="14">
      <c r="A14" s="12" t="n">
        <v>10</v>
      </c>
      <c r="B14" s="12" t="inlineStr">
        <is>
          <t>legacy_client_no</t>
        </is>
      </c>
      <c r="C14" s="12" t="inlineStr">
        <is>
          <t>Client</t>
        </is>
      </c>
      <c r="D14" s="12" t="inlineStr">
        <is>
          <t>Code</t>
        </is>
      </c>
      <c r="E14" s="12" t="inlineStr">
        <is>
          <t>30</t>
        </is>
      </c>
      <c r="F14" s="12" t="inlineStr">
        <is>
          <t>N</t>
        </is>
      </c>
      <c r="G14" s="12" t="inlineStr">
        <is>
          <t>legacy_client_no of C01</t>
        </is>
      </c>
      <c r="H14" s="12" t="inlineStr">
        <is>
          <t>As stored in legacy</t>
        </is>
      </c>
      <c r="I14" s="12" t="inlineStr">
        <is>
          <t>Q-0012345</t>
        </is>
      </c>
      <c r="J14" s="12" t="inlineStr">
        <is>
          <t>Client loaded when given</t>
        </is>
      </c>
      <c r="K14" s="12" t="n"/>
      <c r="L14" s="12" t="n"/>
      <c r="M14" s="12" t="n"/>
      <c r="N14" s="25" t="n"/>
    </row>
    <row r="15">
      <c r="A15" s="12" t="n">
        <v>11</v>
      </c>
      <c r="B15" s="12" t="inlineStr">
        <is>
          <t>payor_name</t>
        </is>
      </c>
      <c r="C15" s="12" t="inlineStr">
        <is>
          <t>Payor</t>
        </is>
      </c>
      <c r="D15" s="12" t="inlineStr">
        <is>
          <t>Text</t>
        </is>
      </c>
      <c r="E15" s="12" t="inlineStr">
        <is>
          <t>250</t>
        </is>
      </c>
      <c r="F15" s="12" t="inlineStr">
        <is>
          <t>Y</t>
        </is>
      </c>
      <c r="G15" s="12" t="inlineStr"/>
      <c r="H15" s="12" t="inlineStr">
        <is>
          <t>Free text</t>
        </is>
      </c>
      <c r="I15" s="12" t="inlineStr">
        <is>
          <t>Ana C. Reyes</t>
        </is>
      </c>
      <c r="J15" s="12" t="inlineStr">
        <is>
          <t>Not blank</t>
        </is>
      </c>
      <c r="K15" s="12" t="n"/>
      <c r="L15" s="12" t="n"/>
      <c r="M15" s="12" t="n"/>
      <c r="N15" s="25" t="n"/>
    </row>
    <row r="16">
      <c r="A16" s="12" t="n">
        <v>12</v>
      </c>
      <c r="B16" s="12" t="inlineStr">
        <is>
          <t>legacy_invoice_no</t>
        </is>
      </c>
      <c r="C16" s="12" t="inlineStr">
        <is>
          <t>Invoice the item pays or refunds</t>
        </is>
      </c>
      <c r="D16" s="12" t="inlineStr">
        <is>
          <t>Code</t>
        </is>
      </c>
      <c r="E16" s="12" t="inlineStr">
        <is>
          <t>40</t>
        </is>
      </c>
      <c r="F16" s="12" t="inlineStr">
        <is>
          <t>N</t>
        </is>
      </c>
      <c r="G16" s="12" t="inlineStr">
        <is>
          <t>legacy_invoice_no of F01</t>
        </is>
      </c>
      <c r="H16" s="12" t="inlineStr">
        <is>
          <t>As in F01</t>
        </is>
      </c>
      <c r="I16" s="12" t="inlineStr">
        <is>
          <t>I00123456</t>
        </is>
      </c>
      <c r="J16" s="12" t="inlineStr">
        <is>
          <t>Exists in F01 when given</t>
        </is>
      </c>
      <c r="K16" s="12" t="n"/>
      <c r="L16" s="12" t="n"/>
      <c r="M16" s="12" t="n"/>
      <c r="N16" s="25" t="n"/>
    </row>
    <row r="17">
      <c r="A17" s="12" t="n">
        <v>13</v>
      </c>
      <c r="B17" s="12" t="inlineStr">
        <is>
          <t>status</t>
        </is>
      </c>
      <c r="C17" s="12" t="inlineStr">
        <is>
          <t>Status in legacy</t>
        </is>
      </c>
      <c r="D17" s="12" t="inlineStr">
        <is>
          <t>Code</t>
        </is>
      </c>
      <c r="E17" s="12" t="inlineStr">
        <is>
          <t>20</t>
        </is>
      </c>
      <c r="F17" s="12" t="inlineStr">
        <is>
          <t>Y</t>
        </is>
      </c>
      <c r="G17" s="12" t="inlineStr">
        <is>
          <t>Code map STATUS:PDC</t>
        </is>
      </c>
      <c r="H17" s="12" t="inlineStr">
        <is>
          <t>As stored in legacy</t>
        </is>
      </c>
      <c r="I17" s="12" t="inlineStr">
        <is>
          <t>WAREHOUSED</t>
        </is>
      </c>
      <c r="J17" s="12" t="inlineStr">
        <is>
          <t>Mapped</t>
        </is>
      </c>
      <c r="K17" s="12" t="n"/>
      <c r="L17" s="12" t="n"/>
      <c r="M17" s="12" t="n"/>
      <c r="N17" s="25" t="n"/>
    </row>
    <row r="18">
      <c r="A18" s="12" t="n">
        <v>14</v>
      </c>
      <c r="B18" s="12" t="inlineStr">
        <is>
          <t>remarks</t>
        </is>
      </c>
      <c r="C18" s="12" t="inlineStr">
        <is>
          <t>Remarks</t>
        </is>
      </c>
      <c r="D18" s="12" t="inlineStr">
        <is>
          <t>Text</t>
        </is>
      </c>
      <c r="E18" s="12" t="inlineStr">
        <is>
          <t>250</t>
        </is>
      </c>
      <c r="F18" s="12" t="inlineStr">
        <is>
          <t>N</t>
        </is>
      </c>
      <c r="G18" s="12" t="inlineStr"/>
      <c r="H18" s="12" t="inlineStr">
        <is>
          <t>Free text</t>
        </is>
      </c>
      <c r="I18" s="12" t="inlineStr">
        <is>
          <t>Replacement check expected</t>
        </is>
      </c>
      <c r="J18" s="12" t="inlineStr"/>
      <c r="K18" s="12" t="n"/>
      <c r="L18" s="12" t="n"/>
      <c r="M18" s="12" t="n"/>
      <c r="N18" s="25" t="n"/>
    </row>
  </sheetData>
  <autoFilter ref="A4:N18"/>
  <mergeCells count="1">
    <mergeCell ref="A2:N2"/>
  </mergeCells>
  <conditionalFormatting sqref="A5:N518">
    <cfRule type="expression" priority="1" dxfId="0">
      <formula>AND(MOD(ROW(),2)=0,$A5&lt;&gt;"")</formula>
    </cfRule>
  </conditionalFormatting>
  <dataValidations count="3">
    <dataValidation sqref="F5:F518" showDropDown="0" showInputMessage="0" showErrorMessage="1" allowBlank="1" errorTitle="Mandatory" error="Choose a value from the list (Mandatory)." type="list">
      <formula1>'_lists'!$AZ$1:$AZ$3</formula1>
    </dataValidation>
    <dataValidation sqref="K5:K518" showDropDown="0" showInputMessage="0" showErrorMessage="1" allowBlank="1" errorTitle="BU review" error="Choose a value from the list (BU review)." type="list">
      <formula1>'_lists'!$BA$1:$BA$3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N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G01 GL opening trial balance</t>
        </is>
      </c>
    </row>
    <row r="2">
      <c r="A2" s="22" t="inlineStr">
        <is>
          <t>Layout G01 v1 of object G01: GL opening trial balance. Key tb_version, branch_code, currency, legacy_account_code, cost_center. Template G01_template.csv.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tb_version</t>
        </is>
      </c>
      <c r="C5" s="12" t="inlineStr">
        <is>
          <t>Version of the trial balance - PROVISIONAL at cut-over (preliminary December TB), then TU1, TU2... and FINAL (audited) at the true-ups</t>
        </is>
      </c>
      <c r="D5" s="12" t="inlineStr">
        <is>
          <t>Code</t>
        </is>
      </c>
      <c r="E5" s="12" t="inlineStr">
        <is>
          <t>12</t>
        </is>
      </c>
      <c r="F5" s="12" t="inlineStr">
        <is>
          <t>Y</t>
        </is>
      </c>
      <c r="G5" s="12" t="inlineStr">
        <is>
          <t>PROVISIONAL, TU1, TU2, TU3, FINAL</t>
        </is>
      </c>
      <c r="H5" s="12" t="inlineStr">
        <is>
          <t>Upper case</t>
        </is>
      </c>
      <c r="I5" s="12" t="inlineStr">
        <is>
          <t>PROVISIONAL</t>
        </is>
      </c>
      <c r="J5" s="12" t="inlineStr">
        <is>
          <t>In the list; one version per file</t>
        </is>
      </c>
      <c r="K5" s="12" t="n"/>
      <c r="L5" s="12" t="n"/>
      <c r="M5" s="12" t="n"/>
      <c r="N5" s="25" t="n"/>
    </row>
    <row r="6">
      <c r="A6" s="12" t="n">
        <v>2</v>
      </c>
      <c r="B6" s="12" t="inlineStr">
        <is>
          <t>as_of_date</t>
        </is>
      </c>
      <c r="C6" s="12" t="inlineStr">
        <is>
          <t>Trial balance date - 31-Dec-2027 for every version; the version says which adjustments it includes</t>
        </is>
      </c>
      <c r="D6" s="12" t="inlineStr">
        <is>
          <t>Date</t>
        </is>
      </c>
      <c r="E6" s="12" t="inlineStr">
        <is>
          <t>10</t>
        </is>
      </c>
      <c r="F6" s="12" t="inlineStr">
        <is>
          <t>Y</t>
        </is>
      </c>
      <c r="G6" s="12" t="inlineStr"/>
      <c r="H6" s="12" t="inlineStr">
        <is>
          <t>yyyy-MM-dd</t>
        </is>
      </c>
      <c r="I6" s="12" t="inlineStr">
        <is>
          <t>2027-12-31</t>
        </is>
      </c>
      <c r="J6" s="12" t="inlineStr">
        <is>
          <t>One date in the file</t>
        </is>
      </c>
      <c r="K6" s="12" t="n"/>
      <c r="L6" s="12" t="n"/>
      <c r="M6" s="12" t="n"/>
      <c r="N6" s="25" t="n"/>
    </row>
    <row r="7">
      <c r="A7" s="12" t="n">
        <v>3</v>
      </c>
      <c r="B7" s="12" t="inlineStr">
        <is>
          <t>branch_code</t>
        </is>
      </c>
      <c r="C7" s="12" t="inlineStr">
        <is>
          <t>Branch</t>
        </is>
      </c>
      <c r="D7" s="12" t="inlineStr">
        <is>
          <t>Code</t>
        </is>
      </c>
      <c r="E7" s="12" t="inlineStr">
        <is>
          <t>20</t>
        </is>
      </c>
      <c r="F7" s="12" t="inlineStr">
        <is>
          <t>Y</t>
        </is>
      </c>
      <c r="G7" s="12" t="inlineStr">
        <is>
          <t>Code map BRANCH</t>
        </is>
      </c>
      <c r="H7" s="12" t="inlineStr">
        <is>
          <t>As stored in legacy</t>
        </is>
      </c>
      <c r="I7" s="12" t="inlineStr">
        <is>
          <t>MKT01</t>
        </is>
      </c>
      <c r="J7" s="12" t="inlineStr">
        <is>
          <t>Mapped</t>
        </is>
      </c>
      <c r="K7" s="12" t="n"/>
      <c r="L7" s="12" t="n"/>
      <c r="M7" s="12" t="n"/>
      <c r="N7" s="25" t="n"/>
    </row>
    <row r="8">
      <c r="A8" s="12" t="n">
        <v>4</v>
      </c>
      <c r="B8" s="12" t="inlineStr">
        <is>
          <t>currency</t>
        </is>
      </c>
      <c r="C8" s="12" t="inlineStr">
        <is>
          <t>Account currency</t>
        </is>
      </c>
      <c r="D8" s="12" t="inlineStr">
        <is>
          <t>Code</t>
        </is>
      </c>
      <c r="E8" s="12" t="inlineStr">
        <is>
          <t>3</t>
        </is>
      </c>
      <c r="F8" s="12" t="inlineStr">
        <is>
          <t>Y</t>
        </is>
      </c>
      <c r="G8" s="12" t="inlineStr">
        <is>
          <t>ISO 4217</t>
        </is>
      </c>
      <c r="H8" s="12" t="inlineStr">
        <is>
          <t>Upper case</t>
        </is>
      </c>
      <c r="I8" s="12" t="inlineStr">
        <is>
          <t>USD</t>
        </is>
      </c>
      <c r="J8" s="12" t="inlineStr">
        <is>
          <t>Valid code</t>
        </is>
      </c>
      <c r="K8" s="12" t="n"/>
      <c r="L8" s="12" t="n"/>
      <c r="M8" s="12" t="n"/>
      <c r="N8" s="25" t="n"/>
    </row>
    <row r="9">
      <c r="A9" s="12" t="n">
        <v>5</v>
      </c>
      <c r="B9" s="12" t="inlineStr">
        <is>
          <t>legacy_account_code</t>
        </is>
      </c>
      <c r="C9" s="12" t="inlineStr">
        <is>
          <t>Legacy account</t>
        </is>
      </c>
      <c r="D9" s="12" t="inlineStr">
        <is>
          <t>Code</t>
        </is>
      </c>
      <c r="E9" s="12" t="inlineStr">
        <is>
          <t>30</t>
        </is>
      </c>
      <c r="F9" s="12" t="inlineStr">
        <is>
          <t>Y</t>
        </is>
      </c>
      <c r="G9" s="12" t="inlineStr">
        <is>
          <t>Code map GL_ACCOUNT</t>
        </is>
      </c>
      <c r="H9" s="12" t="inlineStr">
        <is>
          <t>As stored in legacy</t>
        </is>
      </c>
      <c r="I9" s="12" t="inlineStr">
        <is>
          <t>1101-02</t>
        </is>
      </c>
      <c r="J9" s="12" t="inlineStr">
        <is>
          <t>Mapped</t>
        </is>
      </c>
      <c r="K9" s="12" t="n"/>
      <c r="L9" s="12" t="n"/>
      <c r="M9" s="12" t="n"/>
      <c r="N9" s="25" t="n"/>
    </row>
    <row r="10">
      <c r="A10" s="12" t="n">
        <v>6</v>
      </c>
      <c r="B10" s="12" t="inlineStr">
        <is>
          <t>cost_center</t>
        </is>
      </c>
      <c r="C10" s="12" t="inlineStr">
        <is>
          <t>Cost centre</t>
        </is>
      </c>
      <c r="D10" s="12" t="inlineStr">
        <is>
          <t>Code</t>
        </is>
      </c>
      <c r="E10" s="12" t="inlineStr">
        <is>
          <t>20</t>
        </is>
      </c>
      <c r="F10" s="12" t="inlineStr">
        <is>
          <t>N</t>
        </is>
      </c>
      <c r="G10" s="12" t="inlineStr">
        <is>
          <t>Code map COST_CENTER</t>
        </is>
      </c>
      <c r="H10" s="12" t="inlineStr">
        <is>
          <t>As stored in legacy</t>
        </is>
      </c>
      <c r="I10" s="12" t="inlineStr">
        <is>
          <t>4100</t>
        </is>
      </c>
      <c r="J10" s="12" t="inlineStr">
        <is>
          <t>Mapped</t>
        </is>
      </c>
      <c r="K10" s="12" t="n"/>
      <c r="L10" s="12" t="n"/>
      <c r="M10" s="12" t="n"/>
      <c r="N10" s="25" t="n"/>
    </row>
    <row r="11">
      <c r="A11" s="12" t="n">
        <v>7</v>
      </c>
      <c r="B11" s="12" t="inlineStr">
        <is>
          <t>debit_fc</t>
        </is>
      </c>
      <c r="C11" s="12" t="inlineStr">
        <is>
          <t>Debit balance in the account currency</t>
        </is>
      </c>
      <c r="D11" s="12" t="inlineStr">
        <is>
          <t>Amount</t>
        </is>
      </c>
      <c r="E11" s="12" t="inlineStr">
        <is>
          <t>19,2</t>
        </is>
      </c>
      <c r="F11" s="12" t="inlineStr">
        <is>
          <t>Y</t>
        </is>
      </c>
      <c r="G11" s="12" t="inlineStr"/>
      <c r="H11" s="12" t="inlineStr">
        <is>
          <t>Dot decimal, 2 decimals</t>
        </is>
      </c>
      <c r="I11" s="12" t="inlineStr">
        <is>
          <t>12500.00</t>
        </is>
      </c>
      <c r="J11" s="12" t="inlineStr">
        <is>
          <t>0 or more; debit or credit, not both</t>
        </is>
      </c>
      <c r="K11" s="12" t="n"/>
      <c r="L11" s="12" t="n"/>
      <c r="M11" s="12" t="n"/>
      <c r="N11" s="25" t="n"/>
    </row>
    <row r="12">
      <c r="A12" s="12" t="n">
        <v>8</v>
      </c>
      <c r="B12" s="12" t="inlineStr">
        <is>
          <t>credit_fc</t>
        </is>
      </c>
      <c r="C12" s="12" t="inlineStr">
        <is>
          <t>Credit balance in the account currency</t>
        </is>
      </c>
      <c r="D12" s="12" t="inlineStr">
        <is>
          <t>Amount</t>
        </is>
      </c>
      <c r="E12" s="12" t="inlineStr">
        <is>
          <t>19,2</t>
        </is>
      </c>
      <c r="F12" s="12" t="inlineStr">
        <is>
          <t>Y</t>
        </is>
      </c>
      <c r="G12" s="12" t="inlineStr"/>
      <c r="H12" s="12" t="inlineStr">
        <is>
          <t>Dot decimal, 2 decimals</t>
        </is>
      </c>
      <c r="I12" s="12" t="inlineStr">
        <is>
          <t>0.00</t>
        </is>
      </c>
      <c r="J12" s="12" t="inlineStr">
        <is>
          <t>0 or more</t>
        </is>
      </c>
      <c r="K12" s="12" t="n"/>
      <c r="L12" s="12" t="n"/>
      <c r="M12" s="12" t="n"/>
      <c r="N12" s="25" t="n"/>
    </row>
    <row r="13">
      <c r="A13" s="12" t="n">
        <v>9</v>
      </c>
      <c r="B13" s="12" t="inlineStr">
        <is>
          <t>debit_php</t>
        </is>
      </c>
      <c r="C13" s="12" t="inlineStr">
        <is>
          <t>Debit balance in PHP</t>
        </is>
      </c>
      <c r="D13" s="12" t="inlineStr">
        <is>
          <t>Amount</t>
        </is>
      </c>
      <c r="E13" s="12" t="inlineStr">
        <is>
          <t>19,2</t>
        </is>
      </c>
      <c r="F13" s="12" t="inlineStr">
        <is>
          <t>Y</t>
        </is>
      </c>
      <c r="G13" s="12" t="inlineStr"/>
      <c r="H13" s="12" t="inlineStr">
        <is>
          <t>Dot decimal, 2 decimals</t>
        </is>
      </c>
      <c r="I13" s="12" t="inlineStr">
        <is>
          <t>701562.50</t>
        </is>
      </c>
      <c r="J13" s="12" t="inlineStr">
        <is>
          <t>0 or more</t>
        </is>
      </c>
      <c r="K13" s="12" t="n"/>
      <c r="L13" s="12" t="n"/>
      <c r="M13" s="12" t="n"/>
      <c r="N13" s="25" t="n"/>
    </row>
    <row r="14">
      <c r="A14" s="12" t="n">
        <v>10</v>
      </c>
      <c r="B14" s="12" t="inlineStr">
        <is>
          <t>credit_php</t>
        </is>
      </c>
      <c r="C14" s="12" t="inlineStr">
        <is>
          <t>Credit balance in PHP</t>
        </is>
      </c>
      <c r="D14" s="12" t="inlineStr">
        <is>
          <t>Amount</t>
        </is>
      </c>
      <c r="E14" s="12" t="inlineStr">
        <is>
          <t>19,2</t>
        </is>
      </c>
      <c r="F14" s="12" t="inlineStr">
        <is>
          <t>Y</t>
        </is>
      </c>
      <c r="G14" s="12" t="inlineStr"/>
      <c r="H14" s="12" t="inlineStr">
        <is>
          <t>Dot decimal, 2 decimals</t>
        </is>
      </c>
      <c r="I14" s="12" t="inlineStr">
        <is>
          <t>0.00</t>
        </is>
      </c>
      <c r="J14" s="12" t="inlineStr">
        <is>
          <t>0 or more</t>
        </is>
      </c>
      <c r="K14" s="12" t="n"/>
      <c r="L14" s="12" t="n"/>
      <c r="M14" s="12" t="n"/>
      <c r="N14" s="25" t="n"/>
    </row>
    <row r="15">
      <c r="A15" s="12" t="n">
        <v>11</v>
      </c>
      <c r="B15" s="12" t="inlineStr">
        <is>
          <t>fx_rate</t>
        </is>
      </c>
      <c r="C15" s="12" t="inlineStr">
        <is>
          <t>Rate used for the PHP amount</t>
        </is>
      </c>
      <c r="D15" s="12" t="inlineStr">
        <is>
          <t>Decimal</t>
        </is>
      </c>
      <c r="E15" s="12" t="inlineStr">
        <is>
          <t>12,6</t>
        </is>
      </c>
      <c r="F15" s="12" t="inlineStr">
        <is>
          <t>C</t>
        </is>
      </c>
      <c r="G15" s="12" t="inlineStr"/>
      <c r="H15" s="12" t="inlineStr">
        <is>
          <t>Dot decimal</t>
        </is>
      </c>
      <c r="I15" s="12" t="inlineStr">
        <is>
          <t>56.125000</t>
        </is>
      </c>
      <c r="J15" s="12" t="inlineStr">
        <is>
          <t>Mandatory when currency is not PHP</t>
        </is>
      </c>
      <c r="K15" s="12" t="n"/>
      <c r="L15" s="12" t="n"/>
      <c r="M15" s="12" t="n"/>
      <c r="N15" s="25" t="n"/>
    </row>
  </sheetData>
  <autoFilter ref="A4:N15"/>
  <mergeCells count="1">
    <mergeCell ref="A2:N2"/>
  </mergeCells>
  <conditionalFormatting sqref="A5:N515">
    <cfRule type="expression" priority="1" dxfId="0">
      <formula>AND(MOD(ROW(),2)=0,$A5&lt;&gt;"")</formula>
    </cfRule>
  </conditionalFormatting>
  <dataValidations count="3">
    <dataValidation sqref="F5:F515" showDropDown="0" showInputMessage="0" showErrorMessage="1" allowBlank="1" errorTitle="Mandatory" error="Choose a value from the list (Mandatory)." type="list">
      <formula1>'_lists'!$BB$1:$BB$3</formula1>
    </dataValidation>
    <dataValidation sqref="K5:K515" showDropDown="0" showInputMessage="0" showErrorMessage="1" allowBlank="1" errorTitle="BU review" error="Choose a value from the list (BU review)." type="list">
      <formula1>'_lists'!$BC$1:$BC$3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N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G03 FY2027 true-up - legacy adj</t>
        </is>
      </c>
    </row>
    <row r="2">
      <c r="A2" s="22" t="inlineStr">
        <is>
          <t>Layout G03 v1 of object G03: FY2027 true-up - legacy adjustment journal lines after the freeze. Key legacy_journal_no, line_no. Template G03_template.csv.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trueup_no</t>
        </is>
      </c>
      <c r="C5" s="12" t="inlineStr">
        <is>
          <t>True-up number - 1 after the legacy year-end close, 2 and 3 for interim true-ups, F for the final one after the audited FS</t>
        </is>
      </c>
      <c r="D5" s="12" t="inlineStr">
        <is>
          <t>Code</t>
        </is>
      </c>
      <c r="E5" s="12" t="inlineStr">
        <is>
          <t>2</t>
        </is>
      </c>
      <c r="F5" s="12" t="inlineStr">
        <is>
          <t>Y</t>
        </is>
      </c>
      <c r="G5" s="12" t="inlineStr">
        <is>
          <t>1, 2, 3, F</t>
        </is>
      </c>
      <c r="H5" s="12" t="inlineStr">
        <is>
          <t>As listed</t>
        </is>
      </c>
      <c r="I5" s="12" t="inlineStr">
        <is>
          <t>1</t>
        </is>
      </c>
      <c r="J5" s="12" t="inlineStr">
        <is>
          <t>In the list; one true-up per file</t>
        </is>
      </c>
      <c r="K5" s="12" t="n"/>
      <c r="L5" s="12" t="n"/>
      <c r="M5" s="12" t="n"/>
      <c r="N5" s="25" t="n"/>
    </row>
    <row r="6">
      <c r="A6" s="12" t="n">
        <v>2</v>
      </c>
      <c r="B6" s="12" t="inlineStr">
        <is>
          <t>legacy_journal_no</t>
        </is>
      </c>
      <c r="C6" s="12" t="inlineStr">
        <is>
          <t>Legacy journal voucher number</t>
        </is>
      </c>
      <c r="D6" s="12" t="inlineStr">
        <is>
          <t>Code</t>
        </is>
      </c>
      <c r="E6" s="12" t="inlineStr">
        <is>
          <t>30</t>
        </is>
      </c>
      <c r="F6" s="12" t="inlineStr">
        <is>
          <t>Y</t>
        </is>
      </c>
      <c r="G6" s="12" t="inlineStr"/>
      <c r="H6" s="12" t="inlineStr">
        <is>
          <t>As stored in legacy</t>
        </is>
      </c>
      <c r="I6" s="12" t="inlineStr">
        <is>
          <t>JV-2027-12-0457</t>
        </is>
      </c>
      <c r="J6" s="12" t="inlineStr">
        <is>
          <t>In the FY2027 adjustment register</t>
        </is>
      </c>
      <c r="K6" s="12" t="n"/>
      <c r="L6" s="12" t="n"/>
      <c r="M6" s="12" t="n"/>
      <c r="N6" s="25" t="n"/>
    </row>
    <row r="7">
      <c r="A7" s="12" t="n">
        <v>3</v>
      </c>
      <c r="B7" s="12" t="inlineStr">
        <is>
          <t>line_no</t>
        </is>
      </c>
      <c r="C7" s="12" t="inlineStr">
        <is>
          <t>Line of the legacy journal</t>
        </is>
      </c>
      <c r="D7" s="12" t="inlineStr">
        <is>
          <t>Integer</t>
        </is>
      </c>
      <c r="E7" s="12" t="inlineStr">
        <is>
          <t>4</t>
        </is>
      </c>
      <c r="F7" s="12" t="inlineStr">
        <is>
          <t>Y</t>
        </is>
      </c>
      <c r="G7" s="12" t="inlineStr"/>
      <c r="H7" s="12" t="inlineStr">
        <is>
          <t>Digits</t>
        </is>
      </c>
      <c r="I7" s="12" t="inlineStr">
        <is>
          <t>1</t>
        </is>
      </c>
      <c r="J7" s="12" t="inlineStr">
        <is>
          <t>Unique per journal</t>
        </is>
      </c>
      <c r="K7" s="12" t="n"/>
      <c r="L7" s="12" t="n"/>
      <c r="M7" s="12" t="n"/>
      <c r="N7" s="25" t="n"/>
    </row>
    <row r="8">
      <c r="A8" s="12" t="n">
        <v>4</v>
      </c>
      <c r="B8" s="12" t="inlineStr">
        <is>
          <t>legacy_journal_date</t>
        </is>
      </c>
      <c r="C8" s="12" t="inlineStr">
        <is>
          <t>Value date of the legacy journal</t>
        </is>
      </c>
      <c r="D8" s="12" t="inlineStr">
        <is>
          <t>Date</t>
        </is>
      </c>
      <c r="E8" s="12" t="inlineStr">
        <is>
          <t>10</t>
        </is>
      </c>
      <c r="F8" s="12" t="inlineStr">
        <is>
          <t>Y</t>
        </is>
      </c>
      <c r="G8" s="12" t="inlineStr"/>
      <c r="H8" s="12" t="inlineStr">
        <is>
          <t>yyyy-MM-dd</t>
        </is>
      </c>
      <c r="I8" s="12" t="inlineStr">
        <is>
          <t>2027-12-31</t>
        </is>
      </c>
      <c r="J8" s="12" t="inlineStr">
        <is>
          <t>From 1-Jan-2027 to 31-Dec-2027</t>
        </is>
      </c>
      <c r="K8" s="12" t="n"/>
      <c r="L8" s="12" t="n"/>
      <c r="M8" s="12" t="n"/>
      <c r="N8" s="25" t="n"/>
    </row>
    <row r="9">
      <c r="A9" s="12" t="n">
        <v>5</v>
      </c>
      <c r="B9" s="12" t="inlineStr">
        <is>
          <t>posted_at</t>
        </is>
      </c>
      <c r="C9" s="12" t="inlineStr">
        <is>
          <t>When the journal was posted in legacy</t>
        </is>
      </c>
      <c r="D9" s="12" t="inlineStr">
        <is>
          <t>Timestamp</t>
        </is>
      </c>
      <c r="E9" s="12" t="inlineStr">
        <is>
          <t>19</t>
        </is>
      </c>
      <c r="F9" s="12" t="inlineStr">
        <is>
          <t>Y</t>
        </is>
      </c>
      <c r="G9" s="12" t="inlineStr"/>
      <c r="H9" s="12" t="inlineStr">
        <is>
          <t>yyyy-MM-dd HH:mm:ss</t>
        </is>
      </c>
      <c r="I9" s="12" t="inlineStr">
        <is>
          <t>2028-01-14 10:22:05</t>
        </is>
      </c>
      <c r="J9" s="12" t="inlineStr">
        <is>
          <t>After the freeze (T-3 22:00)</t>
        </is>
      </c>
      <c r="K9" s="12" t="n"/>
      <c r="L9" s="12" t="n"/>
      <c r="M9" s="12" t="n"/>
      <c r="N9" s="25" t="n"/>
    </row>
    <row r="10">
      <c r="A10" s="12" t="n">
        <v>6</v>
      </c>
      <c r="B10" s="12" t="inlineStr">
        <is>
          <t>adjustment_kind</t>
        </is>
      </c>
      <c r="C10" s="12" t="inlineStr">
        <is>
          <t>Year-end closing or audit adjustment</t>
        </is>
      </c>
      <c r="D10" s="12" t="inlineStr">
        <is>
          <t>Code</t>
        </is>
      </c>
      <c r="E10" s="12" t="inlineStr">
        <is>
          <t>8</t>
        </is>
      </c>
      <c r="F10" s="12" t="inlineStr">
        <is>
          <t>Y</t>
        </is>
      </c>
      <c r="G10" s="12" t="inlineStr">
        <is>
          <t>CLOSING, AUDIT</t>
        </is>
      </c>
      <c r="H10" s="12" t="inlineStr">
        <is>
          <t>Upper case</t>
        </is>
      </c>
      <c r="I10" s="12" t="inlineStr">
        <is>
          <t>CLOSING</t>
        </is>
      </c>
      <c r="J10" s="12" t="inlineStr">
        <is>
          <t>In the list</t>
        </is>
      </c>
      <c r="K10" s="12" t="n"/>
      <c r="L10" s="12" t="n"/>
      <c r="M10" s="12" t="n"/>
      <c r="N10" s="25" t="n"/>
    </row>
    <row r="11">
      <c r="A11" s="12" t="n">
        <v>7</v>
      </c>
      <c r="B11" s="12" t="inlineStr">
        <is>
          <t>register_ref</t>
        </is>
      </c>
      <c r="C11" s="12" t="inlineStr">
        <is>
          <t>Reference of the journal in the FY2027 adjustment register</t>
        </is>
      </c>
      <c r="D11" s="12" t="inlineStr">
        <is>
          <t>Text</t>
        </is>
      </c>
      <c r="E11" s="12" t="inlineStr">
        <is>
          <t>20</t>
        </is>
      </c>
      <c r="F11" s="12" t="inlineStr">
        <is>
          <t>Y</t>
        </is>
      </c>
      <c r="G11" s="12" t="inlineStr"/>
      <c r="H11" s="12" t="inlineStr">
        <is>
          <t>As in the register</t>
        </is>
      </c>
      <c r="I11" s="12" t="inlineStr">
        <is>
          <t>ADJ-2027-014</t>
        </is>
      </c>
      <c r="J11" s="12" t="inlineStr">
        <is>
          <t>Exists in the register</t>
        </is>
      </c>
      <c r="K11" s="12" t="n"/>
      <c r="L11" s="12" t="n"/>
      <c r="M11" s="12" t="n"/>
      <c r="N11" s="25" t="n"/>
    </row>
    <row r="12">
      <c r="A12" s="12" t="n">
        <v>8</v>
      </c>
      <c r="B12" s="12" t="inlineStr">
        <is>
          <t>branch_code</t>
        </is>
      </c>
      <c r="C12" s="12" t="inlineStr">
        <is>
          <t>Branch</t>
        </is>
      </c>
      <c r="D12" s="12" t="inlineStr">
        <is>
          <t>Code</t>
        </is>
      </c>
      <c r="E12" s="12" t="inlineStr">
        <is>
          <t>20</t>
        </is>
      </c>
      <c r="F12" s="12" t="inlineStr">
        <is>
          <t>Y</t>
        </is>
      </c>
      <c r="G12" s="12" t="inlineStr">
        <is>
          <t>Code map BRANCH</t>
        </is>
      </c>
      <c r="H12" s="12" t="inlineStr">
        <is>
          <t>As stored in legacy</t>
        </is>
      </c>
      <c r="I12" s="12" t="inlineStr">
        <is>
          <t>MKT01</t>
        </is>
      </c>
      <c r="J12" s="12" t="inlineStr">
        <is>
          <t>Mapped</t>
        </is>
      </c>
      <c r="K12" s="12" t="n"/>
      <c r="L12" s="12" t="n"/>
      <c r="M12" s="12" t="n"/>
      <c r="N12" s="25" t="n"/>
    </row>
    <row r="13">
      <c r="A13" s="12" t="n">
        <v>9</v>
      </c>
      <c r="B13" s="12" t="inlineStr">
        <is>
          <t>currency</t>
        </is>
      </c>
      <c r="C13" s="12" t="inlineStr">
        <is>
          <t>Account currency</t>
        </is>
      </c>
      <c r="D13" s="12" t="inlineStr">
        <is>
          <t>Code</t>
        </is>
      </c>
      <c r="E13" s="12" t="inlineStr">
        <is>
          <t>3</t>
        </is>
      </c>
      <c r="F13" s="12" t="inlineStr">
        <is>
          <t>Y</t>
        </is>
      </c>
      <c r="G13" s="12" t="inlineStr">
        <is>
          <t>ISO 4217</t>
        </is>
      </c>
      <c r="H13" s="12" t="inlineStr">
        <is>
          <t>Upper case</t>
        </is>
      </c>
      <c r="I13" s="12" t="inlineStr">
        <is>
          <t>PHP</t>
        </is>
      </c>
      <c r="J13" s="12" t="inlineStr">
        <is>
          <t>Valid code</t>
        </is>
      </c>
      <c r="K13" s="12" t="n"/>
      <c r="L13" s="12" t="n"/>
      <c r="M13" s="12" t="n"/>
      <c r="N13" s="25" t="n"/>
    </row>
    <row r="14">
      <c r="A14" s="12" t="n">
        <v>10</v>
      </c>
      <c r="B14" s="12" t="inlineStr">
        <is>
          <t>legacy_account_code</t>
        </is>
      </c>
      <c r="C14" s="12" t="inlineStr">
        <is>
          <t>Legacy account</t>
        </is>
      </c>
      <c r="D14" s="12" t="inlineStr">
        <is>
          <t>Code</t>
        </is>
      </c>
      <c r="E14" s="12" t="inlineStr">
        <is>
          <t>30</t>
        </is>
      </c>
      <c r="F14" s="12" t="inlineStr">
        <is>
          <t>Y</t>
        </is>
      </c>
      <c r="G14" s="12" t="inlineStr">
        <is>
          <t>Code map GL_ACCOUNT</t>
        </is>
      </c>
      <c r="H14" s="12" t="inlineStr">
        <is>
          <t>As stored in legacy</t>
        </is>
      </c>
      <c r="I14" s="12" t="inlineStr">
        <is>
          <t>5120-01</t>
        </is>
      </c>
      <c r="J14" s="12" t="inlineStr">
        <is>
          <t>Mapped; a legacy control account needs G03D detail</t>
        </is>
      </c>
      <c r="K14" s="12" t="n"/>
      <c r="L14" s="12" t="n"/>
      <c r="M14" s="12" t="n"/>
      <c r="N14" s="25" t="n"/>
    </row>
    <row r="15">
      <c r="A15" s="12" t="n">
        <v>11</v>
      </c>
      <c r="B15" s="12" t="inlineStr">
        <is>
          <t>cost_center</t>
        </is>
      </c>
      <c r="C15" s="12" t="inlineStr">
        <is>
          <t>Cost centre</t>
        </is>
      </c>
      <c r="D15" s="12" t="inlineStr">
        <is>
          <t>Code</t>
        </is>
      </c>
      <c r="E15" s="12" t="inlineStr">
        <is>
          <t>20</t>
        </is>
      </c>
      <c r="F15" s="12" t="inlineStr">
        <is>
          <t>N</t>
        </is>
      </c>
      <c r="G15" s="12" t="inlineStr">
        <is>
          <t>Code map COST_CENTER</t>
        </is>
      </c>
      <c r="H15" s="12" t="inlineStr">
        <is>
          <t>As stored in legacy</t>
        </is>
      </c>
      <c r="I15" s="12" t="inlineStr">
        <is>
          <t>4100</t>
        </is>
      </c>
      <c r="J15" s="12" t="inlineStr">
        <is>
          <t>Mapped</t>
        </is>
      </c>
      <c r="K15" s="12" t="n"/>
      <c r="L15" s="12" t="n"/>
      <c r="M15" s="12" t="n"/>
      <c r="N15" s="25" t="n"/>
    </row>
    <row r="16">
      <c r="A16" s="12" t="n">
        <v>12</v>
      </c>
      <c r="B16" s="12" t="inlineStr">
        <is>
          <t>debit_fc</t>
        </is>
      </c>
      <c r="C16" s="12" t="inlineStr">
        <is>
          <t>Debit in the account currency</t>
        </is>
      </c>
      <c r="D16" s="12" t="inlineStr">
        <is>
          <t>Amount</t>
        </is>
      </c>
      <c r="E16" s="12" t="inlineStr">
        <is>
          <t>19,2</t>
        </is>
      </c>
      <c r="F16" s="12" t="inlineStr">
        <is>
          <t>Y</t>
        </is>
      </c>
      <c r="G16" s="12" t="inlineStr"/>
      <c r="H16" s="12" t="inlineStr">
        <is>
          <t>Dot decimal, 2 decimals</t>
        </is>
      </c>
      <c r="I16" s="12" t="inlineStr">
        <is>
          <t>80000.00</t>
        </is>
      </c>
      <c r="J16" s="12" t="inlineStr">
        <is>
          <t>0 or more; debit or credit, not both</t>
        </is>
      </c>
      <c r="K16" s="12" t="n"/>
      <c r="L16" s="12" t="n"/>
      <c r="M16" s="12" t="n"/>
      <c r="N16" s="25" t="n"/>
    </row>
    <row r="17">
      <c r="A17" s="12" t="n">
        <v>13</v>
      </c>
      <c r="B17" s="12" t="inlineStr">
        <is>
          <t>credit_fc</t>
        </is>
      </c>
      <c r="C17" s="12" t="inlineStr">
        <is>
          <t>Credit in the account currency</t>
        </is>
      </c>
      <c r="D17" s="12" t="inlineStr">
        <is>
          <t>Amount</t>
        </is>
      </c>
      <c r="E17" s="12" t="inlineStr">
        <is>
          <t>19,2</t>
        </is>
      </c>
      <c r="F17" s="12" t="inlineStr">
        <is>
          <t>Y</t>
        </is>
      </c>
      <c r="G17" s="12" t="inlineStr"/>
      <c r="H17" s="12" t="inlineStr">
        <is>
          <t>Dot decimal, 2 decimals</t>
        </is>
      </c>
      <c r="I17" s="12" t="inlineStr">
        <is>
          <t>0.00</t>
        </is>
      </c>
      <c r="J17" s="12" t="inlineStr">
        <is>
          <t>0 or more</t>
        </is>
      </c>
      <c r="K17" s="12" t="n"/>
      <c r="L17" s="12" t="n"/>
      <c r="M17" s="12" t="n"/>
      <c r="N17" s="25" t="n"/>
    </row>
    <row r="18">
      <c r="A18" s="12" t="n">
        <v>14</v>
      </c>
      <c r="B18" s="12" t="inlineStr">
        <is>
          <t>debit_php</t>
        </is>
      </c>
      <c r="C18" s="12" t="inlineStr">
        <is>
          <t>Debit in PHP</t>
        </is>
      </c>
      <c r="D18" s="12" t="inlineStr">
        <is>
          <t>Amount</t>
        </is>
      </c>
      <c r="E18" s="12" t="inlineStr">
        <is>
          <t>19,2</t>
        </is>
      </c>
      <c r="F18" s="12" t="inlineStr">
        <is>
          <t>Y</t>
        </is>
      </c>
      <c r="G18" s="12" t="inlineStr"/>
      <c r="H18" s="12" t="inlineStr">
        <is>
          <t>Dot decimal, 2 decimals</t>
        </is>
      </c>
      <c r="I18" s="12" t="inlineStr">
        <is>
          <t>80000.00</t>
        </is>
      </c>
      <c r="J18" s="12" t="inlineStr">
        <is>
          <t>0 or more; each journal balances per branch and currency</t>
        </is>
      </c>
      <c r="K18" s="12" t="n"/>
      <c r="L18" s="12" t="n"/>
      <c r="M18" s="12" t="n"/>
      <c r="N18" s="25" t="n"/>
    </row>
    <row r="19">
      <c r="A19" s="12" t="n">
        <v>15</v>
      </c>
      <c r="B19" s="12" t="inlineStr">
        <is>
          <t>credit_php</t>
        </is>
      </c>
      <c r="C19" s="12" t="inlineStr">
        <is>
          <t>Credit in PHP</t>
        </is>
      </c>
      <c r="D19" s="12" t="inlineStr">
        <is>
          <t>Amount</t>
        </is>
      </c>
      <c r="E19" s="12" t="inlineStr">
        <is>
          <t>19,2</t>
        </is>
      </c>
      <c r="F19" s="12" t="inlineStr">
        <is>
          <t>Y</t>
        </is>
      </c>
      <c r="G19" s="12" t="inlineStr"/>
      <c r="H19" s="12" t="inlineStr">
        <is>
          <t>Dot decimal, 2 decimals</t>
        </is>
      </c>
      <c r="I19" s="12" t="inlineStr">
        <is>
          <t>0.00</t>
        </is>
      </c>
      <c r="J19" s="12" t="inlineStr">
        <is>
          <t>0 or more</t>
        </is>
      </c>
      <c r="K19" s="12" t="n"/>
      <c r="L19" s="12" t="n"/>
      <c r="M19" s="12" t="n"/>
      <c r="N19" s="25" t="n"/>
    </row>
    <row r="20">
      <c r="A20" s="12" t="n">
        <v>16</v>
      </c>
      <c r="B20" s="12" t="inlineStr">
        <is>
          <t>fx_rate</t>
        </is>
      </c>
      <c r="C20" s="12" t="inlineStr">
        <is>
          <t>Rate used for the PHP amount</t>
        </is>
      </c>
      <c r="D20" s="12" t="inlineStr">
        <is>
          <t>Decimal</t>
        </is>
      </c>
      <c r="E20" s="12" t="inlineStr">
        <is>
          <t>12,6</t>
        </is>
      </c>
      <c r="F20" s="12" t="inlineStr">
        <is>
          <t>C</t>
        </is>
      </c>
      <c r="G20" s="12" t="inlineStr"/>
      <c r="H20" s="12" t="inlineStr">
        <is>
          <t>Dot decimal</t>
        </is>
      </c>
      <c r="I20" s="12" t="inlineStr">
        <is>
          <t>56.125000</t>
        </is>
      </c>
      <c r="J20" s="12" t="inlineStr">
        <is>
          <t>Mandatory when currency is not PHP</t>
        </is>
      </c>
      <c r="K20" s="12" t="n"/>
      <c r="L20" s="12" t="n"/>
      <c r="M20" s="12" t="n"/>
      <c r="N20" s="25" t="n"/>
    </row>
    <row r="21">
      <c r="A21" s="12" t="n">
        <v>17</v>
      </c>
      <c r="B21" s="12" t="inlineStr">
        <is>
          <t>description</t>
        </is>
      </c>
      <c r="C21" s="12" t="inlineStr">
        <is>
          <t>Journal line description</t>
        </is>
      </c>
      <c r="D21" s="12" t="inlineStr">
        <is>
          <t>Text</t>
        </is>
      </c>
      <c r="E21" s="12" t="inlineStr">
        <is>
          <t>250</t>
        </is>
      </c>
      <c r="F21" s="12" t="inlineStr">
        <is>
          <t>Y</t>
        </is>
      </c>
      <c r="G21" s="12" t="inlineStr"/>
      <c r="H21" s="12" t="inlineStr">
        <is>
          <t>Free text</t>
        </is>
      </c>
      <c r="I21" s="12" t="inlineStr">
        <is>
          <t>Accrual of December 2027 professional fees</t>
        </is>
      </c>
      <c r="J21" s="12" t="inlineStr">
        <is>
          <t>Not blank</t>
        </is>
      </c>
      <c r="K21" s="12" t="n"/>
      <c r="L21" s="12" t="n"/>
      <c r="M21" s="12" t="n"/>
      <c r="N21" s="25" t="n"/>
    </row>
    <row r="22">
      <c r="A22" s="12" t="n">
        <v>18</v>
      </c>
      <c r="B22" s="12" t="inlineStr">
        <is>
          <t>prepared_by</t>
        </is>
      </c>
      <c r="C22" s="12" t="inlineStr">
        <is>
          <t>Legacy user who prepared the journal</t>
        </is>
      </c>
      <c r="D22" s="12" t="inlineStr">
        <is>
          <t>Text</t>
        </is>
      </c>
      <c r="E22" s="12" t="inlineStr">
        <is>
          <t>50</t>
        </is>
      </c>
      <c r="F22" s="12" t="inlineStr">
        <is>
          <t>Y</t>
        </is>
      </c>
      <c r="G22" s="12" t="inlineStr"/>
      <c r="H22" s="12" t="inlineStr">
        <is>
          <t>As in legacy</t>
        </is>
      </c>
      <c r="I22" s="12" t="inlineStr">
        <is>
          <t>cmp.jdelacruz</t>
        </is>
      </c>
      <c r="J22" s="12" t="inlineStr">
        <is>
          <t>On the Comptrollership access list</t>
        </is>
      </c>
      <c r="K22" s="12" t="n"/>
      <c r="L22" s="12" t="n"/>
      <c r="M22" s="12" t="n"/>
      <c r="N22" s="25" t="n"/>
    </row>
    <row r="23">
      <c r="A23" s="12" t="n">
        <v>19</v>
      </c>
      <c r="B23" s="12" t="inlineStr">
        <is>
          <t>approved_by</t>
        </is>
      </c>
      <c r="C23" s="12" t="inlineStr">
        <is>
          <t>Legacy user who approved the journal</t>
        </is>
      </c>
      <c r="D23" s="12" t="inlineStr">
        <is>
          <t>Text</t>
        </is>
      </c>
      <c r="E23" s="12" t="inlineStr">
        <is>
          <t>50</t>
        </is>
      </c>
      <c r="F23" s="12" t="inlineStr">
        <is>
          <t>Y</t>
        </is>
      </c>
      <c r="G23" s="12" t="inlineStr"/>
      <c r="H23" s="12" t="inlineStr">
        <is>
          <t>As in legacy</t>
        </is>
      </c>
      <c r="I23" s="12" t="inlineStr">
        <is>
          <t>cmp.head</t>
        </is>
      </c>
      <c r="J23" s="12" t="inlineStr">
        <is>
          <t>On the access list; not the preparer</t>
        </is>
      </c>
      <c r="K23" s="12" t="n"/>
      <c r="L23" s="12" t="n"/>
      <c r="M23" s="12" t="n"/>
      <c r="N23" s="25" t="n"/>
    </row>
  </sheetData>
  <autoFilter ref="A4:N23"/>
  <mergeCells count="1">
    <mergeCell ref="A2:N2"/>
  </mergeCells>
  <conditionalFormatting sqref="A5:N523">
    <cfRule type="expression" priority="1" dxfId="0">
      <formula>AND(MOD(ROW(),2)=0,$A5&lt;&gt;"")</formula>
    </cfRule>
  </conditionalFormatting>
  <dataValidations count="3">
    <dataValidation sqref="F5:F523" showDropDown="0" showInputMessage="0" showErrorMessage="1" allowBlank="1" errorTitle="Mandatory" error="Choose a value from the list (Mandatory)." type="list">
      <formula1>'_lists'!$BD$1:$BD$3</formula1>
    </dataValidation>
    <dataValidation sqref="K5:K523" showDropDown="0" showInputMessage="0" showErrorMessage="1" allowBlank="1" errorTitle="BU review" error="Choose a value from the list (BU review)." type="list">
      <formula1>'_lists'!$BE$1:$BE$3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N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G03D FY2027 true-up - open-item</t>
        </is>
      </c>
    </row>
    <row r="2">
      <c r="A2" s="22" t="inlineStr">
        <is>
          <t>Layout G03D v1 of object G03: FY2027 true-up - open-item detail of the lines on legacy control accounts. Key legacy_journal_no, line_no, item_ref, component. Template G03D_template.csv.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trueup_no</t>
        </is>
      </c>
      <c r="C5" s="12" t="inlineStr">
        <is>
          <t>True-up number, as in G03</t>
        </is>
      </c>
      <c r="D5" s="12" t="inlineStr">
        <is>
          <t>Code</t>
        </is>
      </c>
      <c r="E5" s="12" t="inlineStr">
        <is>
          <t>2</t>
        </is>
      </c>
      <c r="F5" s="12" t="inlineStr">
        <is>
          <t>Y</t>
        </is>
      </c>
      <c r="G5" s="12" t="inlineStr">
        <is>
          <t>1, 2, 3, F</t>
        </is>
      </c>
      <c r="H5" s="12" t="inlineStr">
        <is>
          <t>As listed</t>
        </is>
      </c>
      <c r="I5" s="12" t="inlineStr">
        <is>
          <t>1</t>
        </is>
      </c>
      <c r="J5" s="12" t="inlineStr">
        <is>
          <t>Equals the G03 file</t>
        </is>
      </c>
      <c r="K5" s="12" t="n"/>
      <c r="L5" s="12" t="n"/>
      <c r="M5" s="12" t="n"/>
      <c r="N5" s="25" t="n"/>
    </row>
    <row r="6">
      <c r="A6" s="12" t="n">
        <v>2</v>
      </c>
      <c r="B6" s="12" t="inlineStr">
        <is>
          <t>legacy_journal_no</t>
        </is>
      </c>
      <c r="C6" s="12" t="inlineStr">
        <is>
          <t>Legacy journal of the line</t>
        </is>
      </c>
      <c r="D6" s="12" t="inlineStr">
        <is>
          <t>Code</t>
        </is>
      </c>
      <c r="E6" s="12" t="inlineStr">
        <is>
          <t>30</t>
        </is>
      </c>
      <c r="F6" s="12" t="inlineStr">
        <is>
          <t>Y</t>
        </is>
      </c>
      <c r="G6" s="12" t="inlineStr">
        <is>
          <t>legacy_journal_no of G03</t>
        </is>
      </c>
      <c r="H6" s="12" t="inlineStr">
        <is>
          <t>As in G03</t>
        </is>
      </c>
      <c r="I6" s="12" t="inlineStr">
        <is>
          <t>JV-2028-AUD-0003</t>
        </is>
      </c>
      <c r="J6" s="12" t="inlineStr">
        <is>
          <t>Exists in G03</t>
        </is>
      </c>
      <c r="K6" s="12" t="n"/>
      <c r="L6" s="12" t="n"/>
      <c r="M6" s="12" t="n"/>
      <c r="N6" s="25" t="n"/>
    </row>
    <row r="7">
      <c r="A7" s="12" t="n">
        <v>3</v>
      </c>
      <c r="B7" s="12" t="inlineStr">
        <is>
          <t>line_no</t>
        </is>
      </c>
      <c r="C7" s="12" t="inlineStr">
        <is>
          <t>Line of the legacy journal on the legacy control account</t>
        </is>
      </c>
      <c r="D7" s="12" t="inlineStr">
        <is>
          <t>Integer</t>
        </is>
      </c>
      <c r="E7" s="12" t="inlineStr">
        <is>
          <t>4</t>
        </is>
      </c>
      <c r="F7" s="12" t="inlineStr">
        <is>
          <t>Y</t>
        </is>
      </c>
      <c r="G7" s="12" t="inlineStr">
        <is>
          <t>line_no of G03</t>
        </is>
      </c>
      <c r="H7" s="12" t="inlineStr">
        <is>
          <t>Digits</t>
        </is>
      </c>
      <c r="I7" s="12" t="inlineStr">
        <is>
          <t>2</t>
        </is>
      </c>
      <c r="J7" s="12" t="inlineStr">
        <is>
          <t>Exists in G03; the line is on a legacy control account</t>
        </is>
      </c>
      <c r="K7" s="12" t="n"/>
      <c r="L7" s="12" t="n"/>
      <c r="M7" s="12" t="n"/>
      <c r="N7" s="25" t="n"/>
    </row>
    <row r="8">
      <c r="A8" s="12" t="n">
        <v>4</v>
      </c>
      <c r="B8" s="12" t="inlineStr">
        <is>
          <t>item_kind</t>
        </is>
      </c>
      <c r="C8" s="12" t="inlineStr">
        <is>
          <t>Legacy invoice or legacy UPP</t>
        </is>
      </c>
      <c r="D8" s="12" t="inlineStr">
        <is>
          <t>Code</t>
        </is>
      </c>
      <c r="E8" s="12" t="inlineStr">
        <is>
          <t>8</t>
        </is>
      </c>
      <c r="F8" s="12" t="inlineStr">
        <is>
          <t>Y</t>
        </is>
      </c>
      <c r="G8" s="12" t="inlineStr">
        <is>
          <t>INVOICE, UPP</t>
        </is>
      </c>
      <c r="H8" s="12" t="inlineStr">
        <is>
          <t>Upper case</t>
        </is>
      </c>
      <c r="I8" s="12" t="inlineStr">
        <is>
          <t>INVOICE</t>
        </is>
      </c>
      <c r="J8" s="12" t="inlineStr">
        <is>
          <t>In the list</t>
        </is>
      </c>
      <c r="K8" s="12" t="n"/>
      <c r="L8" s="12" t="n"/>
      <c r="M8" s="12" t="n"/>
      <c r="N8" s="25" t="n"/>
    </row>
    <row r="9">
      <c r="A9" s="12" t="n">
        <v>5</v>
      </c>
      <c r="B9" s="12" t="inlineStr">
        <is>
          <t>item_ref</t>
        </is>
      </c>
      <c r="C9" s="12" t="inlineStr">
        <is>
          <t>Legacy invoice number (F01) or UPP reference (F02)</t>
        </is>
      </c>
      <c r="D9" s="12" t="inlineStr">
        <is>
          <t>Code</t>
        </is>
      </c>
      <c r="E9" s="12" t="inlineStr">
        <is>
          <t>40</t>
        </is>
      </c>
      <c r="F9" s="12" t="inlineStr">
        <is>
          <t>Y</t>
        </is>
      </c>
      <c r="G9" s="12" t="inlineStr">
        <is>
          <t>legacy_invoice_no of F01 or legacy_upp_ref of F02</t>
        </is>
      </c>
      <c r="H9" s="12" t="inlineStr">
        <is>
          <t>As in F01 or F02</t>
        </is>
      </c>
      <c r="I9" s="12" t="inlineStr">
        <is>
          <t>I00300002</t>
        </is>
      </c>
      <c r="J9" s="12" t="inlineStr">
        <is>
          <t>Item loaded</t>
        </is>
      </c>
      <c r="K9" s="12" t="n"/>
      <c r="L9" s="12" t="n"/>
      <c r="M9" s="12" t="n"/>
      <c r="N9" s="25" t="n"/>
    </row>
    <row r="10">
      <c r="A10" s="12" t="n">
        <v>6</v>
      </c>
      <c r="B10" s="12" t="inlineStr">
        <is>
          <t>component</t>
        </is>
      </c>
      <c r="C10" s="12" t="inlineStr">
        <is>
          <t>Component adjusted (UPP for an unapplied item)</t>
        </is>
      </c>
      <c r="D10" s="12" t="inlineStr">
        <is>
          <t>Code</t>
        </is>
      </c>
      <c r="E10" s="12" t="inlineStr">
        <is>
          <t>20</t>
        </is>
      </c>
      <c r="F10" s="12" t="inlineStr">
        <is>
          <t>Y</t>
        </is>
      </c>
      <c r="G10" s="12" t="inlineStr">
        <is>
          <t>BASIC, DST, PREMIUM_TAX_VAT, LGT, FST, OTHER, DTIP, COMMISSION, COMMISSION_VAT, WTAX, PR2307, UNREALIZED, DEFERRED_VAT, UPP</t>
        </is>
      </c>
      <c r="H10" s="12" t="inlineStr">
        <is>
          <t>Upper case</t>
        </is>
      </c>
      <c r="I10" s="12" t="inlineStr">
        <is>
          <t>BASIC</t>
        </is>
      </c>
      <c r="J10" s="12" t="inlineStr">
        <is>
          <t>In the list</t>
        </is>
      </c>
      <c r="K10" s="12" t="n"/>
      <c r="L10" s="12" t="n"/>
      <c r="M10" s="12" t="n"/>
      <c r="N10" s="25" t="n"/>
    </row>
    <row r="11">
      <c r="A11" s="12" t="n">
        <v>7</v>
      </c>
      <c r="B11" s="12" t="inlineStr">
        <is>
          <t>movement</t>
        </is>
      </c>
      <c r="C11" s="12" t="inlineStr">
        <is>
          <t>Effect on the open item</t>
        </is>
      </c>
      <c r="D11" s="12" t="inlineStr">
        <is>
          <t>Code</t>
        </is>
      </c>
      <c r="E11" s="12" t="inlineStr">
        <is>
          <t>12</t>
        </is>
      </c>
      <c r="F11" s="12" t="inlineStr">
        <is>
          <t>Y</t>
        </is>
      </c>
      <c r="G11" s="12" t="inlineStr">
        <is>
          <t>ADJUSTED, WRITTEN_OFF</t>
        </is>
      </c>
      <c r="H11" s="12" t="inlineStr">
        <is>
          <t>Upper case</t>
        </is>
      </c>
      <c r="I11" s="12" t="inlineStr">
        <is>
          <t>WRITTEN_OFF</t>
        </is>
      </c>
      <c r="J11" s="12" t="inlineStr">
        <is>
          <t>In the list</t>
        </is>
      </c>
      <c r="K11" s="12" t="n"/>
      <c r="L11" s="12" t="n"/>
      <c r="M11" s="12" t="n"/>
      <c r="N11" s="25" t="n"/>
    </row>
    <row r="12">
      <c r="A12" s="12" t="n">
        <v>8</v>
      </c>
      <c r="B12" s="12" t="inlineStr">
        <is>
          <t>currency</t>
        </is>
      </c>
      <c r="C12" s="12" t="inlineStr">
        <is>
          <t>Currency of the item</t>
        </is>
      </c>
      <c r="D12" s="12" t="inlineStr">
        <is>
          <t>Code</t>
        </is>
      </c>
      <c r="E12" s="12" t="inlineStr">
        <is>
          <t>3</t>
        </is>
      </c>
      <c r="F12" s="12" t="inlineStr">
        <is>
          <t>Y</t>
        </is>
      </c>
      <c r="G12" s="12" t="inlineStr">
        <is>
          <t>ISO 4217</t>
        </is>
      </c>
      <c r="H12" s="12" t="inlineStr">
        <is>
          <t>Upper case</t>
        </is>
      </c>
      <c r="I12" s="12" t="inlineStr">
        <is>
          <t>PHP</t>
        </is>
      </c>
      <c r="J12" s="12" t="inlineStr">
        <is>
          <t>Equals the item currency</t>
        </is>
      </c>
      <c r="K12" s="12" t="n"/>
      <c r="L12" s="12" t="n"/>
      <c r="M12" s="12" t="n"/>
      <c r="N12" s="25" t="n"/>
    </row>
    <row r="13">
      <c r="A13" s="12" t="n">
        <v>9</v>
      </c>
      <c r="B13" s="12" t="inlineStr">
        <is>
          <t>amount</t>
        </is>
      </c>
      <c r="C13" s="12" t="inlineStr">
        <is>
          <t>Change of the open balance - positive raises it, negative lowers it</t>
        </is>
      </c>
      <c r="D13" s="12" t="inlineStr">
        <is>
          <t>Amount</t>
        </is>
      </c>
      <c r="E13" s="12" t="inlineStr">
        <is>
          <t>19,2</t>
        </is>
      </c>
      <c r="F13" s="12" t="inlineStr">
        <is>
          <t>Y</t>
        </is>
      </c>
      <c r="G13" s="12" t="inlineStr"/>
      <c r="H13" s="12" t="inlineStr">
        <is>
          <t>Dot decimal, 2 decimals</t>
        </is>
      </c>
      <c r="I13" s="12" t="inlineStr">
        <is>
          <t>-3000.00</t>
        </is>
      </c>
      <c r="J13" s="12" t="inlineStr">
        <is>
          <t>Open balance stays within 0 and booked + adjusted; detail per account equals the G03 line</t>
        </is>
      </c>
      <c r="K13" s="12" t="n"/>
      <c r="L13" s="12" t="n"/>
      <c r="M13" s="12" t="n"/>
      <c r="N13" s="25" t="n"/>
    </row>
    <row r="14">
      <c r="A14" s="12" t="n">
        <v>10</v>
      </c>
      <c r="B14" s="12" t="inlineStr">
        <is>
          <t>reason</t>
        </is>
      </c>
      <c r="C14" s="12" t="inlineStr">
        <is>
          <t>Reason or audit finding</t>
        </is>
      </c>
      <c r="D14" s="12" t="inlineStr">
        <is>
          <t>Text</t>
        </is>
      </c>
      <c r="E14" s="12" t="inlineStr">
        <is>
          <t>250</t>
        </is>
      </c>
      <c r="F14" s="12" t="inlineStr">
        <is>
          <t>Y</t>
        </is>
      </c>
      <c r="G14" s="12" t="inlineStr"/>
      <c r="H14" s="12" t="inlineStr">
        <is>
          <t>Free text</t>
        </is>
      </c>
      <c r="I14" s="12" t="inlineStr">
        <is>
          <t>Audit finding 7 - uncollectible premium written off</t>
        </is>
      </c>
      <c r="J14" s="12" t="inlineStr">
        <is>
          <t>Not blank</t>
        </is>
      </c>
      <c r="K14" s="12" t="n"/>
      <c r="L14" s="12" t="n"/>
      <c r="M14" s="12" t="n"/>
      <c r="N14" s="25" t="n"/>
    </row>
  </sheetData>
  <autoFilter ref="A4:N14"/>
  <mergeCells count="1">
    <mergeCell ref="A2:N2"/>
  </mergeCells>
  <conditionalFormatting sqref="A5:N514">
    <cfRule type="expression" priority="1" dxfId="0">
      <formula>AND(MOD(ROW(),2)=0,$A5&lt;&gt;"")</formula>
    </cfRule>
  </conditionalFormatting>
  <dataValidations count="3">
    <dataValidation sqref="F5:F514" showDropDown="0" showInputMessage="0" showErrorMessage="1" allowBlank="1" errorTitle="Mandatory" error="Choose a value from the list (Mandatory)." type="list">
      <formula1>'_lists'!$BF$1:$BF$3</formula1>
    </dataValidation>
    <dataValidation sqref="K5:K514" showDropDown="0" showInputMessage="0" showErrorMessage="1" allowBlank="1" errorTitle="BU review" error="Choose a value from the list (BU review)." type="list">
      <formula1>'_lists'!$BG$1:$BG$3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H01 Archive records (closed tra</t>
        </is>
      </c>
    </row>
    <row r="2">
      <c r="A2" s="22" t="inlineStr">
        <is>
          <t>Layout H01 v1 of object H01: Archive records (closed transactions and history). Key record_type, legacy_key. Template H01_template.csv.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record</t>
        </is>
      </c>
      <c r="D5" s="12" t="inlineStr">
        <is>
          <t>Code</t>
        </is>
      </c>
      <c r="E5" s="12" t="inlineStr">
        <is>
          <t>20</t>
        </is>
      </c>
      <c r="F5" s="12" t="inlineStr">
        <is>
          <t>Y</t>
        </is>
      </c>
      <c r="G5" s="12" t="inlineStr">
        <is>
          <t>CLIENT, POLICY, INVOICE, RECEIPT, REMITTANCE, ENDORSEMENT, CLAIM, GL_JOURNAL, RENEWAL_ADVICE, LETTER, OTHER</t>
        </is>
      </c>
      <c r="H5" s="12" t="inlineStr">
        <is>
          <t>Upper case</t>
        </is>
      </c>
      <c r="I5" s="12" t="inlineStr">
        <is>
          <t>INVOICE</t>
        </is>
      </c>
      <c r="J5" s="12" t="inlineStr">
        <is>
          <t>In the list</t>
        </is>
      </c>
      <c r="K5" s="12" t="n"/>
      <c r="L5" s="12" t="n"/>
      <c r="M5" s="12" t="n"/>
      <c r="N5" s="25" t="n"/>
    </row>
    <row r="6">
      <c r="A6" s="12" t="n">
        <v>2</v>
      </c>
      <c r="B6" s="12" t="inlineStr">
        <is>
          <t>legacy_key</t>
        </is>
      </c>
      <c r="C6" s="12" t="inlineStr">
        <is>
          <t>Unique key of the record in the source</t>
        </is>
      </c>
      <c r="D6" s="12" t="inlineStr">
        <is>
          <t>Code</t>
        </is>
      </c>
      <c r="E6" s="12" t="inlineStr">
        <is>
          <t>80</t>
        </is>
      </c>
      <c r="F6" s="12" t="inlineStr">
        <is>
          <t>Y</t>
        </is>
      </c>
      <c r="G6" s="12" t="inlineStr"/>
      <c r="H6" s="12" t="inlineStr">
        <is>
          <t>As stored in legacy</t>
        </is>
      </c>
      <c r="I6" s="12" t="inlineStr">
        <is>
          <t>I00098765</t>
        </is>
      </c>
      <c r="J6" s="12" t="inlineStr">
        <is>
          <t>Unique per record type</t>
        </is>
      </c>
      <c r="K6" s="12" t="n"/>
      <c r="L6" s="12" t="n"/>
      <c r="M6" s="12" t="n"/>
      <c r="N6" s="25" t="n"/>
    </row>
    <row r="7">
      <c r="A7" s="12" t="n">
        <v>3</v>
      </c>
      <c r="B7" s="12" t="inlineStr">
        <is>
          <t>legacy_client_no</t>
        </is>
      </c>
      <c r="C7" s="12" t="inlineStr">
        <is>
          <t>Client number</t>
        </is>
      </c>
      <c r="D7" s="12" t="inlineStr">
        <is>
          <t>Code</t>
        </is>
      </c>
      <c r="E7" s="12" t="inlineStr">
        <is>
          <t>30</t>
        </is>
      </c>
      <c r="F7" s="12" t="inlineStr">
        <is>
          <t>N</t>
        </is>
      </c>
      <c r="G7" s="12" t="inlineStr"/>
      <c r="H7" s="12" t="inlineStr">
        <is>
          <t>As stored in legacy</t>
        </is>
      </c>
      <c r="I7" s="12" t="inlineStr">
        <is>
          <t>Q-0012345</t>
        </is>
      </c>
      <c r="J7" s="12" t="inlineStr"/>
      <c r="K7" s="12" t="n"/>
      <c r="L7" s="12" t="n"/>
      <c r="M7" s="12" t="n"/>
      <c r="N7" s="25" t="n"/>
    </row>
    <row r="8">
      <c r="A8" s="12" t="n">
        <v>4</v>
      </c>
      <c r="B8" s="12" t="inlineStr">
        <is>
          <t>client_name</t>
        </is>
      </c>
      <c r="C8" s="12" t="inlineStr">
        <is>
          <t>Client name</t>
        </is>
      </c>
      <c r="D8" s="12" t="inlineStr">
        <is>
          <t>Text</t>
        </is>
      </c>
      <c r="E8" s="12" t="inlineStr">
        <is>
          <t>250</t>
        </is>
      </c>
      <c r="F8" s="12" t="inlineStr">
        <is>
          <t>N</t>
        </is>
      </c>
      <c r="G8" s="12" t="inlineStr"/>
      <c r="H8" s="12" t="inlineStr">
        <is>
          <t>Free text</t>
        </is>
      </c>
      <c r="I8" s="12" t="inlineStr">
        <is>
          <t>Ana C. Reyes</t>
        </is>
      </c>
      <c r="J8" s="12" t="inlineStr"/>
      <c r="K8" s="12" t="n"/>
      <c r="L8" s="12" t="n"/>
      <c r="M8" s="12" t="n"/>
      <c r="N8" s="25" t="n"/>
    </row>
    <row r="9">
      <c r="A9" s="12" t="n">
        <v>5</v>
      </c>
      <c r="B9" s="12" t="inlineStr">
        <is>
          <t>policy_no</t>
        </is>
      </c>
      <c r="C9" s="12" t="inlineStr">
        <is>
          <t>Policy or cover number</t>
        </is>
      </c>
      <c r="D9" s="12" t="inlineStr">
        <is>
          <t>Text</t>
        </is>
      </c>
      <c r="E9" s="12" t="inlineStr">
        <is>
          <t>60</t>
        </is>
      </c>
      <c r="F9" s="12" t="inlineStr">
        <is>
          <t>N</t>
        </is>
      </c>
      <c r="G9" s="12" t="inlineStr"/>
      <c r="H9" s="12" t="inlineStr">
        <is>
          <t>As stored in legacy</t>
        </is>
      </c>
      <c r="I9" s="12" t="inlineStr">
        <is>
          <t>MC-PC-22-0004567</t>
        </is>
      </c>
      <c r="J9" s="12" t="inlineStr"/>
      <c r="K9" s="12" t="n"/>
      <c r="L9" s="12" t="n"/>
      <c r="M9" s="12" t="n"/>
      <c r="N9" s="25" t="n"/>
    </row>
    <row r="10">
      <c r="A10" s="12" t="n">
        <v>6</v>
      </c>
      <c r="B10" s="12" t="inlineStr">
        <is>
          <t>invoice_no</t>
        </is>
      </c>
      <c r="C10" s="12" t="inlineStr">
        <is>
          <t>Invoice number</t>
        </is>
      </c>
      <c r="D10" s="12" t="inlineStr">
        <is>
          <t>Text</t>
        </is>
      </c>
      <c r="E10" s="12" t="inlineStr">
        <is>
          <t>40</t>
        </is>
      </c>
      <c r="F10" s="12" t="inlineStr">
        <is>
          <t>N</t>
        </is>
      </c>
      <c r="G10" s="12" t="inlineStr"/>
      <c r="H10" s="12" t="inlineStr">
        <is>
          <t>As stored in legacy</t>
        </is>
      </c>
      <c r="I10" s="12" t="inlineStr">
        <is>
          <t>I00098765</t>
        </is>
      </c>
      <c r="J10" s="12" t="inlineStr"/>
      <c r="K10" s="12" t="n"/>
      <c r="L10" s="12" t="n"/>
      <c r="M10" s="12" t="n"/>
      <c r="N10" s="25" t="n"/>
    </row>
    <row r="11">
      <c r="A11" s="12" t="n">
        <v>7</v>
      </c>
      <c r="B11" s="12" t="inlineStr">
        <is>
          <t>receipt_no</t>
        </is>
      </c>
      <c r="C11" s="12" t="inlineStr">
        <is>
          <t>AR or OR number</t>
        </is>
      </c>
      <c r="D11" s="12" t="inlineStr">
        <is>
          <t>Text</t>
        </is>
      </c>
      <c r="E11" s="12" t="inlineStr">
        <is>
          <t>40</t>
        </is>
      </c>
      <c r="F11" s="12" t="inlineStr">
        <is>
          <t>N</t>
        </is>
      </c>
      <c r="G11" s="12" t="inlineStr"/>
      <c r="H11" s="12" t="inlineStr">
        <is>
          <t>As printed</t>
        </is>
      </c>
      <c r="I11" s="12" t="inlineStr">
        <is>
          <t>AR-MKT-098001</t>
        </is>
      </c>
      <c r="J11" s="12" t="inlineStr"/>
      <c r="K11" s="12" t="n"/>
      <c r="L11" s="12" t="n"/>
      <c r="M11" s="12" t="n"/>
      <c r="N11" s="25" t="n"/>
    </row>
    <row r="12">
      <c r="A12" s="12" t="n">
        <v>8</v>
      </c>
      <c r="B12" s="12" t="inlineStr">
        <is>
          <t>claim_no</t>
        </is>
      </c>
      <c r="C12" s="12" t="inlineStr">
        <is>
          <t>Claim number</t>
        </is>
      </c>
      <c r="D12" s="12" t="inlineStr">
        <is>
          <t>Text</t>
        </is>
      </c>
      <c r="E12" s="12" t="inlineStr">
        <is>
          <t>40</t>
        </is>
      </c>
      <c r="F12" s="12" t="inlineStr">
        <is>
          <t>N</t>
        </is>
      </c>
      <c r="G12" s="12" t="inlineStr"/>
      <c r="H12" s="12" t="inlineStr">
        <is>
          <t>As stored in legacy</t>
        </is>
      </c>
      <c r="I12" s="12" t="inlineStr">
        <is>
          <t>CL-2023-000456</t>
        </is>
      </c>
      <c r="J12" s="12" t="inlineStr"/>
      <c r="K12" s="12" t="n"/>
      <c r="L12" s="12" t="n"/>
      <c r="M12" s="12" t="n"/>
      <c r="N12" s="25" t="n"/>
    </row>
    <row r="13">
      <c r="A13" s="12" t="n">
        <v>9</v>
      </c>
      <c r="B13" s="12" t="inlineStr">
        <is>
          <t>document_date</t>
        </is>
      </c>
      <c r="C13" s="12" t="inlineStr">
        <is>
          <t>Date of the record</t>
        </is>
      </c>
      <c r="D13" s="12" t="inlineStr">
        <is>
          <t>Date</t>
        </is>
      </c>
      <c r="E13" s="12" t="inlineStr">
        <is>
          <t>10</t>
        </is>
      </c>
      <c r="F13" s="12" t="inlineStr">
        <is>
          <t>Y</t>
        </is>
      </c>
      <c r="G13" s="12" t="inlineStr"/>
      <c r="H13" s="12" t="inlineStr">
        <is>
          <t>yyyy-MM-dd</t>
        </is>
      </c>
      <c r="I13" s="12" t="inlineStr">
        <is>
          <t>2022-05-10</t>
        </is>
      </c>
      <c r="J13" s="12" t="inlineStr">
        <is>
          <t>Valid date</t>
        </is>
      </c>
      <c r="K13" s="12" t="n"/>
      <c r="L13" s="12" t="n"/>
      <c r="M13" s="12" t="n"/>
      <c r="N13" s="25" t="n"/>
    </row>
    <row r="14">
      <c r="A14" s="12" t="n">
        <v>10</v>
      </c>
      <c r="B14" s="12" t="inlineStr">
        <is>
          <t>period_from</t>
        </is>
      </c>
      <c r="C14" s="12" t="inlineStr">
        <is>
          <t>Period from</t>
        </is>
      </c>
      <c r="D14" s="12" t="inlineStr">
        <is>
          <t>Date</t>
        </is>
      </c>
      <c r="E14" s="12" t="inlineStr">
        <is>
          <t>10</t>
        </is>
      </c>
      <c r="F14" s="12" t="inlineStr">
        <is>
          <t>N</t>
        </is>
      </c>
      <c r="G14" s="12" t="inlineStr"/>
      <c r="H14" s="12" t="inlineStr">
        <is>
          <t>yyyy-MM-dd</t>
        </is>
      </c>
      <c r="I14" s="12" t="inlineStr">
        <is>
          <t>2022-05-15</t>
        </is>
      </c>
      <c r="J14" s="12" t="inlineStr">
        <is>
          <t>Valid date</t>
        </is>
      </c>
      <c r="K14" s="12" t="n"/>
      <c r="L14" s="12" t="n"/>
      <c r="M14" s="12" t="n"/>
      <c r="N14" s="25" t="n"/>
    </row>
    <row r="15">
      <c r="A15" s="12" t="n">
        <v>11</v>
      </c>
      <c r="B15" s="12" t="inlineStr">
        <is>
          <t>period_to</t>
        </is>
      </c>
      <c r="C15" s="12" t="inlineStr">
        <is>
          <t>Period to</t>
        </is>
      </c>
      <c r="D15" s="12" t="inlineStr">
        <is>
          <t>Date</t>
        </is>
      </c>
      <c r="E15" s="12" t="inlineStr">
        <is>
          <t>10</t>
        </is>
      </c>
      <c r="F15" s="12" t="inlineStr">
        <is>
          <t>N</t>
        </is>
      </c>
      <c r="G15" s="12" t="inlineStr"/>
      <c r="H15" s="12" t="inlineStr">
        <is>
          <t>yyyy-MM-dd</t>
        </is>
      </c>
      <c r="I15" s="12" t="inlineStr">
        <is>
          <t>2023-05-15</t>
        </is>
      </c>
      <c r="J15" s="12" t="inlineStr">
        <is>
          <t>Not before period_from</t>
        </is>
      </c>
      <c r="K15" s="12" t="n"/>
      <c r="L15" s="12" t="n"/>
      <c r="M15" s="12" t="n"/>
      <c r="N15" s="25" t="n"/>
    </row>
    <row r="16">
      <c r="A16" s="12" t="n">
        <v>12</v>
      </c>
      <c r="B16" s="12" t="inlineStr">
        <is>
          <t>currency</t>
        </is>
      </c>
      <c r="C16" s="12" t="inlineStr">
        <is>
          <t>Currency</t>
        </is>
      </c>
      <c r="D16" s="12" t="inlineStr">
        <is>
          <t>Code</t>
        </is>
      </c>
      <c r="E16" s="12" t="inlineStr">
        <is>
          <t>3</t>
        </is>
      </c>
      <c r="F16" s="12" t="inlineStr">
        <is>
          <t>N</t>
        </is>
      </c>
      <c r="G16" s="12" t="inlineStr">
        <is>
          <t>ISO 4217</t>
        </is>
      </c>
      <c r="H16" s="12" t="inlineStr">
        <is>
          <t>Upper case</t>
        </is>
      </c>
      <c r="I16" s="12" t="inlineStr">
        <is>
          <t>PHP</t>
        </is>
      </c>
      <c r="J16" s="12" t="inlineStr">
        <is>
          <t>Valid code</t>
        </is>
      </c>
      <c r="K16" s="12" t="n"/>
      <c r="L16" s="12" t="n"/>
      <c r="M16" s="12" t="n"/>
      <c r="N16" s="25" t="n"/>
    </row>
    <row r="17">
      <c r="A17" s="12" t="n">
        <v>13</v>
      </c>
      <c r="B17" s="12" t="inlineStr">
        <is>
          <t>amount</t>
        </is>
      </c>
      <c r="C17" s="12" t="inlineStr">
        <is>
          <t>Main amount of the record</t>
        </is>
      </c>
      <c r="D17" s="12" t="inlineStr">
        <is>
          <t>Amount</t>
        </is>
      </c>
      <c r="E17" s="12" t="inlineStr">
        <is>
          <t>19,2</t>
        </is>
      </c>
      <c r="F17" s="12" t="inlineStr">
        <is>
          <t>N</t>
        </is>
      </c>
      <c r="G17" s="12" t="inlineStr"/>
      <c r="H17" s="12" t="inlineStr">
        <is>
          <t>Dot decimal, 2 decimals</t>
        </is>
      </c>
      <c r="I17" s="12" t="inlineStr">
        <is>
          <t>18450.00</t>
        </is>
      </c>
      <c r="J17" s="12" t="inlineStr"/>
      <c r="K17" s="12" t="n"/>
      <c r="L17" s="12" t="n"/>
      <c r="M17" s="12" t="n"/>
      <c r="N17" s="25" t="n"/>
    </row>
    <row r="18">
      <c r="A18" s="12" t="n">
        <v>14</v>
      </c>
      <c r="B18" s="12" t="inlineStr">
        <is>
          <t>status</t>
        </is>
      </c>
      <c r="C18" s="12" t="inlineStr">
        <is>
          <t>Status in legacy</t>
        </is>
      </c>
      <c r="D18" s="12" t="inlineStr">
        <is>
          <t>Text</t>
        </is>
      </c>
      <c r="E18" s="12" t="inlineStr">
        <is>
          <t>40</t>
        </is>
      </c>
      <c r="F18" s="12" t="inlineStr">
        <is>
          <t>N</t>
        </is>
      </c>
      <c r="G18" s="12" t="inlineStr"/>
      <c r="H18" s="12" t="inlineStr">
        <is>
          <t>As stored in legacy</t>
        </is>
      </c>
      <c r="I18" s="12" t="inlineStr">
        <is>
          <t>PAID_REMITTED</t>
        </is>
      </c>
      <c r="J18" s="12" t="inlineStr"/>
      <c r="K18" s="12" t="n"/>
      <c r="L18" s="12" t="n"/>
      <c r="M18" s="12" t="n"/>
      <c r="N18" s="25" t="n"/>
    </row>
    <row r="19">
      <c r="A19" s="12" t="n">
        <v>15</v>
      </c>
      <c r="B19" s="12" t="inlineStr">
        <is>
          <t>detail_json</t>
        </is>
      </c>
      <c r="C19" s="12" t="inlineStr">
        <is>
          <t>All other legacy columns as label and value pairs, as in the example</t>
        </is>
      </c>
      <c r="D19" s="12" t="inlineStr">
        <is>
          <t>Text</t>
        </is>
      </c>
      <c r="E19" s="12" t="inlineStr">
        <is>
          <t>20000</t>
        </is>
      </c>
      <c r="F19" s="12" t="inlineStr">
        <is>
          <t>N</t>
        </is>
      </c>
      <c r="G19" s="12" t="inlineStr"/>
      <c r="H19" s="12" t="inlineStr">
        <is>
          <t>Label and value pairs in braces, as in the example</t>
        </is>
      </c>
      <c r="I19" s="12" t="inlineStr">
        <is>
          <t>{"Insurer":"MAL","Remitted on":"2022-07-01"}</t>
        </is>
      </c>
      <c r="J19" s="12" t="inlineStr">
        <is>
          <t>Label and value pairs as in the example</t>
        </is>
      </c>
      <c r="K19" s="12" t="n"/>
      <c r="L19" s="12" t="n"/>
      <c r="M19" s="12" t="n"/>
      <c r="N19" s="25" t="n"/>
    </row>
  </sheetData>
  <autoFilter ref="A4:N19"/>
  <mergeCells count="1">
    <mergeCell ref="A2:N2"/>
  </mergeCells>
  <conditionalFormatting sqref="A5:N519">
    <cfRule type="expression" priority="1" dxfId="0">
      <formula>AND(MOD(ROW(),2)=0,$A5&lt;&gt;"")</formula>
    </cfRule>
  </conditionalFormatting>
  <dataValidations count="3">
    <dataValidation sqref="F5:F519" showDropDown="0" showInputMessage="0" showErrorMessage="1" allowBlank="1" errorTitle="Mandatory" error="Choose a value from the list (Mandatory)." type="list">
      <formula1>'_lists'!$BH$1:$BH$3</formula1>
    </dataValidation>
    <dataValidation sqref="K5:K519" showDropDown="0" showInputMessage="0" showErrorMessage="1" allowBlank="1" errorTitle="BU review" error="Choose a value from the list (BU review)." type="list">
      <formula1>'_lists'!$BI$1:$BI$3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N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40" customWidth="1" min="3" max="3"/>
    <col width="10" customWidth="1" min="4" max="4"/>
    <col width="7" customWidth="1" min="5" max="5"/>
    <col width="9" customWidth="1" min="6" max="6"/>
    <col width="30" customWidth="1" min="7" max="7"/>
    <col width="18" customWidth="1" min="8" max="8"/>
    <col width="18" customWidth="1" min="9" max="9"/>
    <col width="34" customWidth="1" min="10" max="10"/>
    <col width="16" customWidth="1" min="11" max="11"/>
    <col width="40" customWidth="1" min="12" max="12"/>
    <col width="18" customWidth="1" min="13" max="13"/>
    <col width="13" customWidth="1" min="14" max="14"/>
  </cols>
  <sheetData>
    <row r="1" ht="24" customHeight="1">
      <c r="A1" s="19" t="inlineStr">
        <is>
          <t>H02 Archive documents index</t>
        </is>
      </c>
    </row>
    <row r="2">
      <c r="A2" s="22" t="inlineStr">
        <is>
          <t>Layout H02 v1 of object H02: Archive documents index. Key record_type, legacy_key, file_name. Template H02_template.csv.</t>
        </is>
      </c>
    </row>
    <row r="3" ht="6" customHeight="1">
      <c r="A3" s="23" t="n"/>
      <c r="B3" s="23" t="n"/>
      <c r="C3" s="23" t="n"/>
      <c r="D3" s="23" t="n"/>
      <c r="E3" s="23" t="n"/>
      <c r="F3" s="23" t="n"/>
      <c r="G3" s="23" t="n"/>
      <c r="H3" s="23" t="n"/>
      <c r="I3" s="23" t="n"/>
      <c r="J3" s="23" t="n"/>
      <c r="K3" s="23" t="n"/>
      <c r="L3" s="23" t="n"/>
      <c r="M3" s="23" t="n"/>
      <c r="N3" s="23" t="n"/>
    </row>
    <row r="4" ht="30" customHeight="1">
      <c r="A4" s="24" t="inlineStr">
        <is>
          <t>No.</t>
        </is>
      </c>
      <c r="B4" s="24" t="inlineStr">
        <is>
          <t>Column</t>
        </is>
      </c>
      <c r="C4" s="24" t="inlineStr">
        <is>
          <t>Description</t>
        </is>
      </c>
      <c r="D4" s="24" t="inlineStr">
        <is>
          <t>Type</t>
        </is>
      </c>
      <c r="E4" s="24" t="inlineStr">
        <is>
          <t>Length</t>
        </is>
      </c>
      <c r="F4" s="24" t="inlineStr">
        <is>
          <t>Mandatory</t>
        </is>
      </c>
      <c r="G4" s="24" t="inlineStr">
        <is>
          <t>Allowed values or code map</t>
        </is>
      </c>
      <c r="H4" s="24" t="inlineStr">
        <is>
          <t>Format</t>
        </is>
      </c>
      <c r="I4" s="24" t="inlineStr">
        <is>
          <t>Example</t>
        </is>
      </c>
      <c r="J4" s="24" t="inlineStr">
        <is>
          <t>Validation</t>
        </is>
      </c>
      <c r="K4" s="24" t="inlineStr">
        <is>
          <t>BU review</t>
        </is>
      </c>
      <c r="L4" s="24" t="inlineStr">
        <is>
          <t>BU comment</t>
        </is>
      </c>
      <c r="M4" s="24" t="inlineStr">
        <is>
          <t>Reviewer</t>
        </is>
      </c>
      <c r="N4" s="24" t="inlineStr">
        <is>
          <t>Review date</t>
        </is>
      </c>
    </row>
    <row r="5">
      <c r="A5" s="12" t="n">
        <v>1</v>
      </c>
      <c r="B5" s="12" t="inlineStr">
        <is>
          <t>record_type</t>
        </is>
      </c>
      <c r="C5" s="12" t="inlineStr">
        <is>
          <t>Kind of the archive record the document belongs to</t>
        </is>
      </c>
      <c r="D5" s="12" t="inlineStr">
        <is>
          <t>Code</t>
        </is>
      </c>
      <c r="E5" s="12" t="inlineStr">
        <is>
          <t>20</t>
        </is>
      </c>
      <c r="F5" s="12" t="inlineStr">
        <is>
          <t>Y</t>
        </is>
      </c>
      <c r="G5" s="12" t="inlineStr">
        <is>
          <t>Same list as H01 record_type</t>
        </is>
      </c>
      <c r="H5" s="12" t="inlineStr">
        <is>
          <t>Upper case</t>
        </is>
      </c>
      <c r="I5" s="12" t="inlineStr">
        <is>
          <t>CLIENT</t>
        </is>
      </c>
      <c r="J5" s="12" t="inlineStr">
        <is>
          <t>In the list</t>
        </is>
      </c>
      <c r="K5" s="12" t="n"/>
      <c r="L5" s="12" t="n"/>
      <c r="M5" s="12" t="n"/>
      <c r="N5" s="25" t="n"/>
    </row>
    <row r="6">
      <c r="A6" s="12" t="n">
        <v>2</v>
      </c>
      <c r="B6" s="12" t="inlineStr">
        <is>
          <t>legacy_key</t>
        </is>
      </c>
      <c r="C6" s="12" t="inlineStr">
        <is>
          <t>Key of the archive record (or legacy_client_no for KYC documents)</t>
        </is>
      </c>
      <c r="D6" s="12" t="inlineStr">
        <is>
          <t>Code</t>
        </is>
      </c>
      <c r="E6" s="12" t="inlineStr">
        <is>
          <t>80</t>
        </is>
      </c>
      <c r="F6" s="12" t="inlineStr">
        <is>
          <t>Y</t>
        </is>
      </c>
      <c r="G6" s="12" t="inlineStr">
        <is>
          <t>legacy_key of H01</t>
        </is>
      </c>
      <c r="H6" s="12" t="inlineStr">
        <is>
          <t>As in H01</t>
        </is>
      </c>
      <c r="I6" s="12" t="inlineStr">
        <is>
          <t>Q-0012345</t>
        </is>
      </c>
      <c r="J6" s="12" t="inlineStr">
        <is>
          <t>Record exists in H01 or C01</t>
        </is>
      </c>
      <c r="K6" s="12" t="n"/>
      <c r="L6" s="12" t="n"/>
      <c r="M6" s="12" t="n"/>
      <c r="N6" s="25" t="n"/>
    </row>
    <row r="7">
      <c r="A7" s="12" t="n">
        <v>3</v>
      </c>
      <c r="B7" s="12" t="inlineStr">
        <is>
          <t>document_type</t>
        </is>
      </c>
      <c r="C7" s="12" t="inlineStr">
        <is>
          <t>Kind of document</t>
        </is>
      </c>
      <c r="D7" s="12" t="inlineStr">
        <is>
          <t>Code</t>
        </is>
      </c>
      <c r="E7" s="12" t="inlineStr">
        <is>
          <t>40</t>
        </is>
      </c>
      <c r="F7" s="12" t="inlineStr">
        <is>
          <t>Y</t>
        </is>
      </c>
      <c r="G7" s="12" t="inlineStr">
        <is>
          <t>Code map DOCUMENT_TYPE</t>
        </is>
      </c>
      <c r="H7" s="12" t="inlineStr">
        <is>
          <t>As stored in legacy</t>
        </is>
      </c>
      <c r="I7" s="12" t="inlineStr">
        <is>
          <t>KYC_ID</t>
        </is>
      </c>
      <c r="J7" s="12" t="inlineStr">
        <is>
          <t>Mapped</t>
        </is>
      </c>
      <c r="K7" s="12" t="n"/>
      <c r="L7" s="12" t="n"/>
      <c r="M7" s="12" t="n"/>
      <c r="N7" s="25" t="n"/>
    </row>
    <row r="8">
      <c r="A8" s="12" t="n">
        <v>4</v>
      </c>
      <c r="B8" s="12" t="inlineStr">
        <is>
          <t>document_no</t>
        </is>
      </c>
      <c r="C8" s="12" t="inlineStr">
        <is>
          <t>Document number (ID number, policy number)</t>
        </is>
      </c>
      <c r="D8" s="12" t="inlineStr">
        <is>
          <t>Text</t>
        </is>
      </c>
      <c r="E8" s="12" t="inlineStr">
        <is>
          <t>60</t>
        </is>
      </c>
      <c r="F8" s="12" t="inlineStr">
        <is>
          <t>N</t>
        </is>
      </c>
      <c r="G8" s="12" t="inlineStr"/>
      <c r="H8" s="12" t="inlineStr">
        <is>
          <t>As printed</t>
        </is>
      </c>
      <c r="I8" s="12" t="inlineStr">
        <is>
          <t>P1234567A</t>
        </is>
      </c>
      <c r="J8" s="12" t="inlineStr"/>
      <c r="K8" s="12" t="n"/>
      <c r="L8" s="12" t="n"/>
      <c r="M8" s="12" t="n"/>
      <c r="N8" s="25" t="n"/>
    </row>
    <row r="9">
      <c r="A9" s="12" t="n">
        <v>5</v>
      </c>
      <c r="B9" s="12" t="inlineStr">
        <is>
          <t>document_date</t>
        </is>
      </c>
      <c r="C9" s="12" t="inlineStr">
        <is>
          <t>Date of the document</t>
        </is>
      </c>
      <c r="D9" s="12" t="inlineStr">
        <is>
          <t>Date</t>
        </is>
      </c>
      <c r="E9" s="12" t="inlineStr">
        <is>
          <t>10</t>
        </is>
      </c>
      <c r="F9" s="12" t="inlineStr">
        <is>
          <t>N</t>
        </is>
      </c>
      <c r="G9" s="12" t="inlineStr"/>
      <c r="H9" s="12" t="inlineStr">
        <is>
          <t>yyyy-MM-dd</t>
        </is>
      </c>
      <c r="I9" s="12" t="inlineStr">
        <is>
          <t>2021-07-02</t>
        </is>
      </c>
      <c r="J9" s="12" t="inlineStr">
        <is>
          <t>Valid date</t>
        </is>
      </c>
      <c r="K9" s="12" t="n"/>
      <c r="L9" s="12" t="n"/>
      <c r="M9" s="12" t="n"/>
      <c r="N9" s="25" t="n"/>
    </row>
    <row r="10">
      <c r="A10" s="12" t="n">
        <v>6</v>
      </c>
      <c r="B10" s="12" t="inlineStr">
        <is>
          <t>file_name</t>
        </is>
      </c>
      <c r="C10" s="12" t="inlineStr">
        <is>
          <t>File name in the transfer folder</t>
        </is>
      </c>
      <c r="D10" s="12" t="inlineStr">
        <is>
          <t>Text</t>
        </is>
      </c>
      <c r="E10" s="12" t="inlineStr">
        <is>
          <t>255</t>
        </is>
      </c>
      <c r="F10" s="12" t="inlineStr">
        <is>
          <t>Y</t>
        </is>
      </c>
      <c r="G10" s="12" t="inlineStr"/>
      <c r="H10" s="12" t="inlineStr">
        <is>
          <t>name.ext</t>
        </is>
      </c>
      <c r="I10" s="12" t="inlineStr">
        <is>
          <t>Q-0012345_KYC_ID_1.pdf</t>
        </is>
      </c>
      <c r="J10" s="12" t="inlineStr">
        <is>
          <t>File present in the transfer</t>
        </is>
      </c>
      <c r="K10" s="12" t="n"/>
      <c r="L10" s="12" t="n"/>
      <c r="M10" s="12" t="n"/>
      <c r="N10" s="25" t="n"/>
    </row>
    <row r="11">
      <c r="A11" s="12" t="n">
        <v>7</v>
      </c>
      <c r="B11" s="12" t="inlineStr">
        <is>
          <t>file_size_bytes</t>
        </is>
      </c>
      <c r="C11" s="12" t="inlineStr">
        <is>
          <t>File size</t>
        </is>
      </c>
      <c r="D11" s="12" t="inlineStr">
        <is>
          <t>Integer</t>
        </is>
      </c>
      <c r="E11" s="12" t="inlineStr">
        <is>
          <t>12</t>
        </is>
      </c>
      <c r="F11" s="12" t="inlineStr">
        <is>
          <t>Y</t>
        </is>
      </c>
      <c r="G11" s="12" t="inlineStr"/>
      <c r="H11" s="12" t="inlineStr">
        <is>
          <t>Digits</t>
        </is>
      </c>
      <c r="I11" s="12" t="inlineStr">
        <is>
          <t>245760</t>
        </is>
      </c>
      <c r="J11" s="12">
        <f> size of the received file</f>
        <v/>
      </c>
      <c r="K11" s="12" t="n"/>
      <c r="L11" s="12" t="n"/>
      <c r="M11" s="12" t="n"/>
      <c r="N11" s="25" t="n"/>
    </row>
    <row r="12">
      <c r="A12" s="12" t="n">
        <v>8</v>
      </c>
      <c r="B12" s="12" t="inlineStr">
        <is>
          <t>sha256</t>
        </is>
      </c>
      <c r="C12" s="12" t="inlineStr">
        <is>
          <t>SHA-256 of the file, 64 hexadecimal characters</t>
        </is>
      </c>
      <c r="D12" s="12" t="inlineStr">
        <is>
          <t>Text</t>
        </is>
      </c>
      <c r="E12" s="12" t="inlineStr">
        <is>
          <t>64</t>
        </is>
      </c>
      <c r="F12" s="12" t="inlineStr">
        <is>
          <t>Y</t>
        </is>
      </c>
      <c r="G12" s="12" t="inlineStr"/>
      <c r="H12" s="12" t="inlineStr">
        <is>
          <t>Lower-case hex</t>
        </is>
      </c>
      <c r="I12" s="12" t="inlineStr">
        <is>
          <t>9f86d081884c7d659a2feaa0c55ad015a3bf4f1b2b0b822cd15d6c15b0f00a08</t>
        </is>
      </c>
      <c r="J12" s="12">
        <f> checksum computed at intake</f>
        <v/>
      </c>
      <c r="K12" s="12" t="n"/>
      <c r="L12" s="12" t="n"/>
      <c r="M12" s="12" t="n"/>
      <c r="N12" s="25" t="n"/>
    </row>
  </sheetData>
  <autoFilter ref="A4:N12"/>
  <mergeCells count="1">
    <mergeCell ref="A2:N2"/>
  </mergeCells>
  <conditionalFormatting sqref="A5:N512">
    <cfRule type="expression" priority="1" dxfId="0">
      <formula>AND(MOD(ROW(),2)=0,$A5&lt;&gt;"")</formula>
    </cfRule>
  </conditionalFormatting>
  <dataValidations count="3">
    <dataValidation sqref="F5:F512" showDropDown="0" showInputMessage="0" showErrorMessage="1" allowBlank="1" errorTitle="Mandatory" error="Choose a value from the list (Mandatory)." type="list">
      <formula1>'_lists'!$BJ$1:$BJ$3</formula1>
    </dataValidation>
    <dataValidation sqref="K5:K512" showDropDown="0" showInputMessage="0" showErrorMessage="1" allowBlank="1" errorTitle="BU review" error="Choose a value from the list (BU review)." type="list">
      <formula1>'_lists'!$BK$1:$BK$3</formula1>
    </dataValidation>
    <dataValidation sqref="N5:N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26"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26"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26"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26"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26"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26"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26"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26"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26"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26"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26"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26"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26"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26"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26"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26"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26"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26"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26"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26"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26"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26"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26"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26"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26"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26"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26"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26"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26"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26"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26"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26"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26"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26"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26"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26"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26"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26"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26"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26"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26"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26"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26"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26"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26"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26"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26"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26"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26"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26"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26"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26"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26"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26"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26"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26"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26"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26"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26"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26"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26"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26"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26"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26"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26"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26"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26"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26"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26"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26"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26"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26"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26"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26"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26"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26"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26"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26"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26"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26"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26"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26"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26"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26"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26"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26"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26"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26"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26"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26"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26"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26"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26"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26"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26"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26"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26"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26"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26"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26"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26"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26"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26"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26"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26"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26"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26"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26"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26"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26"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26"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26"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26"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26"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26"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26"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'_lists'!$BL$1:$BL$4</formula1>
    </dataValidation>
    <dataValidation sqref="J5:J620" showDropDown="0" showInputMessage="0" showErrorMessage="1" allowBlank="1" errorTitle="Status" error="Choose a value from the list (Status)." type="list">
      <formula1>'_lists'!$BM$1:$BM$3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'_lists'!$BN$1:$BN$3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'_lists'!$BO$1:$BO$5</formula1>
    </dataValidation>
    <dataValidation sqref="G5:G515" showDropDown="0" showInputMessage="0" showErrorMessage="1" allowBlank="1" errorTitle="action" error="Choose a value from the list (action)." type="list">
      <formula1>'_lists'!$BP$1:$BP$4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'_lists'!$BQ$1:$BQ$3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'_lists'!$BR$1:$BR$3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27"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27"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27"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27"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27"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27"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27"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27"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27"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27"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27"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27"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27"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27"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27"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27"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27"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27"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27"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27"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27"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27"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27"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27"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27"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27"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27"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27"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27"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27"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27"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27"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27"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27"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27"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27"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27"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27"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27"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27"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27"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27"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27"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27"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27"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27"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27"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27"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27"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27"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27"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27"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27"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27"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27"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27"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27"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27"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27"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27"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27"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27"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27"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27"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27"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27"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27"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27"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27"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27"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27"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27"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27"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27"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27"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27"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27"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27"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27"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27"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27"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27"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27"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27"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27"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27"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27"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27"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27"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27"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27"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27"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27"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27"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27" t="inlineStr">
        <is>
          <t>NOT STARTED</t>
        </is>
      </c>
      <c r="M99" s="12" t="n"/>
      <c r="N99" s="12" t="n"/>
      <c r="O99" s="12" t="n"/>
      <c r="P99" s="25" t="n"/>
    </row>
  </sheetData>
  <autoFilter ref="A4:P99"/>
  <mergeCells count="1">
    <mergeCell ref="A2:P2"/>
  </mergeCells>
  <conditionalFormatting sqref="L5:L599">
    <cfRule type="cellIs" priority="1" operator="equal" dxfId="1" stopIfTrue="1">
      <formula>"IN PROGRESS"</formula>
    </cfRule>
    <cfRule type="cellIs" priority="2" operator="equal" dxfId="2" stopIfTrue="1">
      <formula>"DONE"</formula>
    </cfRule>
    <cfRule type="cellIs" priority="3" operator="equal" dxfId="3" stopIfTrue="1">
      <formula>"BLOCKED"</formula>
    </cfRule>
    <cfRule type="cellIs" priority="4" operator="equal" dxfId="4"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'_lists'!$BS$1:$BS$5</formula1>
    </dataValidation>
    <dataValidation sqref="M5:M599" showDropDown="0" showInputMessage="0" showErrorMessage="1" allowBlank="1" errorTitle="BU review" error="Choose a value from the list (BU review)." type="list">
      <formula1>'_lists'!$BT$1:$BT$3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'_lists'!$BU$1:$BU$2</formula1>
    </dataValidation>
    <dataValidation sqref="H5:H539" showDropDown="0" showInputMessage="0" showErrorMessage="1" allowBlank="1" errorTitle="BU review" error="Choose a value from the list (BU review)." type="list">
      <formula1>'_lists'!$BV$1:$BV$3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'_lists'!$BW$1:$BW$3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(CT-037);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'_lists'!$BX$1:$BX$3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27"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27"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27"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27"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27" t="inlineStr">
        <is>
          <t>OPEN</t>
        </is>
      </c>
      <c r="G9" s="12" t="n"/>
      <c r="H9" s="12" t="n"/>
      <c r="I9" s="12" t="n"/>
      <c r="J9" s="25" t="n"/>
    </row>
    <row r="10">
      <c r="A10" s="12" t="inlineStr">
        <is>
          <t>EBIX</t>
        </is>
      </c>
      <c r="B10" s="12" t="n">
        <v>6</v>
      </c>
      <c r="C10" s="12" t="inlineStr">
        <is>
          <t>Claims tail covered - no open claim that needs EBIX (DMQ27, DMQ30)</t>
        </is>
      </c>
      <c r="D10" s="12" t="n"/>
      <c r="E10" s="12" t="n"/>
      <c r="F10" s="27"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27"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27"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27"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27"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27"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27" t="inlineStr">
        <is>
          <t>OPEN</t>
        </is>
      </c>
      <c r="G16" s="12" t="n"/>
      <c r="H16" s="12" t="n"/>
      <c r="I16" s="12" t="n"/>
      <c r="J16" s="25" t="n"/>
    </row>
    <row r="17">
      <c r="A17" s="12" t="inlineStr">
        <is>
          <t>QPS</t>
        </is>
      </c>
      <c r="B17" s="12" t="n">
        <v>4</v>
      </c>
      <c r="C17" s="12" t="inlineStr">
        <is>
          <t>Legacy Inquiry verified - by Audit / Compliance</t>
        </is>
      </c>
      <c r="D17" s="12" t="n"/>
      <c r="E17" s="12" t="n"/>
      <c r="F17" s="27"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27" t="inlineStr">
        <is>
          <t>OPEN</t>
        </is>
      </c>
      <c r="G18" s="12" t="n"/>
      <c r="H18" s="12" t="n"/>
      <c r="I18" s="12" t="n"/>
      <c r="J18" s="25" t="n"/>
    </row>
    <row r="19">
      <c r="A19" s="12" t="inlineStr">
        <is>
          <t>QPS</t>
        </is>
      </c>
      <c r="B19" s="12" t="n">
        <v>6</v>
      </c>
      <c r="C19" s="12" t="inlineStr">
        <is>
          <t>Retention covered - production backup retained per DMQ27</t>
        </is>
      </c>
      <c r="D19" s="12" t="n"/>
      <c r="E19" s="12" t="n"/>
      <c r="F19" s="27"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27"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27"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27"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27"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27"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27"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27" t="inlineStr">
        <is>
          <t>OPEN</t>
        </is>
      </c>
      <c r="G26" s="12" t="n"/>
      <c r="H26" s="12" t="n"/>
      <c r="I26" s="12" t="n"/>
      <c r="J26" s="25" t="n"/>
    </row>
    <row r="27">
      <c r="A27" s="12" t="inlineStr">
        <is>
          <t>CMS</t>
        </is>
      </c>
      <c r="B27" s="12" t="n">
        <v>3</v>
      </c>
      <c r="C27" s="12" t="inlineStr">
        <is>
          <t>Owners signed - Head of Operations (Collections) and BDOI IT</t>
        </is>
      </c>
      <c r="D27" s="12" t="n"/>
      <c r="E27" s="12" t="n"/>
      <c r="F27" s="27"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27"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27"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27"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27"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27"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27"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27"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27" t="inlineStr">
        <is>
          <t>OPEN</t>
        </is>
      </c>
      <c r="G35" s="12" t="n"/>
      <c r="H35" s="12" t="n"/>
      <c r="I35" s="12" t="n"/>
      <c r="J35" s="25" t="n"/>
    </row>
  </sheetData>
  <autoFilter ref="A4:J35"/>
  <mergeCells count="1">
    <mergeCell ref="A2:J2"/>
  </mergeCells>
  <conditionalFormatting sqref="F5:F535">
    <cfRule type="cellIs" priority="1" operator="equal" dxfId="1" stopIfTrue="1">
      <formula>"OPEN"</formula>
    </cfRule>
    <cfRule type="cellIs" priority="2" operator="equal" dxfId="2" stopIfTrue="1">
      <formula>"DONE"</formula>
    </cfRule>
    <cfRule type="cellIs" priority="3" operator="equal" dxfId="4"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'_lists'!$BY$1:$BY$3</formula1>
    </dataValidation>
    <dataValidation sqref="G5:G535" showDropDown="0" showInputMessage="0" showErrorMessage="1" allowBlank="1" errorTitle="BU review" error="Choose a value from the list (BU review)." type="list">
      <formula1>'_lists'!$BZ$1:$BZ$3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'_lists'!$CA$1:$CA$6</formula1>
    </dataValidation>
    <dataValidation sqref="K5:K527" showDropDown="0" showInputMessage="0" showErrorMessage="1" allowBlank="1" errorTitle="Result" error="Choose a value from the list (Result)." type="list">
      <formula1>'_lists'!$CB$1:$CB$3</formula1>
    </dataValidation>
    <dataValidation sqref="N5:N527" showDropDown="0" showInputMessage="0" showErrorMessage="1" allowBlank="1" errorTitle="BU review" error="Choose a value from the list (BU review)." type="list">
      <formula1>'_lists'!$CC$1:$CC$3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27"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27"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27"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27"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27"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27"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27"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27"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27"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27"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27"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27"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27"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27"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27"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27"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27"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27"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27"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27"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27"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27"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27"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27"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27"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27"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27"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27"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27"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27"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27"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27"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27"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27"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27"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27"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27"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27"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27"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27"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27"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27"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1" stopIfTrue="1">
      <formula>"OPEN"</formula>
    </cfRule>
    <cfRule type="cellIs" priority="2" operator="equal" dxfId="1" stopIfTrue="1">
      <formula>"PARTIAL"</formula>
    </cfRule>
    <cfRule type="cellIs" priority="3" operator="equal" dxfId="2" stopIfTrue="1">
      <formula>"ANSWERED"</formula>
    </cfRule>
    <cfRule type="cellIs" priority="4" operator="equal" dxfId="5"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'_lists'!$CD$1:$CD$4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'_lists'!$CE$1:$CE$4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'_lists'!$CF$1:$CF$3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'_lists'!$CG$1:$CG$3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'_lists'!$CH$1:$CH$3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sheet per layout, the Columns sheet, the Control file sheet and the How to fill rules</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No entry of the access log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'_lists'!$CI$1:$CI$3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legacy details are not valid JSON: &lt;original message&gt;</t>
        </is>
      </c>
      <c r="F118" s="12" t="inlineStr">
        <is>
          <t>Error</t>
        </is>
      </c>
      <c r="G118" s="12" t="inlineStr">
        <is>
          <t>Correct the legacy details of the record in the extract (label and value pairs).</t>
        </is>
      </c>
      <c r="H118" s="12" t="n"/>
      <c r="I118" s="12" t="n"/>
      <c r="J118" s="12" t="n"/>
      <c r="K118" s="25" t="n"/>
    </row>
    <row r="119">
      <c r="A119" s="12" t="inlineStr">
        <is>
          <t>MSG-DM-115</t>
        </is>
      </c>
      <c r="B119" s="12" t="inlineStr">
        <is>
          <t>Batch (SCR-DM-07): rows refused at load</t>
        </is>
      </c>
      <c r="C119" s="12" t="inlineStr">
        <is>
          <t>Server</t>
        </is>
      </c>
      <c r="D119" s="12" t="inlineStr">
        <is>
          <t>MIG_ARCHIVE_DETAIL</t>
        </is>
      </c>
      <c r="E119" s="12" t="inlineStr">
        <is>
          <t>The legacy details must be an object of label and value</t>
        </is>
      </c>
      <c r="F119" s="12" t="inlineStr">
        <is>
          <t>Error</t>
        </is>
      </c>
      <c r="G119" s="12" t="inlineStr">
        <is>
          <t>Correct the legacy details of the record in the extract (label and value pairs).</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 code&gt;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&lt;branch&gt; not found</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does not exist in BIBS</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MIG_BRANCH_UNKNOWN</t>
        </is>
      </c>
      <c r="E123" s="12" t="inlineStr">
        <is>
          <t>Branch &lt;code&gt; not found</t>
        </is>
      </c>
      <c r="F123" s="12" t="inlineStr">
        <is>
          <t>Error</t>
        </is>
      </c>
      <c r="G123" s="12" t="inlineStr">
        <is>
          <t>Map the legacy branch in the branch code map, or correct the extract.</t>
        </is>
      </c>
      <c r="H123" s="12" t="n"/>
      <c r="I123" s="12" t="n"/>
      <c r="J123" s="12" t="n"/>
      <c r="K123" s="25" t="n"/>
    </row>
    <row r="124">
      <c r="A124" s="12" t="inlineStr">
        <is>
          <t>MSG-DM-120</t>
        </is>
      </c>
      <c r="B124" s="12" t="inlineStr">
        <is>
          <t>Batch (SCR-DM-07): rows refused at load</t>
        </is>
      </c>
      <c r="C124" s="12" t="inlineStr">
        <is>
          <t>Server</t>
        </is>
      </c>
      <c r="D124" s="12" t="inlineStr">
        <is>
          <t>MIG_C01_NOT_LOADED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MIG_CLIENT_NOT_LOADED</t>
        </is>
      </c>
      <c r="E125" s="12" t="inlineStr">
        <is>
          <t>Client &lt;legacy client&gt; is not migrated</t>
        </is>
      </c>
      <c r="F125" s="12" t="inlineStr">
        <is>
          <t>Error</t>
        </is>
      </c>
      <c r="G125" s="12" t="inlineStr">
        <is>
          <t>Load the client first, or correct the legacy client number.</t>
        </is>
      </c>
      <c r="H125" s="12" t="n"/>
      <c r="I125" s="12" t="n"/>
      <c r="J125" s="12" t="n"/>
      <c r="K125" s="25" t="n"/>
    </row>
    <row r="126">
      <c r="A126" s="12" t="inlineStr">
        <is>
          <t>MSG-DM-122</t>
        </is>
      </c>
      <c r="B126" s="12" t="inlineStr">
        <is>
          <t>Batch (SCR-DM-07): rows refused at load</t>
        </is>
      </c>
      <c r="C126" s="12" t="inlineStr">
        <is>
          <t>Server</t>
        </is>
      </c>
      <c r="D126" s="12" t="inlineStr">
        <is>
          <t>MIG_CODE_NOT_MAPPED</t>
        </is>
      </c>
      <c r="E126" s="12" t="inlineStr">
        <is>
          <t>Legacy code &lt;legacy&gt; is not in the approved &lt;set&gt; map</t>
        </is>
      </c>
      <c r="F126" s="12" t="inlineStr">
        <is>
          <t>Error</t>
        </is>
      </c>
      <c r="G126" s="12" t="inlineStr">
        <is>
          <t>Add the legacy code to the code map named and have it approved.</t>
        </is>
      </c>
      <c r="H126" s="12" t="n"/>
      <c r="I126" s="12" t="n"/>
      <c r="J126" s="12" t="n"/>
      <c r="K126" s="25" t="n"/>
    </row>
    <row r="127">
      <c r="A127" s="12" t="inlineStr">
        <is>
          <t>MSG-DM-123</t>
        </is>
      </c>
      <c r="B127" s="12" t="inlineStr">
        <is>
          <t>Batch (SCR-DM-07): rows refused at load</t>
        </is>
      </c>
      <c r="C127" s="12" t="inlineStr">
        <is>
          <t>Server</t>
        </is>
      </c>
      <c r="D127" s="12" t="inlineStr">
        <is>
          <t>MIG_CODE_REQUIRED</t>
        </is>
      </c>
      <c r="E127" s="12" t="inlineStr">
        <is>
          <t>The legacy code is missing</t>
        </is>
      </c>
      <c r="F127" s="12" t="inlineStr">
        <is>
          <t>Error</t>
        </is>
      </c>
      <c r="G127" s="12" t="inlineStr">
        <is>
          <t>Correct the extract; the legacy code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rate has no effective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MIG_DATE_REQUIRED</t>
        </is>
      </c>
      <c r="E129" s="12" t="inlineStr">
        <is>
          <t>The record has no document date</t>
        </is>
      </c>
      <c r="F129" s="12" t="inlineStr">
        <is>
          <t>Error</t>
        </is>
      </c>
      <c r="G129" s="12" t="inlineStr">
        <is>
          <t>Correct the extract; the date is mandatory.</t>
        </is>
      </c>
      <c r="H129" s="12" t="n"/>
      <c r="I129" s="12" t="n"/>
      <c r="J129" s="12" t="n"/>
      <c r="K129" s="25" t="n"/>
    </row>
    <row r="130">
      <c r="A130" s="12" t="inlineStr">
        <is>
          <t>MSG-DM-126</t>
        </is>
      </c>
      <c r="B130" s="12" t="inlineStr">
        <is>
          <t>Batch (SCR-DM-07): rows refused at load</t>
        </is>
      </c>
      <c r="C130" s="12" t="inlineStr">
        <is>
          <t>Server</t>
        </is>
      </c>
      <c r="D130" s="12" t="inlineStr">
        <is>
          <t>MIG_DOCUMENT_SIZE</t>
        </is>
      </c>
      <c r="E130" s="12" t="inlineStr">
        <is>
          <t>The file size is missing</t>
        </is>
      </c>
      <c r="F130" s="12" t="inlineStr">
        <is>
          <t>Error</t>
        </is>
      </c>
      <c r="G130" s="12" t="inlineStr">
        <is>
          <t>Ask BDOI IT to copy the file again; its size differs from the index.</t>
        </is>
      </c>
      <c r="H130" s="12" t="n"/>
      <c r="I130" s="12" t="n"/>
      <c r="J130" s="12" t="n"/>
      <c r="K130" s="25" t="n"/>
    </row>
    <row r="131">
      <c r="A131" s="12" t="inlineStr">
        <is>
          <t>MSG-DM-127</t>
        </is>
      </c>
      <c r="B131" s="12" t="inlineStr">
        <is>
          <t>Batch (SCR-DM-07): rows refused at load</t>
        </is>
      </c>
      <c r="C131" s="12" t="inlineStr">
        <is>
          <t>Server</t>
        </is>
      </c>
      <c r="D131" s="12" t="inlineStr">
        <is>
          <t>MIG_F01_NOT_LOADED</t>
        </is>
      </c>
      <c r="E131" s="12" t="inlineStr">
        <is>
          <t>Legacy invoice &lt;legacy no&gt; is not loaded</t>
        </is>
      </c>
      <c r="F131" s="12" t="inlineStr">
        <is>
          <t>Error</t>
        </is>
      </c>
      <c r="G131" s="12" t="inlineStr">
        <is>
          <t>Load the invoice (F01) first, or remove the row.</t>
        </is>
      </c>
      <c r="H131" s="12" t="n"/>
      <c r="I131" s="12" t="n"/>
      <c r="J131" s="12" t="n"/>
      <c r="K131" s="25" t="n"/>
    </row>
    <row r="132">
      <c r="A132" s="12" t="inlineStr">
        <is>
          <t>MSG-DM-128</t>
        </is>
      </c>
      <c r="B132" s="12" t="inlineStr">
        <is>
          <t>Batch (SCR-DM-07): rows refused at load</t>
        </is>
      </c>
      <c r="C132" s="12" t="inlineStr">
        <is>
          <t>Server</t>
        </is>
      </c>
      <c r="D132" s="12" t="inlineStr">
        <is>
          <t>MIG_HEADER_NOT_LOADED</t>
        </is>
      </c>
      <c r="E132" s="12" t="inlineStr">
        <is>
          <t>Policy &lt;legacy key&gt; is not among the migrated headers</t>
        </is>
      </c>
      <c r="F132" s="12" t="inlineStr">
        <is>
          <t>Error</t>
        </is>
      </c>
      <c r="G132" s="12" t="inlineStr">
        <is>
          <t>Correct the policy reference, or load its policy header first.</t>
        </is>
      </c>
      <c r="H132" s="12" t="n"/>
      <c r="I132" s="12" t="n"/>
      <c r="J132" s="12" t="n"/>
      <c r="K132" s="25" t="n"/>
    </row>
    <row r="133">
      <c r="A133" s="12" t="inlineStr">
        <is>
          <t>MSG-DM-129</t>
        </is>
      </c>
      <c r="B133" s="12" t="inlineStr">
        <is>
          <t>Batch (SCR-DM-07): rows refused at load</t>
        </is>
      </c>
      <c r="C133" s="12" t="inlineStr">
        <is>
          <t>Server</t>
        </is>
      </c>
      <c r="D133" s="12" t="inlineStr">
        <is>
          <t>MIG_INSURER_NOT_MAPPED</t>
        </is>
      </c>
      <c r="E133" s="12" t="inlineStr">
        <is>
          <t>Insurer &lt;legacy&gt; is not in the approved INSURER map</t>
        </is>
      </c>
      <c r="F133" s="12" t="inlineStr">
        <is>
          <t>Error</t>
        </is>
      </c>
      <c r="G133" s="12" t="inlineStr">
        <is>
          <t>Add the insurer to the insurer code map and have it approved.</t>
        </is>
      </c>
      <c r="H133" s="12" t="n"/>
      <c r="I133" s="12" t="n"/>
      <c r="J133" s="12" t="n"/>
      <c r="K133" s="25" t="n"/>
    </row>
    <row r="134">
      <c r="A134" s="12" t="inlineStr">
        <is>
          <t>MSG-DM-130</t>
        </is>
      </c>
      <c r="B134" s="12" t="inlineStr">
        <is>
          <t>Batch (SCR-DM-07): rows refused at load</t>
        </is>
      </c>
      <c r="C134" s="12" t="inlineStr">
        <is>
          <t>Server</t>
        </is>
      </c>
      <c r="D134" s="12" t="inlineStr">
        <is>
          <t>MIG_INVOICE_MISSING</t>
        </is>
      </c>
      <c r="E134" s="12" t="inlineStr">
        <is>
          <t>Invoice &lt;target code&gt; not found</t>
        </is>
      </c>
      <c r="F134" s="12" t="inlineStr">
        <is>
          <t>Error</t>
        </is>
      </c>
      <c r="G134" s="12" t="inlineStr">
        <is>
          <t>Rerun the batch; the invoice of the row was not created.</t>
        </is>
      </c>
      <c r="H134" s="12" t="n"/>
      <c r="I134" s="12" t="n"/>
      <c r="J134" s="12" t="n"/>
      <c r="K134" s="25" t="n"/>
    </row>
    <row r="135">
      <c r="A135" s="12" t="inlineStr">
        <is>
          <t>MSG-DM-131</t>
        </is>
      </c>
      <c r="B135" s="12" t="inlineStr">
        <is>
          <t>Batch (SCR-DM-07): rows refused at load</t>
        </is>
      </c>
      <c r="C135" s="12" t="inlineStr">
        <is>
          <t>Server</t>
        </is>
      </c>
      <c r="D135" s="12" t="inlineStr">
        <is>
          <t>MIG_MAP_TARGET</t>
        </is>
      </c>
      <c r="E135" s="12" t="inlineStr">
        <is>
          <t>Code map &lt;set code&gt; names no BIBS list</t>
        </is>
      </c>
      <c r="F135" s="12" t="inlineStr">
        <is>
          <t>Error</t>
        </is>
      </c>
      <c r="G135" s="12" t="inlineStr">
        <is>
          <t>Ask the Data Steward to name the BIBS list of the code map.</t>
        </is>
      </c>
      <c r="H135" s="12" t="n"/>
      <c r="I135" s="12" t="n"/>
      <c r="J135" s="12" t="n"/>
      <c r="K135" s="25" t="n"/>
    </row>
    <row r="136">
      <c r="A136" s="12" t="inlineStr">
        <is>
          <t>MSG-DM-132</t>
        </is>
      </c>
      <c r="B136" s="12" t="inlineStr">
        <is>
          <t>Batch (SCR-DM-07): rows refused at load</t>
        </is>
      </c>
      <c r="C136" s="12" t="inlineStr">
        <is>
          <t>Server</t>
        </is>
      </c>
      <c r="D136" s="12" t="inlineStr">
        <is>
          <t>MIG_NO_INSURER</t>
        </is>
      </c>
      <c r="E136" s="12" t="inlineStr">
        <is>
          <t>Invoice &lt;legacy key&gt; has no insurer share</t>
        </is>
      </c>
      <c r="F136" s="12" t="inlineStr">
        <is>
          <t>Error</t>
        </is>
      </c>
      <c r="G136" s="12" t="inlineStr">
        <is>
          <t>Send the insurer share of the invoice (F01S).</t>
        </is>
      </c>
      <c r="H136" s="12" t="n"/>
      <c r="I136" s="12" t="n"/>
      <c r="J136" s="12" t="n"/>
      <c r="K136" s="25" t="n"/>
    </row>
    <row r="137">
      <c r="A137" s="12" t="inlineStr">
        <is>
          <t>MSG-DM-133</t>
        </is>
      </c>
      <c r="B137" s="12" t="inlineStr">
        <is>
          <t>Batch (SCR-DM-07): rows refused at load</t>
        </is>
      </c>
      <c r="C137" s="12" t="inlineStr">
        <is>
          <t>Server</t>
        </is>
      </c>
      <c r="D137" s="12" t="inlineStr">
        <is>
          <t>MIG_NUMBER_REQUIRED</t>
        </is>
      </c>
      <c r="E137" s="12" t="inlineStr">
        <is>
          <t>The &lt;column&gt; is missing</t>
        </is>
      </c>
      <c r="F137" s="12" t="inlineStr">
        <is>
          <t>Error</t>
        </is>
      </c>
      <c r="G137" s="12" t="inlineStr">
        <is>
          <t>Correct the extract; the number is mandatory.</t>
        </is>
      </c>
      <c r="H137" s="12" t="n"/>
      <c r="I137" s="12" t="n"/>
      <c r="J137" s="12" t="n"/>
      <c r="K137" s="25" t="n"/>
    </row>
    <row r="138">
      <c r="A138" s="12" t="inlineStr">
        <is>
          <t>MSG-DM-134</t>
        </is>
      </c>
      <c r="B138" s="12" t="inlineStr">
        <is>
          <t>Batch (SCR-DM-07): rows refused at load</t>
        </is>
      </c>
      <c r="C138" s="12" t="inlineStr">
        <is>
          <t>Server</t>
        </is>
      </c>
      <c r="D138" s="12" t="inlineStr">
        <is>
          <t>MIG_OFFICER_UNKNOWN</t>
        </is>
      </c>
      <c r="E138" s="12" t="inlineStr">
        <is>
          <t>Account officer &lt;user&gt; is not in the sales organisation</t>
        </is>
      </c>
      <c r="F138" s="12" t="inlineStr">
        <is>
          <t>Error</t>
        </is>
      </c>
      <c r="G138" s="12" t="inlineStr">
        <is>
          <t>Map the account officer in the user code map, or add the officer to the sales organisation.</t>
        </is>
      </c>
      <c r="H138" s="12" t="n"/>
      <c r="I138" s="12" t="n"/>
      <c r="J138" s="12" t="n"/>
      <c r="K138" s="25" t="n"/>
    </row>
    <row r="139">
      <c r="A139" s="12" t="inlineStr">
        <is>
          <t>MSG-DM-135</t>
        </is>
      </c>
      <c r="B139" s="12" t="inlineStr">
        <is>
          <t>Batch (SCR-DM-07): rows refused at load</t>
        </is>
      </c>
      <c r="C139" s="12" t="inlineStr">
        <is>
          <t>Server</t>
        </is>
      </c>
      <c r="D139" s="12" t="inlineStr">
        <is>
          <t>MIG_PARENT_NOT_LOADED</t>
        </is>
      </c>
      <c r="E139" s="12" t="inlineStr">
        <is>
          <t>Original invoice &lt;legacy parent&gt; is not loaded</t>
        </is>
      </c>
      <c r="F139" s="12" t="inlineStr">
        <is>
          <t>Error</t>
        </is>
      </c>
      <c r="G139" s="12" t="inlineStr">
        <is>
          <t>Load the original invoice first, or correct the parent invoice number.</t>
        </is>
      </c>
      <c r="H139" s="12" t="n"/>
      <c r="I139" s="12" t="n"/>
      <c r="J139" s="12" t="n"/>
      <c r="K139" s="25" t="n"/>
    </row>
    <row r="140">
      <c r="A140" s="12" t="inlineStr">
        <is>
          <t>MSG-DM-136</t>
        </is>
      </c>
      <c r="B140" s="12" t="inlineStr">
        <is>
          <t>Batch (SCR-DM-07): rows refused at load</t>
        </is>
      </c>
      <c r="C140" s="12" t="inlineStr">
        <is>
          <t>Server</t>
        </is>
      </c>
      <c r="D140" s="12" t="inlineStr">
        <is>
          <t>MIG_PRODUCT_NOT_MAPPED</t>
        </is>
      </c>
      <c r="E140" s="12" t="inlineStr">
        <is>
          <t>Risk code &lt;legacy code&gt; is not in the approved PRODUCT map</t>
        </is>
      </c>
      <c r="F140" s="12" t="inlineStr">
        <is>
          <t>Error</t>
        </is>
      </c>
      <c r="G140" s="12" t="inlineStr">
        <is>
          <t>Add the risk code to the product code map and have it approved.</t>
        </is>
      </c>
      <c r="H140" s="12" t="n"/>
      <c r="I140" s="12" t="n"/>
      <c r="J140" s="12" t="n"/>
      <c r="K140" s="25" t="n"/>
    </row>
    <row r="141">
      <c r="A141" s="12" t="inlineStr">
        <is>
          <t>MSG-DM-137</t>
        </is>
      </c>
      <c r="B141" s="12" t="inlineStr">
        <is>
          <t>Batch (SCR-DM-07): rows refused at load</t>
        </is>
      </c>
      <c r="C141" s="12" t="inlineStr">
        <is>
          <t>Server</t>
        </is>
      </c>
      <c r="D141" s="12" t="inlineStr">
        <is>
          <t>MIG_RA_DUPLICATE</t>
        </is>
      </c>
      <c r="E141" s="12" t="inlineStr">
        <is>
          <t>An advice of &lt;ref&gt; is already loaded</t>
        </is>
      </c>
      <c r="F141" s="12" t="inlineStr">
        <is>
          <t>Error</t>
        </is>
      </c>
      <c r="G141" s="12" t="inlineStr">
        <is>
          <t>Keep one renewal advice per expiring policy term.</t>
        </is>
      </c>
      <c r="H141" s="12" t="n"/>
      <c r="I141" s="12" t="n"/>
      <c r="J141" s="12" t="n"/>
      <c r="K141" s="25" t="n"/>
    </row>
    <row r="142">
      <c r="A142" s="12" t="inlineStr">
        <is>
          <t>MSG-DM-138</t>
        </is>
      </c>
      <c r="B142" s="12" t="inlineStr">
        <is>
          <t>Batch (SCR-DM-07): rows refused at load</t>
        </is>
      </c>
      <c r="C142" s="12" t="inlineStr">
        <is>
          <t>Server</t>
        </is>
      </c>
      <c r="D142" s="12" t="inlineStr">
        <is>
          <t>MIG_SI_BAND</t>
        </is>
      </c>
      <c r="E142" s="12" t="inlineStr">
        <is>
          <t>The sum-insured band &lt;value&gt; is not from-to amounts</t>
        </is>
      </c>
      <c r="F142" s="12" t="inlineStr">
        <is>
          <t>Error</t>
        </is>
      </c>
      <c r="G142" s="12" t="inlineStr">
        <is>
          <t>Write the sum-insured band as from-to amounts.</t>
        </is>
      </c>
      <c r="H142" s="12" t="n"/>
      <c r="I142" s="12" t="n"/>
      <c r="J142" s="12" t="n"/>
      <c r="K142" s="25" t="n"/>
    </row>
    <row r="143">
      <c r="A143" s="12" t="inlineStr">
        <is>
          <t>MSG-DM-139</t>
        </is>
      </c>
      <c r="B143" s="12" t="inlineStr">
        <is>
          <t>Batch (SCR-DM-07): rows refused at load</t>
        </is>
      </c>
      <c r="C143" s="12" t="inlineStr">
        <is>
          <t>Server</t>
        </is>
      </c>
      <c r="D143" s="12" t="inlineStr">
        <is>
          <t>MIG_SNAPSHOT_MISSING</t>
        </is>
      </c>
      <c r="E143" s="12" t="inlineStr">
        <is>
          <t>Invoice &lt;invoice no&gt; has no snapshot</t>
        </is>
      </c>
      <c r="F143" s="12" t="inlineStr">
        <is>
          <t>Error</t>
        </is>
      </c>
      <c r="G143" s="12" t="inlineStr">
        <is>
          <t>Rerun the batch; the values at cut-over of the invoice were not kept.</t>
        </is>
      </c>
      <c r="H143" s="12" t="n"/>
      <c r="I143" s="12" t="n"/>
      <c r="J143" s="12" t="n"/>
      <c r="K143" s="25" t="n"/>
    </row>
    <row r="144">
      <c r="A144" s="12" t="inlineStr">
        <is>
          <t>MSG-DM-140</t>
        </is>
      </c>
      <c r="B144" s="12" t="inlineStr">
        <is>
          <t>Batch (SCR-DM-07): rows refused at load</t>
        </is>
      </c>
      <c r="C144" s="12" t="inlineStr">
        <is>
          <t>Server</t>
        </is>
      </c>
      <c r="D144" s="12" t="inlineStr">
        <is>
          <t>MIG_TARGET_MISSING</t>
        </is>
      </c>
      <c r="E144" s="12" t="inlineStr">
        <is>
          <t>Value &lt;code&gt; of list &lt;type&gt; does not exist in BIBS</t>
        </is>
      </c>
      <c r="F144" s="12" t="inlineStr">
        <is>
          <t>Error</t>
        </is>
      </c>
      <c r="G144" s="12" t="inlineStr">
        <is>
          <t>Create the value in its list first, or map the legacy value to an existing value.</t>
        </is>
      </c>
      <c r="H144" s="12" t="n"/>
      <c r="I144" s="12" t="n"/>
      <c r="J144" s="12" t="n"/>
      <c r="K144" s="25" t="n"/>
    </row>
    <row r="145">
      <c r="A145" s="12" t="inlineStr">
        <is>
          <t>MSG-DM-141</t>
        </is>
      </c>
      <c r="B145" s="12" t="inlineStr">
        <is>
          <t>Batch (SCR-DM-07): rows refused at load</t>
        </is>
      </c>
      <c r="C145" s="12" t="inlineStr">
        <is>
          <t>Server</t>
        </is>
      </c>
      <c r="D145" s="12" t="inlineStr">
        <is>
          <t>MIG_TRUEUP_ITEM_KIND</t>
        </is>
      </c>
      <c r="E145" s="12" t="inlineStr">
        <is>
          <t>Unapplied payment &lt;ref&gt; is adjusted with the unapplied payments object</t>
        </is>
      </c>
      <c r="F145" s="12" t="inlineStr">
        <is>
          <t>Error</t>
        </is>
      </c>
      <c r="G145" s="12" t="inlineStr">
        <is>
          <t>Send the adjustment of an unapplied payment with the unapplied payments.</t>
        </is>
      </c>
      <c r="H145" s="12" t="n"/>
      <c r="I145" s="12" t="n"/>
      <c r="J145" s="12" t="n"/>
      <c r="K145" s="25" t="n"/>
    </row>
    <row r="146">
      <c r="A146" s="12" t="inlineStr">
        <is>
          <t>MSG-DM-142</t>
        </is>
      </c>
      <c r="B146" s="12" t="inlineStr">
        <is>
          <t>Batch (SCR-DM-07): rows refused at load</t>
        </is>
      </c>
      <c r="C146" s="12" t="inlineStr">
        <is>
          <t>Server</t>
        </is>
      </c>
      <c r="D146" s="12" t="inlineStr">
        <is>
          <t>MIG_TRUEUP_ITEM_MISSING</t>
        </is>
      </c>
      <c r="E146" s="12" t="inlineStr">
        <is>
          <t>Legacy invoice &lt;ref&gt; is not loaded</t>
        </is>
      </c>
      <c r="F146" s="12" t="inlineStr">
        <is>
          <t>Error</t>
        </is>
      </c>
      <c r="G146" s="12" t="inlineStr">
        <is>
          <t>Correct the invoice reference of the detail line; the invoice must be migrated.</t>
        </is>
      </c>
      <c r="H146" s="12" t="n"/>
      <c r="I146" s="12" t="n"/>
      <c r="J146" s="12" t="n"/>
      <c r="K146" s="25" t="n"/>
    </row>
    <row r="147">
      <c r="A147" s="12" t="inlineStr">
        <is>
          <t>MSG-DM-143</t>
        </is>
      </c>
      <c r="B147" s="12" t="inlineStr">
        <is>
          <t>Batch (SCR-DM-07): rows refused at load</t>
        </is>
      </c>
      <c r="C147" s="12" t="inlineStr">
        <is>
          <t>Server</t>
        </is>
      </c>
      <c r="D147" s="12" t="inlineStr">
        <is>
          <t>MIG_TRUEUP_NOT_APPROVED</t>
        </is>
      </c>
      <c r="E147" s="12" t="inlineStr">
        <is>
          <t>The opening-balance adjustment of batch &lt;batch no&gt; is not approved by the Head of Comptrollership</t>
        </is>
      </c>
      <c r="F147" s="12" t="inlineStr">
        <is>
          <t>Error</t>
        </is>
      </c>
      <c r="G147" s="12" t="inlineStr">
        <is>
          <t>Ask the Head of Comptrollership to approve the adjustment first.</t>
        </is>
      </c>
      <c r="H147" s="12" t="n"/>
      <c r="I147" s="12" t="n"/>
      <c r="J147" s="12" t="n"/>
      <c r="K147" s="25" t="n"/>
    </row>
    <row r="148">
      <c r="A148" s="12" t="inlineStr">
        <is>
          <t>MSG-DM-144</t>
        </is>
      </c>
      <c r="B148" s="12" t="inlineStr">
        <is>
          <t>Batch (SCR-DM-07): rows refused at load</t>
        </is>
      </c>
      <c r="C148" s="12" t="inlineStr">
        <is>
          <t>Server</t>
        </is>
      </c>
      <c r="D148" s="12" t="inlineStr">
        <is>
          <t>MIG_TRUEUP_OUT_OF_RANGE</t>
        </is>
      </c>
      <c r="E148" s="12" t="inlineStr">
        <is>
          <t>The adjustment would take &lt;c&gt; of invoice &lt;ref&gt; below zero; it moved in BIBS since go-live - settle it with Comptrollership</t>
        </is>
      </c>
      <c r="F148" s="12" t="inlineStr">
        <is>
          <t>Error</t>
        </is>
      </c>
      <c r="G148" s="12" t="inlineStr">
        <is>
          <t>Settle the difference with Comptrollership; the invoice moved in BIBS since go-live.</t>
        </is>
      </c>
      <c r="H148" s="12" t="n"/>
      <c r="I148" s="12" t="n"/>
      <c r="J148" s="12" t="n"/>
      <c r="K148" s="25" t="n"/>
    </row>
    <row r="149">
      <c r="A149" s="12" t="inlineStr">
        <is>
          <t>MSG-DM-145</t>
        </is>
      </c>
      <c r="B149" s="12" t="inlineStr">
        <is>
          <t>Batch (SCR-DM-07): rows refused at load</t>
        </is>
      </c>
      <c r="C149" s="12" t="inlineStr">
        <is>
          <t>Server</t>
        </is>
      </c>
      <c r="D149" s="12" t="inlineStr">
        <is>
          <t>MIG_UNIT_UNKNOWN</t>
        </is>
      </c>
      <c r="E149" s="12" t="inlineStr">
        <is>
          <t>Sales unit &lt;code&gt; does not exist in BIBS</t>
        </is>
      </c>
      <c r="F149" s="12" t="inlineStr">
        <is>
          <t>Error</t>
        </is>
      </c>
      <c r="G149" s="12" t="inlineStr">
        <is>
          <t>Map the legacy unit in the sales unit code map.</t>
        </is>
      </c>
      <c r="H149" s="12" t="n"/>
      <c r="I149" s="12" t="n"/>
      <c r="J149" s="12" t="n"/>
      <c r="K149" s="25" t="n"/>
    </row>
    <row r="150">
      <c r="A150" s="12" t="inlineStr">
        <is>
          <t>MSG-DM-146</t>
        </is>
      </c>
      <c r="B150" s="12" t="inlineStr">
        <is>
          <t>Batch (SCR-DM-07): rows refused at load</t>
        </is>
      </c>
      <c r="C150" s="12" t="inlineStr">
        <is>
          <t>Server</t>
        </is>
      </c>
      <c r="D150" s="12" t="inlineStr">
        <is>
          <t>MIG_UPP_MISSING</t>
        </is>
      </c>
      <c r="E150" s="12" t="inlineStr">
        <is>
          <t>Unapplied item &lt;target code&gt; not found</t>
        </is>
      </c>
      <c r="F150" s="12" t="inlineStr">
        <is>
          <t>Error</t>
        </is>
      </c>
      <c r="G150" s="12" t="inlineStr">
        <is>
          <t>Rerun the batch; the unapplied payment of the row was not created.</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client pair waiting for review</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Screen</t>
        </is>
      </c>
      <c r="D152" s="12" t="inlineStr">
        <is>
          <t>-</t>
        </is>
      </c>
      <c r="E152" s="12" t="inlineStr">
        <is>
          <t>No values</t>
        </is>
      </c>
      <c r="F152" s="12" t="inlineStr">
        <is>
          <t>Information</t>
        </is>
      </c>
      <c r="G152" s="12" t="inlineStr">
        <is>
          <t>No action.</t>
        </is>
      </c>
      <c r="H152" s="12" t="n"/>
      <c r="I152" s="12" t="n"/>
      <c r="J152" s="12" t="n"/>
      <c r="K152" s="25" t="n"/>
    </row>
    <row r="153">
      <c r="A153" s="12" t="inlineStr">
        <is>
          <t>MSG-DM-149</t>
        </is>
      </c>
      <c r="B153" s="12" t="inlineStr">
        <is>
          <t>Client Matching (SCR-DM-08)</t>
        </is>
      </c>
      <c r="C153" s="12" t="inlineStr">
        <is>
          <t>Server</t>
        </is>
      </c>
      <c r="D153" s="12" t="inlineStr">
        <is>
          <t>MIG_PAIR_DECIDED</t>
        </is>
      </c>
      <c r="E153" s="12" t="inlineStr">
        <is>
          <t>This pair is already decided</t>
        </is>
      </c>
      <c r="F153" s="12" t="inlineStr">
        <is>
          <t>Error</t>
        </is>
      </c>
      <c r="G153" s="12" t="inlineStr">
        <is>
          <t>No action; refresh the queue.</t>
        </is>
      </c>
      <c r="H153" s="12" t="n"/>
      <c r="I153" s="12" t="n"/>
      <c r="J153" s="12" t="n"/>
      <c r="K153" s="25" t="n"/>
    </row>
    <row r="154">
      <c r="A154" s="12" t="inlineStr">
        <is>
          <t>MSG-DM-150</t>
        </is>
      </c>
      <c r="B154" s="12" t="inlineStr">
        <is>
          <t>Reconciliation (SCR-DM-09)</t>
        </is>
      </c>
      <c r="C154" s="12" t="inlineStr">
        <is>
          <t>Screen</t>
        </is>
      </c>
      <c r="D154" s="12" t="inlineStr">
        <is>
          <t>-</t>
        </is>
      </c>
      <c r="E154" s="12" t="inlineStr">
        <is>
          <t>No loaded batch to reconcile</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Screen</t>
        </is>
      </c>
      <c r="D155" s="12" t="inlineStr">
        <is>
          <t>-</t>
        </is>
      </c>
      <c r="E155" s="12" t="inlineStr">
        <is>
          <t>The batch is not reconciled yet</t>
        </is>
      </c>
      <c r="F155" s="12" t="inlineStr">
        <is>
          <t>Information</t>
        </is>
      </c>
      <c r="G155" s="12" t="inlineStr">
        <is>
          <t>No action.</t>
        </is>
      </c>
      <c r="H155" s="12" t="n"/>
      <c r="I155" s="12" t="n"/>
      <c r="J155" s="12" t="n"/>
      <c r="K155" s="25" t="n"/>
    </row>
    <row r="156">
      <c r="A156" s="12" t="inlineStr">
        <is>
          <t>MSG-DM-152</t>
        </is>
      </c>
      <c r="B156" s="12" t="inlineStr">
        <is>
          <t>Reconciliation (SCR-DM-09)</t>
        </is>
      </c>
      <c r="C156" s="12" t="inlineStr">
        <is>
          <t>Server</t>
        </is>
      </c>
      <c r="D156" s="12" t="inlineStr">
        <is>
          <t>MAKER_CHECKER_VIOLATION</t>
        </is>
      </c>
      <c r="E156" s="12" t="inlineStr">
        <is>
          <t>A record cannot be authorized by the user who maintained it</t>
        </is>
      </c>
      <c r="F156" s="12" t="inlineStr">
        <is>
          <t>Error</t>
        </is>
      </c>
      <c r="G156" s="12" t="inlineStr">
        <is>
          <t>Ask another user with the approval right to approve; the maker, submitter or operator of the record cannot.</t>
        </is>
      </c>
      <c r="H156" s="12" t="n"/>
      <c r="I156" s="12" t="n"/>
      <c r="J156" s="12" t="n"/>
      <c r="K156" s="25" t="n"/>
    </row>
    <row r="157">
      <c r="A157" s="12" t="inlineStr">
        <is>
          <t>MSG-DM-153</t>
        </is>
      </c>
      <c r="B157" s="12" t="inlineStr">
        <is>
          <t>Reconciliation (SCR-DM-09)</t>
        </is>
      </c>
      <c r="C157" s="12" t="inlineStr">
        <is>
          <t>Server</t>
        </is>
      </c>
      <c r="D157" s="12" t="inlineStr">
        <is>
          <t>MIG_BATCH_STATUS</t>
        </is>
      </c>
      <c r="E157" s="12" t="inlineStr">
        <is>
          <t>Batch &lt;batch no&gt; is &lt;status&gt;; it has no load to reconcile</t>
        </is>
      </c>
      <c r="F157" s="12" t="inlineStr">
        <is>
          <t>Error</t>
        </is>
      </c>
      <c r="G157" s="12" t="inlineStr">
        <is>
          <t>Refresh the batch; the action is not allowed in its current status.</t>
        </is>
      </c>
      <c r="H157" s="12" t="n"/>
      <c r="I157" s="12" t="n"/>
      <c r="J157" s="12" t="n"/>
      <c r="K157" s="25" t="n"/>
    </row>
    <row r="158">
      <c r="A158" s="12" t="inlineStr">
        <is>
          <t>MSG-DM-154</t>
        </is>
      </c>
      <c r="B158" s="12" t="inlineStr">
        <is>
          <t>Reconciliation (SCR-DM-09)</t>
        </is>
      </c>
      <c r="C158" s="12" t="inlineStr">
        <is>
          <t>Server</t>
        </is>
      </c>
      <c r="D158" s="12" t="inlineStr">
        <is>
          <t>MIG_LINE_MATCHED</t>
        </is>
      </c>
      <c r="E158" s="12" t="inlineStr">
        <is>
          <t>This line has no difference to explain</t>
        </is>
      </c>
      <c r="F158" s="12" t="inlineStr">
        <is>
          <t>Error</t>
        </is>
      </c>
      <c r="G158" s="12" t="inlineStr">
        <is>
          <t>No action; the line has no difference.</t>
        </is>
      </c>
      <c r="H158" s="12" t="n"/>
      <c r="I158" s="12" t="n"/>
      <c r="J158" s="12" t="n"/>
      <c r="K158" s="25" t="n"/>
    </row>
    <row r="159">
      <c r="A159" s="12" t="inlineStr">
        <is>
          <t>MSG-DM-155</t>
        </is>
      </c>
      <c r="B159" s="12" t="inlineStr">
        <is>
          <t>Reconciliation (SCR-DM-09)</t>
        </is>
      </c>
      <c r="C159" s="12" t="inlineStr">
        <is>
          <t>Server</t>
        </is>
      </c>
      <c r="D159" s="12" t="inlineStr">
        <is>
          <t>MIG_NOT_EXPLAINED</t>
        </is>
      </c>
      <c r="E159" s="12" t="inlineStr">
        <is>
          <t>Explain the break before approving it</t>
        </is>
      </c>
      <c r="F159" s="12" t="inlineStr">
        <is>
          <t>Error</t>
        </is>
      </c>
      <c r="G159" s="12" t="inlineStr">
        <is>
          <t>Explain the break first.</t>
        </is>
      </c>
      <c r="H159" s="12" t="n"/>
      <c r="I159" s="12" t="n"/>
      <c r="J159" s="12" t="n"/>
      <c r="K159" s="25" t="n"/>
    </row>
    <row r="160">
      <c r="A160" s="12" t="inlineStr">
        <is>
          <t>MSG-DM-156</t>
        </is>
      </c>
      <c r="B160" s="12" t="inlineStr">
        <is>
          <t>Reconciliation (SCR-DM-09)</t>
        </is>
      </c>
      <c r="C160" s="12" t="inlineStr">
        <is>
          <t>Server</t>
        </is>
      </c>
      <c r="D160" s="12" t="inlineStr">
        <is>
          <t>MIG_REASON_REQUIRED</t>
        </is>
      </c>
      <c r="E160" s="12" t="inlineStr">
        <is>
          <t>Enter the explanation of the break</t>
        </is>
      </c>
      <c r="F160" s="12" t="inlineStr">
        <is>
          <t>Error</t>
        </is>
      </c>
      <c r="G160" s="12" t="inlineStr">
        <is>
          <t>Enter the explanation of the break.</t>
        </is>
      </c>
      <c r="H160" s="12" t="n"/>
      <c r="I160" s="12" t="n"/>
      <c r="J160" s="12" t="n"/>
      <c r="K160" s="25" t="n"/>
    </row>
    <row r="161">
      <c r="A161" s="12" t="inlineStr">
        <is>
          <t>MSG-DM-157</t>
        </is>
      </c>
      <c r="B161" s="12" t="inlineStr">
        <is>
          <t>Sign-off (SCR-DM-10)</t>
        </is>
      </c>
      <c r="C161" s="12" t="inlineStr">
        <is>
          <t>Screen</t>
        </is>
      </c>
      <c r="D161" s="12" t="inlineStr">
        <is>
          <t>-</t>
        </is>
      </c>
      <c r="E161" s="12" t="inlineStr">
        <is>
          <t>No data object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No opening-balance adjustment yet</t>
        </is>
      </c>
      <c r="F162" s="12" t="inlineStr">
        <is>
          <t>Information</t>
        </is>
      </c>
      <c r="G162" s="12" t="inlineStr">
        <is>
          <t>No action.</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Head of Comptrollership approves or returns the adjustment.</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batch may then be loaded; its journals post into the opening period.</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Screen</t>
        </is>
      </c>
      <c r="D165" s="12" t="inlineStr">
        <is>
          <t>-</t>
        </is>
      </c>
      <c r="E165" s="12" t="inlineStr">
        <is>
          <t>The adjustment goes back to the preparer.</t>
        </is>
      </c>
      <c r="F165" s="12" t="inlineStr">
        <is>
          <t>Validation</t>
        </is>
      </c>
      <c r="G165" s="12" t="inlineStr">
        <is>
          <t>Confirm to go ahead, or cancel to leave the record as it is.</t>
        </is>
      </c>
      <c r="H165" s="12" t="n"/>
      <c r="I165" s="12" t="n"/>
      <c r="J165" s="12" t="n"/>
      <c r="K165" s="25" t="n"/>
    </row>
    <row r="166">
      <c r="A166" s="12" t="inlineStr">
        <is>
          <t>MSG-DM-162</t>
        </is>
      </c>
      <c r="B166" s="12" t="inlineStr">
        <is>
          <t>Opening-Balance Adjustments (SCR-DM-11)</t>
        </is>
      </c>
      <c r="C166" s="12" t="inlineStr">
        <is>
          <t>Server</t>
        </is>
      </c>
      <c r="D166" s="12" t="inlineStr">
        <is>
          <t>MAKER_CHECKER_VIOLATION</t>
        </is>
      </c>
      <c r="E166" s="12" t="inlineStr">
        <is>
          <t>A record cannot be authorized by the user who maintained it</t>
        </is>
      </c>
      <c r="F166" s="12" t="inlineStr">
        <is>
          <t>Error</t>
        </is>
      </c>
      <c r="G166" s="12" t="inlineStr">
        <is>
          <t>Ask another user with the approval right to approve; the maker, submitter or operator of the record cannot.</t>
        </is>
      </c>
      <c r="H166" s="12" t="n"/>
      <c r="I166" s="12" t="n"/>
      <c r="J166" s="12" t="n"/>
      <c r="K166" s="25" t="n"/>
    </row>
    <row r="167">
      <c r="A167" s="12" t="inlineStr">
        <is>
          <t>MSG-DM-163</t>
        </is>
      </c>
      <c r="B167" s="12" t="inlineStr">
        <is>
          <t>Opening-Balance Adjustments (SCR-DM-11)</t>
        </is>
      </c>
      <c r="C167" s="12" t="inlineStr">
        <is>
          <t>Server</t>
        </is>
      </c>
      <c r="D167" s="12" t="inlineStr">
        <is>
          <t>MIG_REASON_REQUIRED</t>
        </is>
      </c>
      <c r="E167" s="12" t="inlineStr">
        <is>
          <t>Enter the reason for the return</t>
        </is>
      </c>
      <c r="F167" s="12" t="inlineStr">
        <is>
          <t>Error</t>
        </is>
      </c>
      <c r="G167" s="12" t="inlineStr">
        <is>
          <t>Enter the reason for the return.</t>
        </is>
      </c>
      <c r="H167" s="12" t="n"/>
      <c r="I167" s="12" t="n"/>
      <c r="J167" s="12" t="n"/>
      <c r="K167" s="25" t="n"/>
    </row>
    <row r="168">
      <c r="A168" s="12" t="inlineStr">
        <is>
          <t>MSG-DM-164</t>
        </is>
      </c>
      <c r="B168" s="12" t="inlineStr">
        <is>
          <t>Opening-Balance Adjustments (SCR-DM-11)</t>
        </is>
      </c>
      <c r="C168" s="12" t="inlineStr">
        <is>
          <t>Server</t>
        </is>
      </c>
      <c r="D168" s="12" t="inlineStr">
        <is>
          <t>MIG_TRUEUP_BATCH</t>
        </is>
      </c>
      <c r="E168" s="12" t="inlineStr">
        <is>
          <t>Batch &lt;batch no&gt; is not a batch of object &lt;object&gt;</t>
        </is>
      </c>
      <c r="F168" s="12" t="inlineStr">
        <is>
          <t>Error</t>
        </is>
      </c>
      <c r="G168" s="12" t="inlineStr">
        <is>
          <t>Choose a batch of the adjustment journals (G03), and a trial balance batch (G01).</t>
        </is>
      </c>
      <c r="H168" s="12" t="n"/>
      <c r="I168" s="12" t="n"/>
      <c r="J168" s="12" t="n"/>
      <c r="K168" s="25" t="n"/>
    </row>
    <row r="169">
      <c r="A169" s="12" t="inlineStr">
        <is>
          <t>MSG-DM-165</t>
        </is>
      </c>
      <c r="B169" s="12" t="inlineStr">
        <is>
          <t>Opening-Balance Adjustments (SCR-DM-11)</t>
        </is>
      </c>
      <c r="C169" s="12" t="inlineStr">
        <is>
          <t>Server</t>
        </is>
      </c>
      <c r="D169" s="12" t="inlineStr">
        <is>
          <t>MIG_TRUEUP_EXISTS</t>
        </is>
      </c>
      <c r="E169" s="12" t="inlineStr">
        <is>
          <t>Opening-balance adjustment &lt;no&gt; already exists</t>
        </is>
      </c>
      <c r="F169" s="12" t="inlineStr">
        <is>
          <t>Error</t>
        </is>
      </c>
      <c r="G169" s="12" t="inlineStr">
        <is>
          <t>Open the adjustment already prepared.</t>
        </is>
      </c>
      <c r="H169" s="12" t="n"/>
      <c r="I169" s="12" t="n"/>
      <c r="J169" s="12" t="n"/>
      <c r="K169" s="25" t="n"/>
    </row>
    <row r="170">
      <c r="A170" s="12" t="inlineStr">
        <is>
          <t>MSG-DM-166</t>
        </is>
      </c>
      <c r="B170" s="12" t="inlineStr">
        <is>
          <t>Opening-Balance Adjustments (SCR-DM-11)</t>
        </is>
      </c>
      <c r="C170" s="12" t="inlineStr">
        <is>
          <t>Server</t>
        </is>
      </c>
      <c r="D170" s="12" t="inlineStr">
        <is>
          <t>MIG_TRUEUP_NO</t>
        </is>
      </c>
      <c r="E170" s="12" t="inlineStr">
        <is>
          <t>The adjustment number is 1, 2, 3 or F</t>
        </is>
      </c>
      <c r="F170" s="12" t="inlineStr">
        <is>
          <t>Error</t>
        </is>
      </c>
      <c r="G170" s="12" t="inlineStr">
        <is>
          <t>Choose 1, 2, 3 or F.</t>
        </is>
      </c>
      <c r="H170" s="12" t="n"/>
      <c r="I170" s="12" t="n"/>
      <c r="J170" s="12" t="n"/>
      <c r="K170" s="25" t="n"/>
    </row>
    <row r="171">
      <c r="A171" s="12" t="inlineStr">
        <is>
          <t>MSG-DM-167</t>
        </is>
      </c>
      <c r="B171" s="12" t="inlineStr">
        <is>
          <t>Opening-Balance Adjustments (SCR-DM-11)</t>
        </is>
      </c>
      <c r="C171" s="12" t="inlineStr">
        <is>
          <t>Server</t>
        </is>
      </c>
      <c r="D171" s="12" t="inlineStr">
        <is>
          <t>MIG_TRUEUP_OPTION</t>
        </is>
      </c>
      <c r="E171" s="12" t="inlineStr">
        <is>
          <t>Opening-balance adjustments apply to the year-end go-live; the cut-over option is B</t>
        </is>
      </c>
      <c r="F171" s="12" t="inlineStr">
        <is>
          <t>Error</t>
        </is>
      </c>
      <c r="G171" s="12" t="inlineStr">
        <is>
          <t>No action; opening-balance adjustments apply only to the year-end go-live (option A).</t>
        </is>
      </c>
      <c r="H171" s="12" t="n"/>
      <c r="I171" s="12" t="n"/>
      <c r="J171" s="12" t="n"/>
      <c r="K171" s="25" t="n"/>
    </row>
    <row r="172">
      <c r="A172" s="12" t="inlineStr">
        <is>
          <t>MSG-DM-168</t>
        </is>
      </c>
      <c r="B172" s="12" t="inlineStr">
        <is>
          <t>Opening-Balance Adjustments (SCR-DM-11)</t>
        </is>
      </c>
      <c r="C172" s="12" t="inlineStr">
        <is>
          <t>Server</t>
        </is>
      </c>
      <c r="D172" s="12" t="inlineStr">
        <is>
          <t>MIG_TRUEUP_STATUS</t>
        </is>
      </c>
      <c r="E172" s="12" t="inlineStr">
        <is>
          <t>True-up &lt;trueup no&gt; is &lt;status&gt;; it cannot be &lt;action&gt;</t>
        </is>
      </c>
      <c r="F172" s="12" t="inlineStr">
        <is>
          <t>Error</t>
        </is>
      </c>
      <c r="G172" s="12" t="inlineStr">
        <is>
          <t>Refresh the adjustment; the action is not allowed in its current status.</t>
        </is>
      </c>
      <c r="H172" s="12" t="n"/>
      <c r="I172" s="12" t="n"/>
      <c r="J172" s="12" t="n"/>
      <c r="K172" s="25" t="n"/>
    </row>
    <row r="173">
      <c r="A173" s="12" t="inlineStr">
        <is>
          <t>MSG-DM-169</t>
        </is>
      </c>
      <c r="B173" s="12" t="inlineStr">
        <is>
          <t>Cutover (SCR-DM-12)</t>
        </is>
      </c>
      <c r="C173" s="12" t="inlineStr">
        <is>
          <t>Screen</t>
        </is>
      </c>
      <c r="D173" s="12" t="inlineStr">
        <is>
          <t>-</t>
        </is>
      </c>
      <c r="E173" s="12" t="inlineStr">
        <is>
          <t>Checklist updated</t>
        </is>
      </c>
      <c r="F173" s="12" t="inlineStr">
        <is>
          <t>Validation</t>
        </is>
      </c>
      <c r="G173" s="12" t="inlineStr">
        <is>
          <t>No action; the screen shows the change.</t>
        </is>
      </c>
      <c r="H173" s="12" t="n"/>
      <c r="I173" s="12" t="n"/>
      <c r="J173" s="12" t="n"/>
      <c r="K173" s="25" t="n"/>
    </row>
    <row r="174">
      <c r="A174" s="12" t="inlineStr">
        <is>
          <t>MSG-DM-170</t>
        </is>
      </c>
      <c r="B174" s="12" t="inlineStr">
        <is>
          <t>Cutover (SCR-DM-12)</t>
        </is>
      </c>
      <c r="C174" s="12" t="inlineStr">
        <is>
          <t>Screen</t>
        </is>
      </c>
      <c r="D174" s="12" t="inlineStr">
        <is>
          <t>-</t>
        </is>
      </c>
      <c r="E174" s="12" t="inlineStr">
        <is>
          <t>No cutover plan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No decision yet</t>
        </is>
      </c>
      <c r="F175" s="12" t="inlineStr">
        <is>
          <t>Information</t>
        </is>
      </c>
      <c r="G175" s="12" t="inlineStr">
        <is>
          <t>No action.</t>
        </is>
      </c>
      <c r="H175" s="12" t="n"/>
      <c r="I175" s="12" t="n"/>
      <c r="J175" s="12" t="n"/>
      <c r="K175" s="25" t="n"/>
    </row>
    <row r="176">
      <c r="A176" s="12" t="inlineStr">
        <is>
          <t>MSG-DM-172</t>
        </is>
      </c>
      <c r="B176" s="12" t="inlineStr">
        <is>
          <t>Cutover (SCR-DM-12)</t>
        </is>
      </c>
      <c r="C176" s="12" t="inlineStr">
        <is>
          <t>Screen</t>
        </is>
      </c>
      <c r="D176" s="12" t="inlineStr">
        <is>
          <t>-</t>
        </is>
      </c>
      <c r="E176" s="12" t="inlineStr">
        <is>
          <t>Recorded</t>
        </is>
      </c>
      <c r="F176" s="12" t="inlineStr">
        <is>
          <t>Validation</t>
        </is>
      </c>
      <c r="G176" s="12" t="inlineStr">
        <is>
          <t>No action; the screen shows the change.</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end is recorded and the tasks after it may start.</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actual start is recorded; the tasks it depends on must be finished.</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cut-over stops and rolls back to the snapshot.&lt;gate&gt;</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Screen</t>
        </is>
      </c>
      <c r="D180" s="12" t="inlineStr">
        <is>
          <t>-</t>
        </is>
      </c>
      <c r="E180" s="12" t="inlineStr">
        <is>
          <t>The task is marked blocked with its reason for the cut-over call.</t>
        </is>
      </c>
      <c r="F180" s="12" t="inlineStr">
        <is>
          <t>Validation</t>
        </is>
      </c>
      <c r="G180" s="12" t="inlineStr">
        <is>
          <t>Confirm to go ahead, or cancel to leave the record as it is.</t>
        </is>
      </c>
      <c r="H180" s="12" t="n"/>
      <c r="I180" s="12" t="n"/>
      <c r="J180" s="12" t="n"/>
      <c r="K180" s="25" t="n"/>
    </row>
    <row r="181">
      <c r="A181" s="12" t="inlineStr">
        <is>
          <t>MSG-DM-177</t>
        </is>
      </c>
      <c r="B181" s="12" t="inlineStr">
        <is>
          <t>Cutover (SCR-DM-12)</t>
        </is>
      </c>
      <c r="C181" s="12" t="inlineStr">
        <is>
          <t>Server</t>
        </is>
      </c>
      <c r="D181" s="12" t="inlineStr">
        <is>
          <t>MIG_CRITERION_MEASURED</t>
        </is>
      </c>
      <c r="E181" s="12" t="inlineStr">
        <is>
          <t>Criterion &lt;criterion no&gt; is measured by the system</t>
        </is>
      </c>
      <c r="F181" s="12" t="inlineStr">
        <is>
          <t>Error</t>
        </is>
      </c>
      <c r="G181" s="12" t="inlineStr">
        <is>
          <t>No action; the criterion is measured by BIBS (Measure Criteria).</t>
        </is>
      </c>
      <c r="H181" s="12" t="n"/>
      <c r="I181" s="12" t="n"/>
      <c r="J181" s="12" t="n"/>
      <c r="K181" s="25" t="n"/>
    </row>
    <row r="182">
      <c r="A182" s="12" t="inlineStr">
        <is>
          <t>MSG-DM-178</t>
        </is>
      </c>
      <c r="B182" s="12" t="inlineStr">
        <is>
          <t>Cutover (SCR-DM-12)</t>
        </is>
      </c>
      <c r="C182" s="12" t="inlineStr">
        <is>
          <t>Server</t>
        </is>
      </c>
      <c r="D182" s="12" t="inlineStr">
        <is>
          <t>MIG_EVIDENCE_REQUIRED</t>
        </is>
      </c>
      <c r="E182" s="12" t="inlineStr">
        <is>
          <t>Give the evidence of the criterion</t>
        </is>
      </c>
      <c r="F182" s="12" t="inlineStr">
        <is>
          <t>Error</t>
        </is>
      </c>
      <c r="G182" s="12" t="inlineStr">
        <is>
          <t>Give the evidence of the criterion.</t>
        </is>
      </c>
      <c r="H182" s="12" t="n"/>
      <c r="I182" s="12" t="n"/>
      <c r="J182" s="12" t="n"/>
      <c r="K182" s="25" t="n"/>
    </row>
    <row r="183">
      <c r="A183" s="12" t="inlineStr">
        <is>
          <t>MSG-DM-179</t>
        </is>
      </c>
      <c r="B183" s="12" t="inlineStr">
        <is>
          <t>Cutover (SCR-DM-12)</t>
        </is>
      </c>
      <c r="C183" s="12" t="inlineStr">
        <is>
          <t>Server</t>
        </is>
      </c>
      <c r="D183" s="12" t="inlineStr">
        <is>
          <t>MIG_GOLIVE_REQUIRED</t>
        </is>
      </c>
      <c r="E183" s="12" t="inlineStr">
        <is>
          <t>Give the go-live date of the plan</t>
        </is>
      </c>
      <c r="F183" s="12" t="inlineStr">
        <is>
          <t>Error</t>
        </is>
      </c>
      <c r="G183" s="12" t="inlineStr">
        <is>
          <t>Give the go-live date of the plan.</t>
        </is>
      </c>
      <c r="H183" s="12" t="n"/>
      <c r="I183" s="12" t="n"/>
      <c r="J183" s="12" t="n"/>
      <c r="K183" s="25" t="n"/>
    </row>
    <row r="184">
      <c r="A184" s="12" t="inlineStr">
        <is>
          <t>MSG-DM-180</t>
        </is>
      </c>
      <c r="B184" s="12" t="inlineStr">
        <is>
          <t>Cutover (SCR-DM-12)</t>
        </is>
      </c>
      <c r="C184" s="12" t="inlineStr">
        <is>
          <t>Server</t>
        </is>
      </c>
      <c r="D184" s="12" t="inlineStr">
        <is>
          <t>MIG_GONOGO_JUSTIFY</t>
        </is>
      </c>
      <c r="E184" s="12" t="inlineStr">
        <is>
          <t>&lt;unmet&gt; criteria are not met; give the justification of the GO</t>
        </is>
      </c>
      <c r="F184" s="12" t="inlineStr">
        <is>
          <t>Error</t>
        </is>
      </c>
      <c r="G184" s="12" t="inlineStr">
        <is>
          <t>Give the justification of the GO, or wait until the criteria are met.</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NO-GO</t>
        </is>
      </c>
      <c r="F185" s="12" t="inlineStr">
        <is>
          <t>Error</t>
        </is>
      </c>
      <c r="G185" s="12" t="inlineStr">
        <is>
          <t>Give the reason of the NO-GO.</t>
        </is>
      </c>
      <c r="H185" s="12" t="n"/>
      <c r="I185" s="12" t="n"/>
      <c r="J185" s="12" t="n"/>
      <c r="K185" s="25" t="n"/>
    </row>
    <row r="186">
      <c r="A186" s="12" t="inlineStr">
        <is>
          <t>MSG-DM-182</t>
        </is>
      </c>
      <c r="B186" s="12" t="inlineStr">
        <is>
          <t>Cutover (SCR-DM-12)</t>
        </is>
      </c>
      <c r="C186" s="12" t="inlineStr">
        <is>
          <t>Server</t>
        </is>
      </c>
      <c r="D186" s="12" t="inlineStr">
        <is>
          <t>MIG_REASON_REQUIRED</t>
        </is>
      </c>
      <c r="E186" s="12" t="inlineStr">
        <is>
          <t>Give the reason of the block</t>
        </is>
      </c>
      <c r="F186" s="12" t="inlineStr">
        <is>
          <t>Error</t>
        </is>
      </c>
      <c r="G186" s="12" t="inlineStr">
        <is>
          <t>Give the reason of the block.</t>
        </is>
      </c>
      <c r="H186" s="12" t="n"/>
      <c r="I186" s="12" t="n"/>
      <c r="J186" s="12" t="n"/>
      <c r="K186" s="25" t="n"/>
    </row>
    <row r="187">
      <c r="A187" s="12" t="inlineStr">
        <is>
          <t>MSG-DM-183</t>
        </is>
      </c>
      <c r="B187" s="12" t="inlineStr">
        <is>
          <t>Cutover (SCR-DM-12)</t>
        </is>
      </c>
      <c r="C187" s="12" t="inlineStr">
        <is>
          <t>Server</t>
        </is>
      </c>
      <c r="D187" s="12" t="inlineStr">
        <is>
          <t>MIG_TASK_DEPENDENCY</t>
        </is>
      </c>
      <c r="E187" s="12" t="inlineStr">
        <is>
          <t>Task &lt;dep&gt; must be finished before task &lt;seq&gt;</t>
        </is>
      </c>
      <c r="F187" s="12" t="inlineStr">
        <is>
          <t>Error</t>
        </is>
      </c>
      <c r="G187" s="12" t="inlineStr">
        <is>
          <t>Complete the tasks it depends on first.</t>
        </is>
      </c>
      <c r="H187" s="12" t="n"/>
      <c r="I187" s="12" t="n"/>
      <c r="J187" s="12" t="n"/>
      <c r="K187" s="25" t="n"/>
    </row>
    <row r="188">
      <c r="A188" s="12" t="inlineStr">
        <is>
          <t>MSG-DM-184</t>
        </is>
      </c>
      <c r="B188" s="12" t="inlineStr">
        <is>
          <t>Run-off and Decommissioning (SCR-DM-13)</t>
        </is>
      </c>
      <c r="C188" s="12" t="inlineStr">
        <is>
          <t>Screen</t>
        </is>
      </c>
      <c r="D188" s="12" t="inlineStr">
        <is>
          <t>-</t>
        </is>
      </c>
      <c r="E188" s="12" t="inlineStr">
        <is>
          <t>No run-off snapshot yet; the snapshot is taken on the first of each month</t>
        </is>
      </c>
      <c r="F188" s="12" t="inlineStr">
        <is>
          <t>Information</t>
        </is>
      </c>
      <c r="G188" s="12" t="inlineStr">
        <is>
          <t>No action.</t>
        </is>
      </c>
      <c r="H188" s="12" t="n"/>
      <c r="I188" s="12" t="n"/>
      <c r="J188" s="12" t="n"/>
      <c r="K188" s="25" t="n"/>
    </row>
    <row r="189">
      <c r="A189" s="12" t="inlineStr">
        <is>
          <t>MSG-DM-185</t>
        </is>
      </c>
      <c r="B189" s="12" t="inlineStr">
        <is>
          <t>Run-off and Decommissioning (SCR-DM-13)</t>
        </is>
      </c>
      <c r="C189" s="12" t="inlineStr">
        <is>
          <t>Server</t>
        </is>
      </c>
      <c r="D189" s="12" t="inlineStr">
        <is>
          <t>MIG_DECOMMISSION_EXISTS</t>
        </is>
      </c>
      <c r="E189" s="12" t="inlineStr">
        <is>
          <t>The checklist of &lt;system&gt; is already open</t>
        </is>
      </c>
      <c r="F189" s="12" t="inlineStr">
        <is>
          <t>Error</t>
        </is>
      </c>
      <c r="G189" s="12" t="inlineStr">
        <is>
          <t>Open the checklist already listed.</t>
        </is>
      </c>
      <c r="H189" s="12" t="n"/>
      <c r="I189" s="12" t="n"/>
      <c r="J189" s="12" t="n"/>
      <c r="K189" s="25" t="n"/>
    </row>
    <row r="190">
      <c r="A190" s="12" t="inlineStr">
        <is>
          <t>MSG-DM-186</t>
        </is>
      </c>
      <c r="B190" s="12" t="inlineStr">
        <is>
          <t>Run-off and Decommissioning (SCR-DM-13)</t>
        </is>
      </c>
      <c r="C190" s="12" t="inlineStr">
        <is>
          <t>Server</t>
        </is>
      </c>
      <c r="D190" s="12" t="inlineStr">
        <is>
          <t>MIG_EVIDENCE_REQUIRED</t>
        </is>
      </c>
      <c r="E190" s="12" t="inlineStr">
        <is>
          <t>Give the evidence of the criterion</t>
        </is>
      </c>
      <c r="F190" s="12" t="inlineStr">
        <is>
          <t>Error</t>
        </is>
      </c>
      <c r="G190" s="12" t="inlineStr">
        <is>
          <t>Give the evidence of the criterion.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document archived with this record</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Screen</t>
        </is>
      </c>
      <c r="D192" s="12" t="inlineStr">
        <is>
          <t>-</t>
        </is>
      </c>
      <c r="E192" s="12" t="inlineStr">
        <is>
          <t>No legacy record matches the search</t>
        </is>
      </c>
      <c r="F192" s="12" t="inlineStr">
        <is>
          <t>Information</t>
        </is>
      </c>
      <c r="G192" s="12" t="inlineStr">
        <is>
          <t>No action.</t>
        </is>
      </c>
      <c r="H192" s="12" t="n"/>
      <c r="I192" s="12" t="n"/>
      <c r="J192" s="12" t="n"/>
      <c r="K192" s="25" t="n"/>
    </row>
    <row r="193">
      <c r="A193" s="12" t="inlineStr">
        <is>
          <t>MSG-DM-189</t>
        </is>
      </c>
      <c r="B193" s="12" t="inlineStr">
        <is>
          <t>Legacy Inquiry (SCR-DM-14)</t>
        </is>
      </c>
      <c r="C193" s="12" t="inlineStr">
        <is>
          <t>Server</t>
        </is>
      </c>
      <c r="D193" s="12" t="inlineStr">
        <is>
          <t>MIG_ACCESS_REASON_REQUIRED</t>
        </is>
      </c>
      <c r="E193" s="12" t="inlineStr">
        <is>
          <t>Give the reason for opening the legacy archive</t>
        </is>
      </c>
      <c r="F193" s="12" t="inlineStr">
        <is>
          <t>Error</t>
        </is>
      </c>
      <c r="G193" s="12" t="inlineStr">
        <is>
          <t>Give the reason for opening the legacy archive.</t>
        </is>
      </c>
      <c r="H193" s="12" t="n"/>
      <c r="I193" s="12" t="n"/>
      <c r="J193" s="12" t="n"/>
      <c r="K193" s="25" t="n"/>
    </row>
    <row r="194">
      <c r="A194" s="12" t="inlineStr">
        <is>
          <t>MSG-DM-190</t>
        </is>
      </c>
      <c r="B194" s="12" t="inlineStr">
        <is>
          <t>Legacy Inquiry (SCR-DM-14)</t>
        </is>
      </c>
      <c r="C194" s="12" t="inlineStr">
        <is>
          <t>Server</t>
        </is>
      </c>
      <c r="D194" s="12" t="inlineStr">
        <is>
          <t>MIG_ARCHIVE_EXISTS</t>
        </is>
      </c>
      <c r="E194" s="12" t="inlineStr">
        <is>
          <t>Archive record &lt;record type&gt; &lt;legacy key&gt; is already loaded</t>
        </is>
      </c>
      <c r="F194" s="12" t="inlineStr">
        <is>
          <t>Error</t>
        </is>
      </c>
      <c r="G194" s="12" t="inlineStr">
        <is>
          <t>No action; the record is already archived.</t>
        </is>
      </c>
      <c r="H194" s="12" t="n"/>
      <c r="I194" s="12" t="n"/>
      <c r="J194" s="12" t="n"/>
      <c r="K194" s="25" t="n"/>
    </row>
    <row r="195">
      <c r="A195" s="12" t="inlineStr">
        <is>
          <t>MSG-DM-191</t>
        </is>
      </c>
      <c r="B195" s="12" t="inlineStr">
        <is>
          <t>Legacy Inquiry (SCR-DM-14)</t>
        </is>
      </c>
      <c r="C195" s="12" t="inlineStr">
        <is>
          <t>Server</t>
        </is>
      </c>
      <c r="D195" s="12" t="inlineStr">
        <is>
          <t>MIG_ARCHIVE_RECORD_MISSING</t>
        </is>
      </c>
      <c r="E195" s="12" t="inlineStr">
        <is>
          <t>Archive record &lt;record type&gt; &lt;legacy key&gt; is not loaded</t>
        </is>
      </c>
      <c r="F195" s="12" t="inlineStr">
        <is>
          <t>Error</t>
        </is>
      </c>
      <c r="G195" s="12" t="inlineStr">
        <is>
          <t>Load the archive record before its documents.</t>
        </is>
      </c>
      <c r="H195" s="12" t="n"/>
      <c r="I195" s="12" t="n"/>
      <c r="J195" s="12" t="n"/>
      <c r="K195" s="25" t="n"/>
    </row>
    <row r="196">
      <c r="A196" s="12" t="inlineStr">
        <is>
          <t>MSG-DM-192</t>
        </is>
      </c>
      <c r="B196" s="12" t="inlineStr">
        <is>
          <t>Legacy Inquiry (SCR-DM-14)</t>
        </is>
      </c>
      <c r="C196" s="12" t="inlineStr">
        <is>
          <t>Server</t>
        </is>
      </c>
      <c r="D196" s="12" t="inlineStr">
        <is>
          <t>MIG_CRITERIA_REQUIRED</t>
        </is>
      </c>
      <c r="E196" s="12" t="inlineStr">
        <is>
          <t>Give a client, policy, invoice, receipt or claim, a record type or a date range</t>
        </is>
      </c>
      <c r="F196" s="12" t="inlineStr">
        <is>
          <t>Error</t>
        </is>
      </c>
      <c r="G196" s="12" t="inlineStr">
        <is>
          <t>Give a client, policy, invoice, receipt or claim, a record type or a date range.</t>
        </is>
      </c>
      <c r="H196" s="12" t="n"/>
      <c r="I196" s="12" t="n"/>
      <c r="J196" s="12" t="n"/>
      <c r="K196" s="25" t="n"/>
    </row>
    <row r="197">
      <c r="A197" s="12" t="inlineStr">
        <is>
          <t>MSG-DM-193</t>
        </is>
      </c>
      <c r="B197" s="12" t="inlineStr">
        <is>
          <t>Legacy Inquiry (SCR-DM-14)</t>
        </is>
      </c>
      <c r="C197" s="12" t="inlineStr">
        <is>
          <t>Server</t>
        </is>
      </c>
      <c r="D197" s="12" t="inlineStr">
        <is>
          <t>MIG_DATE_INVALID</t>
        </is>
      </c>
      <c r="E197" s="12" t="inlineStr">
        <is>
          <t>Give the date as yyyy-MM-dd: &lt;value&gt;</t>
        </is>
      </c>
      <c r="F197" s="12" t="inlineStr">
        <is>
          <t>Error</t>
        </is>
      </c>
      <c r="G197" s="12" t="inlineStr">
        <is>
          <t>Give the date as yyyy-MM-dd.</t>
        </is>
      </c>
      <c r="H197" s="12" t="n"/>
      <c r="I197" s="12" t="n"/>
      <c r="J197" s="12" t="n"/>
      <c r="K197" s="25" t="n"/>
    </row>
    <row r="198">
      <c r="A198" s="12" t="inlineStr">
        <is>
          <t>MSG-DM-194</t>
        </is>
      </c>
      <c r="B198" s="12" t="inlineStr">
        <is>
          <t>Legacy Inquiry (SCR-DM-14)</t>
        </is>
      </c>
      <c r="C198" s="12" t="inlineStr">
        <is>
          <t>Server</t>
        </is>
      </c>
      <c r="D198" s="12" t="inlineStr">
        <is>
          <t>MIG_DOCUMENT_CHECKSUM</t>
        </is>
      </c>
      <c r="E198" s="12" t="inlineStr">
        <is>
          <t>The SHA-256 of file &lt;file name&gt; does not match the index</t>
        </is>
      </c>
      <c r="F198" s="12" t="inlineStr">
        <is>
          <t>Error</t>
        </is>
      </c>
      <c r="G198" s="12" t="inlineStr">
        <is>
          <t>Ask BDOI IT to copy the file again; it differs from the index.</t>
        </is>
      </c>
      <c r="H198" s="12" t="n"/>
      <c r="I198" s="12" t="n"/>
      <c r="J198" s="12" t="n"/>
      <c r="K198" s="25" t="n"/>
    </row>
    <row r="199">
      <c r="A199" s="12" t="inlineStr">
        <is>
          <t>MSG-DM-195</t>
        </is>
      </c>
      <c r="B199" s="12" t="inlineStr">
        <is>
          <t>Legacy Inquiry (SCR-DM-14)</t>
        </is>
      </c>
      <c r="C199" s="12" t="inlineStr">
        <is>
          <t>Server</t>
        </is>
      </c>
      <c r="D199" s="12" t="inlineStr">
        <is>
          <t>MIG_DOCUMENT_MISSING</t>
        </is>
      </c>
      <c r="E199" s="12" t="inlineStr">
        <is>
          <t>File &lt;file name&gt; is not in the transfer folder</t>
        </is>
      </c>
      <c r="F199" s="12" t="inlineStr">
        <is>
          <t>Error</t>
        </is>
      </c>
      <c r="G199" s="12" t="inlineStr">
        <is>
          <t>Ask BDOI IT to copy the file into the transfer folder.</t>
        </is>
      </c>
      <c r="H199" s="12" t="n"/>
      <c r="I199" s="12" t="n"/>
      <c r="J199" s="12" t="n"/>
      <c r="K199" s="25" t="n"/>
    </row>
    <row r="200">
      <c r="A200" s="12" t="inlineStr">
        <is>
          <t>MSG-DM-196</t>
        </is>
      </c>
      <c r="B200" s="12" t="inlineStr">
        <is>
          <t>Legacy Inquiry (SCR-DM-14)</t>
        </is>
      </c>
      <c r="C200" s="12" t="inlineStr">
        <is>
          <t>Server</t>
        </is>
      </c>
      <c r="D200" s="12" t="inlineStr">
        <is>
          <t>MIG_DOCUMENT_SIZE</t>
        </is>
      </c>
      <c r="E200" s="12" t="inlineStr">
        <is>
          <t>File &lt;file name&gt; has &lt;length&gt; bytes; the index says &lt;size bytes&gt;</t>
        </is>
      </c>
      <c r="F200" s="12" t="inlineStr">
        <is>
          <t>Error</t>
        </is>
      </c>
      <c r="G200" s="12" t="inlineStr">
        <is>
          <t>Ask BDOI IT to copy the file again; its size differs from the index.</t>
        </is>
      </c>
      <c r="H200" s="12" t="n"/>
      <c r="I200" s="12" t="n"/>
      <c r="J200" s="12" t="n"/>
      <c r="K200" s="25" t="n"/>
    </row>
    <row r="201">
      <c r="A201" s="12" t="inlineStr">
        <is>
          <t>MSG-DM-197</t>
        </is>
      </c>
      <c r="B201" s="12" t="inlineStr">
        <is>
          <t>Legacy Inquiry (SCR-DM-14)</t>
        </is>
      </c>
      <c r="C201" s="12" t="inlineStr">
        <is>
          <t>Server</t>
        </is>
      </c>
      <c r="D201" s="12" t="inlineStr">
        <is>
          <t>MIG_EXPORT_TOO_LARGE</t>
        </is>
      </c>
      <c r="E201" s="12" t="inlineStr">
        <is>
          <t>&lt;total elements&gt; records match; narrow the search to at most &lt;max&gt; records to export</t>
        </is>
      </c>
      <c r="F201" s="12" t="inlineStr">
        <is>
          <t>Error</t>
        </is>
      </c>
      <c r="G201" s="12" t="inlineStr">
        <is>
          <t>Narrow the search (dates, record type, client) to export at most the number shown.</t>
        </is>
      </c>
      <c r="H201" s="12" t="n"/>
      <c r="I201" s="12" t="n"/>
      <c r="J201" s="12" t="n"/>
      <c r="K201" s="25" t="n"/>
    </row>
    <row r="202">
      <c r="A202" s="12" t="inlineStr">
        <is>
          <t>MSG-DM-198</t>
        </is>
      </c>
      <c r="B202" s="12" t="inlineStr">
        <is>
          <t>Legacy Inquiry (SCR-DM-14)</t>
        </is>
      </c>
      <c r="C202" s="12" t="inlineStr">
        <is>
          <t>Server</t>
        </is>
      </c>
      <c r="D202" s="12" t="inlineStr">
        <is>
          <t>MIG_SOURCE_REQUIRED</t>
        </is>
      </c>
      <c r="E202" s="12" t="inlineStr">
        <is>
          <t>Give the legacy system</t>
        </is>
      </c>
      <c r="F202" s="12" t="inlineStr">
        <is>
          <t>Error</t>
        </is>
      </c>
      <c r="G202" s="12" t="inlineStr">
        <is>
          <t>Give the legacy system of the documents.</t>
        </is>
      </c>
      <c r="H202" s="12" t="n"/>
      <c r="I202" s="12" t="n"/>
      <c r="J202" s="12" t="n"/>
      <c r="K202" s="25" t="n"/>
    </row>
    <row r="203">
      <c r="A203" s="12" t="inlineStr">
        <is>
          <t>MSG-DM-199</t>
        </is>
      </c>
      <c r="B203" s="12" t="inlineStr">
        <is>
          <t>Access Log (SCR-DM-15)</t>
        </is>
      </c>
      <c r="C203" s="12" t="inlineStr">
        <is>
          <t>Screen</t>
        </is>
      </c>
      <c r="D203" s="12" t="inlineStr">
        <is>
          <t>-</t>
        </is>
      </c>
      <c r="E203" s="12" t="inlineStr">
        <is>
          <t>No access in the period</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'_lists'!$CJ$1:$CJ$5</formula1>
    </dataValidation>
    <dataValidation sqref="H5:H720" showDropDown="0" showInputMessage="0" showErrorMessage="1" allowBlank="1" errorTitle="BU review" error="Choose a value from the list (BU review)." type="list">
      <formula1>'_lists'!$CK$1:$CK$3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'_lists'!$CL$1:$CL$3</formula1>
    </dataValidation>
    <dataValidation sqref="H5:H554" showDropDown="0" showInputMessage="0" showErrorMessage="1" allowBlank="1" errorTitle="Status" error="Choose a value from the list (Status)." type="list">
      <formula1>'_lists'!$CM$1:$CM$3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(p.15)</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Marketing Business System (MBS)</t>
        </is>
      </c>
      <c r="C9" s="12" t="inlineStr">
        <is>
          <t>BDOI</t>
        </is>
      </c>
      <c r="D9" s="12" t="inlineStr">
        <is>
          <t>The lists of values, products, packages, clients and payout accounts and their code maps</t>
        </is>
      </c>
      <c r="E9" s="12" t="inlineStr">
        <is>
          <t>Reviewed by (p.15)</t>
        </is>
      </c>
      <c r="F9" s="12" t="n"/>
      <c r="G9" s="12" t="n"/>
      <c r="H9" s="12" t="n"/>
      <c r="I9" s="12" t="n"/>
      <c r="J9" s="25" t="n"/>
    </row>
    <row r="10">
      <c r="A10" s="12" t="inlineStr">
        <is>
          <t>Reviewed by</t>
        </is>
      </c>
      <c r="B10" s="12" t="inlineStr">
        <is>
          <t>BDOI Information Technology Group (BDOI IT)</t>
        </is>
      </c>
      <c r="C10" s="12" t="inlineStr">
        <is>
          <t>BDOI</t>
        </is>
      </c>
      <c r="D10" s="12" t="inlineStr">
        <is>
          <t>Extracts and their transfer, the legacy freeze and read-only access, decommissioning, and the Technical Specification (a separate document); not the business content</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(p.15)</t>
        </is>
      </c>
      <c r="F11" s="12" t="n"/>
      <c r="G11" s="12" t="n"/>
      <c r="H11" s="12" t="n"/>
      <c r="I11" s="12" t="n"/>
      <c r="J11" s="25" t="n"/>
    </row>
    <row r="12">
      <c r="A12" s="12" t="inlineStr">
        <is>
          <t>Approved by</t>
        </is>
      </c>
      <c r="B12" s="12" t="inlineStr">
        <is>
          <t>Product Owner - Comptrollership - Disbursement</t>
        </is>
      </c>
      <c r="C12" s="12" t="inlineStr">
        <is>
          <t>BDOI</t>
        </is>
      </c>
      <c r="D12" s="12" t="inlineStr">
        <is>
          <t>Payees and open disbursements</t>
        </is>
      </c>
      <c r="E12" s="12" t="inlineStr">
        <is>
          <t>Approved by (p.15)</t>
        </is>
      </c>
      <c r="F12" s="12" t="n"/>
      <c r="G12" s="12" t="n"/>
      <c r="H12" s="12" t="n"/>
      <c r="I12" s="12" t="n"/>
      <c r="J12" s="25" t="n"/>
    </row>
    <row r="13">
      <c r="A13" s="12" t="inlineStr">
        <is>
          <t>Approved by</t>
        </is>
      </c>
      <c r="B13" s="12" t="inlineStr">
        <is>
          <t>Product Owner - Comptrollership - FRBS and ACSL</t>
        </is>
      </c>
      <c r="C13" s="12" t="inlineStr">
        <is>
          <t>BDOI</t>
        </is>
      </c>
      <c r="D13" s="12" t="inlineStr">
        <is>
          <t>GL opening, legacy accounts and the subsidiary ledger</t>
        </is>
      </c>
      <c r="E13" s="12" t="inlineStr">
        <is>
          <t>Approved by (p.15)</t>
        </is>
      </c>
      <c r="F13" s="12" t="n"/>
      <c r="G13" s="12" t="n"/>
      <c r="H13" s="12" t="n"/>
      <c r="I13" s="12" t="n"/>
      <c r="J13" s="25" t="n"/>
    </row>
    <row r="14">
      <c r="A14" s="12" t="inlineStr">
        <is>
          <t>Approved by</t>
        </is>
      </c>
      <c r="B14" s="12" t="inlineStr">
        <is>
          <t>Operations: Financial Transactions and Processing</t>
        </is>
      </c>
      <c r="C14" s="12" t="inlineStr">
        <is>
          <t>BDOI</t>
        </is>
      </c>
      <c r="D14" s="12" t="inlineStr">
        <is>
          <t>Open invoices, unapplied payments, collection state and remittance</t>
        </is>
      </c>
      <c r="E14" s="12" t="inlineStr">
        <is>
          <t>Approved by (p.15)</t>
        </is>
      </c>
      <c r="F14" s="12" t="n"/>
      <c r="G14" s="12" t="n"/>
      <c r="H14" s="12" t="n"/>
      <c r="I14" s="12" t="n"/>
      <c r="J14" s="25" t="n"/>
    </row>
    <row r="15">
      <c r="A15" s="12" t="inlineStr">
        <is>
          <t>Approved by</t>
        </is>
      </c>
      <c r="B15" s="12" t="inlineStr">
        <is>
          <t>Head - Operations</t>
        </is>
      </c>
      <c r="C15" s="12" t="inlineStr">
        <is>
          <t>BDOI</t>
        </is>
      </c>
      <c r="D15" s="12" t="inlineStr">
        <is>
          <t>Insurers, commission rates and policy headers</t>
        </is>
      </c>
      <c r="E15" s="12" t="inlineStr">
        <is>
          <t>Approved by (p.15)</t>
        </is>
      </c>
      <c r="F15" s="12" t="n"/>
      <c r="G15" s="12" t="n"/>
      <c r="H15" s="12" t="n"/>
      <c r="I15" s="12" t="n"/>
      <c r="J15" s="25" t="n"/>
    </row>
    <row r="16">
      <c r="A16" s="12" t="inlineStr">
        <is>
          <t>Approved by</t>
        </is>
      </c>
      <c r="B16" s="12" t="inlineStr">
        <is>
          <t>Unit Head - Analytics and Risk Management</t>
        </is>
      </c>
      <c r="C16" s="12" t="inlineStr">
        <is>
          <t>BDOI</t>
        </is>
      </c>
      <c r="D16" s="12" t="inlineStr">
        <is>
          <t>KYC documents, the archive, Legacy Inquiry and its access log</t>
        </is>
      </c>
      <c r="E16" s="12" t="inlineStr">
        <is>
          <t>Approved by (p.15)</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The renewal advices already sent and the day-1 renewal queue</t>
        </is>
      </c>
      <c r="E17" s="12" t="inlineStr">
        <is>
          <t>Approved by (p.16)</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(p.16)</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(p.16)</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(p.16)</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(p.16)</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'_lists'!$CN$1:$CN$3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sheetPr>
  <dimension ref="A1:CN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Y</t>
        </is>
      </c>
      <c r="G1" t="inlineStr">
        <is>
          <t>Accept</t>
        </is>
      </c>
      <c r="H1" t="inlineStr">
        <is>
          <t>Y</t>
        </is>
      </c>
      <c r="I1" t="inlineStr">
        <is>
          <t>Accept</t>
        </is>
      </c>
      <c r="J1" t="inlineStr">
        <is>
          <t>Y</t>
        </is>
      </c>
      <c r="K1" t="inlineStr">
        <is>
          <t>Accept</t>
        </is>
      </c>
      <c r="L1" t="inlineStr">
        <is>
          <t>Y</t>
        </is>
      </c>
      <c r="M1" t="inlineStr">
        <is>
          <t>Accept</t>
        </is>
      </c>
      <c r="N1" t="inlineStr">
        <is>
          <t>Y</t>
        </is>
      </c>
      <c r="O1" t="inlineStr">
        <is>
          <t>Accept</t>
        </is>
      </c>
      <c r="P1" t="inlineStr">
        <is>
          <t>Y</t>
        </is>
      </c>
      <c r="Q1" t="inlineStr">
        <is>
          <t>Accept</t>
        </is>
      </c>
      <c r="R1" t="inlineStr">
        <is>
          <t>Y</t>
        </is>
      </c>
      <c r="S1" t="inlineStr">
        <is>
          <t>Accept</t>
        </is>
      </c>
      <c r="T1" t="inlineStr">
        <is>
          <t>Y</t>
        </is>
      </c>
      <c r="U1" t="inlineStr">
        <is>
          <t>Accept</t>
        </is>
      </c>
      <c r="V1" t="inlineStr">
        <is>
          <t>Y</t>
        </is>
      </c>
      <c r="W1" t="inlineStr">
        <is>
          <t>Accept</t>
        </is>
      </c>
      <c r="X1" t="inlineStr">
        <is>
          <t>Y</t>
        </is>
      </c>
      <c r="Y1" t="inlineStr">
        <is>
          <t>Accept</t>
        </is>
      </c>
      <c r="Z1" t="inlineStr">
        <is>
          <t>Y</t>
        </is>
      </c>
      <c r="AA1" t="inlineStr">
        <is>
          <t>Accept</t>
        </is>
      </c>
      <c r="AB1" t="inlineStr">
        <is>
          <t>Y</t>
        </is>
      </c>
      <c r="AC1" t="inlineStr">
        <is>
          <t>Accept</t>
        </is>
      </c>
      <c r="AD1" t="inlineStr">
        <is>
          <t>Y</t>
        </is>
      </c>
      <c r="AE1" t="inlineStr">
        <is>
          <t>Accept</t>
        </is>
      </c>
      <c r="AF1" t="inlineStr">
        <is>
          <t>Y</t>
        </is>
      </c>
      <c r="AG1" t="inlineStr">
        <is>
          <t>Accept</t>
        </is>
      </c>
      <c r="AH1" t="inlineStr">
        <is>
          <t>Y</t>
        </is>
      </c>
      <c r="AI1" t="inlineStr">
        <is>
          <t>Accept</t>
        </is>
      </c>
      <c r="AJ1" t="inlineStr">
        <is>
          <t>Y</t>
        </is>
      </c>
      <c r="AK1" t="inlineStr">
        <is>
          <t>Accept</t>
        </is>
      </c>
      <c r="AL1" t="inlineStr">
        <is>
          <t>Y</t>
        </is>
      </c>
      <c r="AM1" t="inlineStr">
        <is>
          <t>Accept</t>
        </is>
      </c>
      <c r="AN1" t="inlineStr">
        <is>
          <t>Y</t>
        </is>
      </c>
      <c r="AO1" t="inlineStr">
        <is>
          <t>Accept</t>
        </is>
      </c>
      <c r="AP1" t="inlineStr">
        <is>
          <t>Y</t>
        </is>
      </c>
      <c r="AQ1" t="inlineStr">
        <is>
          <t>Accept</t>
        </is>
      </c>
      <c r="AR1" t="inlineStr">
        <is>
          <t>Y</t>
        </is>
      </c>
      <c r="AS1" t="inlineStr">
        <is>
          <t>Accept</t>
        </is>
      </c>
      <c r="AT1" t="inlineStr">
        <is>
          <t>Y</t>
        </is>
      </c>
      <c r="AU1" t="inlineStr">
        <is>
          <t>Accept</t>
        </is>
      </c>
      <c r="AV1" t="inlineStr">
        <is>
          <t>Y</t>
        </is>
      </c>
      <c r="AW1" t="inlineStr">
        <is>
          <t>Accept</t>
        </is>
      </c>
      <c r="AX1" t="inlineStr">
        <is>
          <t>Y</t>
        </is>
      </c>
      <c r="AY1" t="inlineStr">
        <is>
          <t>Accept</t>
        </is>
      </c>
      <c r="AZ1" t="inlineStr">
        <is>
          <t>Y</t>
        </is>
      </c>
      <c r="BA1" t="inlineStr">
        <is>
          <t>Accept</t>
        </is>
      </c>
      <c r="BB1" t="inlineStr">
        <is>
          <t>Y</t>
        </is>
      </c>
      <c r="BC1" t="inlineStr">
        <is>
          <t>Accept</t>
        </is>
      </c>
      <c r="BD1" t="inlineStr">
        <is>
          <t>Y</t>
        </is>
      </c>
      <c r="BE1" t="inlineStr">
        <is>
          <t>Accept</t>
        </is>
      </c>
      <c r="BF1" t="inlineStr">
        <is>
          <t>Y</t>
        </is>
      </c>
      <c r="BG1" t="inlineStr">
        <is>
          <t>Accept</t>
        </is>
      </c>
      <c r="BH1" t="inlineStr">
        <is>
          <t>Y</t>
        </is>
      </c>
      <c r="BI1" t="inlineStr">
        <is>
          <t>Accept</t>
        </is>
      </c>
      <c r="BJ1" t="inlineStr">
        <is>
          <t>Y</t>
        </is>
      </c>
      <c r="BK1" t="inlineStr">
        <is>
          <t>Accept</t>
        </is>
      </c>
      <c r="BL1" t="inlineStr">
        <is>
          <t>ROW_COUNT</t>
        </is>
      </c>
      <c r="BM1" t="inlineStr">
        <is>
          <t>MATCHED</t>
        </is>
      </c>
      <c r="BN1" t="inlineStr">
        <is>
          <t>Accept</t>
        </is>
      </c>
      <c r="BO1" t="inlineStr">
        <is>
          <t>EBIX</t>
        </is>
      </c>
      <c r="BP1" t="inlineStr">
        <is>
          <t>MAP</t>
        </is>
      </c>
      <c r="BQ1" t="inlineStr">
        <is>
          <t>Accept</t>
        </is>
      </c>
      <c r="BR1" t="inlineStr">
        <is>
          <t>Accept</t>
        </is>
      </c>
      <c r="BS1" t="inlineStr">
        <is>
          <t>NOT STARTED</t>
        </is>
      </c>
      <c r="BT1" t="inlineStr">
        <is>
          <t>Accept</t>
        </is>
      </c>
      <c r="BU1" t="inlineStr">
        <is>
          <t>Y</t>
        </is>
      </c>
      <c r="BV1" t="inlineStr">
        <is>
          <t>Accept</t>
        </is>
      </c>
      <c r="BW1" t="inlineStr">
        <is>
          <t>Accept</t>
        </is>
      </c>
      <c r="BX1" t="inlineStr">
        <is>
          <t>Accept</t>
        </is>
      </c>
      <c r="BY1" t="inlineStr">
        <is>
          <t>OPEN</t>
        </is>
      </c>
      <c r="BZ1" t="inlineStr">
        <is>
          <t>Accept</t>
        </is>
      </c>
      <c r="CA1" t="inlineStr">
        <is>
          <t>Trial migration 1</t>
        </is>
      </c>
      <c r="CB1" t="inlineStr">
        <is>
          <t>Matched</t>
        </is>
      </c>
      <c r="CC1" t="inlineStr">
        <is>
          <t>Accept</t>
        </is>
      </c>
      <c r="CD1" t="inlineStr">
        <is>
          <t>OPEN</t>
        </is>
      </c>
      <c r="CE1" t="inlineStr">
        <is>
          <t>Agree</t>
        </is>
      </c>
      <c r="CF1" t="inlineStr">
        <is>
          <t>Accept</t>
        </is>
      </c>
      <c r="CG1" t="inlineStr">
        <is>
          <t>Accept</t>
        </is>
      </c>
      <c r="CH1" t="inlineStr">
        <is>
          <t>Accept</t>
        </is>
      </c>
      <c r="CI1" t="inlineStr">
        <is>
          <t>Accept</t>
        </is>
      </c>
      <c r="CJ1" t="inlineStr">
        <is>
          <t>Validation</t>
        </is>
      </c>
      <c r="CK1" t="inlineStr">
        <is>
          <t>Accept</t>
        </is>
      </c>
      <c r="CL1" t="inlineStr">
        <is>
          <t>Clarification</t>
        </is>
      </c>
      <c r="CM1" t="inlineStr">
        <is>
          <t>Open</t>
        </is>
      </c>
      <c r="CN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N</t>
        </is>
      </c>
      <c r="G2" t="inlineStr">
        <is>
          <t>Change requested</t>
        </is>
      </c>
      <c r="H2" t="inlineStr">
        <is>
          <t>N</t>
        </is>
      </c>
      <c r="I2" t="inlineStr">
        <is>
          <t>Change requested</t>
        </is>
      </c>
      <c r="J2" t="inlineStr">
        <is>
          <t>N</t>
        </is>
      </c>
      <c r="K2" t="inlineStr">
        <is>
          <t>Change requested</t>
        </is>
      </c>
      <c r="L2" t="inlineStr">
        <is>
          <t>N</t>
        </is>
      </c>
      <c r="M2" t="inlineStr">
        <is>
          <t>Change requested</t>
        </is>
      </c>
      <c r="N2" t="inlineStr">
        <is>
          <t>N</t>
        </is>
      </c>
      <c r="O2" t="inlineStr">
        <is>
          <t>Change requested</t>
        </is>
      </c>
      <c r="P2" t="inlineStr">
        <is>
          <t>N</t>
        </is>
      </c>
      <c r="Q2" t="inlineStr">
        <is>
          <t>Change requested</t>
        </is>
      </c>
      <c r="R2" t="inlineStr">
        <is>
          <t>N</t>
        </is>
      </c>
      <c r="S2" t="inlineStr">
        <is>
          <t>Change requested</t>
        </is>
      </c>
      <c r="T2" t="inlineStr">
        <is>
          <t>N</t>
        </is>
      </c>
      <c r="U2" t="inlineStr">
        <is>
          <t>Change requested</t>
        </is>
      </c>
      <c r="V2" t="inlineStr">
        <is>
          <t>N</t>
        </is>
      </c>
      <c r="W2" t="inlineStr">
        <is>
          <t>Change requested</t>
        </is>
      </c>
      <c r="X2" t="inlineStr">
        <is>
          <t>N</t>
        </is>
      </c>
      <c r="Y2" t="inlineStr">
        <is>
          <t>Change requested</t>
        </is>
      </c>
      <c r="Z2" t="inlineStr">
        <is>
          <t>N</t>
        </is>
      </c>
      <c r="AA2" t="inlineStr">
        <is>
          <t>Change requested</t>
        </is>
      </c>
      <c r="AB2" t="inlineStr">
        <is>
          <t>N</t>
        </is>
      </c>
      <c r="AC2" t="inlineStr">
        <is>
          <t>Change requested</t>
        </is>
      </c>
      <c r="AD2" t="inlineStr">
        <is>
          <t>N</t>
        </is>
      </c>
      <c r="AE2" t="inlineStr">
        <is>
          <t>Change requested</t>
        </is>
      </c>
      <c r="AF2" t="inlineStr">
        <is>
          <t>N</t>
        </is>
      </c>
      <c r="AG2" t="inlineStr">
        <is>
          <t>Change requested</t>
        </is>
      </c>
      <c r="AH2" t="inlineStr">
        <is>
          <t>N</t>
        </is>
      </c>
      <c r="AI2" t="inlineStr">
        <is>
          <t>Change requested</t>
        </is>
      </c>
      <c r="AJ2" t="inlineStr">
        <is>
          <t>N</t>
        </is>
      </c>
      <c r="AK2" t="inlineStr">
        <is>
          <t>Change requested</t>
        </is>
      </c>
      <c r="AL2" t="inlineStr">
        <is>
          <t>N</t>
        </is>
      </c>
      <c r="AM2" t="inlineStr">
        <is>
          <t>Change requested</t>
        </is>
      </c>
      <c r="AN2" t="inlineStr">
        <is>
          <t>N</t>
        </is>
      </c>
      <c r="AO2" t="inlineStr">
        <is>
          <t>Change requested</t>
        </is>
      </c>
      <c r="AP2" t="inlineStr">
        <is>
          <t>N</t>
        </is>
      </c>
      <c r="AQ2" t="inlineStr">
        <is>
          <t>Change requested</t>
        </is>
      </c>
      <c r="AR2" t="inlineStr">
        <is>
          <t>N</t>
        </is>
      </c>
      <c r="AS2" t="inlineStr">
        <is>
          <t>Change requested</t>
        </is>
      </c>
      <c r="AT2" t="inlineStr">
        <is>
          <t>N</t>
        </is>
      </c>
      <c r="AU2" t="inlineStr">
        <is>
          <t>Change requested</t>
        </is>
      </c>
      <c r="AV2" t="inlineStr">
        <is>
          <t>N</t>
        </is>
      </c>
      <c r="AW2" t="inlineStr">
        <is>
          <t>Change requested</t>
        </is>
      </c>
      <c r="AX2" t="inlineStr">
        <is>
          <t>N</t>
        </is>
      </c>
      <c r="AY2" t="inlineStr">
        <is>
          <t>Change requested</t>
        </is>
      </c>
      <c r="AZ2" t="inlineStr">
        <is>
          <t>N</t>
        </is>
      </c>
      <c r="BA2" t="inlineStr">
        <is>
          <t>Change requested</t>
        </is>
      </c>
      <c r="BB2" t="inlineStr">
        <is>
          <t>N</t>
        </is>
      </c>
      <c r="BC2" t="inlineStr">
        <is>
          <t>Change requested</t>
        </is>
      </c>
      <c r="BD2" t="inlineStr">
        <is>
          <t>N</t>
        </is>
      </c>
      <c r="BE2" t="inlineStr">
        <is>
          <t>Change requested</t>
        </is>
      </c>
      <c r="BF2" t="inlineStr">
        <is>
          <t>N</t>
        </is>
      </c>
      <c r="BG2" t="inlineStr">
        <is>
          <t>Change requested</t>
        </is>
      </c>
      <c r="BH2" t="inlineStr">
        <is>
          <t>N</t>
        </is>
      </c>
      <c r="BI2" t="inlineStr">
        <is>
          <t>Change requested</t>
        </is>
      </c>
      <c r="BJ2" t="inlineStr">
        <is>
          <t>N</t>
        </is>
      </c>
      <c r="BK2" t="inlineStr">
        <is>
          <t>Change requested</t>
        </is>
      </c>
      <c r="BL2" t="inlineStr">
        <is>
          <t>HASH_TOTAL</t>
        </is>
      </c>
      <c r="BM2" t="inlineStr">
        <is>
          <t>BREAK</t>
        </is>
      </c>
      <c r="BN2" t="inlineStr">
        <is>
          <t>Change requested</t>
        </is>
      </c>
      <c r="BO2" t="inlineStr">
        <is>
          <t>QPS</t>
        </is>
      </c>
      <c r="BP2" t="inlineStr">
        <is>
          <t>DEFAULT</t>
        </is>
      </c>
      <c r="BQ2" t="inlineStr">
        <is>
          <t>Change requested</t>
        </is>
      </c>
      <c r="BR2" t="inlineStr">
        <is>
          <t>Change requested</t>
        </is>
      </c>
      <c r="BS2" t="inlineStr">
        <is>
          <t>IN PROGRESS</t>
        </is>
      </c>
      <c r="BT2" t="inlineStr">
        <is>
          <t>Change requested</t>
        </is>
      </c>
      <c r="BU2" t="inlineStr">
        <is>
          <t>N</t>
        </is>
      </c>
      <c r="BV2" t="inlineStr">
        <is>
          <t>Change requested</t>
        </is>
      </c>
      <c r="BW2" t="inlineStr">
        <is>
          <t>Change requested</t>
        </is>
      </c>
      <c r="BX2" t="inlineStr">
        <is>
          <t>Change requested</t>
        </is>
      </c>
      <c r="BY2" t="inlineStr">
        <is>
          <t>DONE</t>
        </is>
      </c>
      <c r="BZ2" t="inlineStr">
        <is>
          <t>Change requested</t>
        </is>
      </c>
      <c r="CA2" t="inlineStr">
        <is>
          <t>Trial migration 2</t>
        </is>
      </c>
      <c r="CB2" t="inlineStr">
        <is>
          <t>Explained</t>
        </is>
      </c>
      <c r="CC2" t="inlineStr">
        <is>
          <t>Change requested</t>
        </is>
      </c>
      <c r="CD2" t="inlineStr">
        <is>
          <t>PARTIAL</t>
        </is>
      </c>
      <c r="CE2" t="inlineStr">
        <is>
          <t>Agree with change</t>
        </is>
      </c>
      <c r="CF2" t="inlineStr">
        <is>
          <t>Change requested</t>
        </is>
      </c>
      <c r="CG2" t="inlineStr">
        <is>
          <t>Change requested</t>
        </is>
      </c>
      <c r="CH2" t="inlineStr">
        <is>
          <t>Change requested</t>
        </is>
      </c>
      <c r="CI2" t="inlineStr">
        <is>
          <t>Change requested</t>
        </is>
      </c>
      <c r="CJ2" t="inlineStr">
        <is>
          <t>Error</t>
        </is>
      </c>
      <c r="CK2" t="inlineStr">
        <is>
          <t>Change requested</t>
        </is>
      </c>
      <c r="CL2" t="inlineStr">
        <is>
          <t>Correction</t>
        </is>
      </c>
      <c r="CM2" t="inlineStr">
        <is>
          <t>Answered</t>
        </is>
      </c>
      <c r="CN2" t="inlineStr">
        <is>
          <t>Approved with comments</t>
        </is>
      </c>
    </row>
    <row r="3">
      <c r="A3" t="inlineStr">
        <is>
          <t>Conditional</t>
        </is>
      </c>
      <c r="B3" t="inlineStr">
        <is>
          <t>Comment</t>
        </is>
      </c>
      <c r="C3" t="inlineStr">
        <is>
          <t>Comment</t>
        </is>
      </c>
      <c r="D3" t="inlineStr">
        <is>
          <t>Comment</t>
        </is>
      </c>
      <c r="E3" t="inlineStr">
        <is>
          <t>Comment</t>
        </is>
      </c>
      <c r="F3" t="inlineStr">
        <is>
          <t>C</t>
        </is>
      </c>
      <c r="G3" t="inlineStr">
        <is>
          <t>Comment</t>
        </is>
      </c>
      <c r="H3" t="inlineStr">
        <is>
          <t>C</t>
        </is>
      </c>
      <c r="I3" t="inlineStr">
        <is>
          <t>Comment</t>
        </is>
      </c>
      <c r="J3" t="inlineStr">
        <is>
          <t>C</t>
        </is>
      </c>
      <c r="K3" t="inlineStr">
        <is>
          <t>Comment</t>
        </is>
      </c>
      <c r="L3" t="inlineStr">
        <is>
          <t>C</t>
        </is>
      </c>
      <c r="M3" t="inlineStr">
        <is>
          <t>Comment</t>
        </is>
      </c>
      <c r="N3" t="inlineStr">
        <is>
          <t>C</t>
        </is>
      </c>
      <c r="O3" t="inlineStr">
        <is>
          <t>Comment</t>
        </is>
      </c>
      <c r="P3" t="inlineStr">
        <is>
          <t>C</t>
        </is>
      </c>
      <c r="Q3" t="inlineStr">
        <is>
          <t>Comment</t>
        </is>
      </c>
      <c r="R3" t="inlineStr">
        <is>
          <t>C</t>
        </is>
      </c>
      <c r="S3" t="inlineStr">
        <is>
          <t>Comment</t>
        </is>
      </c>
      <c r="T3" t="inlineStr">
        <is>
          <t>C</t>
        </is>
      </c>
      <c r="U3" t="inlineStr">
        <is>
          <t>Comment</t>
        </is>
      </c>
      <c r="V3" t="inlineStr">
        <is>
          <t>C</t>
        </is>
      </c>
      <c r="W3" t="inlineStr">
        <is>
          <t>Comment</t>
        </is>
      </c>
      <c r="X3" t="inlineStr">
        <is>
          <t>C</t>
        </is>
      </c>
      <c r="Y3" t="inlineStr">
        <is>
          <t>Comment</t>
        </is>
      </c>
      <c r="Z3" t="inlineStr">
        <is>
          <t>C</t>
        </is>
      </c>
      <c r="AA3" t="inlineStr">
        <is>
          <t>Comment</t>
        </is>
      </c>
      <c r="AB3" t="inlineStr">
        <is>
          <t>C</t>
        </is>
      </c>
      <c r="AC3" t="inlineStr">
        <is>
          <t>Comment</t>
        </is>
      </c>
      <c r="AD3" t="inlineStr">
        <is>
          <t>C</t>
        </is>
      </c>
      <c r="AE3" t="inlineStr">
        <is>
          <t>Comment</t>
        </is>
      </c>
      <c r="AF3" t="inlineStr">
        <is>
          <t>C</t>
        </is>
      </c>
      <c r="AG3" t="inlineStr">
        <is>
          <t>Comment</t>
        </is>
      </c>
      <c r="AH3" t="inlineStr">
        <is>
          <t>C</t>
        </is>
      </c>
      <c r="AI3" t="inlineStr">
        <is>
          <t>Comment</t>
        </is>
      </c>
      <c r="AJ3" t="inlineStr">
        <is>
          <t>C</t>
        </is>
      </c>
      <c r="AK3" t="inlineStr">
        <is>
          <t>Comment</t>
        </is>
      </c>
      <c r="AL3" t="inlineStr">
        <is>
          <t>C</t>
        </is>
      </c>
      <c r="AM3" t="inlineStr">
        <is>
          <t>Comment</t>
        </is>
      </c>
      <c r="AN3" t="inlineStr">
        <is>
          <t>C</t>
        </is>
      </c>
      <c r="AO3" t="inlineStr">
        <is>
          <t>Comment</t>
        </is>
      </c>
      <c r="AP3" t="inlineStr">
        <is>
          <t>C</t>
        </is>
      </c>
      <c r="AQ3" t="inlineStr">
        <is>
          <t>Comment</t>
        </is>
      </c>
      <c r="AR3" t="inlineStr">
        <is>
          <t>C</t>
        </is>
      </c>
      <c r="AS3" t="inlineStr">
        <is>
          <t>Comment</t>
        </is>
      </c>
      <c r="AT3" t="inlineStr">
        <is>
          <t>C</t>
        </is>
      </c>
      <c r="AU3" t="inlineStr">
        <is>
          <t>Comment</t>
        </is>
      </c>
      <c r="AV3" t="inlineStr">
        <is>
          <t>C</t>
        </is>
      </c>
      <c r="AW3" t="inlineStr">
        <is>
          <t>Comment</t>
        </is>
      </c>
      <c r="AX3" t="inlineStr">
        <is>
          <t>C</t>
        </is>
      </c>
      <c r="AY3" t="inlineStr">
        <is>
          <t>Comment</t>
        </is>
      </c>
      <c r="AZ3" t="inlineStr">
        <is>
          <t>C</t>
        </is>
      </c>
      <c r="BA3" t="inlineStr">
        <is>
          <t>Comment</t>
        </is>
      </c>
      <c r="BB3" t="inlineStr">
        <is>
          <t>C</t>
        </is>
      </c>
      <c r="BC3" t="inlineStr">
        <is>
          <t>Comment</t>
        </is>
      </c>
      <c r="BD3" t="inlineStr">
        <is>
          <t>C</t>
        </is>
      </c>
      <c r="BE3" t="inlineStr">
        <is>
          <t>Comment</t>
        </is>
      </c>
      <c r="BF3" t="inlineStr">
        <is>
          <t>C</t>
        </is>
      </c>
      <c r="BG3" t="inlineStr">
        <is>
          <t>Comment</t>
        </is>
      </c>
      <c r="BH3" t="inlineStr">
        <is>
          <t>C</t>
        </is>
      </c>
      <c r="BI3" t="inlineStr">
        <is>
          <t>Comment</t>
        </is>
      </c>
      <c r="BJ3" t="inlineStr">
        <is>
          <t>C</t>
        </is>
      </c>
      <c r="BK3" t="inlineStr">
        <is>
          <t>Comment</t>
        </is>
      </c>
      <c r="BL3" t="inlineStr">
        <is>
          <t>AMOUNT_TOTAL</t>
        </is>
      </c>
      <c r="BM3" t="inlineStr">
        <is>
          <t>EXPLAINED</t>
        </is>
      </c>
      <c r="BN3" t="inlineStr">
        <is>
          <t>Comment</t>
        </is>
      </c>
      <c r="BO3" t="inlineStr">
        <is>
          <t>ISYS</t>
        </is>
      </c>
      <c r="BP3" t="inlineStr">
        <is>
          <t>REJECT</t>
        </is>
      </c>
      <c r="BQ3" t="inlineStr">
        <is>
          <t>Comment</t>
        </is>
      </c>
      <c r="BR3" t="inlineStr">
        <is>
          <t>Comment</t>
        </is>
      </c>
      <c r="BS3" t="inlineStr">
        <is>
          <t>DONE</t>
        </is>
      </c>
      <c r="BT3" t="inlineStr">
        <is>
          <t>Comment</t>
        </is>
      </c>
      <c r="BV3" t="inlineStr">
        <is>
          <t>Comment</t>
        </is>
      </c>
      <c r="BW3" t="inlineStr">
        <is>
          <t>Comment</t>
        </is>
      </c>
      <c r="BX3" t="inlineStr">
        <is>
          <t>Comment</t>
        </is>
      </c>
      <c r="BY3" t="inlineStr">
        <is>
          <t>N/A</t>
        </is>
      </c>
      <c r="BZ3" t="inlineStr">
        <is>
          <t>Comment</t>
        </is>
      </c>
      <c r="CA3" t="inlineStr">
        <is>
          <t>Trial migration 3</t>
        </is>
      </c>
      <c r="CB3" t="inlineStr">
        <is>
          <t>Break</t>
        </is>
      </c>
      <c r="CC3" t="inlineStr">
        <is>
          <t>Comment</t>
        </is>
      </c>
      <c r="CD3" t="inlineStr">
        <is>
          <t>ANSWERED</t>
        </is>
      </c>
      <c r="CE3" t="inlineStr">
        <is>
          <t>Disagree</t>
        </is>
      </c>
      <c r="CF3" t="inlineStr">
        <is>
          <t>Comment</t>
        </is>
      </c>
      <c r="CG3" t="inlineStr">
        <is>
          <t>Comment</t>
        </is>
      </c>
      <c r="CH3" t="inlineStr">
        <is>
          <t>Comment</t>
        </is>
      </c>
      <c r="CI3" t="inlineStr">
        <is>
          <t>Comment</t>
        </is>
      </c>
      <c r="CJ3" t="inlineStr">
        <is>
          <t>Warning</t>
        </is>
      </c>
      <c r="CK3" t="inlineStr">
        <is>
          <t>Comment</t>
        </is>
      </c>
      <c r="CL3" t="inlineStr">
        <is>
          <t>Change request</t>
        </is>
      </c>
      <c r="CM3" t="inlineStr">
        <is>
          <t>Closed</t>
        </is>
      </c>
      <c r="CN3" t="inlineStr">
        <is>
          <t>Not approved</t>
        </is>
      </c>
    </row>
    <row r="4">
      <c r="A4" t="inlineStr">
        <is>
          <t>Archive</t>
        </is>
      </c>
      <c r="BL4" t="inlineStr">
        <is>
          <t>SHA256</t>
        </is>
      </c>
      <c r="BO4" t="inlineStr">
        <is>
          <t>CMS</t>
        </is>
      </c>
      <c r="BP4" t="inlineStr">
        <is>
          <t>CREATE</t>
        </is>
      </c>
      <c r="BS4" t="inlineStr">
        <is>
          <t>BLOCKED</t>
        </is>
      </c>
      <c r="CA4" t="inlineStr">
        <is>
          <t>Trial migration 4</t>
        </is>
      </c>
      <c r="CD4" t="inlineStr">
        <is>
          <t>RECOMMENDED</t>
        </is>
      </c>
      <c r="CE4" t="inlineStr">
        <is>
          <t>Need more information</t>
        </is>
      </c>
      <c r="CJ4" t="inlineStr">
        <is>
          <t>Confirmation</t>
        </is>
      </c>
    </row>
    <row r="5">
      <c r="A5" t="inlineStr">
        <is>
          <t>Excluded</t>
        </is>
      </c>
      <c r="BO5" t="inlineStr">
        <is>
          <t>EXCEL</t>
        </is>
      </c>
      <c r="BS5" t="inlineStr">
        <is>
          <t>N/A</t>
        </is>
      </c>
      <c r="CA5" t="inlineStr">
        <is>
          <t>Dress rehearsal</t>
        </is>
      </c>
      <c r="CJ5" t="inlineStr">
        <is>
          <t>Information</t>
        </is>
      </c>
    </row>
    <row r="6">
      <c r="CA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2026-09-28T01:21:07Z</dcterms:created>
  <dcterms:modified xmlns:dcterms="http://purl.org/dc/terms/" xmlns:xsi="http://www.w3.org/2001/XMLSchema-instance" xsi:type="dcterms:W3CDTF">2026-09-28T01:21:14Z</dcterms:modified>
  <cp:keywords>Migration workbook, BRD-13, BIBS, BDOI</cp:keywords>
</cp:coreProperties>
</file>