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11.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12.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13.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14.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15.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16.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17.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18.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9.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20.xml" ContentType="application/vnd.openxmlformats-officedocument.spreadsheetml.worksheet+xml"/>
  <Override PartName="/xl/comments/comment11.xml" ContentType="application/vnd.openxmlformats-officedocument.spreadsheetml.comments+xml"/>
  <Override PartName="/xl/tables/table11.xml" ContentType="application/vnd.openxmlformats-officedocument.spreadsheetml.table+xml"/>
  <Override PartName="/xl/worksheets/sheet21.xml" ContentType="application/vnd.openxmlformats-officedocument.spreadsheetml.worksheet+xml"/>
  <Override PartName="/xl/comments/comment12.xml" ContentType="application/vnd.openxmlformats-officedocument.spreadsheetml.comments+xml"/>
  <Override PartName="/xl/tables/table12.xml" ContentType="application/vnd.openxmlformats-officedocument.spreadsheetml.table+xml"/>
  <Override PartName="/xl/worksheets/sheet22.xml" ContentType="application/vnd.openxmlformats-officedocument.spreadsheetml.worksheet+xml"/>
  <Override PartName="/xl/comments/comment13.xml" ContentType="application/vnd.openxmlformats-officedocument.spreadsheetml.comments+xml"/>
  <Override PartName="/xl/tables/table13.xml" ContentType="application/vnd.openxmlformats-officedocument.spreadsheetml.table+xml"/>
  <Override PartName="/xl/worksheets/sheet23.xml" ContentType="application/vnd.openxmlformats-officedocument.spreadsheetml.worksheet+xml"/>
  <Override PartName="/xl/comments/comment14.xml" ContentType="application/vnd.openxmlformats-officedocument.spreadsheetml.comments+xml"/>
  <Override PartName="/xl/tables/table14.xml" ContentType="application/vnd.openxmlformats-officedocument.spreadsheetml.table+xml"/>
  <Override PartName="/xl/worksheets/sheet24.xml" ContentType="application/vnd.openxmlformats-officedocument.spreadsheetml.worksheet+xml"/>
  <Override PartName="/xl/comments/comment15.xml" ContentType="application/vnd.openxmlformats-officedocument.spreadsheetml.comments+xml"/>
  <Override PartName="/xl/tables/table15.xml" ContentType="application/vnd.openxmlformats-officedocument.spreadsheetml.table+xml"/>
  <Override PartName="/xl/worksheets/sheet25.xml" ContentType="application/vnd.openxmlformats-officedocument.spreadsheetml.worksheet+xml"/>
  <Override PartName="/xl/comments/comment16.xml" ContentType="application/vnd.openxmlformats-officedocument.spreadsheetml.comments+xml"/>
  <Override PartName="/xl/tables/table16.xml" ContentType="application/vnd.openxmlformats-officedocument.spreadsheetml.table+xml"/>
  <Override PartName="/xl/worksheets/sheet26.xml" ContentType="application/vnd.openxmlformats-officedocument.spreadsheetml.worksheet+xml"/>
  <Override PartName="/xl/comments/comment17.xml" ContentType="application/vnd.openxmlformats-officedocument.spreadsheetml.comments+xml"/>
  <Override PartName="/xl/tables/table17.xml" ContentType="application/vnd.openxmlformats-officedocument.spreadsheetml.table+xml"/>
  <Override PartName="/xl/worksheets/sheet27.xml" ContentType="application/vnd.openxmlformats-officedocument.spreadsheetml.worksheet+xml"/>
  <Override PartName="/xl/comments/comment18.xml" ContentType="application/vnd.openxmlformats-officedocument.spreadsheetml.comments+xml"/>
  <Override PartName="/xl/tables/table18.xml" ContentType="application/vnd.openxmlformats-officedocument.spreadsheetml.table+xml"/>
  <Override PartName="/xl/worksheets/sheet28.xml" ContentType="application/vnd.openxmlformats-officedocument.spreadsheetml.worksheet+xml"/>
  <Override PartName="/xl/comments/comment19.xml" ContentType="application/vnd.openxmlformats-officedocument.spreadsheetml.comments+xml"/>
  <Override PartName="/xl/tables/table19.xml" ContentType="application/vnd.openxmlformats-officedocument.spreadsheetml.table+xml"/>
  <Override PartName="/xl/worksheets/sheet29.xml" ContentType="application/vnd.openxmlformats-officedocument.spreadsheetml.worksheet+xml"/>
  <Override PartName="/xl/comments/comment20.xml" ContentType="application/vnd.openxmlformats-officedocument.spreadsheetml.comments+xml"/>
  <Override PartName="/xl/tables/table20.xml" ContentType="application/vnd.openxmlformats-officedocument.spreadsheetml.table+xml"/>
  <Override PartName="/xl/worksheets/sheet30.xml" ContentType="application/vnd.openxmlformats-officedocument.spreadsheetml.worksheet+xml"/>
  <Override PartName="/xl/comments/comment21.xml" ContentType="application/vnd.openxmlformats-officedocument.spreadsheetml.comments+xml"/>
  <Override PartName="/xl/tables/table21.xml" ContentType="application/vnd.openxmlformats-officedocument.spreadsheetml.table+xml"/>
  <Override PartName="/xl/worksheets/sheet31.xml" ContentType="application/vnd.openxmlformats-officedocument.spreadsheetml.worksheet+xml"/>
  <Override PartName="/xl/comments/comment22.xml" ContentType="application/vnd.openxmlformats-officedocument.spreadsheetml.comments+xml"/>
  <Override PartName="/xl/tables/table22.xml" ContentType="application/vnd.openxmlformats-officedocument.spreadsheetml.table+xml"/>
  <Override PartName="/xl/worksheets/sheet32.xml" ContentType="application/vnd.openxmlformats-officedocument.spreadsheetml.worksheet+xml"/>
  <Override PartName="/xl/comments/comment23.xml" ContentType="application/vnd.openxmlformats-officedocument.spreadsheetml.comments+xml"/>
  <Override PartName="/xl/tables/table23.xml" ContentType="application/vnd.openxmlformats-officedocument.spreadsheetml.table+xml"/>
  <Override PartName="/xl/worksheets/sheet33.xml" ContentType="application/vnd.openxmlformats-officedocument.spreadsheetml.worksheet+xml"/>
  <Override PartName="/xl/comments/comment24.xml" ContentType="application/vnd.openxmlformats-officedocument.spreadsheetml.comments+xml"/>
  <Override PartName="/xl/tables/table24.xml" ContentType="application/vnd.openxmlformats-officedocument.spreadsheetml.table+xml"/>
  <Override PartName="/xl/worksheets/sheet34.xml" ContentType="application/vnd.openxmlformats-officedocument.spreadsheetml.worksheet+xml"/>
  <Override PartName="/xl/comments/comment25.xml" ContentType="application/vnd.openxmlformats-officedocument.spreadsheetml.comments+xml"/>
  <Override PartName="/xl/tables/table25.xml" ContentType="application/vnd.openxmlformats-officedocument.spreadsheetml.table+xml"/>
  <Override PartName="/xl/worksheets/sheet35.xml" ContentType="application/vnd.openxmlformats-officedocument.spreadsheetml.worksheet+xml"/>
  <Override PartName="/xl/comments/comment26.xml" ContentType="application/vnd.openxmlformats-officedocument.spreadsheetml.comments+xml"/>
  <Override PartName="/xl/tables/table26.xml" ContentType="application/vnd.openxmlformats-officedocument.spreadsheetml.table+xml"/>
  <Override PartName="/xl/worksheets/sheet36.xml" ContentType="application/vnd.openxmlformats-officedocument.spreadsheetml.worksheet+xml"/>
  <Override PartName="/xl/comments/comment27.xml" ContentType="application/vnd.openxmlformats-officedocument.spreadsheetml.comments+xml"/>
  <Override PartName="/xl/tables/table27.xml" ContentType="application/vnd.openxmlformats-officedocument.spreadsheetml.table+xml"/>
  <Override PartName="/xl/worksheets/sheet37.xml" ContentType="application/vnd.openxmlformats-officedocument.spreadsheetml.worksheet+xml"/>
  <Override PartName="/xl/comments/comment28.xml" ContentType="application/vnd.openxmlformats-officedocument.spreadsheetml.comments+xml"/>
  <Override PartName="/xl/tables/table28.xml" ContentType="application/vnd.openxmlformats-officedocument.spreadsheetml.table+xml"/>
  <Override PartName="/xl/worksheets/sheet38.xml" ContentType="application/vnd.openxmlformats-officedocument.spreadsheetml.worksheet+xml"/>
  <Override PartName="/xl/comments/comment29.xml" ContentType="application/vnd.openxmlformats-officedocument.spreadsheetml.comments+xml"/>
  <Override PartName="/xl/tables/table29.xml" ContentType="application/vnd.openxmlformats-officedocument.spreadsheetml.table+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Object catalogue" sheetId="4" state="visible" r:id="rId4"/>
    <sheet xmlns:r="http://schemas.openxmlformats.org/officeDocument/2006/relationships" name="Data owners" sheetId="5" state="visible" r:id="rId5"/>
    <sheet xmlns:r="http://schemas.openxmlformats.org/officeDocument/2006/relationships" name="Extract planning" sheetId="6" state="visible" r:id="rId6"/>
    <sheet xmlns:r="http://schemas.openxmlformats.org/officeDocument/2006/relationships" name="Milestones" sheetId="7" state="visible" r:id="rId7"/>
    <sheet xmlns:r="http://schemas.openxmlformats.org/officeDocument/2006/relationships" name="File rules" sheetId="8" state="visible" r:id="rId8"/>
    <sheet xmlns:r="http://schemas.openxmlformats.org/officeDocument/2006/relationships" name="Load templates" sheetId="9" state="visible" r:id="rId9"/>
    <sheet xmlns:r="http://schemas.openxmlformats.org/officeDocument/2006/relationships" name="R01 Lists of values and MIS val" sheetId="10" state="visible" r:id="rId10"/>
    <sheet xmlns:r="http://schemas.openxmlformats.org/officeDocument/2006/relationships" name="R02 Branches and invoicing bran" sheetId="11" state="visible" r:id="rId11"/>
    <sheet xmlns:r="http://schemas.openxmlformats.org/officeDocument/2006/relationships" name="R03 Sales organisation (units a" sheetId="12" state="visible" r:id="rId12"/>
    <sheet xmlns:r="http://schemas.openxmlformats.org/officeDocument/2006/relationships" name="R04 Insurers" sheetId="13" state="visible" r:id="rId13"/>
    <sheet xmlns:r="http://schemas.openxmlformats.org/officeDocument/2006/relationships" name="R04B Insurer branches" sheetId="14" state="visible" r:id="rId14"/>
    <sheet xmlns:r="http://schemas.openxmlformats.org/officeDocument/2006/relationships" name="R05 Product lines, cover types," sheetId="15" state="visible" r:id="rId15"/>
    <sheet xmlns:r="http://schemas.openxmlformats.org/officeDocument/2006/relationships" name="R06 Package code map (legacy pa" sheetId="16" state="visible" r:id="rId16"/>
    <sheet xmlns:r="http://schemas.openxmlformats.org/officeDocument/2006/relationships" name="R07 Commission rates by insurer" sheetId="17" state="visible" r:id="rId17"/>
    <sheet xmlns:r="http://schemas.openxmlformats.org/officeDocument/2006/relationships" name="R08 Chart of accounts mapping" sheetId="18" state="visible" r:id="rId18"/>
    <sheet xmlns:r="http://schemas.openxmlformats.org/officeDocument/2006/relationships" name="R09 Payees" sheetId="19" state="visible" r:id="rId19"/>
    <sheet xmlns:r="http://schemas.openxmlformats.org/officeDocument/2006/relationships" name="R11 Receipt series in use" sheetId="20" state="visible" r:id="rId20"/>
    <sheet xmlns:r="http://schemas.openxmlformats.org/officeDocument/2006/relationships" name="C01 Client master" sheetId="21" state="visible" r:id="rId21"/>
    <sheet xmlns:r="http://schemas.openxmlformats.org/officeDocument/2006/relationships" name="C02 Client addresses and contac" sheetId="22" state="visible" r:id="rId22"/>
    <sheet xmlns:r="http://schemas.openxmlformats.org/officeDocument/2006/relationships" name="C03 Client payout accounts" sheetId="23" state="visible" r:id="rId23"/>
    <sheet xmlns:r="http://schemas.openxmlformats.org/officeDocument/2006/relationships" name="P01 In-force policy headers" sheetId="24" state="visible" r:id="rId24"/>
    <sheet xmlns:r="http://schemas.openxmlformats.org/officeDocument/2006/relationships" name="P01S Policy insurer shares" sheetId="25" state="visible" r:id="rId25"/>
    <sheet xmlns:r="http://schemas.openxmlformats.org/officeDocument/2006/relationships" name="F01 Open legacy invoices - head" sheetId="26" state="visible" r:id="rId26"/>
    <sheet xmlns:r="http://schemas.openxmlformats.org/officeDocument/2006/relationships" name="F01C Open legacy invoices - com" sheetId="27" state="visible" r:id="rId27"/>
    <sheet xmlns:r="http://schemas.openxmlformats.org/officeDocument/2006/relationships" name="F01S Open legacy invoices - ins" sheetId="28" state="visible" r:id="rId28"/>
    <sheet xmlns:r="http://schemas.openxmlformats.org/officeDocument/2006/relationships" name="F02 Unapplied premium payments" sheetId="29" state="visible" r:id="rId29"/>
    <sheet xmlns:r="http://schemas.openxmlformats.org/officeDocument/2006/relationships" name="F03 Open collection state" sheetId="30" state="visible" r:id="rId30"/>
    <sheet xmlns:r="http://schemas.openxmlformats.org/officeDocument/2006/relationships" name="F04 Remittance in flight" sheetId="31" state="visible" r:id="rId31"/>
    <sheet xmlns:r="http://schemas.openxmlformats.org/officeDocument/2006/relationships" name="F06 PDCs, check pick-ups and re" sheetId="32" state="visible" r:id="rId32"/>
    <sheet xmlns:r="http://schemas.openxmlformats.org/officeDocument/2006/relationships" name="G01 GL opening trial balance" sheetId="33" state="visible" r:id="rId33"/>
    <sheet xmlns:r="http://schemas.openxmlformats.org/officeDocument/2006/relationships" name="P03 Renewal advices already sen" sheetId="34" state="visible" r:id="rId34"/>
    <sheet xmlns:r="http://schemas.openxmlformats.org/officeDocument/2006/relationships" name="H01 Archive records (closed tra" sheetId="35" state="visible" r:id="rId35"/>
    <sheet xmlns:r="http://schemas.openxmlformats.org/officeDocument/2006/relationships" name="H02 Archive documents index" sheetId="36" state="visible" r:id="rId36"/>
    <sheet xmlns:r="http://schemas.openxmlformats.org/officeDocument/2006/relationships" name="G03 FY2027 true-up - legacy adj" sheetId="37" state="visible" r:id="rId37"/>
    <sheet xmlns:r="http://schemas.openxmlformats.org/officeDocument/2006/relationships" name="G03D FY2027 true-up - open-item" sheetId="38" state="visible" r:id="rId38"/>
    <sheet xmlns:r="http://schemas.openxmlformats.org/officeDocument/2006/relationships" name="Reference lists" sheetId="39" state="visible" r:id="rId39"/>
    <sheet xmlns:r="http://schemas.openxmlformats.org/officeDocument/2006/relationships" name="Control file" sheetId="40" state="visible" r:id="rId40"/>
    <sheet xmlns:r="http://schemas.openxmlformats.org/officeDocument/2006/relationships" name="Control example" sheetId="41" state="visible" r:id="rId41"/>
    <sheet xmlns:r="http://schemas.openxmlformats.org/officeDocument/2006/relationships" name="Control totals" sheetId="42" state="visible" r:id="rId42"/>
    <sheet xmlns:r="http://schemas.openxmlformats.org/officeDocument/2006/relationships" name="Code maps" sheetId="43" state="visible" r:id="rId43"/>
    <sheet xmlns:r="http://schemas.openxmlformats.org/officeDocument/2006/relationships" name="Code map template" sheetId="44" state="visible" r:id="rId44"/>
    <sheet xmlns:r="http://schemas.openxmlformats.org/officeDocument/2006/relationships" name="Validation rules" sheetId="45" state="visible" r:id="rId45"/>
    <sheet xmlns:r="http://schemas.openxmlformats.org/officeDocument/2006/relationships" name="Masking" sheetId="46" state="visible" r:id="rId46"/>
    <sheet xmlns:r="http://schemas.openxmlformats.org/officeDocument/2006/relationships" name="Cut-over tasks" sheetId="47" state="visible" r:id="rId47"/>
    <sheet xmlns:r="http://schemas.openxmlformats.org/officeDocument/2006/relationships" name="Cut-over roles" sheetId="48" state="visible" r:id="rId48"/>
    <sheet xmlns:r="http://schemas.openxmlformats.org/officeDocument/2006/relationships" name="Cut-over calendar" sheetId="49" state="visible" r:id="rId49"/>
    <sheet xmlns:r="http://schemas.openxmlformats.org/officeDocument/2006/relationships" name="Go-no-go checkpoints" sheetId="50" state="visible" r:id="rId50"/>
    <sheet xmlns:r="http://schemas.openxmlformats.org/officeDocument/2006/relationships" name="Freeze windows" sheetId="51" state="visible" r:id="rId51"/>
    <sheet xmlns:r="http://schemas.openxmlformats.org/officeDocument/2006/relationships" name="Rollback" sheetId="52" state="visible" r:id="rId52"/>
    <sheet xmlns:r="http://schemas.openxmlformats.org/officeDocument/2006/relationships" name="Communication" sheetId="53" state="visible" r:id="rId53"/>
    <sheet xmlns:r="http://schemas.openxmlformats.org/officeDocument/2006/relationships" name="Hypercare" sheetId="54" state="visible" r:id="rId54"/>
    <sheet xmlns:r="http://schemas.openxmlformats.org/officeDocument/2006/relationships" name="Decommissioning" sheetId="55" state="visible" r:id="rId55"/>
    <sheet xmlns:r="http://schemas.openxmlformats.org/officeDocument/2006/relationships" name="Reconciliation sign-off" sheetId="56" state="visible" r:id="rId56"/>
    <sheet xmlns:r="http://schemas.openxmlformats.org/officeDocument/2006/relationships" name="Open decisions" sheetId="57" state="visible" r:id="rId57"/>
    <sheet xmlns:r="http://schemas.openxmlformats.org/officeDocument/2006/relationships" name="Proposed rules" sheetId="58" state="visible" r:id="rId58"/>
    <sheet xmlns:r="http://schemas.openxmlformats.org/officeDocument/2006/relationships" name="Screen standards" sheetId="59" state="visible" r:id="rId59"/>
    <sheet xmlns:r="http://schemas.openxmlformats.org/officeDocument/2006/relationships" name="Screen catalogue" sheetId="60" state="visible" r:id="rId60"/>
    <sheet xmlns:r="http://schemas.openxmlformats.org/officeDocument/2006/relationships" name="Field register" sheetId="61" state="visible" r:id="rId61"/>
    <sheet xmlns:r="http://schemas.openxmlformats.org/officeDocument/2006/relationships" name="Actions" sheetId="62" state="visible" r:id="rId62"/>
    <sheet xmlns:r="http://schemas.openxmlformats.org/officeDocument/2006/relationships" name="Business rules" sheetId="63" state="visible" r:id="rId63"/>
    <sheet xmlns:r="http://schemas.openxmlformats.org/officeDocument/2006/relationships" name="Messages" sheetId="64" state="visible" r:id="rId64"/>
    <sheet xmlns:r="http://schemas.openxmlformats.org/officeDocument/2006/relationships" name="Notifications" sheetId="65" state="visible" r:id="rId65"/>
    <sheet xmlns:r="http://schemas.openxmlformats.org/officeDocument/2006/relationships" name="Menu by persona" sheetId="66" state="visible" r:id="rId66"/>
    <sheet xmlns:r="http://schemas.openxmlformats.org/officeDocument/2006/relationships" name="Cross-BRD contract" sheetId="67" state="visible" r:id="rId67"/>
    <sheet xmlns:r="http://schemas.openxmlformats.org/officeDocument/2006/relationships" name="Comments log" sheetId="68" state="visible" r:id="rId68"/>
    <sheet xmlns:r="http://schemas.openxmlformats.org/officeDocument/2006/relationships" name="Meeting minutes" sheetId="69" state="visible" r:id="rId69"/>
    <sheet xmlns:r="http://schemas.openxmlformats.org/officeDocument/2006/relationships" name="Version history" sheetId="70" state="visible" r:id="rId70"/>
    <sheet xmlns:r="http://schemas.openxmlformats.org/officeDocument/2006/relationships" name="Sign-off certificate" sheetId="71" state="visible" r:id="rId71"/>
    <sheet xmlns:r="http://schemas.openxmlformats.org/officeDocument/2006/relationships" name="_lists" sheetId="72" state="hidden" r:id="rId72"/>
  </sheets>
  <definedNames>
    <definedName name="LIST_YES_NO">'Reference lists'!$C$5:$C$6</definedName>
    <definedName name="LIST_BU_REVIEW">'Reference lists'!$C$7:$C$9</definedName>
    <definedName name="LIST_R03_RECORD_TYPE">'Reference lists'!$C$10:$C$13</definedName>
    <definedName name="LIST_R06_QUALIFIER">'Reference lists'!$C$14:$C$16</definedName>
    <definedName name="LIST_R06_ACTION">'Reference lists'!$C$17:$C$18</definedName>
    <definedName name="LIST_R08_ACCOUNT_TYPE">'Reference lists'!$C$19:$C$23</definedName>
    <definedName name="LIST_R08_NORMAL_BALANCE">'Reference lists'!$C$24:$C$25</definedName>
    <definedName name="LIST_R08_LEGACY_CONTROL_TYPE">'Reference lists'!$C$26:$C$33</definedName>
    <definedName name="LIST_R09_DEFAULT_MODE">'Reference lists'!$C$34:$C$40</definedName>
    <definedName name="LIST_R11_KIND">'Reference lists'!$C$41:$C$42</definedName>
    <definedName name="LIST_C01_CLIENT_TYPE">'Reference lists'!$C$43:$C$44</definedName>
    <definedName name="LIST_C02_RECORD_TYPE">'Reference lists'!$C$45:$C$46</definedName>
    <definedName name="LIST_C02_ADDRESS_TYPE">'Reference lists'!$C$47:$C$50</definedName>
    <definedName name="LIST_C03_MODE">'Reference lists'!$C$51:$C$52</definedName>
    <definedName name="LIST_P01_BUSINESS_TYPE">'Reference lists'!$C$53:$C$54</definedName>
    <definedName name="LIST_P01_PAYMENT_ARRANGEMENT">'Reference lists'!$C$55:$C$56</definedName>
    <definedName name="LIST_P03_RA_CHANNEL">'Reference lists'!$C$57:$C$60</definedName>
    <definedName name="LIST_F01_INVOICE_KIND">'Reference lists'!$C$61:$C$64</definedName>
    <definedName name="LIST_F01C_COMPONENT">'Reference lists'!$C$65:$C$75</definedName>
    <definedName name="LIST_F02_CHANNEL">'Reference lists'!$C$76:$C$82</definedName>
    <definedName name="LIST_F02_DISPOSITION_STATUS">'Reference lists'!$C$83:$C$85</definedName>
    <definedName name="LIST_F03_RECORD_TYPE">'Reference lists'!$C$86:$C$89</definedName>
    <definedName name="LIST_F04_RECORD_TYPE">'Reference lists'!$C$90:$C$92</definedName>
    <definedName name="LIST_F06_RECORD_TYPE">'Reference lists'!$C$93:$C$95</definedName>
    <definedName name="LIST_G01_TB_VERSION">'Reference lists'!$C$96:$C$100</definedName>
    <definedName name="LIST_G03_TRUEUP_NO">'Reference lists'!$C$101:$C$104</definedName>
    <definedName name="LIST_G03_ADJUSTMENT_KIND">'Reference lists'!$C$105:$C$106</definedName>
    <definedName name="LIST_G03D_TRUEUP_NO">'Reference lists'!$C$107:$C$110</definedName>
    <definedName name="LIST_G03D_ITEM_KIND">'Reference lists'!$C$111:$C$112</definedName>
    <definedName name="LIST_G03D_COMPONENT">'Reference lists'!$C$113:$C$126</definedName>
    <definedName name="LIST_G03D_MOVEMENT">'Reference lists'!$C$127:$C$128</definedName>
    <definedName name="LIST_H01_RECORD_TYPE">'Reference lists'!$C$129:$C$139</definedName>
    <definedName name="LIST_STATUS">'Reference lists'!$C$140:$C$143</definedName>
    <definedName name="_xlnm._FilterDatabase" localSheetId="1" hidden="1">'README'!$A$4:$D$365</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'Object catalogue'!$A$4:$U$36</definedName>
    <definedName name="_xlnm.Print_Titles" localSheetId="3">'Object catalogue'!$4:$4</definedName>
    <definedName name="_xlnm._FilterDatabase" localSheetId="4" hidden="1">'Data owners'!$A$4:$J$34</definedName>
    <definedName name="_xlnm.Print_Titles" localSheetId="4">'Data owners'!$4:$4</definedName>
    <definedName name="_xlnm._FilterDatabase" localSheetId="5" hidden="1">'Extract planning'!$A$4:$M$30</definedName>
    <definedName name="_xlnm.Print_Titles" localSheetId="5">'Extract planning'!$4:$4</definedName>
    <definedName name="_xlnm._FilterDatabase" localSheetId="6" hidden="1">'Milestones'!$A$4:$C$11</definedName>
    <definedName name="_xlnm.Print_Titles" localSheetId="6">'Milestones'!$4:$4</definedName>
    <definedName name="_xlnm._FilterDatabase" localSheetId="7" hidden="1">'File rules'!$A$4:$F$15</definedName>
    <definedName name="_xlnm.Print_Titles" localSheetId="7">'File rules'!$4:$4</definedName>
    <definedName name="_xlnm._FilterDatabase" localSheetId="8" hidden="1">'Load templates'!$A$20:$P$49</definedName>
    <definedName name="_xlnm.Print_Titles" localSheetId="8">'Load templates'!$20:$20</definedName>
    <definedName name="_xlnm.Print_Titles" localSheetId="9">'R01 Lists of values and MIS val'!$12:$19</definedName>
    <definedName name="_xlnm.Print_Area" localSheetId="9">'R01 Lists of values and MIS val'!$A$1:$I$60</definedName>
    <definedName name="_xlnm.Print_Titles" localSheetId="10">'R02 Branches and invoicing bran'!$12:$19</definedName>
    <definedName name="_xlnm.Print_Area" localSheetId="10">'R02 Branches and invoicing bran'!$A$1:$G$60</definedName>
    <definedName name="_xlnm.Print_Titles" localSheetId="11">'R03 Sales organisation (units a'!$12:$19</definedName>
    <definedName name="_xlnm.Print_Area" localSheetId="11">'R03 Sales organisation (units a'!$A$1:$L$60</definedName>
    <definedName name="_xlnm.Print_Titles" localSheetId="12">'R04 Insurers'!$12:$19</definedName>
    <definedName name="_xlnm.Print_Area" localSheetId="12">'R04 Insurers'!$A$1:$K$60</definedName>
    <definedName name="_xlnm.Print_Titles" localSheetId="13">'R04B Insurer branches'!$12:$19</definedName>
    <definedName name="_xlnm.Print_Area" localSheetId="13">'R04B Insurer branches'!$A$1:$H$60</definedName>
    <definedName name="_xlnm.Print_Titles" localSheetId="14">'R05 Product lines, cover types,'!$12:$19</definedName>
    <definedName name="_xlnm.Print_Area" localSheetId="14">'R05 Product lines, cover types,'!$A$1:$J$60</definedName>
    <definedName name="_xlnm.Print_Titles" localSheetId="15">'R06 Package code map (legacy pa'!$12:$19</definedName>
    <definedName name="_xlnm.Print_Area" localSheetId="15">'R06 Package code map (legacy pa'!$A$1:$I$60</definedName>
    <definedName name="_xlnm.Print_Titles" localSheetId="16">'R07 Commission rates by insurer'!$12:$19</definedName>
    <definedName name="_xlnm.Print_Area" localSheetId="16">'R07 Commission rates by insurer'!$A$1:$G$60</definedName>
    <definedName name="_xlnm.Print_Titles" localSheetId="17">'R08 Chart of accounts mapping'!$12:$19</definedName>
    <definedName name="_xlnm.Print_Area" localSheetId="17">'R08 Chart of accounts mapping'!$A$1:$I$60</definedName>
    <definedName name="_xlnm.Print_Titles" localSheetId="18">'R09 Payees'!$12:$19</definedName>
    <definedName name="_xlnm.Print_Area" localSheetId="18">'R09 Payees'!$A$1:$L$60</definedName>
    <definedName name="_xlnm.Print_Titles" localSheetId="19">'R11 Receipt series in use'!$12:$19</definedName>
    <definedName name="_xlnm.Print_Area" localSheetId="19">'R11 Receipt series in use'!$A$1:$I$60</definedName>
    <definedName name="_xlnm.Print_Titles" localSheetId="20">'C01 Client master'!$12:$19</definedName>
    <definedName name="_xlnm.Print_Area" localSheetId="20">'C01 Client master'!$A$1:$AK$60</definedName>
    <definedName name="_xlnm.Print_Titles" localSheetId="21">'C02 Client addresses and contac'!$12:$19</definedName>
    <definedName name="_xlnm.Print_Area" localSheetId="21">'C02 Client addresses and contac'!$A$1:$N$60</definedName>
    <definedName name="_xlnm.Print_Titles" localSheetId="22">'C03 Client payout accounts'!$12:$19</definedName>
    <definedName name="_xlnm.Print_Area" localSheetId="22">'C03 Client payout accounts'!$A$1:$G$60</definedName>
    <definedName name="_xlnm.Print_Titles" localSheetId="23">'P01 In-force policy headers'!$12:$19</definedName>
    <definedName name="_xlnm.Print_Area" localSheetId="23">'P01 In-force policy headers'!$A$1:$AF$60</definedName>
    <definedName name="_xlnm.Print_Titles" localSheetId="24">'P01S Policy insurer shares'!$12:$19</definedName>
    <definedName name="_xlnm.Print_Area" localSheetId="24">'P01S Policy insurer shares'!$A$1:$G$60</definedName>
    <definedName name="_xlnm.Print_Titles" localSheetId="25">'F01 Open legacy invoices - head'!$12:$19</definedName>
    <definedName name="_xlnm.Print_Area" localSheetId="25">'F01 Open legacy invoices - head'!$A$1:$AM$60</definedName>
    <definedName name="_xlnm.Print_Titles" localSheetId="26">'F01C Open legacy invoices - com'!$12:$19</definedName>
    <definedName name="_xlnm.Print_Area" localSheetId="26">'F01C Open legacy invoices - com'!$A$1:$I$60</definedName>
    <definedName name="_xlnm.Print_Titles" localSheetId="27">'F01S Open legacy invoices - ins'!$12:$19</definedName>
    <definedName name="_xlnm.Print_Area" localSheetId="27">'F01S Open legacy invoices - ins'!$A$1:$G$60</definedName>
    <definedName name="_xlnm.Print_Titles" localSheetId="28">'F02 Unapplied premium payments'!$12:$19</definedName>
    <definedName name="_xlnm.Print_Area" localSheetId="28">'F02 Unapplied premium payments'!$A$1:$V$60</definedName>
    <definedName name="_xlnm.Print_Titles" localSheetId="29">'F03 Open collection state'!$12:$19</definedName>
    <definedName name="_xlnm.Print_Area" localSheetId="29">'F03 Open collection state'!$A$1:$M$60</definedName>
    <definedName name="_xlnm.Print_Titles" localSheetId="30">'F04 Remittance in flight'!$12:$19</definedName>
    <definedName name="_xlnm.Print_Area" localSheetId="30">'F04 Remittance in flight'!$A$1:$K$60</definedName>
    <definedName name="_xlnm.Print_Titles" localSheetId="31">'F06 PDCs, check pick-ups and re'!$12:$19</definedName>
    <definedName name="_xlnm.Print_Area" localSheetId="31">'F06 PDCs, check pick-ups and re'!$A$1:$O$60</definedName>
    <definedName name="_xlnm.Print_Titles" localSheetId="32">'G01 GL opening trial balance'!$12:$19</definedName>
    <definedName name="_xlnm.Print_Area" localSheetId="32">'G01 GL opening trial balance'!$A$1:$L$60</definedName>
    <definedName name="_xlnm.Print_Titles" localSheetId="33">'P03 Renewal advices already sen'!$12:$19</definedName>
    <definedName name="_xlnm.Print_Area" localSheetId="33">'P03 Renewal advices already sen'!$A$1:$N$60</definedName>
    <definedName name="_xlnm.Print_Titles" localSheetId="34">'H01 Archive records (closed tra'!$12:$19</definedName>
    <definedName name="_xlnm.Print_Area" localSheetId="34">'H01 Archive records (closed tra'!$A$1:$P$60</definedName>
    <definedName name="_xlnm.Print_Titles" localSheetId="35">'H02 Archive documents index'!$12:$19</definedName>
    <definedName name="_xlnm.Print_Area" localSheetId="35">'H02 Archive documents index'!$A$1:$I$60</definedName>
    <definedName name="_xlnm.Print_Titles" localSheetId="36">'G03 FY2027 true-up - legacy adj'!$12:$19</definedName>
    <definedName name="_xlnm.Print_Area" localSheetId="36">'G03 FY2027 true-up - legacy adj'!$A$1:$T$60</definedName>
    <definedName name="_xlnm.Print_Titles" localSheetId="37">'G03D FY2027 true-up - open-item'!$12:$19</definedName>
    <definedName name="_xlnm.Print_Area" localSheetId="37">'G03D FY2027 true-up - open-item'!$A$1:$K$60</definedName>
    <definedName name="_xlnm._FilterDatabase" localSheetId="38" hidden="1">'Reference lists'!$A$4:$E$143</definedName>
    <definedName name="_xlnm.Print_Titles" localSheetId="38">'Reference lists'!$4:$4</definedName>
    <definedName name="_xlnm._FilterDatabase" localSheetId="39" hidden="1">'Control file'!$A$4:$F$16</definedName>
    <definedName name="_xlnm.Print_Titles" localSheetId="39">'Control file'!$4:$4</definedName>
    <definedName name="_xlnm._FilterDatabase" localSheetId="40" hidden="1">'Control example'!$A$4:$L$11</definedName>
    <definedName name="_xlnm.Print_Titles" localSheetId="40">'Control example'!$4:$4</definedName>
    <definedName name="_xlnm._FilterDatabase" localSheetId="41" hidden="1">'Control totals'!$A$4:$J$120</definedName>
    <definedName name="_xlnm.Print_Titles" localSheetId="41">'Control totals'!$4:$4</definedName>
    <definedName name="_xlnm._FilterDatabase" localSheetId="42" hidden="1">'Code maps'!$A$4:$K$38</definedName>
    <definedName name="_xlnm.Print_Titles" localSheetId="42">'Code maps'!$4:$4</definedName>
    <definedName name="_xlnm._FilterDatabase" localSheetId="43" hidden="1">'Code map template'!$A$4:$J$15</definedName>
    <definedName name="_xlnm.Print_Titles" localSheetId="43">'Code map template'!$4:$4</definedName>
    <definedName name="_xlnm._FilterDatabase" localSheetId="44" hidden="1">'Validation rules'!$A$4:$L$58</definedName>
    <definedName name="_xlnm.Print_Titles" localSheetId="44">'Validation rules'!$4:$4</definedName>
    <definedName name="_xlnm._FilterDatabase" localSheetId="45" hidden="1">'Masking'!$A$4:$G$35</definedName>
    <definedName name="_xlnm.Print_Titles" localSheetId="45">'Masking'!$4:$4</definedName>
    <definedName name="_xlnm._FilterDatabase" localSheetId="46" hidden="1">'Cut-over tasks'!$A$4:$P$99</definedName>
    <definedName name="_xlnm.Print_Titles" localSheetId="46">'Cut-over tasks'!$4:$4</definedName>
    <definedName name="_xlnm._FilterDatabase" localSheetId="47" hidden="1">'Cut-over roles'!$A$4:$D$20</definedName>
    <definedName name="_xlnm.Print_Titles" localSheetId="47">'Cut-over roles'!$4:$4</definedName>
    <definedName name="_xlnm._FilterDatabase" localSheetId="48" hidden="1">'Cut-over calendar'!$A$4:$C$30</definedName>
    <definedName name="_xlnm.Print_Titles" localSheetId="48">'Cut-over calendar'!$4:$4</definedName>
    <definedName name="_xlnm._FilterDatabase" localSheetId="49" hidden="1">'Go-no-go checkpoints'!$A$4:$K$39</definedName>
    <definedName name="_xlnm.Print_Titles" localSheetId="49">'Go-no-go checkpoints'!$4:$4</definedName>
    <definedName name="_xlnm._FilterDatabase" localSheetId="50" hidden="1">'Freeze windows'!$A$4:$I$10</definedName>
    <definedName name="_xlnm.Print_Titles" localSheetId="50">'Freeze windows'!$4:$4</definedName>
    <definedName name="_xlnm._FilterDatabase" localSheetId="51" hidden="1">'Rollback'!$A$4:$I$12</definedName>
    <definedName name="_xlnm.Print_Titles" localSheetId="51">'Rollback'!$4:$4</definedName>
    <definedName name="_xlnm._FilterDatabase" localSheetId="52" hidden="1">'Communication'!$A$4:$G$16</definedName>
    <definedName name="_xlnm.Print_Titles" localSheetId="52">'Communication'!$4:$4</definedName>
    <definedName name="_xlnm._FilterDatabase" localSheetId="53" hidden="1">'Hypercare'!$A$4:$E$21</definedName>
    <definedName name="_xlnm.Print_Titles" localSheetId="53">'Hypercare'!$4:$4</definedName>
    <definedName name="_xlnm._FilterDatabase" localSheetId="54" hidden="1">'Decommissioning'!$A$4:$J$35</definedName>
    <definedName name="_xlnm.Print_Titles" localSheetId="54">'Decommissioning'!$4:$4</definedName>
    <definedName name="_xlnm._FilterDatabase" localSheetId="55" hidden="1">'Reconciliation sign-off'!$A$4:$Q$27</definedName>
    <definedName name="_xlnm.Print_Titles" localSheetId="55">'Reconciliation sign-off'!$4:$4</definedName>
    <definedName name="_xlnm._FilterDatabase" localSheetId="56" hidden="1">'Open decisions'!$A$4:$I$46</definedName>
    <definedName name="_xlnm.Print_Titles" localSheetId="56">'Open decisions'!$4:$4</definedName>
    <definedName name="_xlnm._FilterDatabase" localSheetId="57" hidden="1">'Proposed rules'!$A$4:$K$52</definedName>
    <definedName name="_xlnm.Print_Titles" localSheetId="57">'Proposed rules'!$4:$4</definedName>
    <definedName name="_xlnm._FilterDatabase" localSheetId="58" hidden="1">'Screen standards'!$A$4:$G$13</definedName>
    <definedName name="_xlnm.Print_Titles" localSheetId="58">'Screen standards'!$4:$4</definedName>
    <definedName name="_xlnm._FilterDatabase" localSheetId="59" hidden="1">'Screen catalogue'!$A$4:$R$24</definedName>
    <definedName name="_xlnm.Print_Titles" localSheetId="59">'Screen catalogue'!$4:$4</definedName>
    <definedName name="_xlnm._FilterDatabase" localSheetId="60" hidden="1">'Field register'!$A$4:$Q$194</definedName>
    <definedName name="_xlnm.Print_Titles" localSheetId="60">'Field register'!$4:$4</definedName>
    <definedName name="_xlnm._FilterDatabase" localSheetId="61" hidden="1">'Actions'!$A$4:$H$91</definedName>
    <definedName name="_xlnm.Print_Titles" localSheetId="61">'Actions'!$4:$4</definedName>
    <definedName name="_xlnm._FilterDatabase" localSheetId="62" hidden="1">'Business rules'!$A$4:$I$72</definedName>
    <definedName name="_xlnm.Print_Titles" localSheetId="62">'Business rules'!$4:$4</definedName>
    <definedName name="_xlnm._FilterDatabase" localSheetId="63" hidden="1">'Messages'!$A$4:$K$221</definedName>
    <definedName name="_xlnm.Print_Titles" localSheetId="63">'Messages'!$4:$4</definedName>
    <definedName name="_xlnm._FilterDatabase" localSheetId="64" hidden="1">'Notifications'!$A$4:$H$14</definedName>
    <definedName name="_xlnm.Print_Titles" localSheetId="64">'Notifications'!$4:$4</definedName>
    <definedName name="_xlnm._FilterDatabase" localSheetId="65" hidden="1">'Menu by persona'!$A$4:$F$441</definedName>
    <definedName name="_xlnm.Print_Titles" localSheetId="65">'Menu by persona'!$4:$4</definedName>
    <definedName name="_xlnm._FilterDatabase" localSheetId="66" hidden="1">'Cross-BRD contract'!$A$4:$H$16</definedName>
    <definedName name="_xlnm.Print_Titles" localSheetId="66">'Cross-BRD contract'!$4:$4</definedName>
    <definedName name="_xlnm._FilterDatabase" localSheetId="67" hidden="1">'Comments log'!$A$4:$K$54</definedName>
    <definedName name="_xlnm.Print_Titles" localSheetId="67">'Comments log'!$4:$4</definedName>
    <definedName name="_xlnm._FilterDatabase" localSheetId="68" hidden="1">'Meeting minutes'!$A$4:$I$7</definedName>
    <definedName name="_xlnm.Print_Titles" localSheetId="68">'Meeting minutes'!$4:$4</definedName>
    <definedName name="_xlnm._FilterDatabase" localSheetId="69" hidden="1">'Version history'!$A$4:$E$5</definedName>
    <definedName name="_xlnm.Print_Titles" localSheetId="69">'Version history'!$4:$4</definedName>
    <definedName name="_xlnm._FilterDatabase" localSheetId="70" hidden="1">'Sign-off certificate'!$A$4:$J$21</definedName>
    <definedName name="_xlnm.Print_Titles" localSheetId="70">'Sign-off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31">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4EA8"/>
      <sz val="18"/>
    </font>
    <font>
      <name val="Arial"/>
      <color rgb="002E2E2E"/>
      <sz val="11"/>
    </font>
    <font>
      <name val="Arial"/>
      <b val="1"/>
      <color rgb="00004EA8"/>
      <sz val="9"/>
    </font>
    <font>
      <name val="Arial"/>
      <color rgb="002E2E2E"/>
      <sz val="10"/>
    </font>
    <font>
      <name val="Arial"/>
      <b val="1"/>
      <color rgb="00004EA8"/>
      <sz val="12"/>
    </font>
    <font>
      <name val="Arial"/>
      <b val="1"/>
      <color rgb="000072D8"/>
      <sz val="11"/>
    </font>
    <font>
      <name val="Arial"/>
      <b val="1"/>
      <color rgb="00FFFFFF"/>
      <sz val="9"/>
    </font>
    <font>
      <name val="Arial"/>
      <b val="1"/>
      <color rgb="004B4B4B"/>
      <sz val="9"/>
    </font>
    <font>
      <name val="Arial"/>
      <color rgb="004B4B4B"/>
      <sz val="9"/>
    </font>
    <font>
      <name val="Arial"/>
      <b val="1"/>
      <color rgb="000072D8"/>
      <sz val="9"/>
      <u val="single"/>
    </font>
    <font>
      <name val="Arial"/>
      <color rgb="00656565"/>
      <sz val="8"/>
    </font>
    <font>
      <name val="Arial"/>
      <b val="1"/>
      <color rgb="00004EA8"/>
      <sz val="15"/>
    </font>
    <font>
      <name val="Arial"/>
      <color rgb="000072D8"/>
      <sz val="9"/>
      <u val="single"/>
    </font>
    <font>
      <name val="Arial"/>
      <b val="1"/>
      <color rgb="000072D8"/>
      <sz val="10"/>
    </font>
    <font>
      <name val="Arial"/>
      <b val="1"/>
      <color rgb="002E2E2E"/>
      <sz val="9"/>
    </font>
    <font>
      <name val="Arial"/>
      <color rgb="002E2E2E"/>
      <sz val="9"/>
    </font>
    <font>
      <name val="Arial"/>
      <b val="1"/>
      <color rgb="00C62828"/>
      <sz val="9"/>
    </font>
    <font>
      <name val="Arial"/>
      <i val="1"/>
      <color rgb="00919191"/>
      <sz val="8"/>
    </font>
    <font>
      <name val="Arial"/>
      <i val="1"/>
      <color rgb="00919191"/>
      <sz val="10"/>
    </font>
    <font>
      <name val="Arial"/>
      <b val="1"/>
      <color rgb="004B4B4B"/>
      <sz val="10"/>
    </font>
    <font>
      <name val="Arial"/>
      <b val="1"/>
      <color rgb="00004EA8"/>
      <sz val="22"/>
    </font>
    <font>
      <name val="Arial"/>
      <color rgb="002E2E2E"/>
      <sz val="12"/>
    </font>
    <font>
      <name val="Arial"/>
      <color rgb="00656565"/>
      <sz val="11"/>
    </font>
    <font>
      <name val="Arial"/>
      <color rgb="00656565"/>
      <sz val="10"/>
    </font>
    <font>
      <name val="Arial"/>
      <b val="1"/>
      <color rgb="002E2E2E"/>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
      <patternFill patternType="solid">
        <fgColor rgb="00F6F6F6"/>
      </patternFill>
    </fill>
    <fill>
      <patternFill patternType="solid">
        <fgColor rgb="00FFF4D6"/>
      </patternFill>
    </fill>
  </fills>
  <borders count="8">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bottom style="thin">
        <color rgb="00E4E4E4"/>
      </bottom>
    </border>
  </borders>
  <cellStyleXfs count="1">
    <xf numFmtId="0" fontId="0" fillId="0" borderId="0"/>
  </cellStyleXfs>
  <cellXfs count="76">
    <xf numFmtId="0" fontId="0" fillId="0" borderId="0" pivotButton="0" quotePrefix="0" xfId="0"/>
    <xf numFmtId="0" fontId="0" fillId="0" borderId="3" pivotButton="0" quotePrefix="0" xfId="0"/>
    <xf numFmtId="0" fontId="18" fillId="0" borderId="0" pivotButton="0" quotePrefix="0" xfId="0"/>
    <xf numFmtId="0" fontId="25" fillId="0" borderId="0" pivotButton="0" quotePrefix="0" xfId="0"/>
    <xf numFmtId="0" fontId="26" fillId="0" borderId="0" pivotButton="0" quotePrefix="0" xfId="0"/>
    <xf numFmtId="0" fontId="27" fillId="0" borderId="0" pivotButton="0" quotePrefix="0" xfId="0"/>
    <xf numFmtId="0" fontId="28" fillId="0" borderId="7" pivotButton="0" quotePrefix="0" xfId="0"/>
    <xf numFmtId="0" fontId="8" fillId="0" borderId="7" pivotButton="0" quotePrefix="0" xfId="0"/>
    <xf numFmtId="0" fontId="29" fillId="0" borderId="7" pivotButton="0" quotePrefix="0" xfId="0"/>
    <xf numFmtId="0" fontId="9" fillId="0" borderId="0" pivotButton="0" quotePrefix="0" xfId="0"/>
    <xf numFmtId="0" fontId="3" fillId="2" borderId="2" pivotButton="0" quotePrefix="0" xfId="0"/>
    <xf numFmtId="0" fontId="18" fillId="0" borderId="2" applyAlignment="1" pivotButton="0" quotePrefix="0" xfId="0">
      <alignment vertical="top" wrapText="1"/>
    </xf>
    <xf numFmtId="0" fontId="4" fillId="0" borderId="2" applyAlignment="1" pivotButton="0" quotePrefix="0" xfId="0">
      <alignment vertical="top" wrapText="1"/>
    </xf>
    <xf numFmtId="0" fontId="18" fillId="3" borderId="2" applyAlignment="1" pivotButton="0" quotePrefix="0" xfId="0">
      <alignment vertical="top" wrapText="1"/>
    </xf>
    <xf numFmtId="0" fontId="4" fillId="3" borderId="2" applyAlignment="1" pivotButton="0" quotePrefix="0" xfId="0">
      <alignment vertical="top" wrapText="1"/>
    </xf>
    <xf numFmtId="0" fontId="24" fillId="4" borderId="2" applyAlignment="1" pivotButton="0" quotePrefix="0" xfId="0">
      <alignment horizontal="center"/>
    </xf>
    <xf numFmtId="0" fontId="4" fillId="0" borderId="2" applyAlignment="1" pivotButton="0" quotePrefix="0" xfId="0">
      <alignment wrapText="1"/>
    </xf>
    <xf numFmtId="0" fontId="30" fillId="0" borderId="0" pivotButton="0" quotePrefix="0" xfId="0"/>
    <xf numFmtId="0" fontId="2" fillId="0" borderId="0" pivotButton="0" quotePrefix="0" xfId="0"/>
    <xf numFmtId="0" fontId="1" fillId="0" borderId="0" pivotButton="0" quotePrefix="0" xfId="0"/>
    <xf numFmtId="0" fontId="24" fillId="0" borderId="2" applyAlignment="1" pivotButton="0" quotePrefix="0" xfId="0">
      <alignment vertical="top" wrapText="1"/>
    </xf>
    <xf numFmtId="0" fontId="24"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xf numFmtId="0" fontId="5" fillId="0" borderId="0" pivotButton="0" quotePrefix="0" xfId="0"/>
    <xf numFmtId="0" fontId="6" fillId="0" borderId="0" pivotButton="0" quotePrefix="0" xfId="0"/>
    <xf numFmtId="0" fontId="7" fillId="3" borderId="2" pivotButton="0" quotePrefix="0" xfId="0"/>
    <xf numFmtId="0" fontId="0" fillId="0" borderId="6" pivotButton="0" quotePrefix="0" xfId="0"/>
    <xf numFmtId="0" fontId="8" fillId="0" borderId="2" applyAlignment="1" pivotButton="0" quotePrefix="0" xfId="0">
      <alignment vertical="top" wrapText="1"/>
    </xf>
    <xf numFmtId="0" fontId="0" fillId="0" borderId="2" pivotButton="0" quotePrefix="0" xfId="0"/>
    <xf numFmtId="0" fontId="10" fillId="0" borderId="0" applyAlignment="1" pivotButton="0" quotePrefix="0" xfId="0">
      <alignment horizontal="right" vertical="top"/>
    </xf>
    <xf numFmtId="0" fontId="4" fillId="0" borderId="0" applyAlignment="1" pivotButton="0" quotePrefix="0" xfId="0">
      <alignment vertical="top" wrapText="1"/>
    </xf>
    <xf numFmtId="0" fontId="11" fillId="2" borderId="2" applyAlignment="1" pivotButton="0" quotePrefix="0" xfId="0">
      <alignment vertical="center" wrapText="1"/>
    </xf>
    <xf numFmtId="0" fontId="12" fillId="0" borderId="2" applyAlignment="1" pivotButton="0" quotePrefix="0" xfId="0">
      <alignment horizontal="center" vertical="top" wrapText="1"/>
    </xf>
    <xf numFmtId="0" fontId="13" fillId="0" borderId="2" applyAlignment="1" pivotButton="0" quotePrefix="0" xfId="0">
      <alignment vertical="top" wrapText="1"/>
    </xf>
    <xf numFmtId="0" fontId="13" fillId="0" borderId="2" applyAlignment="1" pivotButton="0" quotePrefix="0" xfId="0">
      <alignment horizontal="center" vertical="top" wrapText="1"/>
    </xf>
    <xf numFmtId="0" fontId="14" fillId="0" borderId="2" applyAlignment="1" pivotButton="0" quotePrefix="0" xfId="0">
      <alignment vertical="top" wrapText="1"/>
    </xf>
    <xf numFmtId="0" fontId="12" fillId="3" borderId="2" applyAlignment="1" pivotButton="0" quotePrefix="0" xfId="0">
      <alignment horizontal="center" vertical="top" wrapText="1"/>
    </xf>
    <xf numFmtId="0" fontId="13" fillId="3" borderId="2" applyAlignment="1" pivotButton="0" quotePrefix="0" xfId="0">
      <alignment vertical="top" wrapText="1"/>
    </xf>
    <xf numFmtId="0" fontId="13" fillId="3" borderId="2" applyAlignment="1" pivotButton="0" quotePrefix="0" xfId="0">
      <alignment horizontal="center" vertical="top" wrapText="1"/>
    </xf>
    <xf numFmtId="0" fontId="14" fillId="3" borderId="2" applyAlignment="1" pivotButton="0" quotePrefix="0" xfId="0">
      <alignment vertical="top" wrapText="1"/>
    </xf>
    <xf numFmtId="0" fontId="15" fillId="0" borderId="0" pivotButton="0" quotePrefix="0" xfId="0"/>
    <xf numFmtId="0" fontId="16" fillId="0" borderId="0" pivotButton="0" quotePrefix="0" xfId="0"/>
    <xf numFmtId="0" fontId="18" fillId="0" borderId="0" applyAlignment="1" pivotButton="0" quotePrefix="0" xfId="0">
      <alignment horizontal="right"/>
    </xf>
    <xf numFmtId="0" fontId="17" fillId="0" borderId="0" pivotButton="0" quotePrefix="0" xfId="0"/>
    <xf numFmtId="0" fontId="2" fillId="0" borderId="0" applyAlignment="1" pivotButton="0" quotePrefix="0" xfId="0">
      <alignment/>
    </xf>
    <xf numFmtId="0" fontId="17" fillId="0" borderId="0" applyAlignment="1" pivotButton="0" quotePrefix="0" xfId="0">
      <alignment horizontal="right"/>
    </xf>
    <xf numFmtId="0" fontId="7" fillId="3" borderId="0" applyAlignment="1" pivotButton="0" quotePrefix="0" xfId="0">
      <alignment vertical="top" wrapText="1"/>
    </xf>
    <xf numFmtId="0" fontId="13" fillId="0" borderId="0" applyAlignment="1" pivotButton="0" quotePrefix="0" xfId="0">
      <alignment vertical="top" wrapText="1"/>
    </xf>
    <xf numFmtId="0" fontId="19" fillId="0" borderId="0" applyAlignment="1" pivotButton="0" quotePrefix="0" xfId="0">
      <alignment vertical="top" wrapText="1"/>
    </xf>
    <xf numFmtId="0" fontId="13" fillId="0" borderId="0" pivotButton="0" quotePrefix="0" xfId="0"/>
    <xf numFmtId="0" fontId="7" fillId="3" borderId="0" applyAlignment="1" pivotButton="0" quotePrefix="0" xfId="0">
      <alignment vertical="center"/>
    </xf>
    <xf numFmtId="0" fontId="20" fillId="0" borderId="0" applyAlignment="1" pivotButton="0" quotePrefix="0" xfId="0">
      <alignment vertical="center" wrapText="1"/>
    </xf>
    <xf numFmtId="0" fontId="19" fillId="0" borderId="2" applyAlignment="1" pivotButton="0" quotePrefix="0" xfId="0">
      <alignment horizontal="center" vertical="center"/>
    </xf>
    <xf numFmtId="0" fontId="7" fillId="3" borderId="0" applyAlignment="1" pivotButton="0" quotePrefix="0" xfId="0">
      <alignment vertical="center" wrapText="1"/>
    </xf>
    <xf numFmtId="0" fontId="0" fillId="4" borderId="2" pivotButton="0" quotePrefix="0" xfId="0"/>
    <xf numFmtId="164" fontId="0" fillId="4" borderId="2" pivotButton="0" quotePrefix="0" xfId="0"/>
    <xf numFmtId="0" fontId="7" fillId="3" borderId="2" applyAlignment="1" pivotButton="0" quotePrefix="0" xfId="0">
      <alignment vertical="top" wrapText="1"/>
    </xf>
    <xf numFmtId="0" fontId="13" fillId="4" borderId="2" applyAlignment="1" pivotButton="0" quotePrefix="0" xfId="0">
      <alignment vertical="top" wrapText="1"/>
    </xf>
    <xf numFmtId="0" fontId="13" fillId="5" borderId="2" applyAlignment="1" pivotButton="0" quotePrefix="0" xfId="0">
      <alignment vertical="top" wrapText="1"/>
    </xf>
    <xf numFmtId="0" fontId="21" fillId="6" borderId="2" applyAlignment="1" pivotButton="0" quotePrefix="0" xfId="0">
      <alignment vertical="top" wrapText="1"/>
    </xf>
    <xf numFmtId="0" fontId="3" fillId="2" borderId="2" applyAlignment="1" pivotButton="0" quotePrefix="0" xfId="0">
      <alignment vertical="center"/>
    </xf>
    <xf numFmtId="0" fontId="22" fillId="5" borderId="0" applyAlignment="1" pivotButton="0" quotePrefix="0" xfId="0">
      <alignment vertical="top" wrapText="1"/>
    </xf>
    <xf numFmtId="49" fontId="23" fillId="5" borderId="0" applyAlignment="1" pivotButton="0" quotePrefix="0" xfId="0">
      <alignment vertical="top" wrapText="1"/>
    </xf>
    <xf numFmtId="0" fontId="23" fillId="5" borderId="0" applyAlignment="1" pivotButton="0" quotePrefix="0" xfId="0">
      <alignment vertical="top" wrapText="1"/>
    </xf>
    <xf numFmtId="49" fontId="0" fillId="0" borderId="0" pivotButton="0" quotePrefix="0" xfId="0"/>
    <xf numFmtId="0" fontId="17" fillId="0" borderId="0" applyAlignment="1" pivotButton="0" quotePrefix="0" xfId="0">
      <alignment vertical="top" wrapText="1"/>
    </xf>
    <xf numFmtId="0" fontId="17" fillId="5" borderId="2" applyAlignment="1" pivotButton="0" quotePrefix="0" xfId="0">
      <alignment vertical="top" wrapText="1"/>
    </xf>
    <xf numFmtId="0" fontId="11" fillId="2" borderId="2" pivotButton="0" quotePrefix="0" xfId="0"/>
    <xf numFmtId="49" fontId="12" fillId="3" borderId="2" applyAlignment="1" pivotButton="0" quotePrefix="0" xfId="0">
      <alignment vertical="top" wrapText="1"/>
    </xf>
    <xf numFmtId="0" fontId="7" fillId="0" borderId="2" applyAlignment="1" pivotButton="0" quotePrefix="0" xfId="0">
      <alignment vertical="top" wrapText="1"/>
    </xf>
    <xf numFmtId="49" fontId="12" fillId="0" borderId="2" applyAlignment="1" pivotButton="0" quotePrefix="0" xfId="0">
      <alignment vertical="top" wrapText="1"/>
    </xf>
    <xf numFmtId="0" fontId="4" fillId="0" borderId="2" applyAlignment="1" pivotButton="0" quotePrefix="0" xfId="0">
      <alignment horizontal="center" vertical="top" wrapText="1"/>
    </xf>
    <xf numFmtId="0" fontId="24" fillId="0" borderId="2" applyAlignment="1" pivotButton="0" quotePrefix="0" xfId="0">
      <alignment horizontal="center" vertical="top" wrapText="1"/>
    </xf>
  </cellXfs>
  <cellStyles count="1">
    <cellStyle name="Normal" xfId="0" builtinId="0" hidden="0"/>
  </cellStyles>
  <dxfs count="7">
    <dxf>
      <fill>
        <patternFill patternType="solid">
          <fgColor rgb="00E5F5FF"/>
          <bgColor rgb="00E5F5FF"/>
        </patternFill>
      </fill>
    </dxf>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styles" Target="styles.xml" Id="rId73"/><Relationship Type="http://schemas.openxmlformats.org/officeDocument/2006/relationships/theme" Target="theme/theme1.xml" Id="rId74"/></Relationships>
</file>

<file path=xl/comments/comment1.xml><?xml version="1.0" encoding="utf-8"?>
<comments xmlns="http://schemas.openxmlformats.org/spreadsheetml/2006/main">
  <authors>
    <author>iorta TechNXT</author>
  </authors>
  <commentList>
    <comment ref="B19" authorId="0" shapeId="0">
      <text>
        <t>list_type
Legacy name of the list (for example MARKET_SEGMENT, BUSINESS_ORIGIN, CUSTOMER_SEGMENT, REGION, AREA, DEPARTMENT, ACCOUNT_TYPE, ID_TYPE, NATIONALITY)
Mandatory: Yes
Format: Code, up to 40; Upper case
Allowed values: Legacy list names; one code map set LOV:&lt;list&gt; or MIS:&lt;field&gt; per list
Example: MARKET_SEGMENT</t>
      </text>
    </comment>
    <comment ref="C19" authorId="0" shapeId="0">
      <text>
        <t>code
Legacy value code
Mandatory: Yes
Format: Code, up to 40; As stored in legacy
Allowed values: Free entry, up to 40 characters
Example: CBG</t>
      </text>
    </comment>
    <comment ref="D19" authorId="0" shapeId="0">
      <text>
        <t>description
Legacy value description
Mandatory: Yes
Format: Text, up to 200; Free text
Allowed values: Free entry, up to 200 characters
Example: Consumer Banking Group</t>
      </text>
    </comment>
    <comment ref="E19" authorId="0" shapeId="0">
      <text>
        <t>parent_code
Code of the parent value for hierarchical lists (area under region)
Mandatory: No
Format: Code, up to 40
Allowed values: Codes of the same file
Example: NCR</t>
      </text>
    </comment>
    <comment ref="F19" authorId="0" shapeId="0">
      <text>
        <t>active_flag
Value in use in legacy
Mandatory: Yes
Format: Flag, up to 1; Y or N
Allowed values: Y or N
Example: Y</t>
      </text>
    </comment>
    <comment ref="G19" authorId="0" shapeId="0">
      <text>
        <t>effective_from
First day the value is valid
Mandatory: No
Format: Date, up to 10; yyyy-MM-dd
Allowed values: Free entry
Example: 2020-01-01</t>
      </text>
    </comment>
    <comment ref="H19" authorId="0" shapeId="0">
      <text>
        <t>effective_to
Last day the value is valid
Mandatory: No
Format: Date, up to 10; yyyy-MM-dd
Allowed values: Free entry</t>
      </text>
    </comment>
    <comment ref="I19" authorId="0" shapeId="0">
      <text>
        <t>used_count
Number of legacy records that use the value (helps the mapping)
Mandatory: No
Format: Integer, up to 9; Digits
Allowed values: A whole number
Example: 1520</t>
      </text>
    </comment>
  </commentList>
</comments>
</file>

<file path=xl/comments/comment2.xml><?xml version="1.0" encoding="utf-8"?>
<comments xmlns="http://schemas.openxmlformats.org/spreadsheetml/2006/main">
  <authors>
    <author>iorta TechNXT</author>
  </authors>
  <commentList>
    <comment ref="B19" authorId="0" shapeId="0">
      <text>
        <t>branch_code
Legacy branch code
Mandatory: Yes
Format: Code, up to 20; As stored in legacy
Allowed values: Free entry, up to 20 characters
Example: MKT01</t>
      </text>
    </comment>
    <comment ref="C19" authorId="0" shapeId="0">
      <text>
        <t>branch_name
Branch name
Mandatory: Yes
Format: Text, up to 120; Free text
Allowed values: Free entry, up to 120 characters
Example: Makati Head Office</t>
      </text>
    </comment>
    <comment ref="D19" authorId="0" shapeId="0">
      <text>
        <t>invoicing_branch_flag
Branch issues invoices and receipts
Mandatory: Yes
Format: Flag, up to 1; Y or N
Allowed values: Y or N
Example: Y</t>
      </text>
    </comment>
    <comment ref="E19" authorId="0" shapeId="0">
      <text>
        <t>city
City of the branch
Mandatory: No
Format: Text, up to 80; Free text
Allowed values: Free entry, up to 80 characters
Example: Makati City</t>
      </text>
    </comment>
    <comment ref="F19" authorId="0" shapeId="0">
      <text>
        <t>active_flag
Branch active in legacy
Mandatory: Yes
Format: Flag, up to 1; Y or N
Allowed values: Y or N
Example: Y</t>
      </text>
    </comment>
  </commentList>
</comments>
</file>

<file path=xl/comments/comment3.xml><?xml version="1.0" encoding="utf-8"?>
<comments xmlns="http://schemas.openxmlformats.org/spreadsheetml/2006/main">
  <authors>
    <author>iorta TechNXT</author>
  </authors>
  <commentList>
    <comment ref="B19" authorId="0" shapeId="0">
      <text>
        <t>record_type
Kind of row
Mandatory: Yes
Format: Code, up to 12; Upper case
Allowed values: REGION, DEPARTMENT, TEAM, AO (list R03 record_type)
Example: TEAM</t>
      </text>
    </comment>
    <comment ref="C19" authorId="0" shapeId="0">
      <text>
        <t>unit_code
Legacy code of the unit (for an AO row, the team of the AO)
Mandatory: Yes
Format: Code, up to 20; As stored in legacy
Allowed values: Free entry, up to 20 characters
Example: T-RET-07</t>
      </text>
    </comment>
    <comment ref="D19" authorId="0" shapeId="0">
      <text>
        <t>unit_name
Unit name
Mandatory: Conditional: Mandatory for REGION, DEPARTMENT, TEAM
Format: Text, up to 120; Free text
Allowed values: Free entry, up to 120 characters
Example: Retail Team 7</t>
      </text>
    </comment>
    <comment ref="E19" authorId="0" shapeId="0">
      <text>
        <t>parent_unit_code
Code of the parent unit (department of a team, region of a department)
Mandatory: Conditional: Mandatory for DEPARTMENT and TEAM; parent exists
Format: Code, up to 20; As stored in legacy
Allowed values: unit_code values of the file
Example: D-RET</t>
      </text>
    </comment>
    <comment ref="F19" authorId="0" shapeId="0">
      <text>
        <t>unit_head_user_id
Legacy user ID of the unit head
Mandatory: No
Format: Code, up to 50; As stored in legacy
Allowed values: The legacy code; mapped by the code map USER (sheet Code maps)
Example: jdelacruz</t>
      </text>
    </comment>
    <comment ref="G19" authorId="0" shapeId="0">
      <text>
        <t>cost_center
Cost centre of the unit
Mandatory: No
Format: Code, up to 20; As stored in legacy
Allowed values: The legacy code; mapped by the code map COST_CENTER (sheet Code maps)
Example: 4100</t>
      </text>
    </comment>
    <comment ref="H19" authorId="0" shapeId="0">
      <text>
        <t>ao_user_id
Legacy user ID of the account officer
Mandatory: Conditional: Mandatory for AO rows; mapped in USER
Format: Code, up to 50; As stored in legacy
Allowed values: The legacy code; mapped by the code map USER (sheet Code maps)
Example: mreyes</t>
      </text>
    </comment>
    <comment ref="I19" authorId="0" shapeId="0">
      <text>
        <t>ao_code
Legacy AO code if different from the user ID
Mandatory: No
Format: Code, up to 20; As stored in legacy
Allowed values: The legacy code; mapped by the code map AO (sheet Code maps)
Example: AO0457</t>
      </text>
    </comment>
    <comment ref="J19" authorId="0" shapeId="0">
      <text>
        <t>ao_name
AO full name
Mandatory: Conditional: Mandatory for AO rows
Format: Text, up to 120; Free text
Allowed values: Free entry, up to 120 characters
Example: Maria Reyes</t>
      </text>
    </comment>
    <comment ref="K19" authorId="0" shapeId="0">
      <text>
        <t>branch_code
Branch of the unit or AO
Mandatory: No
Format: Code, up to 20; As stored in legacy
Allowed values: The legacy code; mapped by the code map BRANCH (sheet Code maps)
Example: MKT01</t>
      </text>
    </comment>
    <comment ref="L19" authorId="0" shapeId="0">
      <text>
        <t>active_flag
Unit or AO active
Mandatory: Yes
Format: Flag, up to 1; Y or N
Allowed values: Y or N
Example: Y</t>
      </text>
    </comment>
  </commentList>
</comments>
</file>

<file path=xl/comments/comment4.xml><?xml version="1.0" encoding="utf-8"?>
<comments xmlns="http://schemas.openxmlformats.org/spreadsheetml/2006/main">
  <authors>
    <author>iorta TechNXT</author>
  </authors>
  <commentList>
    <comment ref="B19" authorId="0" shapeId="0">
      <text>
        <t>insurer_code
Legacy insurer code
Mandatory: Yes
Format: Code, up to 30; As stored in legacy
Allowed values: Free entry, up to 30 characters
Example: MAL</t>
      </text>
    </comment>
    <comment ref="C19" authorId="0" shapeId="0">
      <text>
        <t>insurer_name
Registered name
Mandatory: Yes
Format: Text, up to 200; Free text
Allowed values: Free entry, up to 200 characters
Example: Malayan Insurance Co., Inc.</t>
      </text>
    </comment>
    <comment ref="D19" authorId="0" shapeId="0">
      <text>
        <t>short_name
Short name
Mandatory: No
Format: Text, up to 40; Free text
Allowed values: Free entry, up to 40 characters
Example: Malayan</t>
      </text>
    </comment>
    <comment ref="E19" authorId="0" shapeId="0">
      <text>
        <t>tin
Tax identification number
Mandatory: No
Format: Text, up to 20; 000-000-000-000
Allowed values: Free entry, up to 20 characters
Example: 000-123-456-000</t>
      </text>
    </comment>
    <comment ref="F19" authorId="0" shapeId="0">
      <text>
        <t>address
Registered address
Mandatory: No
Format: Text, up to 300; Free text
Allowed values: Free entry, up to 300 characters
Example: 500 Quintin Paredes St., Manila</t>
      </text>
    </comment>
    <comment ref="G19" authorId="0" shapeId="0">
      <text>
        <t>accreditation_no
Insurance Commission accreditation number
Mandatory: No
Format: Text, up to 40; Free text
Allowed values: Free entry, up to 40 characters
Example: IC-2025-0123</t>
      </text>
    </comment>
    <comment ref="H19" authorId="0" shapeId="0">
      <text>
        <t>accredited_until
End of accreditation
Mandatory: No
Format: Date, up to 10; yyyy-MM-dd
Allowed values: Free entry
Example: 2028-06-30</t>
      </text>
    </comment>
    <comment ref="I19" authorId="0" shapeId="0">
      <text>
        <t>placement_email
E-mail address(es) for placement, separated by semicolons
Mandatory: No
Format: Text, up to 500; name@domain;name@domain
Allowed values: Free entry, up to 500 characters
Example: placement@insurer.example</t>
      </text>
    </comment>
    <comment ref="J19" authorId="0" shapeId="0">
      <text>
        <t>default_credit_days
Credit term in days
Mandatory: No
Format: Integer, up to 3; Digits
Allowed values: A whole number
Example: 60</t>
      </text>
    </comment>
    <comment ref="K19" authorId="0" shapeId="0">
      <text>
        <t>status
Insurer status in legacy
Mandatory: Yes
Format: Code, up to 20; As stored in legacy
Allowed values: The legacy code; mapped by the code map STATUS:INSURER (sheet Code maps)
Example: ACTIVE</t>
      </text>
    </comment>
  </commentList>
</comments>
</file>

<file path=xl/comments/comment5.xml><?xml version="1.0" encoding="utf-8"?>
<comments xmlns="http://schemas.openxmlformats.org/spreadsheetml/2006/main">
  <authors>
    <author>iorta TechNXT</author>
  </authors>
  <commentList>
    <comment ref="B19" authorId="0" shapeId="0">
      <text>
        <t>insurer_code
Legacy insurer code
Mandatory: Yes
Format: Code, up to 30; As stored in legacy
Allowed values: The legacy code; mapped by the code map INSURER (sheet Code maps)
Example: MAL</t>
      </text>
    </comment>
    <comment ref="C19" authorId="0" shapeId="0">
      <text>
        <t>branch_code
Legacy insurer branch code
Mandatory: Yes
Format: Code, up to 20; As stored in legacy
Allowed values: Free entry, up to 20 characters
Example: MAL-CEB</t>
      </text>
    </comment>
    <comment ref="D19" authorId="0" shapeId="0">
      <text>
        <t>branch_name
Branch name
Mandatory: Yes
Format: Text, up to 120; Free text
Allowed values: Free entry, up to 120 characters
Example: Malayan Cebu</t>
      </text>
    </comment>
    <comment ref="E19" authorId="0" shapeId="0">
      <text>
        <t>city
City
Mandatory: No
Format: Text, up to 80; Free text
Allowed values: Free entry, up to 80 characters
Example: Cebu City</t>
      </text>
    </comment>
    <comment ref="F19" authorId="0" shapeId="0">
      <text>
        <t>lgt_rate
Local government tax rate of the branch location, in percent
Mandatory: No
Format: Decimal, up to 9,4; Dot decimal
Allowed values: A number
Example: 0.75</t>
      </text>
    </comment>
    <comment ref="G19" authorId="0" shapeId="0">
      <text>
        <t>placement_email
Branch placement e-mail
Mandatory: No
Format: Text, up to 120; name@domain
Allowed values: Free entry, up to 120 characters
Example: cebu@insurer.example</t>
      </text>
    </comment>
    <comment ref="H19" authorId="0" shapeId="0">
      <text>
        <t>status
Branch status
Mandatory: Yes
Format: Code, up to 20; As stored in legacy
Allowed values: The legacy code; mapped by the code map STATUS:INSURER (sheet Code maps)
Example: ACTIVE</t>
      </text>
    </comment>
  </commentList>
</comments>
</file>

<file path=xl/comments/comment6.xml><?xml version="1.0" encoding="utf-8"?>
<comments xmlns="http://schemas.openxmlformats.org/spreadsheetml/2006/main">
  <authors>
    <author>iorta TechNXT</author>
  </authors>
  <commentList>
    <comment ref="B19" authorId="0" shapeId="0">
      <text>
        <t>line_code
Legacy line of business
Mandatory: Yes
Format: Code, up to 30; As stored in legacy
Allowed values: The legacy code; mapped by the code map LINE (sheet Code maps)
Example: MOTOR</t>
      </text>
    </comment>
    <comment ref="C19" authorId="0" shapeId="0">
      <text>
        <t>line_name
Line name
Mandatory: No
Format: Text, up to 120; Free text
Allowed values: Free entry, up to 120 characters
Example: Motor Car</t>
      </text>
    </comment>
    <comment ref="D19" authorId="0" shapeId="0">
      <text>
        <t>cover_type_code
Legacy cover type
Mandatory: No
Format: Code, up to 30; As stored in legacy
Allowed values: The legacy code; mapped by the code map COVER_TYPE (sheet Code maps)
Example: COMP</t>
      </text>
    </comment>
    <comment ref="E19" authorId="0" shapeId="0">
      <text>
        <t>risk_code
Legacy risk code / product code
Mandatory: Yes
Format: Code, up to 20; As stored in legacy
Allowed values: Free entry, up to 20 characters
Example: MC-PC-COMP</t>
      </text>
    </comment>
    <comment ref="F19" authorId="0" shapeId="0">
      <text>
        <t>risk_name
Product / risk name
Mandatory: Yes
Format: Text, up to 200; Free text
Allowed values: Free entry, up to 200 characters
Example: Private Car Own Damage and Theft</t>
      </text>
    </comment>
    <comment ref="G19" authorId="0" shapeId="0">
      <text>
        <t>packaged_flag
Sold as a package
Mandatory: No
Format: Flag, up to 1; Y or N
Allowed values: Y or N
Example: N</t>
      </text>
    </comment>
    <comment ref="H19" authorId="0" shapeId="0">
      <text>
        <t>market_segments
Segments that may use the product, separated by semicolons
Mandatory: No
Format: Text, up to 300; CODE;CODE
Allowed values: The legacy code; mapped by the code map LOV:MARKET_SEGMENT (sheet Code maps)
Example: CBG;RETAIL</t>
      </text>
    </comment>
    <comment ref="I19" authorId="0" shapeId="0">
      <text>
        <t>status
Status in legacy
Mandatory: Yes
Format: Code, up to 20; As stored in legacy
Allowed values: The legacy code; mapped by the code map STATUS:PRODUCT (sheet Code maps)
Example: ACTIVE</t>
      </text>
    </comment>
    <comment ref="J19" authorId="0" shapeId="0">
      <text>
        <t>open_item_count
Open invoices and in-force policies using the code (helps the mapping)
Mandatory: No
Format: Integer, up to 9; Digits
Allowed values: A whole number
Example: 4211</t>
      </text>
    </comment>
  </commentList>
</comments>
</file>

<file path=xl/comments/comment7.xml><?xml version="1.0" encoding="utf-8"?>
<comments xmlns="http://schemas.openxmlformats.org/spreadsheetml/2006/main">
  <authors>
    <author>iorta TechNXT</author>
  </authors>
  <commentList>
    <comment ref="B19" authorId="0" shapeId="0">
      <text>
        <t>legacy_package_code
Legacy package code
Mandatory: Yes
Format: Code, up to 20; As stored in legacy
Allowed values: Free entry, up to 20 characters
Example: PKG-MC-PRIV</t>
      </text>
    </comment>
    <comment ref="C19" authorId="0" shapeId="0">
      <text>
        <t>legacy_package_version
Version of the legacy package
Mandatory: Yes
Format: Integer, up to 4; Digits
Allowed values: A whole number
Example: 3</t>
      </text>
    </comment>
    <comment ref="D19" authorId="0" shapeId="0">
      <text>
        <t>legacy_package_name
Package name in legacy
Mandatory: Yes
Format: Text, up to 200; Free text
Allowed values: Free entry, up to 200 characters
Example: Private Car Package 2027</t>
      </text>
    </comment>
    <comment ref="E19" authorId="0" shapeId="0">
      <text>
        <t>qualifier
Attribute that splits one legacy package into several BIBS packages
Mandatory: No
Format: Code, up to 20; Upper case
Allowed values: RISK_CODE, INSURER, SI_BAND (list R06 qualifier)
Example: SI_BAND</t>
      </text>
    </comment>
    <comment ref="F19" authorId="0" shapeId="0">
      <text>
        <t>qualifier_value
Value of the qualifier (risk code, insurer code, or sum-insured band as from-to)
Mandatory: Conditional: Mandatory with a qualifier; bands of one legacy package do not overlap
Format: Text, up to 60; Code, or from-to amounts with a dot decimal
Allowed values: Free entry, up to 60 characters
Example: 0.00-2000000.00</t>
      </text>
    </comment>
    <comment ref="G19" authorId="0" shapeId="0">
      <text>
        <t>action
MAP to a BIBS package version, or REJECT (no BIBS package)
Mandatory: Yes
Format: Code, up to 6; Upper case
Allowed values: MAP, REJECT (list R06 action)
Example: MAP</t>
      </text>
    </comment>
    <comment ref="H19" authorId="0" shapeId="0">
      <text>
        <t>bibs_package_version
BIBS package version maintained by TSU
Mandatory: Conditional: Mandatory for MAP; active in Product Maintenance
Format: Code, up to 40; As in BIBS
Allowed values: Active package versions in Product Maintenance
Example: MC-PRIVATE-STD v1</t>
      </text>
    </comment>
    <comment ref="I19" authorId="0" shapeId="0">
      <text>
        <t>remarks
Why the entry maps as it does
Mandatory: No
Format: Text, up to 250; Free text
Allowed values: Free entry, up to 250 characters
Example: Sum insured up to 2,000,000.00</t>
      </text>
    </comment>
  </commentList>
</comments>
</file>

<file path=xl/comments/comment8.xml><?xml version="1.0" encoding="utf-8"?>
<comments xmlns="http://schemas.openxmlformats.org/spreadsheetml/2006/main">
  <authors>
    <author>iorta TechNXT</author>
  </authors>
  <commentList>
    <comment ref="B19" authorId="0" shapeId="0">
      <text>
        <t>insurer_code
Legacy insurer code
Mandatory: Yes
Format: Code, up to 30; As stored in legacy
Allowed values: The legacy code; mapped by the code map INSURER (sheet Code maps)
Example: MAL</t>
      </text>
    </comment>
    <comment ref="C19" authorId="0" shapeId="0">
      <text>
        <t>risk_code
Legacy product / risk code
Mandatory: Yes
Format: Code, up to 20; As stored in legacy
Allowed values: The legacy code; mapped by the code map PRODUCT (sheet Code maps)
Example: MC-PC-COMP</t>
      </text>
    </comment>
    <comment ref="D19" authorId="0" shapeId="0">
      <text>
        <t>rate_pct
Commission rate in percent
Mandatory: Yes
Format: Decimal, up to 9,4; Dot decimal
Allowed values: A number
Example: 20.0000</t>
      </text>
    </comment>
    <comment ref="E19" authorId="0" shapeId="0">
      <text>
        <t>effective_from
Rate valid from
Mandatory: Yes
Format: Date, up to 10; yyyy-MM-dd
Allowed values: Free entry
Example: 2026-01-01</t>
      </text>
    </comment>
    <comment ref="F19" authorId="0" shapeId="0">
      <text>
        <t>effective_to
Rate valid to
Mandatory: No
Format: Date, up to 10; yyyy-MM-dd
Allowed values: Free entry</t>
      </text>
    </comment>
  </commentList>
</comments>
</file>

<file path=xl/comments/comment9.xml><?xml version="1.0" encoding="utf-8"?>
<comments xmlns="http://schemas.openxmlformats.org/spreadsheetml/2006/main">
  <authors>
    <author>iorta TechNXT</author>
  </authors>
  <commentList>
    <comment ref="B19" authorId="0" shapeId="0">
      <text>
        <t>legacy_account_code
Legacy GL account code
Mandatory: Yes
Format: Code, up to 30; As stored in legacy
Allowed values: Free entry, up to 30 characters
Example: 1101-02</t>
      </text>
    </comment>
    <comment ref="C19" authorId="0" shapeId="0">
      <text>
        <t>legacy_account_name
Legacy account name
Mandatory: Yes
Format: Text, up to 200; Free text
Allowed values: Free entry, up to 200 characters
Example: Cash in Bank - BDO Makati</t>
      </text>
    </comment>
    <comment ref="D19" authorId="0" shapeId="0">
      <text>
        <t>account_type
Account type
Mandatory: Yes
Format: Code, up to 12; Upper case
Allowed values: ASSET, LIABILITY, EQUITY, INCOME, EXPENSE (list R08 account_type)
Example: ASSET</t>
      </text>
    </comment>
    <comment ref="E19" authorId="0" shapeId="0">
      <text>
        <t>normal_balance
Normal balance side
Mandatory: Yes
Format: Code, up to 2; Upper case
Allowed values: DR, CR (list R08 normal_balance)
Example: DR</t>
      </text>
    </comment>
    <comment ref="F19" authorId="0" shapeId="0">
      <text>
        <t>legacy_control_type
Marks the legacy control accounts whose balance F01 or F02 carries in detail
Mandatory: No
Format: Code, up to 20; Upper case
Allowed values: List R08 legacy_control_type: 8 values, see Reference lists
Example: NONE</t>
      </text>
    </comment>
    <comment ref="G19" authorId="0" shapeId="0">
      <text>
        <t>bibs_account_code
BIBS account the legacy account maps to (filled by Comptrollership)
Mandatory: Conditional: Mandatory when legacy_control_type is NONE; exists and active in BIBS
Format: Code, up to 30; As in the BIBS chart
Allowed values: Account codes of the BIBS chart of accounts
Example: X102.03 (illustrative code, not in use)</t>
      </text>
    </comment>
    <comment ref="H19" authorId="0" shapeId="0">
      <text>
        <t>branch_specific_flag
Balances are kept per branch
Mandatory: No
Format: Flag, up to 1; Y or N
Allowed values: Y or N
Example: Y</t>
      </text>
    </comment>
    <comment ref="I19" authorId="0" shapeId="0">
      <text>
        <t>remarks
Mapping remarks
Mandatory: No
Format: Text, up to 300; Free text
Allowed values: Free entry, up to 300 characters
Example: Merged with 1201-01</t>
      </text>
    </comment>
  </commentList>
</comments>
</file>

<file path=xl/comments/comment10.xml><?xml version="1.0" encoding="utf-8"?>
<comments xmlns="http://schemas.openxmlformats.org/spreadsheetml/2006/main">
  <authors>
    <author>iorta TechNXT</author>
  </authors>
  <commentList>
    <comment ref="B19" authorId="0" shapeId="0">
      <text>
        <t>payee_code
Legacy payee code
Mandatory: Yes
Format: Code, up to 30; As stored in legacy
Allowed values: Free entry, up to 30 characters
Example: SUP-0001</t>
      </text>
    </comment>
    <comment ref="C19" authorId="0" shapeId="0">
      <text>
        <t>payee_class
Payee class
Mandatory: Yes
Format: Code, up to 20; Upper case
Allowed values: LOV PAYEE_CLASS
Example: SUPPLIER</t>
      </text>
    </comment>
    <comment ref="D19" authorId="0" shapeId="0">
      <text>
        <t>name
Payee name
Mandatory: Yes
Format: Text, up to 250; Free text
Allowed values: Free entry, up to 250 characters
Example: Acme Office Supply</t>
      </text>
    </comment>
    <comment ref="E19" authorId="0" shapeId="0">
      <text>
        <t>address
Address
Mandatory: No
Format: Text, up to 300; Free text
Allowed values: Free entry, up to 300 characters
Example: Makati City</t>
      </text>
    </comment>
    <comment ref="F19" authorId="0" shapeId="0">
      <text>
        <t>email
E-mail for payment advices
Mandatory: No
Format: Text, up to 120; name@domain
Allowed values: Free entry, up to 120 characters
Example: ap@acme.example</t>
      </text>
    </comment>
    <comment ref="G19" authorId="0" shapeId="0">
      <text>
        <t>tin
Tax identification number
Mandatory: No
Format: Text, up to 20; 000-000-000-000
Allowed values: Free entry, up to 20 characters
Example: 123-456-789-000</t>
      </text>
    </comment>
    <comment ref="H19" authorId="0" shapeId="0">
      <text>
        <t>default_mode
Default payment mode
Mandatory: Yes
Format: Code, up to 20; Upper case
Allowed values: List R09 default_mode: 7 values, see Reference lists
Example: CHECK</t>
      </text>
    </comment>
    <comment ref="I19" authorId="0" shapeId="0">
      <text>
        <t>allowed_modes
Allowed payment modes separated by a vertical bar
Mandatory: Yes
Format: Text, up to 100; MODE\
Allowed values: Same list as default_mode
Example: MODE</t>
      </text>
    </comment>
    <comment ref="J19" authorId="0" shapeId="0">
      <text>
        <t>currency
Currency
Mandatory: Yes
Format: Code, up to 3; Upper case
Allowed values: ISO 4217
Example: PHP</t>
      </text>
    </comment>
    <comment ref="K19" authorId="0" shapeId="0">
      <text>
        <t>bank
Bank of the payee account
Mandatory: No
Format: Text, up to 120; Free text
Allowed values: The legacy code; mapped by the code map BANK (sheet Code maps)
Example: BDO Unibank</t>
      </text>
    </comment>
    <comment ref="L19" authorId="0" shapeId="0">
      <text>
        <t>account_no
Payee account number
Mandatory: Conditional: Mandatory for CTA
Format: Text, up to 40; Digits
Allowed values: Free entry, up to 40 characters
Example: 001234567890</t>
      </text>
    </comment>
  </commentList>
</comments>
</file>

<file path=xl/comments/comment11.xml><?xml version="1.0" encoding="utf-8"?>
<comments xmlns="http://schemas.openxmlformats.org/spreadsheetml/2006/main">
  <authors>
    <author>iorta TechNXT</author>
  </authors>
  <commentList>
    <comment ref="B19" authorId="0" shapeId="0">
      <text>
        <t>branch_code
Issuing branch
Mandatory: Yes
Format: Code, up to 20; As stored in legacy
Allowed values: The legacy code; mapped by the code map BRANCH (sheet Code maps)
Example: MKT01</t>
      </text>
    </comment>
    <comment ref="C19" authorId="0" shapeId="0">
      <text>
        <t>kind
Receipt kind
Mandatory: Yes
Format: Code, up to 2; Upper case
Allowed values: AR, OR (list R11 kind)
Example: AR</t>
      </text>
    </comment>
    <comment ref="D19" authorId="0" shapeId="0">
      <text>
        <t>atp_no
BIR Authority to Print number
Mandatory: Yes
Format: Text, up to 40; As printed
Allowed values: Free entry, up to 40 characters
Example: ATP-OCN-2025-000123</t>
      </text>
    </comment>
    <comment ref="E19" authorId="0" shapeId="0">
      <text>
        <t>prefix
Series prefix
Mandatory: No
Format: Text, up to 20; As printed
Allowed values: Free entry, up to 20 characters
Example: AR-MKT</t>
      </text>
    </comment>
    <comment ref="F19" authorId="0" shapeId="0">
      <text>
        <t>from_no
First number of the series
Mandatory: Yes
Format: Integer, up to 12; Digits
Allowed values: A whole number
Example: 100001</t>
      </text>
    </comment>
    <comment ref="G19" authorId="0" shapeId="0">
      <text>
        <t>to_no
Last number of the series
Mandatory: Yes
Format: Integer, up to 12; Digits
Allowed values: A whole number
Example: 150000</t>
      </text>
    </comment>
    <comment ref="H19" authorId="0" shapeId="0">
      <text>
        <t>last_used_no
Last number issued in legacy at the freeze
Mandatory: Yes
Format: Integer, up to 12; Digits
Allowed values: A whole number
Example: 131245</t>
      </text>
    </comment>
    <comment ref="I19" authorId="0" shapeId="0">
      <text>
        <t>next_no
Next number BIBS issues
Mandatory: Yes
Format: Integer, up to 12; Digits
Allowed values: A whole number
Example: 131246</t>
      </text>
    </comment>
  </commentList>
</comments>
</file>

<file path=xl/comments/comment12.xml><?xml version="1.0" encoding="utf-8"?>
<comments xmlns="http://schemas.openxmlformats.org/spreadsheetml/2006/main">
  <authors>
    <author>iorta TechNXT</author>
  </authors>
  <commentList>
    <comment ref="B19" authorId="0" shapeId="0">
      <text>
        <t>legacy_client_no
Client number in the source system
Mandatory: Yes
Format: Code, up to 30; As stored in legacy
Allowed values: Free entry, up to 30 characters
Example: Q-0012345</t>
      </text>
    </comment>
    <comment ref="C19" authorId="0" shapeId="0">
      <text>
        <t>client_type
Individual or corporate
Mandatory: Yes
Format: Code, up to 1; Upper case
Allowed values: I, C (list C01 client_type)
Example: I</t>
      </text>
    </comment>
    <comment ref="D19" authorId="0" shapeId="0">
      <text>
        <t>last_name
Last name (individual)
Mandatory: Conditional: Mandatory for I
Format: Text, up to 100; Free text
Allowed values: Free entry, up to 100 characters
Example: Reyes</t>
      </text>
    </comment>
    <comment ref="E19" authorId="0" shapeId="0">
      <text>
        <t>first_name
First name (individual)
Mandatory: Conditional: Mandatory for I
Format: Text, up to 100; Free text
Allowed values: Free entry, up to 100 characters
Example: Ana</t>
      </text>
    </comment>
    <comment ref="F19" authorId="0" shapeId="0">
      <text>
        <t>middle_name
Middle name
Mandatory: No
Format: Text, up to 100; Free text
Allowed values: Free entry, up to 100 characters
Example: Cruz</t>
      </text>
    </comment>
    <comment ref="G19" authorId="0" shapeId="0">
      <text>
        <t>suffix
Name suffix
Mandatory: No
Format: Text, up to 20; Free text
Allowed values: Free entry, up to 20 characters
Example: Jr.</t>
      </text>
    </comment>
    <comment ref="H19" authorId="0" shapeId="0">
      <text>
        <t>corporate_name
Registered name (corporate)
Mandatory: Conditional: Mandatory for C
Format: Text, up to 200; Free text
Allowed values: Free entry, up to 200 characters
Example: Acme Trading Corp.</t>
      </text>
    </comment>
    <comment ref="I19" authorId="0" shapeId="0">
      <text>
        <t>registration_no
SEC or DTI registration number (corporate)
Mandatory: No
Format: Text, up to 60; As registered
Allowed values: Free entry, up to 60 characters
Example: CS201912345</t>
      </text>
    </comment>
    <comment ref="J19" authorId="0" shapeId="0">
      <text>
        <t>birth_date
Birth date (individual)
Mandatory: Conditional: Mandatory for I; not in the future; age 0 to 120
Format: Date, up to 10; yyyy-MM-dd
Allowed values: Free entry
Example: 1990-04-15</t>
      </text>
    </comment>
    <comment ref="K19" authorId="0" shapeId="0">
      <text>
        <t>tin
Tax identification number
Mandatory: No
Format: Text, up to 20; 000-000-000-000
Allowed values: Free entry, up to 20 characters
Example: 123-456-789-000</t>
      </text>
    </comment>
    <comment ref="L19" authorId="0" shapeId="0">
      <text>
        <t>id_type
Government ID type
Mandatory: No
Format: Code, up to 40; As stored in legacy
Allowed values: The legacy code; mapped by the code map LOV:ID_TYPE (sheet Code maps)
Example: PASSPORT</t>
      </text>
    </comment>
    <comment ref="M19" authorId="0" shapeId="0">
      <text>
        <t>id_number
Government ID number
Mandatory: Conditional: Mandatory when id_type is given; duplicate key K2
Format: Text, up to 60; As printed
Allowed values: Free entry, up to 60 characters
Example: P1234567A</t>
      </text>
    </comment>
    <comment ref="N19" authorId="0" shapeId="0">
      <text>
        <t>bank_client_flag
BDO bank client
Mandatory: No
Format: Flag, up to 1; Y or N
Allowed values: Y or N
Example: Y</t>
      </text>
    </comment>
    <comment ref="O19" authorId="0" shapeId="0">
      <text>
        <t>bank_cif
BDO customer information file number
Mandatory: No
Format: Text, up to 40; Digits
Allowed values: Free entry, up to 40 characters
Example: 1234567890</t>
      </text>
    </comment>
    <comment ref="P19" authorId="0" shapeId="0">
      <text>
        <t>nationality
Nationality
Mandatory: No
Format: Code, up to 40; As stored in legacy
Allowed values: The legacy code; mapped by the code map LOV:NATIONALITY (sheet Code maps)
Example: FILIPINO</t>
      </text>
    </comment>
    <comment ref="Q19" authorId="0" shapeId="0">
      <text>
        <t>source_of_funds
Source of funds
Mandatory: No
Format: Code, up to 40; As stored in legacy
Allowed values: The legacy code; mapped by the code map LOV:SOURCE_OF_FUNDS (sheet Code maps)
Example: SALARY</t>
      </text>
    </comment>
    <comment ref="R19" authorId="0" shapeId="0">
      <text>
        <t>market_segment
Market segment
Mandatory: Yes
Format: Code, up to 40; As stored in legacy
Allowed values: The legacy code; mapped by the code map LOV:MARKET_SEGMENT (sheet Code maps)
Example: CBG</t>
      </text>
    </comment>
    <comment ref="S19" authorId="0" shapeId="0">
      <text>
        <t>customer_segment
Customer segment (MIS)
Mandatory: No
Format: Code, up to 40; As stored in legacy
Allowed values: The legacy code; mapped by the code map MIS:CUSTOMER_SEGMENT (sheet Code maps)
Example: AFFLUENT</t>
      </text>
    </comment>
    <comment ref="T19" authorId="0" shapeId="0">
      <text>
        <t>business_origin
Business origin (MIS)
Mandatory: No
Format: Code, up to 40; As stored in legacy
Allowed values: The legacy code; mapped by the code map MIS:BUSINESS_ORIGIN (sheet Code maps)
Example: BANK_REFERRAL</t>
      </text>
    </comment>
    <comment ref="U19" authorId="0" shapeId="0">
      <text>
        <t>ao_user_id
Account officer
Mandatory: No
Format: Code, up to 50; As stored in legacy
Allowed values: The legacy code; mapped by the code map USER (sheet Code maps)
Example: mreyes</t>
      </text>
    </comment>
    <comment ref="V19" authorId="0" shapeId="0">
      <text>
        <t>sales_unit_code
Sales unit of the client
Mandatory: No
Format: Code, up to 20; As stored in legacy
Allowed values: The legacy code; mapped by the code map SALES_UNIT (sheet Code maps)
Example: T-RET-07</t>
      </text>
    </comment>
    <comment ref="W19" authorId="0" shapeId="0">
      <text>
        <t>branch_code
Servicing branch
Mandatory: No
Format: Code, up to 20; As stored in legacy
Allowed values: The legacy code; mapped by the code map BRANCH (sheet Code maps)
Example: MKT01</t>
      </text>
    </comment>
    <comment ref="X19" authorId="0" shapeId="0">
      <text>
        <t>email
Primary e-mail
Mandatory: No
Format: Text, up to 120; name@domain
Allowed values: Free entry, up to 120 characters
Example: ana.reyes@example.ph</t>
      </text>
    </comment>
    <comment ref="Y19" authorId="0" shapeId="0">
      <text>
        <t>mobile
Primary mobile number
Mandatory: No
Format: Text, up to 30; 09xxxxxxxxx or +639xxxxxxxxx
Allowed values: Free entry, up to 30 characters
Example: 09171234567</t>
      </text>
    </comment>
    <comment ref="Z19" authorId="0" shapeId="0">
      <text>
        <t>phone
Landline
Mandatory: No
Format: Text, up to 30; Free text
Allowed values: Free entry, up to 30 characters
Example: (02) 8123 4567</t>
      </text>
    </comment>
    <comment ref="AA19" authorId="0" shapeId="0">
      <text>
        <t>address_line
Primary street address
Mandatory: No
Format: Text, up to 300; Free text
Allowed values: Free entry, up to 300 characters
Example: 12 Rizal St., Brgy. San Antonio</t>
      </text>
    </comment>
    <comment ref="AB19" authorId="0" shapeId="0">
      <text>
        <t>city
City / municipality
Mandatory: No
Format: Text, up to 80; Free text
Allowed values: Free entry, up to 80 characters
Example: Pasig</t>
      </text>
    </comment>
    <comment ref="AC19" authorId="0" shapeId="0">
      <text>
        <t>province
Province
Mandatory: No
Format: Text, up to 80; Free text
Allowed values: Free entry, up to 80 characters
Example: Metro Manila</t>
      </text>
    </comment>
    <comment ref="AD19" authorId="0" shapeId="0">
      <text>
        <t>postal_code
Postal code
Mandatory: No
Format: Text, up to 10; 4 digits
Allowed values: Free entry, up to 10 characters
Example: 1600</t>
      </text>
    </comment>
    <comment ref="AE19" authorId="0" shapeId="0">
      <text>
        <t>kyc_status
KYC status in legacy
Mandatory: No
Format: Code, up to 20; As stored in legacy
Allowed values: The legacy code; mapped by the code map STATUS:KYC (sheet Code maps)
Example: COMPLETE</t>
      </text>
    </comment>
    <comment ref="AF19" authorId="0" shapeId="0">
      <text>
        <t>kyc_verified_date
Date KYC was verified
Mandatory: No
Format: Date, up to 10; yyyy-MM-dd
Allowed values: Free entry
Example: 2024-03-11</t>
      </text>
    </comment>
    <comment ref="AG19" authorId="0" shapeId="0">
      <text>
        <t>kyc_review_due
Next KYC review date
Mandatory: No
Format: Date, up to 10; yyyy-MM-dd
Allowed values: Free entry
Example: 2028-03-11</t>
      </text>
    </comment>
    <comment ref="AH19" authorId="0" shapeId="0">
      <text>
        <t>risk_rating
KYC risk rating
Mandatory: No
Format: Code, up to 20; As stored in legacy
Allowed values: The legacy code; mapped by the code map LOV:KYC_RISK_RATING (sheet Code maps)
Example: STANDARD</t>
      </text>
    </comment>
    <comment ref="AI19" authorId="0" shapeId="0">
      <text>
        <t>client_status
Client status in legacy
Mandatory: Yes
Format: Code, up to 20; As stored in legacy
Allowed values: The legacy code; mapped by the code map STATUS:CLIENT (sheet Code maps)
Example: ACTIVE</t>
      </text>
    </comment>
    <comment ref="AJ19" authorId="0" shapeId="0">
      <text>
        <t>created_date
Date the client was created in legacy
Mandatory: Yes
Format: Date, up to 10; yyyy-MM-dd
Allowed values: Free entry
Example: 2021-07-02</t>
      </text>
    </comment>
    <comment ref="AK19" authorId="0" shapeId="0">
      <text>
        <t>last_updated
Last change in legacy (survivorship and deltas)
Mandatory: Yes
Format: Timestamp, up to 19; yyyy-MM-dd HH:mm:ss
Allowed values: Free entry
Example: 2026-08-30 14:22:05</t>
      </text>
    </comment>
  </commentList>
</comments>
</file>

<file path=xl/comments/comment13.xml><?xml version="1.0" encoding="utf-8"?>
<comments xmlns="http://schemas.openxmlformats.org/spreadsheetml/2006/main">
  <authors>
    <author>iorta TechNXT</author>
  </authors>
  <commentList>
    <comment ref="B19" authorId="0" shapeId="0">
      <text>
        <t>legacy_client_no
Client number in the source system
Mandatory: Yes
Format: Code, up to 30; As stored in legacy
Allowed values: legacy_client_no of C01
Example: Q-0012345</t>
      </text>
    </comment>
    <comment ref="C19" authorId="0" shapeId="0">
      <text>
        <t>record_type
Address or contact person
Mandatory: Yes
Format: Code, up to 10; Upper case
Allowed values: ADDRESS, CONTACT (list C02 record_type)
Example: ADDRESS</t>
      </text>
    </comment>
    <comment ref="D19" authorId="0" shapeId="0">
      <text>
        <t>seq_no
Sequence within the client and record type
Mandatory: Yes
Format: Integer, up to 3; Digits
Allowed values: A whole number
Example: 1</t>
      </text>
    </comment>
    <comment ref="E19" authorId="0" shapeId="0">
      <text>
        <t>address_type
Kind of address
Mandatory: Conditional: Mandatory for ADDRESS
Format: Code, up to 12; Upper case
Allowed values: HOME, BUSINESS, MAILING, BILLING (list C02 address_type)
Example: MAILING</t>
      </text>
    </comment>
    <comment ref="F19" authorId="0" shapeId="0">
      <text>
        <t>address_line
Street address
Mandatory: Conditional: Mandatory for ADDRESS
Format: Text, up to 300; Free text
Allowed values: Free entry, up to 300 characters
Example: 12 Rizal St., Brgy. San Antonio</t>
      </text>
    </comment>
    <comment ref="G19" authorId="0" shapeId="0">
      <text>
        <t>city
City / municipality
Mandatory: No
Format: Text, up to 80; Free text
Allowed values: Free entry, up to 80 characters
Example: Pasig</t>
      </text>
    </comment>
    <comment ref="H19" authorId="0" shapeId="0">
      <text>
        <t>province
Province
Mandatory: No
Format: Text, up to 80; Free text
Allowed values: Free entry, up to 80 characters
Example: Metro Manila</t>
      </text>
    </comment>
    <comment ref="I19" authorId="0" shapeId="0">
      <text>
        <t>postal_code
Postal code
Mandatory: No
Format: Text, up to 10; 4 digits
Allowed values: Free entry, up to 10 characters
Example: 1600</t>
      </text>
    </comment>
    <comment ref="J19" authorId="0" shapeId="0">
      <text>
        <t>contact_name
Contact person (corporate clients)
Mandatory: Conditional: Mandatory for CONTACT
Format: Text, up to 200; Free text
Allowed values: Free entry, up to 200 characters
Example: Jose Santos</t>
      </text>
    </comment>
    <comment ref="K19" authorId="0" shapeId="0">
      <text>
        <t>contact_role
Role of the contact
Mandatory: No
Format: Text, up to 60; Free text
Allowed values: Free entry, up to 60 characters
Example: HR Manager</t>
      </text>
    </comment>
    <comment ref="L19" authorId="0" shapeId="0">
      <text>
        <t>email
E-mail
Mandatory: No
Format: Text, up to 120; name@domain
Allowed values: Free entry, up to 120 characters
Example: jose.santos@acme.example</t>
      </text>
    </comment>
    <comment ref="M19" authorId="0" shapeId="0">
      <text>
        <t>mobile
Mobile number
Mandatory: No
Format: Text, up to 30; 09xxxxxxxxx
Allowed values: Free entry, up to 30 characters
Example: 09181234567</t>
      </text>
    </comment>
    <comment ref="N19" authorId="0" shapeId="0">
      <text>
        <t>primary_flag
Primary address or contact
Mandatory: Yes
Format: Flag, up to 1; Y or N
Allowed values: Y or N
Example: Y</t>
      </text>
    </comment>
  </commentList>
</comments>
</file>

<file path=xl/comments/comment14.xml><?xml version="1.0" encoding="utf-8"?>
<comments xmlns="http://schemas.openxmlformats.org/spreadsheetml/2006/main">
  <authors>
    <author>iorta TechNXT</author>
  </authors>
  <commentList>
    <comment ref="B19" authorId="0" shapeId="0">
      <text>
        <t>legacy_client_no
Client number in the source system
Mandatory: Yes
Format: Code, up to 30; As stored in legacy
Allowed values: legacy_client_no of C01
Example: E-0098765</t>
      </text>
    </comment>
    <comment ref="C19" authorId="0" shapeId="0">
      <text>
        <t>mode
Payout mode
Mandatory: Yes
Format: Code, up to 10; Upper case
Allowed values: CTA, CHECK (list C03 mode)
Example: CTA</t>
      </text>
    </comment>
    <comment ref="D19" authorId="0" shapeId="0">
      <text>
        <t>payee_name
Name on the account or check
Mandatory: Yes
Format: Text, up to 250; Free text
Allowed values: Free entry, up to 250 characters
Example: Ana C. Reyes</t>
      </text>
    </comment>
    <comment ref="E19" authorId="0" shapeId="0">
      <text>
        <t>bank_code
Bank of the account
Mandatory: Conditional: Mandatory for CTA; mapped
Format: Code, up to 30; As stored in legacy
Allowed values: The legacy code; mapped by the code map BANK (sheet Code maps)
Example: BDO</t>
      </text>
    </comment>
    <comment ref="F19" authorId="0" shapeId="0">
      <text>
        <t>account_no
Account number
Mandatory: Conditional: Mandatory for CTA
Format: Text, up to 40; Digits
Allowed values: Free entry, up to 40 characters
Example: 001234567890</t>
      </text>
    </comment>
    <comment ref="G19" authorId="0" shapeId="0">
      <text>
        <t>active_flag
Account in use
Mandatory: Yes
Format: Flag, up to 1; Y or N
Allowed values: Y or N
Example: Y</t>
      </text>
    </comment>
  </commentList>
</comments>
</file>

<file path=xl/comments/comment15.xml><?xml version="1.0" encoding="utf-8"?>
<comments xmlns="http://schemas.openxmlformats.org/spreadsheetml/2006/main">
  <authors>
    <author>iorta TechNXT</author>
  </authors>
  <commentList>
    <comment ref="B19" authorId="0" shapeId="0">
      <text>
        <t>legacy_policy_ref
Unique legacy reference of the policy term (cover no. and version, or policy reference)
Mandatory: Yes
Format: Code, up to 60; &lt;cover no.&gt;-&lt;version&gt;
Allowed values: Free entry, up to 60 characters
Example: C-2026-004512-01</t>
      </text>
    </comment>
    <comment ref="C19" authorId="0" shapeId="0">
      <text>
        <t>cover_no
Legacy cover number
Mandatory: Yes
Format: Text, up to 40; As stored in legacy
Allowed values: Free entry, up to 40 characters
Example: C-2026-004512</t>
      </text>
    </comment>
    <comment ref="D19" authorId="0" shapeId="0">
      <text>
        <t>cover_version
Legacy cover version
Mandatory: No
Format: Integer, up to 4; Digits
Allowed values: A whole number
Example: 1</t>
      </text>
    </comment>
    <comment ref="E19" authorId="0" shapeId="0">
      <text>
        <t>policy_no
Insurer policy number
Mandatory: Yes
Format: Text, up to 60; As issued
Allowed values: Free entry, up to 60 characters
Example: MC-PC-26-0012345</t>
      </text>
    </comment>
    <comment ref="F19" authorId="0" shapeId="0">
      <text>
        <t>legacy_client_no
Client number of the assured
Mandatory: Yes
Format: Code, up to 30; As stored in legacy
Allowed values: legacy_client_no of C01
Example: Q-0012345</t>
      </text>
    </comment>
    <comment ref="G19" authorId="0" shapeId="0">
      <text>
        <t>assured_name
Assured name as on the policy
Mandatory: Yes
Format: Text, up to 250; Free text
Allowed values: Free entry, up to 250 characters
Example: Ana C. Reyes</t>
      </text>
    </comment>
    <comment ref="H19" authorId="0" shapeId="0">
      <text>
        <t>risk_code
Product / risk code
Mandatory: Yes
Format: Code, up to 20; As stored in legacy
Allowed values: The legacy code; mapped by the code map PRODUCT (sheet Code maps)
Example: MC-PC-COMP</t>
      </text>
    </comment>
    <comment ref="I19" authorId="0" shapeId="0">
      <text>
        <t>package_code
Legacy package of a packaged policy
Mandatory: Conditional: Mandatory for packaged policies; not mapped at load
Format: Code, up to 20; As stored in legacy
Allowed values: Free entry, up to 20 characters
Example: PKG-MC-PRIV</t>
      </text>
    </comment>
    <comment ref="J19" authorId="0" shapeId="0">
      <text>
        <t>package_version
Version of the legacy package
Mandatory: Conditional: Mandatory with package_code
Format: Integer, up to 4; Digits
Allowed values: A whole number
Example: 3</t>
      </text>
    </comment>
    <comment ref="K19" authorId="0" shapeId="0">
      <text>
        <t>line_code
Line of business
Mandatory: Yes
Format: Code, up to 30; As stored in legacy
Allowed values: The legacy code; mapped by the code map LINE (sheet Code maps)
Example: MOTOR</t>
      </text>
    </comment>
    <comment ref="L19" authorId="0" shapeId="0">
      <text>
        <t>cover_type_code
Cover type
Mandatory: No
Format: Code, up to 30; As stored in legacy
Allowed values: The legacy code; mapped by the code map COVER_TYPE (sheet Code maps)
Example: COMP</t>
      </text>
    </comment>
    <comment ref="M19" authorId="0" shapeId="0">
      <text>
        <t>business_type
New business or renewal
Mandatory: Yes
Format: Code, up to 2; Upper case
Allowed values: NB, RB (list P01 business_type)
Example: RB</t>
      </text>
    </comment>
    <comment ref="N19" authorId="0" shapeId="0">
      <text>
        <t>policy_status
Status of the term in legacy
Mandatory: Yes
Format: Code, up to 20; As stored in legacy
Allowed values: The legacy code; mapped by the code map STATUS:POLICY (sheet Code maps)
Example: ISSUED</t>
      </text>
    </comment>
    <comment ref="O19" authorId="0" shapeId="0">
      <text>
        <t>inception_date
Period from
Mandatory: Yes
Format: Date, up to 10; yyyy-MM-dd
Allowed values: Free entry
Example: 2027-03-15</t>
      </text>
    </comment>
    <comment ref="P19" authorId="0" shapeId="0">
      <text>
        <t>expiry_date
Period to
Mandatory: Yes
Format: Date, up to 10; yyyy-MM-dd
Allowed values: Free entry
Example: 2028-03-15</t>
      </text>
    </comment>
    <comment ref="Q19" authorId="0" shapeId="0">
      <text>
        <t>currency
Policy currency
Mandatory: Yes
Format: Code, up to 3; Upper case
Allowed values: ISO 4217
Example: PHP</t>
      </text>
    </comment>
    <comment ref="R19" authorId="0" shapeId="0">
      <text>
        <t>sum_insured
Total sum insured
Mandatory: Yes
Format: Amount, up to 19,2; Dot decimal, 2 decimals
Allowed values: A number
Example: 950000.00</t>
      </text>
    </comment>
    <comment ref="S19" authorId="0" shapeId="0">
      <text>
        <t>net_premium
Basic premium
Mandatory: Yes
Format: Amount, up to 19,2; Dot decimal, 2 decimals
Allowed values: A number
Example: 21375.00</t>
      </text>
    </comment>
    <comment ref="T19" authorId="0" shapeId="0">
      <text>
        <t>gross_premium
Gross premium including taxes and charges
Mandatory: Yes
Format: Amount, up to 19,2; Dot decimal, 2 decimals
Allowed values: A number
Example: 25946.25</t>
      </text>
    </comment>
    <comment ref="U19" authorId="0" shapeId="0">
      <text>
        <t>commission_rate_pct
Commission rate in percent
Mandatory: No
Format: Decimal, up to 9,4; Dot decimal
Allowed values: A number
Example: 20.0000</t>
      </text>
    </comment>
    <comment ref="V19" authorId="0" shapeId="0">
      <text>
        <t>payment_arrangement
Premium paid through BDOI or directly to the insurer
Mandatory: Yes
Format: Code, up to 20; Upper case
Allowed values: VIA_BDOI, DIRECT (list P01 payment_arrangement)
Example: VIA_BDOI</t>
      </text>
    </comment>
    <comment ref="W19" authorId="0" shapeId="0">
      <text>
        <t>pn_nos
Loan promissory note numbers, separated by semicolons
Mandatory: No
Format: Text, up to 500; PN;PN
Allowed values: Free entry, up to 500 characters
Example: PN-2019-000123</t>
      </text>
    </comment>
    <comment ref="X19" authorId="0" shapeId="0">
      <text>
        <t>loan_application_no
Loan application number
Mandatory: No
Format: Text, up to 40; As stored in legacy
Allowed values: Free entry, up to 40 characters
Example: LA-2019-5566</t>
      </text>
    </comment>
    <comment ref="Y19" authorId="0" shapeId="0">
      <text>
        <t>mortgagee_bank
Mortgagee
Mandatory: No
Format: Code, up to 40; As stored in legacy
Allowed values: The legacy code; mapped by the code map BANK (sheet Code maps)
Example: BDO</t>
      </text>
    </comment>
    <comment ref="Z19" authorId="0" shapeId="0">
      <text>
        <t>ffy_flag
Free first year
Mandatory: No
Format: Flag, up to 1; Y or N
Allowed values: Y or N
Example: N</t>
      </text>
    </comment>
    <comment ref="AA19" authorId="0" shapeId="0">
      <text>
        <t>ao_user_id
Account officer
Mandatory: Yes
Format: Code, up to 50; As stored in legacy
Allowed values: The legacy code; mapped by the code map USER (sheet Code maps)
Example: mreyes</t>
      </text>
    </comment>
    <comment ref="AB19" authorId="0" shapeId="0">
      <text>
        <t>sales_unit_code
Sales team
Mandatory: Yes
Format: Code, up to 20; As stored in legacy
Allowed values: The legacy code; mapped by the code map SALES_UNIT (sheet Code maps)
Example: T-RET-07</t>
      </text>
    </comment>
    <comment ref="AC19" authorId="0" shapeId="0">
      <text>
        <t>branch_code
Branch
Mandatory: Yes
Format: Code, up to 20; As stored in legacy
Allowed values: The legacy code; mapped by the code map BRANCH (sheet Code maps)
Example: MKT01</t>
      </text>
    </comment>
    <comment ref="AD19" authorId="0" shapeId="0">
      <text>
        <t>market_segment
Market segment
Mandatory: Yes
Format: Code, up to 40; As stored in legacy
Allowed values: The legacy code; mapped by the code map LOV:MARKET_SEGMENT (sheet Code maps)
Example: CBG</t>
      </text>
    </comment>
    <comment ref="AE19" authorId="0" shapeId="0">
      <text>
        <t>source_channel
Business origin / channel
Mandatory: No
Format: Code, up to 40; As stored in legacy
Allowed values: The legacy code; mapped by the code map MIS:BUSINESS_ORIGIN (sheet Code maps)
Example: BANK_REFERRAL</t>
      </text>
    </comment>
    <comment ref="AF19" authorId="0" shapeId="0">
      <text>
        <t>risk_description
Short risk description (vehicle, location)
Mandatory: No
Format: Text, up to 300; Free text
Allowed values: Free entry, up to 300 characters
Example: 2022 Toyota Vios ABC 1234</t>
      </text>
    </comment>
  </commentList>
</comments>
</file>

<file path=xl/comments/comment16.xml><?xml version="1.0" encoding="utf-8"?>
<comments xmlns="http://schemas.openxmlformats.org/spreadsheetml/2006/main">
  <authors>
    <author>iorta TechNXT</author>
  </authors>
  <commentList>
    <comment ref="B19" authorId="0" shapeId="0">
      <text>
        <t>legacy_policy_ref
Legacy reference of the policy term
Mandatory: Yes
Format: Code, up to 60; As in P01
Allowed values: legacy_policy_ref of P01
Example: C-2026-004512-01</t>
      </text>
    </comment>
    <comment ref="C19" authorId="0" shapeId="0">
      <text>
        <t>share_seq
Sequence of the insurer
Mandatory: Yes
Format: Integer, up to 2; Digits
Allowed values: A whole number
Example: 1</t>
      </text>
    </comment>
    <comment ref="D19" authorId="0" shapeId="0">
      <text>
        <t>insurer_code
Insurer
Mandatory: Yes
Format: Code, up to 30; As stored in legacy
Allowed values: The legacy code; mapped by the code map INSURER (sheet Code maps)
Example: MAL</t>
      </text>
    </comment>
    <comment ref="E19" authorId="0" shapeId="0">
      <text>
        <t>insurer_branch_code
Insurer branch
Mandatory: No
Format: Code, up to 20; As stored in legacy
Allowed values: The legacy code; mapped by the code map INSURER_BRANCH (sheet Code maps)
Example: MAL-CEB</t>
      </text>
    </comment>
    <comment ref="F19" authorId="0" shapeId="0">
      <text>
        <t>share_pct
Share in percent
Mandatory: Yes
Format: Decimal, up to 9,4; Dot decimal
Allowed values: A number
Example: 100.0000</t>
      </text>
    </comment>
    <comment ref="G19" authorId="0" shapeId="0">
      <text>
        <t>lead_flag
Lead insurer
Mandatory: Yes
Format: Flag, up to 1; Y or N
Allowed values: Y or N
Example: Y</t>
      </text>
    </comment>
  </commentList>
</comments>
</file>

<file path=xl/comments/comment17.xml><?xml version="1.0" encoding="utf-8"?>
<comments xmlns="http://schemas.openxmlformats.org/spreadsheetml/2006/main">
  <authors>
    <author>iorta TechNXT</author>
  </authors>
  <commentList>
    <comment ref="B19" authorId="0" shapeId="0">
      <text>
        <t>legacy_invoice_no
Invoice number in the source system
Mandatory: Yes
Format: Code, up to 40; EBIX I########
Allowed values: Free entry, up to 40 characters
Example: I00123456</t>
      </text>
    </comment>
    <comment ref="C19" authorId="0" shapeId="0">
      <text>
        <t>invoice_kind
Kind of invoice
Mandatory: Yes
Format: Code, up to 20; Upper case
Allowed values: BOOKING, ENDORSEMENT_PLUS, ENDORSEMENT_MINUS, CANCELLATION (list F01 invoice_kind)
Example: BOOKING</t>
      </text>
    </comment>
    <comment ref="D19" authorId="0" shapeId="0">
      <text>
        <t>parent_invoice_no
Original invoice of an endorsement or cancellation invoice
Mandatory: Conditional: Mandatory for ENDORSEMENT_PLUS, ENDORSEMENT_MINUS and CANCELLATION; parent in the file or loaded
Format: Code, up to 40; As stored in legacy
Allowed values: legacy_invoice_no values
Example: I00119876</t>
      </text>
    </comment>
    <comment ref="E19" authorId="0" shapeId="0">
      <text>
        <t>endorsement_no
Legacy endorsement number
Mandatory: No
Format: Text, up to 40; As stored in legacy
Allowed values: Free entry, up to 40 characters
Example: END-2026-0456</t>
      </text>
    </comment>
    <comment ref="F19" authorId="0" shapeId="0">
      <text>
        <t>legacy_policy_ref
Legacy reference of the policy term
Mandatory: Conditional: Mandatory when P01 is in scope; exists in P01
Format: Code, up to 60; As in P01
Allowed values: legacy_policy_ref of P01
Example: C-2026-004512-01</t>
      </text>
    </comment>
    <comment ref="G19" authorId="0" shapeId="0">
      <text>
        <t>policy_no
Insurer policy number
Mandatory: Yes
Format: Text, up to 60; As issued
Allowed values: Free entry, up to 60 characters
Example: MC-PC-26-0012345</t>
      </text>
    </comment>
    <comment ref="H19" authorId="0" shapeId="0">
      <text>
        <t>policy_year
Year of a multi-year policy
Mandatory: No
Format: Integer, up to 2; Digits
Allowed values: A whole number
Example: 1</t>
      </text>
    </comment>
    <comment ref="I19" authorId="0" shapeId="0">
      <text>
        <t>legacy_client_no
Client number of the assured
Mandatory: Yes
Format: Code, up to 30; As stored in legacy
Allowed values: legacy_client_no of C01
Example: Q-0012345</t>
      </text>
    </comment>
    <comment ref="J19" authorId="0" shapeId="0">
      <text>
        <t>assured_name
Assured name on the invoice
Mandatory: Yes
Format: Text, up to 250; Free text
Allowed values: Free entry, up to 250 characters
Example: Ana C. Reyes</t>
      </text>
    </comment>
    <comment ref="K19" authorId="0" shapeId="0">
      <text>
        <t>payor_name
Payor if not the assured
Mandatory: No
Format: Text, up to 250; Free text
Allowed values: Free entry, up to 250 characters
Example: BDO Unibank - Auto Loans</t>
      </text>
    </comment>
    <comment ref="L19" authorId="0" shapeId="0">
      <text>
        <t>currency
Invoice currency
Mandatory: Yes
Format: Code, up to 3; Upper case
Allowed values: ISO 4217
Example: PHP</t>
      </text>
    </comment>
    <comment ref="M19" authorId="0" shapeId="0">
      <text>
        <t>booking_fx_rate
Exchange rate used at booking (foreign currency)
Mandatory: Conditional: Mandatory when currency is not PHP
Format: Decimal, up to 12,6; Dot decimal
Allowed values: A number
Example: 56.125000</t>
      </text>
    </comment>
    <comment ref="N19" authorId="0" shapeId="0">
      <text>
        <t>booking_date
Legacy booking date
Mandatory: Yes
Format: Date, up to 10; yyyy-MM-dd
Allowed values: Free entry
Example: 2027-03-10</t>
      </text>
    </comment>
    <comment ref="O19" authorId="0" shapeId="0">
      <text>
        <t>invoice_date
Invoice date
Mandatory: Yes
Format: Date, up to 10; yyyy-MM-dd
Allowed values: Free entry
Example: 2027-03-10</t>
      </text>
    </comment>
    <comment ref="P19" authorId="0" shapeId="0">
      <text>
        <t>due_date
Due date
Mandatory: Yes
Format: Date, up to 10; yyyy-MM-dd
Allowed values: Free entry
Example: 2027-04-09</t>
      </text>
    </comment>
    <comment ref="Q19" authorId="0" shapeId="0">
      <text>
        <t>inception_date
Period from
Mandatory: Yes
Format: Date, up to 10; yyyy-MM-dd
Allowed values: Free entry
Example: 2027-03-15</t>
      </text>
    </comment>
    <comment ref="R19" authorId="0" shapeId="0">
      <text>
        <t>expiry_date
Period to
Mandatory: Yes
Format: Date, up to 10; yyyy-MM-dd
Allowed values: Free entry
Example: 2028-03-15</t>
      </text>
    </comment>
    <comment ref="S19" authorId="0" shapeId="0">
      <text>
        <t>risk_code
Product / risk code
Mandatory: Yes
Format: Code, up to 20; As stored in legacy
Allowed values: The legacy code; mapped by the code map PRODUCT (sheet Code maps)
Example: MC-PC-COMP</t>
      </text>
    </comment>
    <comment ref="T19" authorId="0" shapeId="0">
      <text>
        <t>line_code
Line of business
Mandatory: Yes
Format: Code, up to 30; As stored in legacy
Allowed values: The legacy code; mapped by the code map LINE (sheet Code maps)
Example: MOTOR</t>
      </text>
    </comment>
    <comment ref="U19" authorId="0" shapeId="0">
      <text>
        <t>market_segment
Market segment
Mandatory: Yes
Format: Code, up to 40; As stored in legacy
Allowed values: The legacy code; mapped by the code map LOV:MARKET_SEGMENT (sheet Code maps)
Example: CBG</t>
      </text>
    </comment>
    <comment ref="V19" authorId="0" shapeId="0">
      <text>
        <t>ao_user_id
Account officer
Mandatory: Yes
Format: Code, up to 50; As stored in legacy
Allowed values: The legacy code; mapped by the code map USER (sheet Code maps)
Example: mreyes</t>
      </text>
    </comment>
    <comment ref="W19" authorId="0" shapeId="0">
      <text>
        <t>sales_unit_code
Sales team
Mandatory: Yes
Format: Code, up to 20; As stored in legacy
Allowed values: The legacy code; mapped by the code map SALES_UNIT (sheet Code maps)
Example: T-RET-07</t>
      </text>
    </comment>
    <comment ref="X19" authorId="0" shapeId="0">
      <text>
        <t>branch_code
Invoicing branch
Mandatory: Yes
Format: Code, up to 20; As stored in legacy
Allowed values: The legacy code; mapped by the code map BRANCH (sheet Code maps)
Example: MKT01</t>
      </text>
    </comment>
    <comment ref="Y19" authorId="0" shapeId="0">
      <text>
        <t>cost_center
Cost centre
Mandatory: No
Format: Code, up to 20; As stored in legacy
Allowed values: The legacy code; mapped by the code map COST_CENTER (sheet Code maps)
Example: 4100</t>
      </text>
    </comment>
    <comment ref="Z19" authorId="0" shapeId="0">
      <text>
        <t>pn_nos
Loan PN numbers, separated by semicolons
Mandatory: No
Format: Text, up to 500; PN;PN
Allowed values: Free entry, up to 500 characters
Example: PN-2019-000123</t>
      </text>
    </comment>
    <comment ref="AA19" authorId="0" shapeId="0">
      <text>
        <t>gross_premium
Gross premium of the invoice (sum of the six premium components)
Mandatory: Yes
Format: Amount, up to 19,2; Dot decimal, 2 decimals; minus for return invoices
Allowed values: A number
Example: 25946.25</t>
      </text>
    </comment>
    <comment ref="AB19" authorId="0" shapeId="0">
      <text>
        <t>commission
Commission of the invoice
Mandatory: Yes
Format: Amount, up to 19,2; Dot decimal, 2 decimals
Allowed values: A number
Example: 4275.00</t>
      </text>
    </comment>
    <comment ref="AC19" authorId="0" shapeId="0">
      <text>
        <t>vat_on_commission
VAT on commission
Mandatory: Yes
Format: Amount, up to 19,2; Dot decimal, 2 decimals
Allowed values: A number
Example: 513.00</t>
      </text>
    </comment>
    <comment ref="AD19" authorId="0" shapeId="0">
      <text>
        <t>wtax_rate_pct
Withholding tax rate on commission, in percent
Mandatory: Yes
Format: Decimal, up to 9,4; Dot decimal
Allowed values: A number
Example: 10.0000</t>
      </text>
    </comment>
    <comment ref="AE19" authorId="0" shapeId="0">
      <text>
        <t>commission_realised
Commission already realised (recognised as income) in legacy
Mandatory: Yes
Format: Amount, up to 19,2; Dot decimal, 2 decimals
Allowed values: A number
Example: 1710.00</t>
      </text>
    </comment>
    <comment ref="AF19" authorId="0" shapeId="0">
      <text>
        <t>deferred_vat_open
Output VAT on commission still deferred
Mandatory: No
Format: Amount, up to 19,2; Dot decimal, 2 decimals
Allowed values: A number
Example: 307.80</t>
      </text>
    </comment>
    <comment ref="AG19" authorId="0" shapeId="0">
      <text>
        <t>dp_flag
Direct-payment invoice (premium paid to the insurer)
Mandatory: Yes
Format: Flag, up to 1; Y or N
Allowed values: Y or N
Example: N</t>
      </text>
    </comment>
    <comment ref="AH19" authorId="0" shapeId="0">
      <text>
        <t>cwt_flag
Client withholds 2% (BIR 2307)
Mandatory: Yes
Format: Flag, up to 1; Y or N
Allowed values: Y or N
Example: N</t>
      </text>
    </comment>
    <comment ref="AI19" authorId="0" shapeId="0">
      <text>
        <t>incentive_eligible_flag
Counts for incentive programmes
Mandatory: No
Format: Flag, up to 1; Y or N
Allowed values: Y or N
Example: N</t>
      </text>
    </comment>
    <comment ref="AJ19" authorId="0" shapeId="0">
      <text>
        <t>hold_flag
Remittance on hold in legacy
Mandatory: No
Format: Flag, up to 1; Y or N
Allowed values: Y or N
Example: N</t>
      </text>
    </comment>
    <comment ref="AK19" authorId="0" shapeId="0">
      <text>
        <t>legacy_service_invoice_no
Legacy service invoice issued for the commission
Mandatory: No
Format: Text, up to 40; As printed
Allowed values: Free entry, up to 40 characters
Example: SI-000456789</t>
      </text>
    </comment>
    <comment ref="AL19" authorId="0" shapeId="0">
      <text>
        <t>last_payment_date
Date of the last payment applied in legacy
Mandatory: No
Format: Date, up to 10; yyyy-MM-dd
Allowed values: Free entry
Example: 2027-05-02</t>
      </text>
    </comment>
    <comment ref="AM19" authorId="0" shapeId="0">
      <text>
        <t>remarks
Legacy remarks
Mandatory: No
Format: Text, up to 500; Free text
Allowed values: Free entry, up to 500 characters
Example: Balance under dispute</t>
      </text>
    </comment>
  </commentList>
</comments>
</file>

<file path=xl/comments/comment18.xml><?xml version="1.0" encoding="utf-8"?>
<comments xmlns="http://schemas.openxmlformats.org/spreadsheetml/2006/main">
  <authors>
    <author>iorta TechNXT</author>
  </authors>
  <commentList>
    <comment ref="B19" authorId="0" shapeId="0">
      <text>
        <t>legacy_invoice_no
Invoice number in the source system
Mandatory: Yes
Format: Code, up to 40; As in F01
Allowed values: legacy_invoice_no of F01
Example: I00123456</t>
      </text>
    </comment>
    <comment ref="C19" authorId="0" shapeId="0">
      <text>
        <t>component
Premium or settlement component
Mandatory: Yes
Format: Code, up to 20; Upper case
Allowed values: List F01C component: 11 values, see Reference lists
Example: BASIC</t>
      </text>
    </comment>
    <comment ref="D19" authorId="0" shapeId="0">
      <text>
        <t>booked
Amount booked in legacy
Mandatory: Yes
Format: Amount, up to 19,2; Dot decimal, 2 decimals; minus for return invoices
Allowed values: A number
Example: 21375.00</t>
      </text>
    </comment>
    <comment ref="E19" authorId="0" shapeId="0">
      <text>
        <t>adjusted
Net legacy adjustments kept on the same invoice
Mandatory: Yes
Format: Amount, up to 19,2; Dot decimal, 2 decimals
Allowed values: A number
Example: 0.00</t>
      </text>
    </comment>
    <comment ref="F19" authorId="0" shapeId="0">
      <text>
        <t>paid
Paid by the client before cutover (premium components and PR2307)
Mandatory: Yes
Format: Amount, up to 19,2; Dot decimal, 2 decimals
Allowed values: A number
Example: 8550.00</t>
      </text>
    </comment>
    <comment ref="G19" authorId="0" shapeId="0">
      <text>
        <t>remitted
Settled with the insurer before cutover (DTIP, commission, VAT on commission, WTAX)
Mandatory: Yes
Format: Amount, up to 19,2; Dot decimal, 2 decimals
Allowed values: A number
Example: 0.00</t>
      </text>
    </comment>
    <comment ref="H19" authorId="0" shapeId="0">
      <text>
        <t>written_off
Written off or DP-reversed before cutover
Mandatory: Yes
Format: Amount, up to 19,2; Dot decimal, 2 decimals
Allowed values: A number
Example: 0.00</t>
      </text>
    </comment>
    <comment ref="I19" authorId="0" shapeId="0">
      <text>
        <t>open_balance
Open balance at the freeze
Mandatory: Yes
Format: Amount, up to 19,2; Dot decimal, 2 decimals
Allowed values: A number
Example: 12825.00</t>
      </text>
    </comment>
  </commentList>
</comments>
</file>

<file path=xl/comments/comment19.xml><?xml version="1.0" encoding="utf-8"?>
<comments xmlns="http://schemas.openxmlformats.org/spreadsheetml/2006/main">
  <authors>
    <author>iorta TechNXT</author>
  </authors>
  <commentList>
    <comment ref="B19" authorId="0" shapeId="0">
      <text>
        <t>legacy_invoice_no
Invoice number in the source system
Mandatory: Yes
Format: Code, up to 40; As in F01
Allowed values: legacy_invoice_no of F01
Example: I00123456</t>
      </text>
    </comment>
    <comment ref="C19" authorId="0" shapeId="0">
      <text>
        <t>share_seq
Sequence of the insurer
Mandatory: Yes
Format: Integer, up to 2; Digits
Allowed values: A whole number
Example: 1</t>
      </text>
    </comment>
    <comment ref="D19" authorId="0" shapeId="0">
      <text>
        <t>insurer_code
Insurer
Mandatory: Yes
Format: Code, up to 30; As stored in legacy
Allowed values: The legacy code; mapped by the code map INSURER (sheet Code maps)
Example: MAL</t>
      </text>
    </comment>
    <comment ref="E19" authorId="0" shapeId="0">
      <text>
        <t>share_pct
Share in percent
Mandatory: Yes
Format: Decimal, up to 9,4; Dot decimal
Allowed values: A number
Example: 100.0000</t>
      </text>
    </comment>
    <comment ref="F19" authorId="0" shapeId="0">
      <text>
        <t>lead_flag
Lead insurer
Mandatory: Yes
Format: Flag, up to 1; Y or N
Allowed values: Y or N
Example: Y</t>
      </text>
    </comment>
  </commentList>
</comments>
</file>

<file path=xl/comments/comment20.xml><?xml version="1.0" encoding="utf-8"?>
<comments xmlns="http://schemas.openxmlformats.org/spreadsheetml/2006/main">
  <authors>
    <author>iorta TechNXT</author>
  </authors>
  <commentList>
    <comment ref="B19" authorId="0" shapeId="0">
      <text>
        <t>legacy_upp_ref
UPP reference in the source system
Mandatory: Yes
Format: Code, up to 40; As stored in legacy
Allowed values: Free entry, up to 40 characters
Example: UPP-2026-004321</t>
      </text>
    </comment>
    <comment ref="C19" authorId="0" shapeId="0">
      <text>
        <t>legacy_ar_no
Acknowledgment receipt issued in legacy
Mandatory: Yes
Format: Text, up to 40; As printed
Allowed values: Free entry, up to 40 characters
Example: AR-MKT-131002</t>
      </text>
    </comment>
    <comment ref="D19" authorId="0" shapeId="0">
      <text>
        <t>legacy_ar_date
AR date
Mandatory: Yes
Format: Date, up to 10; yyyy-MM-dd
Allowed values: Free entry
Example: 2026-07-14</t>
      </text>
    </comment>
    <comment ref="E19" authorId="0" shapeId="0">
      <text>
        <t>value_date
Value date of the cash
Mandatory: Yes
Format: Date, up to 10; yyyy-MM-dd
Allowed values: Free entry
Example: 2026-07-14</t>
      </text>
    </comment>
    <comment ref="F19" authorId="0" shapeId="0">
      <text>
        <t>channel
Channel of the payment
Mandatory: Yes
Format: Code, up to 20; Upper case
Allowed values: List F02 channel: 7 values, see Reference lists
Example: DIRECT_CREDIT</t>
      </text>
    </comment>
    <comment ref="G19" authorId="0" shapeId="0">
      <text>
        <t>payor_name
Payor
Mandatory: Yes
Format: Text, up to 250; Free text
Allowed values: Free entry, up to 250 characters
Example: Ana C. Reyes</t>
      </text>
    </comment>
    <comment ref="H19" authorId="0" shapeId="0">
      <text>
        <t>legacy_client_no
Client if identified
Mandatory: No
Format: Code, up to 30; As stored in legacy
Allowed values: legacy_client_no of C01
Example: Q-0012345</t>
      </text>
    </comment>
    <comment ref="I19" authorId="0" shapeId="0">
      <text>
        <t>currency
Currency
Mandatory: Yes
Format: Code, up to 3; Upper case
Allowed values: ISO 4217
Example: PHP</t>
      </text>
    </comment>
    <comment ref="J19" authorId="0" shapeId="0">
      <text>
        <t>amount
Amount received
Mandatory: Yes
Format: Amount, up to 19,2; Dot decimal, 2 decimals
Allowed values: A number
Example: 5000.00</t>
      </text>
    </comment>
    <comment ref="K19" authorId="0" shapeId="0">
      <text>
        <t>balance
Unapplied balance at the freeze
Mandatory: Yes
Format: Amount, up to 19,2; Dot decimal, 2 decimals
Allowed values: A number
Example: 5000.00</t>
      </text>
    </comment>
    <comment ref="L19" authorId="0" shapeId="0">
      <text>
        <t>sales_unit_code
Sales unit
Mandatory: No
Format: Code, up to 20; As stored in legacy
Allowed values: The legacy code; mapped by the code map SALES_UNIT (sheet Code maps)
Example: T-RET-07</t>
      </text>
    </comment>
    <comment ref="M19" authorId="0" shapeId="0">
      <text>
        <t>branch_code
Branch that received the cash
Mandatory: Yes
Format: Code, up to 20; As stored in legacy
Allowed values: The legacy code; mapped by the code map BRANCH (sheet Code maps)
Example: MKT01</t>
      </text>
    </comment>
    <comment ref="N19" authorId="0" shapeId="0">
      <text>
        <t>ref_invoice_nos
Invoice numbers the payor quoted, separated by semicolons
Mandatory: No
Format: Text, up to 400; NO;NO
Allowed values: Free entry, up to 400 characters
Example: I00123456</t>
      </text>
    </comment>
    <comment ref="O19" authorId="0" shapeId="0">
      <text>
        <t>ref_cover_nos
Cover or policy numbers quoted
Mandatory: No
Format: Text, up to 400; NO;NO
Allowed values: Free entry, up to 400 characters
Example: C-2026-004512</t>
      </text>
    </comment>
    <comment ref="P19" authorId="0" shapeId="0">
      <text>
        <t>ref_pn_nos
PN numbers quoted
Mandatory: No
Format: Text, up to 400; PN;PN
Allowed values: Free entry, up to 400 characters
Example: PN-2019-000123</t>
      </text>
    </comment>
    <comment ref="Q19" authorId="0" shapeId="0">
      <text>
        <t>ref_bank_reference
Bank or payment file reference
Mandatory: No
Format: Text, up to 80; As in the payment file
Allowed values: Free entry, up to 80 characters
Example: DC20260714-000981</t>
      </text>
    </comment>
    <comment ref="R19" authorId="0" shapeId="0">
      <text>
        <t>legacy_status
UPP status in legacy
Mandatory: Yes
Format: Code, up to 30; As stored in legacy
Allowed values: The legacy code; mapped by the code map STATUS:UPP (sheet Code maps)
Example: FOR_MONITORING</t>
      </text>
    </comment>
    <comment ref="S19" authorId="0" shapeId="0">
      <text>
        <t>disposition_type
Disposition in progress in legacy
Mandatory: No
Format: Code, up to 40; As stored in legacy
Allowed values: The legacy code; mapped by the code map DISPOSITION_TYPE (sheet Code maps)
Example: REFUND</t>
      </text>
    </comment>
    <comment ref="T19" authorId="0" shapeId="0">
      <text>
        <t>disposition_status
Status of the disposition
Mandatory: Conditional: Mandatory when disposition_type is given
Format: Code, up to 20; Upper case
Allowed values: MONITORING, FOR_APPROVAL, IN_PROCESS (list F02 disposition_status)
Example: FOR_APPROVAL</t>
      </text>
    </comment>
    <comment ref="U19" authorId="0" shapeId="0">
      <text>
        <t>disposition_details
Details (target invoice, refund payee, amount)
Mandatory: No
Format: Text, up to 500; Free text
Allowed values: Free entry, up to 500 characters
Example: Refund to CTA 001234567890</t>
      </text>
    </comment>
    <comment ref="V19" authorId="0" shapeId="0">
      <text>
        <t>remarks
Legacy remarks
Mandatory: No
Format: Text, up to 250; Free text
Allowed values: Free entry, up to 250 characters
Example: Client to confirm invoice</t>
      </text>
    </comment>
  </commentList>
</comments>
</file>

<file path=xl/comments/comment21.xml><?xml version="1.0" encoding="utf-8"?>
<comments xmlns="http://schemas.openxmlformats.org/spreadsheetml/2006/main">
  <authors>
    <author>iorta TechNXT</author>
  </authors>
  <commentList>
    <comment ref="B19" authorId="0" shapeId="0">
      <text>
        <t>legacy_invoice_no
Invoice the follow-up belongs to
Mandatory: Yes
Format: Code, up to 40; As in F01
Allowed values: legacy_invoice_no of F01
Example: I00123456</t>
      </text>
    </comment>
    <comment ref="C19" authorId="0" shapeId="0">
      <text>
        <t>record_type
Kind of row
Mandatory: Yes
Format: Code, up to 12; Upper case
Allowed values: DISPOSITION, PROMISE, INSTALLMENT, ASSIGNMENT (list F03 record_type)
Example: PROMISE</t>
      </text>
    </comment>
    <comment ref="D19" authorId="0" shapeId="0">
      <text>
        <t>seq_no
Sequence within the invoice and record type
Mandatory: Yes
Format: Integer, up to 3; Digits
Allowed values: A whole number
Example: 1</t>
      </text>
    </comment>
    <comment ref="E19" authorId="0" shapeId="0">
      <text>
        <t>disposition_code
Latest disposition
Mandatory: Conditional: Mandatory for DISPOSITION; mapped
Format: Code, up to 40; As stored in legacy
Allowed values: The legacy code; mapped by the code map DISPOSITION_CLX (sheet Code maps)
Example: PTP</t>
      </text>
    </comment>
    <comment ref="F19" authorId="0" shapeId="0">
      <text>
        <t>disposition_date
Date of the disposition
Mandatory: Conditional: Mandatory for DISPOSITION
Format: Date, up to 10; yyyy-MM-dd
Allowed values: Free entry
Example: 2027-12-20</t>
      </text>
    </comment>
    <comment ref="G19" authorId="0" shapeId="0">
      <text>
        <t>promise_date
Promised payment date
Mandatory: Conditional: Mandatory for PROMISE
Format: Date, up to 10; yyyy-MM-dd
Allowed values: Free entry
Example: 2028-01-14</t>
      </text>
    </comment>
    <comment ref="H19" authorId="0" shapeId="0">
      <text>
        <t>promise_amount
Promised amount
Mandatory: Conditional: Mandatory for PROMISE; at most the open PR
Format: Amount, up to 19,2; Dot decimal, 2 decimals
Allowed values: A number
Example: 6000.00</t>
      </text>
    </comment>
    <comment ref="I19" authorId="0" shapeId="0">
      <text>
        <t>installment_no
Installment number
Mandatory: Conditional: Mandatory for INSTALLMENT
Format: Integer, up to 3; Digits
Allowed values: A whole number
Example: 2</t>
      </text>
    </comment>
    <comment ref="J19" authorId="0" shapeId="0">
      <text>
        <t>installment_due
Installment due date
Mandatory: Conditional: Mandatory for INSTALLMENT
Format: Date, up to 10; yyyy-MM-dd
Allowed values: Free entry
Example: 2028-01-15</t>
      </text>
    </comment>
    <comment ref="K19" authorId="0" shapeId="0">
      <text>
        <t>installment_amount
Installment amount
Mandatory: Conditional: Mandatory for INSTALLMENT
Format: Amount, up to 19,2; Dot decimal, 2 decimals
Allowed values: A number
Example: 3000.00</t>
      </text>
    </comment>
    <comment ref="L19" authorId="0" shapeId="0">
      <text>
        <t>collector_user_id
Assigned collector
Mandatory: Conditional: Mandatory for ASSIGNMENT; mapped
Format: Code, up to 50; As stored in legacy
Allowed values: The legacy code; mapped by the code map USER (sheet Code maps)
Example: jgarcia</t>
      </text>
    </comment>
    <comment ref="M19" authorId="0" shapeId="0">
      <text>
        <t>remarks
Collector remarks
Mandatory: No
Format: Text, up to 500; Free text
Allowed values: Free entry, up to 500 characters
Example: Client will pay after salary</t>
      </text>
    </comment>
  </commentList>
</comments>
</file>

<file path=xl/comments/comment22.xml><?xml version="1.0" encoding="utf-8"?>
<comments xmlns="http://schemas.openxmlformats.org/spreadsheetml/2006/main">
  <authors>
    <author>iorta TechNXT</author>
  </authors>
  <commentList>
    <comment ref="B19" authorId="0" shapeId="0">
      <text>
        <t>record_type
Kind of row
Mandatory: Yes
Format: Code, up to 10; Upper case
Allowed values: HOLD, SPECIAL, BATCH (list F04 record_type)
Example: HOLD</t>
      </text>
    </comment>
    <comment ref="C19" authorId="0" shapeId="0">
      <text>
        <t>legacy_batch_no
Legacy remittance batch number (BATCH, SPECIAL)
Mandatory: Conditional: Mandatory for BATCH and SPECIAL
Format: Text, up to 40; As stored in legacy
Allowed values: Free entry, up to 40 characters
Example: RB-2026-0877</t>
      </text>
    </comment>
    <comment ref="D19" authorId="0" shapeId="0">
      <text>
        <t>insurer_code
Insurer
Mandatory: Yes
Format: Code, up to 30; As stored in legacy
Allowed values: The legacy code; mapped by the code map INSURER (sheet Code maps)
Example: MAL</t>
      </text>
    </comment>
    <comment ref="E19" authorId="0" shapeId="0">
      <text>
        <t>legacy_invoice_no
Invoice of the line
Mandatory: Yes
Format: Code, up to 40; As in F01
Allowed values: legacy_invoice_no of F01
Example: I00123456</t>
      </text>
    </comment>
    <comment ref="F19" authorId="0" shapeId="0">
      <text>
        <t>currency
Currency
Mandatory: Yes
Format: Code, up to 3; Upper case
Allowed values: ISO 4217
Example: PHP</t>
      </text>
    </comment>
    <comment ref="G19" authorId="0" shapeId="0">
      <text>
        <t>amount
Amount held or to remit
Mandatory: Yes
Format: Amount, up to 19,2; Dot decimal, 2 decimals
Allowed values: A number
Example: 21671.25</t>
      </text>
    </comment>
    <comment ref="H19" authorId="0" shapeId="0">
      <text>
        <t>status
Status in legacy
Mandatory: Yes
Format: Code, up to 30; As stored in legacy
Allowed values: The legacy code; mapped by the code map STATUS:REMITTANCE (sheet Code maps)
Example: ON_HOLD</t>
      </text>
    </comment>
    <comment ref="I19" authorId="0" shapeId="0">
      <text>
        <t>hold_reason
Reason of the hold
Mandatory: Conditional: Mandatory for HOLD
Format: Text, up to 250; Free text
Allowed values: Free entry, up to 250 characters
Example: Pending negative endorsement</t>
      </text>
    </comment>
    <comment ref="J19" authorId="0" shapeId="0">
      <text>
        <t>hold_until
End of the hold
Mandatory: No
Format: Date, up to 10; yyyy-MM-dd
Allowed values: Free entry
Example: 2028-01-31</t>
      </text>
    </comment>
    <comment ref="K19" authorId="0" shapeId="0">
      <text>
        <t>requested_by_user_id
Requester
Mandatory: No
Format: Code, up to 50; As stored in legacy
Allowed values: The legacy code; mapped by the code map USER (sheet Code maps)
Example: rtan</t>
      </text>
    </comment>
  </commentList>
</comments>
</file>

<file path=xl/comments/comment23.xml><?xml version="1.0" encoding="utf-8"?>
<comments xmlns="http://schemas.openxmlformats.org/spreadsheetml/2006/main">
  <authors>
    <author>iorta TechNXT</author>
  </authors>
  <commentList>
    <comment ref="B19" authorId="0" shapeId="0">
      <text>
        <t>record_type
Kind of item
Mandatory: Yes
Format: Code, up to 10; Upper case
Allowed values: PDC, PICKUP, REFUND (list F06 record_type)
Example: PDC</t>
      </text>
    </comment>
    <comment ref="C19" authorId="0" shapeId="0">
      <text>
        <t>reference
Legacy reference of the item
Mandatory: Yes
Format: Text, up to 80; As stored in legacy
Allowed values: Free entry, up to 80 characters
Example: PDC-2026-000345</t>
      </text>
    </comment>
    <comment ref="D19" authorId="0" shapeId="0">
      <text>
        <t>warehouse_no
PDC warehouse number
Mandatory: Conditional: Mandatory for PDC
Format: Text, up to 30; As stored in legacy
Allowed values: Free entry, up to 30 characters
Example: WH-02</t>
      </text>
    </comment>
    <comment ref="E19" authorId="0" shapeId="0">
      <text>
        <t>check_no
Check number
Mandatory: Conditional: Mandatory for PDC and PICKUP
Format: Text, up to 40; Digits
Allowed values: Free entry, up to 40 characters
Example: 0004567</t>
      </text>
    </comment>
    <comment ref="F19" authorId="0" shapeId="0">
      <text>
        <t>bank_code
Drawee bank
Mandatory: Conditional: Mandatory for PDC; mapped
Format: Code, up to 30; As stored in legacy
Allowed values: The legacy code; mapped by the code map BANK (sheet Code maps)
Example: BPI</t>
      </text>
    </comment>
    <comment ref="G19" authorId="0" shapeId="0">
      <text>
        <t>check_branch
Drawee branch
Mandatory: No
Format: Text, up to 60; Free text
Allowed values: Free entry, up to 60 characters
Example: BPI Ortigas</t>
      </text>
    </comment>
    <comment ref="H19" authorId="0" shapeId="0">
      <text>
        <t>check_date
Check date or maturity date
Mandatory: Conditional: Mandatory for PDC
Format: Date, up to 10; yyyy-MM-dd
Allowed values: Free entry
Example: 2028-01-15</t>
      </text>
    </comment>
    <comment ref="I19" authorId="0" shapeId="0">
      <text>
        <t>currency
Currency
Mandatory: Yes
Format: Code, up to 3; Upper case
Allowed values: ISO 4217
Example: PHP</t>
      </text>
    </comment>
    <comment ref="J19" authorId="0" shapeId="0">
      <text>
        <t>amount
Amount
Mandatory: Yes
Format: Amount, up to 19,2; Dot decimal, 2 decimals
Allowed values: A number
Example: 6000.00</t>
      </text>
    </comment>
    <comment ref="K19" authorId="0" shapeId="0">
      <text>
        <t>legacy_client_no
Client
Mandatory: No
Format: Code, up to 30; As stored in legacy
Allowed values: legacy_client_no of C01
Example: Q-0012345</t>
      </text>
    </comment>
    <comment ref="L19" authorId="0" shapeId="0">
      <text>
        <t>payor_name
Payor
Mandatory: Yes
Format: Text, up to 250; Free text
Allowed values: Free entry, up to 250 characters
Example: Ana C. Reyes</t>
      </text>
    </comment>
    <comment ref="M19" authorId="0" shapeId="0">
      <text>
        <t>legacy_invoice_no
Invoice the item pays or refunds
Mandatory: No
Format: Code, up to 40; As in F01
Allowed values: legacy_invoice_no of F01
Example: I00123456</t>
      </text>
    </comment>
    <comment ref="N19" authorId="0" shapeId="0">
      <text>
        <t>status
Status in legacy
Mandatory: Yes
Format: Code, up to 20; As stored in legacy
Allowed values: The legacy code; mapped by the code map STATUS:PDC (sheet Code maps)
Example: WAREHOUSED</t>
      </text>
    </comment>
    <comment ref="O19" authorId="0" shapeId="0">
      <text>
        <t>remarks
Remarks
Mandatory: No
Format: Text, up to 250; Free text
Allowed values: Free entry, up to 250 characters
Example: Replacement check expected</t>
      </text>
    </comment>
  </commentList>
</comments>
</file>

<file path=xl/comments/comment24.xml><?xml version="1.0" encoding="utf-8"?>
<comments xmlns="http://schemas.openxmlformats.org/spreadsheetml/2006/main">
  <authors>
    <author>iorta TechNXT</author>
  </authors>
  <commentList>
    <comment ref="B19" authorId="0" shapeId="0">
      <text>
        <t>tb_version
Version of the trial balance - PROVISIONAL at cut-over (preliminary December TB), then TU1, TU2... and FINAL (audited) at the true-ups
Mandatory: Yes
Format: Code, up to 12; Upper case
Allowed values: PROVISIONAL, TU1, TU2, TU3, FINAL (list G01 tb_version)
Example: PROVISIONAL</t>
      </text>
    </comment>
    <comment ref="C19" authorId="0" shapeId="0">
      <text>
        <t>as_of_date
Trial balance date - 31-Dec-2027 for every version; the version says which adjustments it includes
Mandatory: Yes
Format: Date, up to 10; yyyy-MM-dd
Allowed values: Free entry
Example: 2027-12-31</t>
      </text>
    </comment>
    <comment ref="D19" authorId="0" shapeId="0">
      <text>
        <t>branch_code
Branch
Mandatory: Yes
Format: Code, up to 20; As stored in legacy
Allowed values: The legacy code; mapped by the code map BRANCH (sheet Code maps)
Example: MKT01</t>
      </text>
    </comment>
    <comment ref="E19" authorId="0" shapeId="0">
      <text>
        <t>currency
Account currency
Mandatory: Yes
Format: Code, up to 3; Upper case
Allowed values: ISO 4217
Example: USD</t>
      </text>
    </comment>
    <comment ref="F19" authorId="0" shapeId="0">
      <text>
        <t>legacy_account_code
Legacy account
Mandatory: Yes
Format: Code, up to 30; As stored in legacy
Allowed values: The legacy code; mapped by the code map GL_ACCOUNT (sheet Code maps)
Example: 1101-02</t>
      </text>
    </comment>
    <comment ref="G19" authorId="0" shapeId="0">
      <text>
        <t>cost_center
Cost centre
Mandatory: No
Format: Code, up to 20; As stored in legacy
Allowed values: The legacy code; mapped by the code map COST_CENTER (sheet Code maps)
Example: 4100</t>
      </text>
    </comment>
    <comment ref="H19" authorId="0" shapeId="0">
      <text>
        <t>debit_fc
Debit balance in the account currency
Mandatory: Yes
Format: Amount, up to 19,2; Dot decimal, 2 decimals
Allowed values: A number
Example: 12500.00</t>
      </text>
    </comment>
    <comment ref="I19" authorId="0" shapeId="0">
      <text>
        <t>credit_fc
Credit balance in the account currency
Mandatory: Yes
Format: Amount, up to 19,2; Dot decimal, 2 decimals
Allowed values: A number
Example: 0.00</t>
      </text>
    </comment>
    <comment ref="J19" authorId="0" shapeId="0">
      <text>
        <t>debit_php
Debit balance in PHP
Mandatory: Yes
Format: Amount, up to 19,2; Dot decimal, 2 decimals
Allowed values: A number
Example: 701562.50</t>
      </text>
    </comment>
    <comment ref="K19" authorId="0" shapeId="0">
      <text>
        <t>credit_php
Credit balance in PHP
Mandatory: Yes
Format: Amount, up to 19,2; Dot decimal, 2 decimals
Allowed values: A number
Example: 0.00</t>
      </text>
    </comment>
    <comment ref="L19" authorId="0" shapeId="0">
      <text>
        <t>fx_rate
Rate used for the PHP amount
Mandatory: Conditional: Mandatory when currency is not PHP
Format: Decimal, up to 12,6; Dot decimal
Allowed values: A number
Example: 56.125000</t>
      </text>
    </comment>
  </commentList>
</comments>
</file>

<file path=xl/comments/comment25.xml><?xml version="1.0" encoding="utf-8"?>
<comments xmlns="http://schemas.openxmlformats.org/spreadsheetml/2006/main">
  <authors>
    <author>iorta TechNXT</author>
  </authors>
  <commentList>
    <comment ref="B19" authorId="0" shapeId="0">
      <text>
        <t>legacy_policy_ref
Legacy reference of the expiring policy term
Mandatory: Yes
Format: Code, up to 60; As in P01
Allowed values: legacy_policy_ref of P01
Example: C-2027-004512-01</t>
      </text>
    </comment>
    <comment ref="C19" authorId="0" shapeId="0">
      <text>
        <t>cover_no
Legacy cover number of the expiring term
Mandatory: Yes
Format: Text, up to 40; As stored in legacy
Allowed values: Free entry, up to 40 characters
Example: C-2027-004512</t>
      </text>
    </comment>
    <comment ref="D19" authorId="0" shapeId="0">
      <text>
        <t>expiry_date
Expiry of the expiring term
Mandatory: Yes
Format: Date, up to 10; yyyy-MM-dd
Allowed values: Free entry
Example: 2028-01-15</t>
      </text>
    </comment>
    <comment ref="E19" authorId="0" shapeId="0">
      <text>
        <t>ra_sent_date
Date the RA was sent
Mandatory: Yes
Format: Date, up to 10; yyyy-MM-dd
Allowed values: Free entry
Example: 2027-11-16</t>
      </text>
    </comment>
    <comment ref="F19" authorId="0" shapeId="0">
      <text>
        <t>ra_ref
RA reference, if the tracker gives one
Mandatory: No
Format: Text, up to 30; As in the tracker
Allowed values: Free entry, up to 30 characters
Example: RA-2027-018833</t>
      </text>
    </comment>
    <comment ref="G19" authorId="0" shapeId="0">
      <text>
        <t>ra_channel
How the RA was sent
Mandatory: Yes
Format: Code, up to 10; Upper case
Allowed values: EMAIL, COURIER, HAND, OTHER (list P03 ra_channel)
Example: EMAIL</t>
      </text>
    </comment>
    <comment ref="H19" authorId="0" shapeId="0">
      <text>
        <t>sent_to
Recipient (client name or e-mail address)
Mandatory: No
Format: Text, up to 250; Free text
Allowed values: Free entry, up to 250 characters
Example: ana.reyes@example.com</t>
      </text>
    </comment>
    <comment ref="I19" authorId="0" shapeId="0">
      <text>
        <t>proposed_insurer_code
Insurer quoted on the RA
Mandatory: No
Format: Code, up to 30; As stored in legacy
Allowed values: The legacy code; mapped by the code map INSURER (sheet Code maps)
Example: MAL</t>
      </text>
    </comment>
    <comment ref="J19" authorId="0" shapeId="0">
      <text>
        <t>currency
Currency of the quoted premium
Mandatory: Conditional: Mandatory with proposed_premium
Format: Code, up to 3; Upper case
Allowed values: ISO 4217
Example: PHP</t>
      </text>
    </comment>
    <comment ref="K19" authorId="0" shapeId="0">
      <text>
        <t>proposed_premium
Gross premium quoted on the RA
Mandatory: No
Format: Amount, up to 19,2; Dot decimal, 2 decimals
Allowed values: A number
Example: 24650.00</t>
      </text>
    </comment>
    <comment ref="L19" authorId="0" shapeId="0">
      <text>
        <t>sent_by_user_id
Renewal processor who sent the RA
Mandatory: No
Format: Code, up to 50; As stored in legacy
Allowed values: The legacy code; mapped by the code map USER (sheet Code maps)
Example: mreyes</t>
      </text>
    </comment>
    <comment ref="M19" authorId="0" shapeId="0">
      <text>
        <t>tracker_name
Tracker file and sheet the row comes from
Mandatory: Yes
Format: Text, up to 120; File / sheet
Allowed values: Free entry, up to 120 characters
Example: Retail RA tracker Jan-2028 / MKT01</t>
      </text>
    </comment>
    <comment ref="N19" authorId="0" shapeId="0">
      <text>
        <t>remarks
Remarks of the processor
Mandatory: No
Format: Text, up to 500; Free text
Allowed values: Free entry, up to 500 characters
Example: Client asked for a quote with higher SI</t>
      </text>
    </comment>
  </commentList>
</comments>
</file>

<file path=xl/comments/comment26.xml><?xml version="1.0" encoding="utf-8"?>
<comments xmlns="http://schemas.openxmlformats.org/spreadsheetml/2006/main">
  <authors>
    <author>iorta TechNXT</author>
  </authors>
  <commentList>
    <comment ref="B19" authorId="0" shapeId="0">
      <text>
        <t>record_type
Kind of record
Mandatory: Yes
Format: Code, up to 20; Upper case
Allowed values: List H01 record_type: 11 values, see Reference lists
Example: INVOICE</t>
      </text>
    </comment>
    <comment ref="C19" authorId="0" shapeId="0">
      <text>
        <t>legacy_key
Unique key of the record in the source
Mandatory: Yes
Format: Code, up to 80; As stored in legacy
Allowed values: Free entry, up to 80 characters
Example: I00098765</t>
      </text>
    </comment>
    <comment ref="D19" authorId="0" shapeId="0">
      <text>
        <t>legacy_client_no
Client number
Mandatory: No
Format: Code, up to 30; As stored in legacy
Allowed values: Free entry, up to 30 characters
Example: Q-0012345</t>
      </text>
    </comment>
    <comment ref="E19" authorId="0" shapeId="0">
      <text>
        <t>client_name
Client name
Mandatory: No
Format: Text, up to 250; Free text
Allowed values: Free entry, up to 250 characters
Example: Ana C. Reyes</t>
      </text>
    </comment>
    <comment ref="F19" authorId="0" shapeId="0">
      <text>
        <t>policy_no
Policy or cover number
Mandatory: No
Format: Text, up to 60; As stored in legacy
Allowed values: Free entry, up to 60 characters
Example: MC-PC-22-0004567</t>
      </text>
    </comment>
    <comment ref="G19" authorId="0" shapeId="0">
      <text>
        <t>invoice_no
Invoice number
Mandatory: No
Format: Text, up to 40; As stored in legacy
Allowed values: Free entry, up to 40 characters
Example: I00098765</t>
      </text>
    </comment>
    <comment ref="H19" authorId="0" shapeId="0">
      <text>
        <t>receipt_no
AR or OR number
Mandatory: No
Format: Text, up to 40; As printed
Allowed values: Free entry, up to 40 characters
Example: AR-MKT-098001</t>
      </text>
    </comment>
    <comment ref="I19" authorId="0" shapeId="0">
      <text>
        <t>claim_no
Claim number
Mandatory: No
Format: Text, up to 40; As stored in legacy
Allowed values: Free entry, up to 40 characters
Example: CL-2023-000456</t>
      </text>
    </comment>
    <comment ref="J19" authorId="0" shapeId="0">
      <text>
        <t>document_date
Date of the record
Mandatory: Yes
Format: Date, up to 10; yyyy-MM-dd
Allowed values: Free entry
Example: 2022-05-10</t>
      </text>
    </comment>
    <comment ref="K19" authorId="0" shapeId="0">
      <text>
        <t>period_from
Period from
Mandatory: No
Format: Date, up to 10; yyyy-MM-dd
Allowed values: Free entry
Example: 2022-05-15</t>
      </text>
    </comment>
    <comment ref="L19" authorId="0" shapeId="0">
      <text>
        <t>period_to
Period to
Mandatory: No
Format: Date, up to 10; yyyy-MM-dd
Allowed values: Free entry
Example: 2023-05-15</t>
      </text>
    </comment>
    <comment ref="M19" authorId="0" shapeId="0">
      <text>
        <t>currency
Currency
Mandatory: No
Format: Code, up to 3; Upper case
Allowed values: ISO 4217
Example: PHP</t>
      </text>
    </comment>
    <comment ref="N19" authorId="0" shapeId="0">
      <text>
        <t>amount
Main amount of the record
Mandatory: No
Format: Amount, up to 19,2; Dot decimal, 2 decimals
Allowed values: A number
Example: 18450.00</t>
      </text>
    </comment>
    <comment ref="O19" authorId="0" shapeId="0">
      <text>
        <t>status
Status in legacy
Mandatory: No
Format: Text, up to 40; As stored in legacy
Allowed values: Free entry, up to 40 characters
Example: PAID_REMITTED</t>
      </text>
    </comment>
    <comment ref="P19" authorId="0" shapeId="0">
      <text>
        <t>detail_json
Other legacy fields of the record, each as a label and its value
Mandatory: No
Format: Text, up to 20000; Label: value pairs separated by ;
Allowed values: Free entry, up to 20000 characters
Example: Insurer: MAL; Remitted on: 01-Jul-2022</t>
      </text>
    </comment>
  </commentList>
</comments>
</file>

<file path=xl/comments/comment27.xml><?xml version="1.0" encoding="utf-8"?>
<comments xmlns="http://schemas.openxmlformats.org/spreadsheetml/2006/main">
  <authors>
    <author>iorta TechNXT</author>
  </authors>
  <commentList>
    <comment ref="B19" authorId="0" shapeId="0">
      <text>
        <t>record_type
Kind of the archive record the document belongs to
Mandatory: Yes
Format: Code, up to 20; Upper case
Allowed values: Same list as H01 record_type
Example: CLIENT</t>
      </text>
    </comment>
    <comment ref="C19" authorId="0" shapeId="0">
      <text>
        <t>legacy_key
Key of the archive record (or legacy_client_no for KYC documents)
Mandatory: Yes
Format: Code, up to 80; As in H01
Allowed values: legacy_key of H01
Example: Q-0012345</t>
      </text>
    </comment>
    <comment ref="D19" authorId="0" shapeId="0">
      <text>
        <t>document_type
Kind of document
Mandatory: Yes
Format: Code, up to 40; As stored in legacy
Allowed values: The legacy code; mapped by the code map DOCUMENT_TYPE (sheet Code maps)
Example: KYC_ID</t>
      </text>
    </comment>
    <comment ref="E19" authorId="0" shapeId="0">
      <text>
        <t>document_no
Document number (ID number, policy number)
Mandatory: No
Format: Text, up to 60; As printed
Allowed values: Free entry, up to 60 characters
Example: P1234567A</t>
      </text>
    </comment>
    <comment ref="F19" authorId="0" shapeId="0">
      <text>
        <t>document_date
Date of the document
Mandatory: No
Format: Date, up to 10; yyyy-MM-dd
Allowed values: Free entry
Example: 2021-07-02</t>
      </text>
    </comment>
    <comment ref="G19" authorId="0" shapeId="0">
      <text>
        <t>file_name
File name in the transfer folder
Mandatory: Yes
Format: Text, up to 255; name.ext
Allowed values: Free entry, up to 255 characters
Example: Q-0012345_KYC_ID_1.pdf</t>
      </text>
    </comment>
    <comment ref="H19" authorId="0" shapeId="0">
      <text>
        <t>file_size_bytes
File size
Mandatory: Yes
Format: Integer, up to 12; Digits
Allowed values: A whole number
Example: 245760</t>
      </text>
    </comment>
    <comment ref="I19" authorId="0" shapeId="0">
      <text>
        <t>sha256
SHA-256 of the file, 64 hexadecimal characters
Mandatory: Yes
Format: Text, up to 64; Lower-case hex
Allowed values: Free entry, up to 64 characters
Example: 9f86d081884c7d659a2feaa0c55ad015a3bf4f1b2b0b822cd15d6c15b0f00a08</t>
      </text>
    </comment>
  </commentList>
</comments>
</file>

<file path=xl/comments/comment28.xml><?xml version="1.0" encoding="utf-8"?>
<comments xmlns="http://schemas.openxmlformats.org/spreadsheetml/2006/main">
  <authors>
    <author>iorta TechNXT</author>
  </authors>
  <commentList>
    <comment ref="B19" authorId="0" shapeId="0">
      <text>
        <t>trueup_no
True-up number - 1 after the legacy year-end close, 2 and 3 for interim true-ups, F for the final one after the audited FS
Mandatory: Yes
Format: Code, up to 2; As listed
Allowed values: 1, 2, 3, F (list G03 trueup_no)
Example: 1</t>
      </text>
    </comment>
    <comment ref="C19" authorId="0" shapeId="0">
      <text>
        <t>legacy_journal_no
Legacy journal voucher number
Mandatory: Yes
Format: Code, up to 30; As stored in legacy
Allowed values: Free entry, up to 30 characters
Example: JV-2027-12-0457</t>
      </text>
    </comment>
    <comment ref="D19" authorId="0" shapeId="0">
      <text>
        <t>line_no
Line of the legacy journal
Mandatory: Yes
Format: Integer, up to 4; Digits
Allowed values: A whole number
Example: 1</t>
      </text>
    </comment>
    <comment ref="E19" authorId="0" shapeId="0">
      <text>
        <t>legacy_journal_date
Value date of the legacy journal
Mandatory: Yes
Format: Date, up to 10; yyyy-MM-dd
Allowed values: Free entry
Example: 2027-12-31</t>
      </text>
    </comment>
    <comment ref="F19" authorId="0" shapeId="0">
      <text>
        <t>posted_at
When the journal was posted in legacy
Mandatory: Yes
Format: Timestamp, up to 19; yyyy-MM-dd HH:mm:ss
Allowed values: Free entry
Example: 2028-01-14 10:22:05</t>
      </text>
    </comment>
    <comment ref="G19" authorId="0" shapeId="0">
      <text>
        <t>adjustment_kind
Year-end closing or audit adjustment
Mandatory: Yes
Format: Code, up to 8; Upper case
Allowed values: CLOSING, AUDIT (list G03 adjustment_kind)
Example: CLOSING</t>
      </text>
    </comment>
    <comment ref="H19" authorId="0" shapeId="0">
      <text>
        <t>register_ref
Reference of the journal in the FY2027 adjustment register
Mandatory: Yes
Format: Text, up to 20; As in the register
Allowed values: Free entry, up to 20 characters
Example: ADJ-2027-014</t>
      </text>
    </comment>
    <comment ref="I19" authorId="0" shapeId="0">
      <text>
        <t>branch_code
Branch
Mandatory: Yes
Format: Code, up to 20; As stored in legacy
Allowed values: The legacy code; mapped by the code map BRANCH (sheet Code maps)
Example: MKT01</t>
      </text>
    </comment>
    <comment ref="J19" authorId="0" shapeId="0">
      <text>
        <t>currency
Account currency
Mandatory: Yes
Format: Code, up to 3; Upper case
Allowed values: ISO 4217
Example: PHP</t>
      </text>
    </comment>
    <comment ref="K19" authorId="0" shapeId="0">
      <text>
        <t>legacy_account_code
Legacy account
Mandatory: Yes
Format: Code, up to 30; As stored in legacy
Allowed values: The legacy code; mapped by the code map GL_ACCOUNT (sheet Code maps)
Example: 5120-01</t>
      </text>
    </comment>
    <comment ref="L19" authorId="0" shapeId="0">
      <text>
        <t>cost_center
Cost centre
Mandatory: No
Format: Code, up to 20; As stored in legacy
Allowed values: The legacy code; mapped by the code map COST_CENTER (sheet Code maps)
Example: 4100</t>
      </text>
    </comment>
    <comment ref="M19" authorId="0" shapeId="0">
      <text>
        <t>debit_fc
Debit in the account currency
Mandatory: Yes
Format: Amount, up to 19,2; Dot decimal, 2 decimals
Allowed values: A number
Example: 80000.00</t>
      </text>
    </comment>
    <comment ref="N19" authorId="0" shapeId="0">
      <text>
        <t>credit_fc
Credit in the account currency
Mandatory: Yes
Format: Amount, up to 19,2; Dot decimal, 2 decimals
Allowed values: A number
Example: 0.00</t>
      </text>
    </comment>
    <comment ref="O19" authorId="0" shapeId="0">
      <text>
        <t>debit_php
Debit in PHP
Mandatory: Yes
Format: Amount, up to 19,2; Dot decimal, 2 decimals
Allowed values: A number
Example: 80000.00</t>
      </text>
    </comment>
    <comment ref="P19" authorId="0" shapeId="0">
      <text>
        <t>credit_php
Credit in PHP
Mandatory: Yes
Format: Amount, up to 19,2; Dot decimal, 2 decimals
Allowed values: A number
Example: 0.00</t>
      </text>
    </comment>
    <comment ref="Q19" authorId="0" shapeId="0">
      <text>
        <t>fx_rate
Rate used for the PHP amount
Mandatory: Conditional: Mandatory when currency is not PHP
Format: Decimal, up to 12,6; Dot decimal
Allowed values: A number
Example: 56.125000</t>
      </text>
    </comment>
    <comment ref="R19" authorId="0" shapeId="0">
      <text>
        <t>description
Journal line description
Mandatory: Yes
Format: Text, up to 250; Free text
Allowed values: Free entry, up to 250 characters
Example: Accrual of December 2027 professional fees</t>
      </text>
    </comment>
    <comment ref="S19" authorId="0" shapeId="0">
      <text>
        <t>prepared_by
Legacy user who prepared the journal
Mandatory: Yes
Format: Text, up to 50; As in legacy
Allowed values: Free entry, up to 50 characters
Example: cmp.jdelacruz</t>
      </text>
    </comment>
    <comment ref="T19" authorId="0" shapeId="0">
      <text>
        <t>approved_by
Legacy user who approved the journal
Mandatory: Yes
Format: Text, up to 50; As in legacy
Allowed values: Free entry, up to 50 characters
Example: cmp.head</t>
      </text>
    </comment>
  </commentList>
</comments>
</file>

<file path=xl/comments/comment29.xml><?xml version="1.0" encoding="utf-8"?>
<comments xmlns="http://schemas.openxmlformats.org/spreadsheetml/2006/main">
  <authors>
    <author>iorta TechNXT</author>
  </authors>
  <commentList>
    <comment ref="B19" authorId="0" shapeId="0">
      <text>
        <t>trueup_no
True-up number, as in G03
Mandatory: Yes
Format: Code, up to 2; As listed
Allowed values: 1, 2, 3, F (list G03D trueup_no)
Example: 1</t>
      </text>
    </comment>
    <comment ref="C19" authorId="0" shapeId="0">
      <text>
        <t>legacy_journal_no
Legacy journal of the line
Mandatory: Yes
Format: Code, up to 30; As in G03
Allowed values: legacy_journal_no of G03
Example: JV-2028-AUD-0003</t>
      </text>
    </comment>
    <comment ref="D19" authorId="0" shapeId="0">
      <text>
        <t>line_no
Line of the legacy journal on the legacy control account
Mandatory: Yes
Format: Integer, up to 4; Digits
Allowed values: line_no of G03
Example: 2</t>
      </text>
    </comment>
    <comment ref="E19" authorId="0" shapeId="0">
      <text>
        <t>item_kind
Legacy invoice or legacy UPP
Mandatory: Yes
Format: Code, up to 8; Upper case
Allowed values: INVOICE, UPP (list G03D item_kind)
Example: INVOICE</t>
      </text>
    </comment>
    <comment ref="F19" authorId="0" shapeId="0">
      <text>
        <t>item_ref
Legacy invoice number (F01) or UPP reference (F02)
Mandatory: Yes
Format: Code, up to 40; As in F01 or F02
Allowed values: legacy_invoice_no of F01 or legacy_upp_ref of F02
Example: I00300002</t>
      </text>
    </comment>
    <comment ref="G19" authorId="0" shapeId="0">
      <text>
        <t>component
Component adjusted (UPP for an unapplied item)
Mandatory: Yes
Format: Code, up to 20; Upper case
Allowed values: List G03D component: 14 values, see Reference lists
Example: BASIC</t>
      </text>
    </comment>
    <comment ref="H19" authorId="0" shapeId="0">
      <text>
        <t>movement
Effect on the open item
Mandatory: Yes
Format: Code, up to 12; Upper case
Allowed values: ADJUSTED, WRITTEN_OFF (list G03D movement)
Example: WRITTEN_OFF</t>
      </text>
    </comment>
    <comment ref="I19" authorId="0" shapeId="0">
      <text>
        <t>currency
Currency of the item
Mandatory: Yes
Format: Code, up to 3; Upper case
Allowed values: ISO 4217
Example: PHP</t>
      </text>
    </comment>
    <comment ref="J19" authorId="0" shapeId="0">
      <text>
        <t>amount
Change of the open balance - positive raises it, negative lowers it
Mandatory: Yes
Format: Amount, up to 19,2; Dot decimal, 2 decimals
Allowed values: A number
Example: -3000.00</t>
      </text>
    </comment>
    <comment ref="K19" authorId="0" shapeId="0">
      <text>
        <t>reason
Reason or audit finding
Mandatory: Yes
Format: Text, up to 250; Free text
Allowed values: Free entry, up to 250 characters
Example: Audit finding 7 - uncollectible premium written off</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98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15</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R01" displayName="T_R01" ref="B19:I220" headerRowCount="1">
  <autoFilter ref="B19:I220"/>
  <tableColumns count="8">
    <tableColumn id="2" name="list_type *"/>
    <tableColumn id="3" name="code *"/>
    <tableColumn id="4" name="description *"/>
    <tableColumn id="5" name="parent_code"/>
    <tableColumn id="6" name="active_flag *"/>
    <tableColumn id="7" name="effective_from"/>
    <tableColumn id="8" name="effective_to"/>
    <tableColumn id="9" name="used_count"/>
  </tableColumns>
  <tableStyleInfo name="TableStyleLight9" showRowStripes="1"/>
</table>
</file>

<file path=xl/tables/table2.xml><?xml version="1.0" encoding="utf-8"?>
<table xmlns="http://schemas.openxmlformats.org/spreadsheetml/2006/main" id="2" name="T_R02" displayName="T_R02" ref="B19:F220" headerRowCount="1">
  <autoFilter ref="B19:F220"/>
  <tableColumns count="5">
    <tableColumn id="2" name="branch_code *"/>
    <tableColumn id="3" name="branch_name *"/>
    <tableColumn id="4" name="invoicing_branch_flag *"/>
    <tableColumn id="5" name="city"/>
    <tableColumn id="6" name="active_flag *"/>
  </tableColumns>
  <tableStyleInfo name="TableStyleLight9" showRowStripes="1"/>
</table>
</file>

<file path=xl/tables/table3.xml><?xml version="1.0" encoding="utf-8"?>
<table xmlns="http://schemas.openxmlformats.org/spreadsheetml/2006/main" id="3" name="T_R03" displayName="T_R03" ref="B19:L220" headerRowCount="1">
  <autoFilter ref="B19:L220"/>
  <tableColumns count="11">
    <tableColumn id="2" name="record_type *"/>
    <tableColumn id="3" name="unit_code *"/>
    <tableColumn id="4" name="unit_name"/>
    <tableColumn id="5" name="parent_unit_code"/>
    <tableColumn id="6" name="unit_head_user_id"/>
    <tableColumn id="7" name="cost_center"/>
    <tableColumn id="8" name="ao_user_id"/>
    <tableColumn id="9" name="ao_code"/>
    <tableColumn id="10" name="ao_name"/>
    <tableColumn id="11" name="branch_code"/>
    <tableColumn id="12" name="active_flag *"/>
  </tableColumns>
  <tableStyleInfo name="TableStyleLight9" showRowStripes="1"/>
</table>
</file>

<file path=xl/tables/table4.xml><?xml version="1.0" encoding="utf-8"?>
<table xmlns="http://schemas.openxmlformats.org/spreadsheetml/2006/main" id="4" name="T_R04" displayName="T_R04" ref="B19:K220" headerRowCount="1">
  <autoFilter ref="B19:K220"/>
  <tableColumns count="10">
    <tableColumn id="2" name="insurer_code *"/>
    <tableColumn id="3" name="insurer_name *"/>
    <tableColumn id="4" name="short_name"/>
    <tableColumn id="5" name="tin"/>
    <tableColumn id="6" name="address"/>
    <tableColumn id="7" name="accreditation_no"/>
    <tableColumn id="8" name="accredited_until"/>
    <tableColumn id="9" name="placement_email"/>
    <tableColumn id="10" name="default_credit_days"/>
    <tableColumn id="11" name="status *"/>
  </tableColumns>
  <tableStyleInfo name="TableStyleLight9" showRowStripes="1"/>
</table>
</file>

<file path=xl/tables/table5.xml><?xml version="1.0" encoding="utf-8"?>
<table xmlns="http://schemas.openxmlformats.org/spreadsheetml/2006/main" id="5" name="T_R04B" displayName="T_R04B" ref="B19:H220" headerRowCount="1">
  <autoFilter ref="B19:H220"/>
  <tableColumns count="7">
    <tableColumn id="2" name="insurer_code *"/>
    <tableColumn id="3" name="branch_code *"/>
    <tableColumn id="4" name="branch_name *"/>
    <tableColumn id="5" name="city"/>
    <tableColumn id="6" name="lgt_rate"/>
    <tableColumn id="7" name="placement_email"/>
    <tableColumn id="8" name="status *"/>
  </tableColumns>
  <tableStyleInfo name="TableStyleLight9" showRowStripes="1"/>
</table>
</file>

<file path=xl/tables/table6.xml><?xml version="1.0" encoding="utf-8"?>
<table xmlns="http://schemas.openxmlformats.org/spreadsheetml/2006/main" id="6" name="T_R05" displayName="T_R05" ref="B19:J220" headerRowCount="1">
  <autoFilter ref="B19:J220"/>
  <tableColumns count="9">
    <tableColumn id="2" name="line_code *"/>
    <tableColumn id="3" name="line_name"/>
    <tableColumn id="4" name="cover_type_code"/>
    <tableColumn id="5" name="risk_code *"/>
    <tableColumn id="6" name="risk_name *"/>
    <tableColumn id="7" name="packaged_flag"/>
    <tableColumn id="8" name="market_segments"/>
    <tableColumn id="9" name="status *"/>
    <tableColumn id="10" name="open_item_count"/>
  </tableColumns>
  <tableStyleInfo name="TableStyleLight9" showRowStripes="1"/>
</table>
</file>

<file path=xl/tables/table7.xml><?xml version="1.0" encoding="utf-8"?>
<table xmlns="http://schemas.openxmlformats.org/spreadsheetml/2006/main" id="7" name="T_R06" displayName="T_R06" ref="B19:I220" headerRowCount="1">
  <autoFilter ref="B19:I220"/>
  <tableColumns count="8">
    <tableColumn id="2" name="legacy_package_code *"/>
    <tableColumn id="3" name="legacy_package_version *"/>
    <tableColumn id="4" name="legacy_package_name *"/>
    <tableColumn id="5" name="qualifier"/>
    <tableColumn id="6" name="qualifier_value"/>
    <tableColumn id="7" name="action *"/>
    <tableColumn id="8" name="bibs_package_version"/>
    <tableColumn id="9" name="remarks"/>
  </tableColumns>
  <tableStyleInfo name="TableStyleLight9" showRowStripes="1"/>
</table>
</file>

<file path=xl/tables/table8.xml><?xml version="1.0" encoding="utf-8"?>
<table xmlns="http://schemas.openxmlformats.org/spreadsheetml/2006/main" id="8" name="T_R07" displayName="T_R07" ref="B19:F220" headerRowCount="1">
  <autoFilter ref="B19:F220"/>
  <tableColumns count="5">
    <tableColumn id="2" name="insurer_code *"/>
    <tableColumn id="3" name="risk_code *"/>
    <tableColumn id="4" name="rate_pct *"/>
    <tableColumn id="5" name="effective_from *"/>
    <tableColumn id="6" name="effective_to"/>
  </tableColumns>
  <tableStyleInfo name="TableStyleLight9" showRowStripes="1"/>
</table>
</file>

<file path=xl/tables/table9.xml><?xml version="1.0" encoding="utf-8"?>
<table xmlns="http://schemas.openxmlformats.org/spreadsheetml/2006/main" id="9" name="T_R08" displayName="T_R08" ref="B19:I220" headerRowCount="1">
  <autoFilter ref="B19:I220"/>
  <tableColumns count="8">
    <tableColumn id="2" name="legacy_account_code *"/>
    <tableColumn id="3" name="legacy_account_name *"/>
    <tableColumn id="4" name="account_type *"/>
    <tableColumn id="5" name="normal_balance *"/>
    <tableColumn id="6" name="legacy_control_type"/>
    <tableColumn id="7" name="bibs_account_code"/>
    <tableColumn id="8" name="branch_specific_flag"/>
    <tableColumn id="9" name="remarks"/>
  </tableColumns>
  <tableStyleInfo name="TableStyleLight9" showRowStripes="1"/>
</table>
</file>

<file path=xl/tables/table10.xml><?xml version="1.0" encoding="utf-8"?>
<table xmlns="http://schemas.openxmlformats.org/spreadsheetml/2006/main" id="10" name="T_R09" displayName="T_R09" ref="B19:L220" headerRowCount="1">
  <autoFilter ref="B19:L220"/>
  <tableColumns count="11">
    <tableColumn id="2" name="payee_code *"/>
    <tableColumn id="3" name="payee_class *"/>
    <tableColumn id="4" name="name *"/>
    <tableColumn id="5" name="address"/>
    <tableColumn id="6" name="email"/>
    <tableColumn id="7" name="tin"/>
    <tableColumn id="8" name="default_mode *"/>
    <tableColumn id="9" name="allowed_modes *"/>
    <tableColumn id="10" name="currency *"/>
    <tableColumn id="11" name="bank"/>
    <tableColumn id="12" name="account_no"/>
  </tableColumns>
  <tableStyleInfo name="TableStyleLight9" showRowStripes="1"/>
</table>
</file>

<file path=xl/tables/table11.xml><?xml version="1.0" encoding="utf-8"?>
<table xmlns="http://schemas.openxmlformats.org/spreadsheetml/2006/main" id="11" name="T_R11" displayName="T_R11" ref="B19:I220" headerRowCount="1">
  <autoFilter ref="B19:I220"/>
  <tableColumns count="8">
    <tableColumn id="2" name="branch_code *"/>
    <tableColumn id="3" name="kind *"/>
    <tableColumn id="4" name="atp_no *"/>
    <tableColumn id="5" name="prefix"/>
    <tableColumn id="6" name="from_no *"/>
    <tableColumn id="7" name="to_no *"/>
    <tableColumn id="8" name="last_used_no *"/>
    <tableColumn id="9" name="next_no *"/>
  </tableColumns>
  <tableStyleInfo name="TableStyleLight9" showRowStripes="1"/>
</table>
</file>

<file path=xl/tables/table12.xml><?xml version="1.0" encoding="utf-8"?>
<table xmlns="http://schemas.openxmlformats.org/spreadsheetml/2006/main" id="12" name="T_C01" displayName="T_C01" ref="B19:AK220" headerRowCount="1">
  <autoFilter ref="B19:AK220"/>
  <tableColumns count="36">
    <tableColumn id="2" name="legacy_client_no *"/>
    <tableColumn id="3" name="client_type *"/>
    <tableColumn id="4" name="last_name"/>
    <tableColumn id="5" name="first_name"/>
    <tableColumn id="6" name="middle_name"/>
    <tableColumn id="7" name="suffix"/>
    <tableColumn id="8" name="corporate_name"/>
    <tableColumn id="9" name="registration_no"/>
    <tableColumn id="10" name="birth_date"/>
    <tableColumn id="11" name="tin"/>
    <tableColumn id="12" name="id_type"/>
    <tableColumn id="13" name="id_number"/>
    <tableColumn id="14" name="bank_client_flag"/>
    <tableColumn id="15" name="bank_cif"/>
    <tableColumn id="16" name="nationality"/>
    <tableColumn id="17" name="source_of_funds"/>
    <tableColumn id="18" name="market_segment *"/>
    <tableColumn id="19" name="customer_segment"/>
    <tableColumn id="20" name="business_origin"/>
    <tableColumn id="21" name="ao_user_id"/>
    <tableColumn id="22" name="sales_unit_code"/>
    <tableColumn id="23" name="branch_code"/>
    <tableColumn id="24" name="email"/>
    <tableColumn id="25" name="mobile"/>
    <tableColumn id="26" name="phone"/>
    <tableColumn id="27" name="address_line"/>
    <tableColumn id="28" name="city"/>
    <tableColumn id="29" name="province"/>
    <tableColumn id="30" name="postal_code"/>
    <tableColumn id="31" name="kyc_status"/>
    <tableColumn id="32" name="kyc_verified_date"/>
    <tableColumn id="33" name="kyc_review_due"/>
    <tableColumn id="34" name="risk_rating"/>
    <tableColumn id="35" name="client_status *"/>
    <tableColumn id="36" name="created_date *"/>
    <tableColumn id="37" name="last_updated *"/>
  </tableColumns>
  <tableStyleInfo name="TableStyleLight9" showRowStripes="1"/>
</table>
</file>

<file path=xl/tables/table13.xml><?xml version="1.0" encoding="utf-8"?>
<table xmlns="http://schemas.openxmlformats.org/spreadsheetml/2006/main" id="13" name="T_C02" displayName="T_C02" ref="B19:N220" headerRowCount="1">
  <autoFilter ref="B19:N220"/>
  <tableColumns count="13">
    <tableColumn id="2" name="legacy_client_no *"/>
    <tableColumn id="3" name="record_type *"/>
    <tableColumn id="4" name="seq_no *"/>
    <tableColumn id="5" name="address_type"/>
    <tableColumn id="6" name="address_line"/>
    <tableColumn id="7" name="city"/>
    <tableColumn id="8" name="province"/>
    <tableColumn id="9" name="postal_code"/>
    <tableColumn id="10" name="contact_name"/>
    <tableColumn id="11" name="contact_role"/>
    <tableColumn id="12" name="email"/>
    <tableColumn id="13" name="mobile"/>
    <tableColumn id="14" name="primary_flag *"/>
  </tableColumns>
  <tableStyleInfo name="TableStyleLight9" showRowStripes="1"/>
</table>
</file>

<file path=xl/tables/table14.xml><?xml version="1.0" encoding="utf-8"?>
<table xmlns="http://schemas.openxmlformats.org/spreadsheetml/2006/main" id="14" name="T_C03" displayName="T_C03" ref="B19:G220" headerRowCount="1">
  <autoFilter ref="B19:G220"/>
  <tableColumns count="6">
    <tableColumn id="2" name="legacy_client_no *"/>
    <tableColumn id="3" name="mode *"/>
    <tableColumn id="4" name="payee_name *"/>
    <tableColumn id="5" name="bank_code"/>
    <tableColumn id="6" name="account_no"/>
    <tableColumn id="7" name="active_flag *"/>
  </tableColumns>
  <tableStyleInfo name="TableStyleLight9" showRowStripes="1"/>
</table>
</file>

<file path=xl/tables/table15.xml><?xml version="1.0" encoding="utf-8"?>
<table xmlns="http://schemas.openxmlformats.org/spreadsheetml/2006/main" id="15" name="T_P01" displayName="T_P01" ref="B19:AF220" headerRowCount="1">
  <autoFilter ref="B19:AF220"/>
  <tableColumns count="31">
    <tableColumn id="2" name="legacy_policy_ref *"/>
    <tableColumn id="3" name="cover_no *"/>
    <tableColumn id="4" name="cover_version"/>
    <tableColumn id="5" name="policy_no *"/>
    <tableColumn id="6" name="legacy_client_no *"/>
    <tableColumn id="7" name="assured_name *"/>
    <tableColumn id="8" name="risk_code *"/>
    <tableColumn id="9" name="package_code"/>
    <tableColumn id="10" name="package_version"/>
    <tableColumn id="11" name="line_code *"/>
    <tableColumn id="12" name="cover_type_code"/>
    <tableColumn id="13" name="business_type *"/>
    <tableColumn id="14" name="policy_status *"/>
    <tableColumn id="15" name="inception_date *"/>
    <tableColumn id="16" name="expiry_date *"/>
    <tableColumn id="17" name="currency *"/>
    <tableColumn id="18" name="sum_insured *"/>
    <tableColumn id="19" name="net_premium *"/>
    <tableColumn id="20" name="gross_premium *"/>
    <tableColumn id="21" name="commission_rate_pct"/>
    <tableColumn id="22" name="payment_arrangement *"/>
    <tableColumn id="23" name="pn_nos"/>
    <tableColumn id="24" name="loan_application_no"/>
    <tableColumn id="25" name="mortgagee_bank"/>
    <tableColumn id="26" name="ffy_flag"/>
    <tableColumn id="27" name="ao_user_id *"/>
    <tableColumn id="28" name="sales_unit_code *"/>
    <tableColumn id="29" name="branch_code *"/>
    <tableColumn id="30" name="market_segment *"/>
    <tableColumn id="31" name="source_channel"/>
    <tableColumn id="32" name="risk_description"/>
  </tableColumns>
  <tableStyleInfo name="TableStyleLight9" showRowStripes="1"/>
</table>
</file>

<file path=xl/tables/table16.xml><?xml version="1.0" encoding="utf-8"?>
<table xmlns="http://schemas.openxmlformats.org/spreadsheetml/2006/main" id="16" name="T_P01S" displayName="T_P01S" ref="B19:G220" headerRowCount="1">
  <autoFilter ref="B19:G220"/>
  <tableColumns count="6">
    <tableColumn id="2" name="legacy_policy_ref *"/>
    <tableColumn id="3" name="share_seq *"/>
    <tableColumn id="4" name="insurer_code *"/>
    <tableColumn id="5" name="insurer_branch_code"/>
    <tableColumn id="6" name="share_pct *"/>
    <tableColumn id="7" name="lead_flag *"/>
  </tableColumns>
  <tableStyleInfo name="TableStyleLight9" showRowStripes="1"/>
</table>
</file>

<file path=xl/tables/table17.xml><?xml version="1.0" encoding="utf-8"?>
<table xmlns="http://schemas.openxmlformats.org/spreadsheetml/2006/main" id="17" name="T_F01" displayName="T_F01" ref="B19:AM220" headerRowCount="1">
  <autoFilter ref="B19:AM220"/>
  <tableColumns count="38">
    <tableColumn id="2" name="legacy_invoice_no *"/>
    <tableColumn id="3" name="invoice_kind *"/>
    <tableColumn id="4" name="parent_invoice_no"/>
    <tableColumn id="5" name="endorsement_no"/>
    <tableColumn id="6" name="legacy_policy_ref"/>
    <tableColumn id="7" name="policy_no *"/>
    <tableColumn id="8" name="policy_year"/>
    <tableColumn id="9" name="legacy_client_no *"/>
    <tableColumn id="10" name="assured_name *"/>
    <tableColumn id="11" name="payor_name"/>
    <tableColumn id="12" name="currency *"/>
    <tableColumn id="13" name="booking_fx_rate"/>
    <tableColumn id="14" name="booking_date *"/>
    <tableColumn id="15" name="invoice_date *"/>
    <tableColumn id="16" name="due_date *"/>
    <tableColumn id="17" name="inception_date *"/>
    <tableColumn id="18" name="expiry_date *"/>
    <tableColumn id="19" name="risk_code *"/>
    <tableColumn id="20" name="line_code *"/>
    <tableColumn id="21" name="market_segment *"/>
    <tableColumn id="22" name="ao_user_id *"/>
    <tableColumn id="23" name="sales_unit_code *"/>
    <tableColumn id="24" name="branch_code *"/>
    <tableColumn id="25" name="cost_center"/>
    <tableColumn id="26" name="pn_nos"/>
    <tableColumn id="27" name="gross_premium *"/>
    <tableColumn id="28" name="commission *"/>
    <tableColumn id="29" name="vat_on_commission *"/>
    <tableColumn id="30" name="wtax_rate_pct *"/>
    <tableColumn id="31" name="commission_realised *"/>
    <tableColumn id="32" name="deferred_vat_open"/>
    <tableColumn id="33" name="dp_flag *"/>
    <tableColumn id="34" name="cwt_flag *"/>
    <tableColumn id="35" name="incentive_eligible_flag"/>
    <tableColumn id="36" name="hold_flag"/>
    <tableColumn id="37" name="legacy_service_invoice_no"/>
    <tableColumn id="38" name="last_payment_date"/>
    <tableColumn id="39" name="remarks"/>
  </tableColumns>
  <tableStyleInfo name="TableStyleLight9" showRowStripes="1"/>
</table>
</file>

<file path=xl/tables/table18.xml><?xml version="1.0" encoding="utf-8"?>
<table xmlns="http://schemas.openxmlformats.org/spreadsheetml/2006/main" id="18" name="T_F01C" displayName="T_F01C" ref="B19:I220" headerRowCount="1">
  <autoFilter ref="B19:I220"/>
  <tableColumns count="8">
    <tableColumn id="2" name="legacy_invoice_no *"/>
    <tableColumn id="3" name="component *"/>
    <tableColumn id="4" name="booked *"/>
    <tableColumn id="5" name="adjusted *"/>
    <tableColumn id="6" name="paid *"/>
    <tableColumn id="7" name="remitted *"/>
    <tableColumn id="8" name="written_off *"/>
    <tableColumn id="9" name="open_balance *"/>
  </tableColumns>
  <tableStyleInfo name="TableStyleLight9" showRowStripes="1"/>
</table>
</file>

<file path=xl/tables/table19.xml><?xml version="1.0" encoding="utf-8"?>
<table xmlns="http://schemas.openxmlformats.org/spreadsheetml/2006/main" id="19" name="T_F01S" displayName="T_F01S" ref="B19:F220" headerRowCount="1">
  <autoFilter ref="B19:F220"/>
  <tableColumns count="5">
    <tableColumn id="2" name="legacy_invoice_no *"/>
    <tableColumn id="3" name="share_seq *"/>
    <tableColumn id="4" name="insurer_code *"/>
    <tableColumn id="5" name="share_pct *"/>
    <tableColumn id="6" name="lead_flag *"/>
  </tableColumns>
  <tableStyleInfo name="TableStyleLight9" showRowStripes="1"/>
</table>
</file>

<file path=xl/tables/table20.xml><?xml version="1.0" encoding="utf-8"?>
<table xmlns="http://schemas.openxmlformats.org/spreadsheetml/2006/main" id="20" name="T_F02" displayName="T_F02" ref="B19:V220" headerRowCount="1">
  <autoFilter ref="B19:V220"/>
  <tableColumns count="21">
    <tableColumn id="2" name="legacy_upp_ref *"/>
    <tableColumn id="3" name="legacy_ar_no *"/>
    <tableColumn id="4" name="legacy_ar_date *"/>
    <tableColumn id="5" name="value_date *"/>
    <tableColumn id="6" name="channel *"/>
    <tableColumn id="7" name="payor_name *"/>
    <tableColumn id="8" name="legacy_client_no"/>
    <tableColumn id="9" name="currency *"/>
    <tableColumn id="10" name="amount *"/>
    <tableColumn id="11" name="balance *"/>
    <tableColumn id="12" name="sales_unit_code"/>
    <tableColumn id="13" name="branch_code *"/>
    <tableColumn id="14" name="ref_invoice_nos"/>
    <tableColumn id="15" name="ref_cover_nos"/>
    <tableColumn id="16" name="ref_pn_nos"/>
    <tableColumn id="17" name="ref_bank_reference"/>
    <tableColumn id="18" name="legacy_status *"/>
    <tableColumn id="19" name="disposition_type"/>
    <tableColumn id="20" name="disposition_status"/>
    <tableColumn id="21" name="disposition_details"/>
    <tableColumn id="22" name="remarks"/>
  </tableColumns>
  <tableStyleInfo name="TableStyleLight9" showRowStripes="1"/>
</table>
</file>

<file path=xl/tables/table21.xml><?xml version="1.0" encoding="utf-8"?>
<table xmlns="http://schemas.openxmlformats.org/spreadsheetml/2006/main" id="21" name="T_F03" displayName="T_F03" ref="B19:M220" headerRowCount="1">
  <autoFilter ref="B19:M220"/>
  <tableColumns count="12">
    <tableColumn id="2" name="legacy_invoice_no *"/>
    <tableColumn id="3" name="record_type *"/>
    <tableColumn id="4" name="seq_no *"/>
    <tableColumn id="5" name="disposition_code"/>
    <tableColumn id="6" name="disposition_date"/>
    <tableColumn id="7" name="promise_date"/>
    <tableColumn id="8" name="promise_amount"/>
    <tableColumn id="9" name="installment_no"/>
    <tableColumn id="10" name="installment_due"/>
    <tableColumn id="11" name="installment_amount"/>
    <tableColumn id="12" name="collector_user_id"/>
    <tableColumn id="13" name="remarks"/>
  </tableColumns>
  <tableStyleInfo name="TableStyleLight9" showRowStripes="1"/>
</table>
</file>

<file path=xl/tables/table22.xml><?xml version="1.0" encoding="utf-8"?>
<table xmlns="http://schemas.openxmlformats.org/spreadsheetml/2006/main" id="22" name="T_F04" displayName="T_F04" ref="B19:K220" headerRowCount="1">
  <autoFilter ref="B19:K220"/>
  <tableColumns count="10">
    <tableColumn id="2" name="record_type *"/>
    <tableColumn id="3" name="legacy_batch_no"/>
    <tableColumn id="4" name="insurer_code *"/>
    <tableColumn id="5" name="legacy_invoice_no *"/>
    <tableColumn id="6" name="currency *"/>
    <tableColumn id="7" name="amount *"/>
    <tableColumn id="8" name="status *"/>
    <tableColumn id="9" name="hold_reason"/>
    <tableColumn id="10" name="hold_until"/>
    <tableColumn id="11" name="requested_by_user_id"/>
  </tableColumns>
  <tableStyleInfo name="TableStyleLight9" showRowStripes="1"/>
</table>
</file>

<file path=xl/tables/table23.xml><?xml version="1.0" encoding="utf-8"?>
<table xmlns="http://schemas.openxmlformats.org/spreadsheetml/2006/main" id="23" name="T_F06" displayName="T_F06" ref="B19:O220" headerRowCount="1">
  <autoFilter ref="B19:O220"/>
  <tableColumns count="14">
    <tableColumn id="2" name="record_type *"/>
    <tableColumn id="3" name="reference *"/>
    <tableColumn id="4" name="warehouse_no"/>
    <tableColumn id="5" name="check_no"/>
    <tableColumn id="6" name="bank_code"/>
    <tableColumn id="7" name="check_branch"/>
    <tableColumn id="8" name="check_date"/>
    <tableColumn id="9" name="currency *"/>
    <tableColumn id="10" name="amount *"/>
    <tableColumn id="11" name="legacy_client_no"/>
    <tableColumn id="12" name="payor_name *"/>
    <tableColumn id="13" name="legacy_invoice_no"/>
    <tableColumn id="14" name="status *"/>
    <tableColumn id="15" name="remarks"/>
  </tableColumns>
  <tableStyleInfo name="TableStyleLight9" showRowStripes="1"/>
</table>
</file>

<file path=xl/tables/table24.xml><?xml version="1.0" encoding="utf-8"?>
<table xmlns="http://schemas.openxmlformats.org/spreadsheetml/2006/main" id="24" name="T_G01" displayName="T_G01" ref="B19:L220" headerRowCount="1">
  <autoFilter ref="B19:L220"/>
  <tableColumns count="11">
    <tableColumn id="2" name="tb_version *"/>
    <tableColumn id="3" name="as_of_date *"/>
    <tableColumn id="4" name="branch_code *"/>
    <tableColumn id="5" name="currency *"/>
    <tableColumn id="6" name="legacy_account_code *"/>
    <tableColumn id="7" name="cost_center"/>
    <tableColumn id="8" name="debit_fc *"/>
    <tableColumn id="9" name="credit_fc *"/>
    <tableColumn id="10" name="debit_php *"/>
    <tableColumn id="11" name="credit_php *"/>
    <tableColumn id="12" name="fx_rate"/>
  </tableColumns>
  <tableStyleInfo name="TableStyleLight9" showRowStripes="1"/>
</table>
</file>

<file path=xl/tables/table25.xml><?xml version="1.0" encoding="utf-8"?>
<table xmlns="http://schemas.openxmlformats.org/spreadsheetml/2006/main" id="25" name="T_P03" displayName="T_P03" ref="B19:N220" headerRowCount="1">
  <autoFilter ref="B19:N220"/>
  <tableColumns count="13">
    <tableColumn id="2" name="legacy_policy_ref *"/>
    <tableColumn id="3" name="cover_no *"/>
    <tableColumn id="4" name="expiry_date *"/>
    <tableColumn id="5" name="ra_sent_date *"/>
    <tableColumn id="6" name="ra_ref"/>
    <tableColumn id="7" name="ra_channel *"/>
    <tableColumn id="8" name="sent_to"/>
    <tableColumn id="9" name="proposed_insurer_code"/>
    <tableColumn id="10" name="currency"/>
    <tableColumn id="11" name="proposed_premium"/>
    <tableColumn id="12" name="sent_by_user_id"/>
    <tableColumn id="13" name="tracker_name *"/>
    <tableColumn id="14" name="remarks"/>
  </tableColumns>
  <tableStyleInfo name="TableStyleLight9" showRowStripes="1"/>
</table>
</file>

<file path=xl/tables/table26.xml><?xml version="1.0" encoding="utf-8"?>
<table xmlns="http://schemas.openxmlformats.org/spreadsheetml/2006/main" id="26" name="T_H01" displayName="T_H01" ref="B19:P220" headerRowCount="1">
  <autoFilter ref="B19:P220"/>
  <tableColumns count="15">
    <tableColumn id="2" name="record_type *"/>
    <tableColumn id="3" name="legacy_key *"/>
    <tableColumn id="4" name="legacy_client_no"/>
    <tableColumn id="5" name="client_name"/>
    <tableColumn id="6" name="policy_no"/>
    <tableColumn id="7" name="invoice_no"/>
    <tableColumn id="8" name="receipt_no"/>
    <tableColumn id="9" name="claim_no"/>
    <tableColumn id="10" name="document_date *"/>
    <tableColumn id="11" name="period_from"/>
    <tableColumn id="12" name="period_to"/>
    <tableColumn id="13" name="currency"/>
    <tableColumn id="14" name="amount"/>
    <tableColumn id="15" name="status"/>
    <tableColumn id="16" name="detail_json"/>
  </tableColumns>
  <tableStyleInfo name="TableStyleLight9" showRowStripes="1"/>
</table>
</file>

<file path=xl/tables/table27.xml><?xml version="1.0" encoding="utf-8"?>
<table xmlns="http://schemas.openxmlformats.org/spreadsheetml/2006/main" id="27" name="T_H02" displayName="T_H02" ref="B19:I220" headerRowCount="1">
  <autoFilter ref="B19:I220"/>
  <tableColumns count="8">
    <tableColumn id="2" name="record_type *"/>
    <tableColumn id="3" name="legacy_key *"/>
    <tableColumn id="4" name="document_type *"/>
    <tableColumn id="5" name="document_no"/>
    <tableColumn id="6" name="document_date"/>
    <tableColumn id="7" name="file_name *"/>
    <tableColumn id="8" name="file_size_bytes *"/>
    <tableColumn id="9" name="sha256 *"/>
  </tableColumns>
  <tableStyleInfo name="TableStyleLight9" showRowStripes="1"/>
</table>
</file>

<file path=xl/tables/table28.xml><?xml version="1.0" encoding="utf-8"?>
<table xmlns="http://schemas.openxmlformats.org/spreadsheetml/2006/main" id="28" name="T_G03" displayName="T_G03" ref="B19:T220" headerRowCount="1">
  <autoFilter ref="B19:T220"/>
  <tableColumns count="19">
    <tableColumn id="2" name="trueup_no *"/>
    <tableColumn id="3" name="legacy_journal_no *"/>
    <tableColumn id="4" name="line_no *"/>
    <tableColumn id="5" name="legacy_journal_date *"/>
    <tableColumn id="6" name="posted_at *"/>
    <tableColumn id="7" name="adjustment_kind *"/>
    <tableColumn id="8" name="register_ref *"/>
    <tableColumn id="9" name="branch_code *"/>
    <tableColumn id="10" name="currency *"/>
    <tableColumn id="11" name="legacy_account_code *"/>
    <tableColumn id="12" name="cost_center"/>
    <tableColumn id="13" name="debit_fc *"/>
    <tableColumn id="14" name="credit_fc *"/>
    <tableColumn id="15" name="debit_php *"/>
    <tableColumn id="16" name="credit_php *"/>
    <tableColumn id="17" name="fx_rate"/>
    <tableColumn id="18" name="description *"/>
    <tableColumn id="19" name="prepared_by *"/>
    <tableColumn id="20" name="approved_by *"/>
  </tableColumns>
  <tableStyleInfo name="TableStyleLight9" showRowStripes="1"/>
</table>
</file>

<file path=xl/tables/table29.xml><?xml version="1.0" encoding="utf-8"?>
<table xmlns="http://schemas.openxmlformats.org/spreadsheetml/2006/main" id="29" name="T_G03D" displayName="T_G03D" ref="B19:K220" headerRowCount="1">
  <autoFilter ref="B19:K220"/>
  <tableColumns count="10">
    <tableColumn id="2" name="trueup_no *"/>
    <tableColumn id="3" name="legacy_journal_no *"/>
    <tableColumn id="4" name="line_no *"/>
    <tableColumn id="5" name="item_kind *"/>
    <tableColumn id="6" name="item_ref *"/>
    <tableColumn id="7" name="component *"/>
    <tableColumn id="8" name="movement *"/>
    <tableColumn id="9" name="currency *"/>
    <tableColumn id="10" name="amount *"/>
    <tableColumn id="11" name="reason *"/>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Object catalogue'!A1" TargetMode="External" Id="rId3"/><Relationship Type="http://schemas.openxmlformats.org/officeDocument/2006/relationships/hyperlink" Target="#'Data owners'!A1" TargetMode="External" Id="rId4"/><Relationship Type="http://schemas.openxmlformats.org/officeDocument/2006/relationships/hyperlink" Target="#'Extract planning'!A1" TargetMode="External" Id="rId5"/><Relationship Type="http://schemas.openxmlformats.org/officeDocument/2006/relationships/hyperlink" Target="#'Milestones'!A1" TargetMode="External" Id="rId6"/><Relationship Type="http://schemas.openxmlformats.org/officeDocument/2006/relationships/hyperlink" Target="#'File rules'!A1" TargetMode="External" Id="rId7"/><Relationship Type="http://schemas.openxmlformats.org/officeDocument/2006/relationships/hyperlink" Target="#'Load templates'!A1" TargetMode="External" Id="rId8"/><Relationship Type="http://schemas.openxmlformats.org/officeDocument/2006/relationships/hyperlink" Target="#'R01 Lists of values and MIS val'!A1" TargetMode="External" Id="rId9"/><Relationship Type="http://schemas.openxmlformats.org/officeDocument/2006/relationships/hyperlink" Target="#'R02 Branches and invoicing bran'!A1" TargetMode="External" Id="rId10"/><Relationship Type="http://schemas.openxmlformats.org/officeDocument/2006/relationships/hyperlink" Target="#'R03 Sales organisation (units a'!A1" TargetMode="External" Id="rId11"/><Relationship Type="http://schemas.openxmlformats.org/officeDocument/2006/relationships/hyperlink" Target="#'R04 Insurers'!A1" TargetMode="External" Id="rId12"/><Relationship Type="http://schemas.openxmlformats.org/officeDocument/2006/relationships/hyperlink" Target="#'R04B Insurer branches'!A1" TargetMode="External" Id="rId13"/><Relationship Type="http://schemas.openxmlformats.org/officeDocument/2006/relationships/hyperlink" Target="#'R05 Product lines, cover types,'!A1" TargetMode="External" Id="rId14"/><Relationship Type="http://schemas.openxmlformats.org/officeDocument/2006/relationships/hyperlink" Target="#'R06 Package code map (legacy pa'!A1" TargetMode="External" Id="rId15"/><Relationship Type="http://schemas.openxmlformats.org/officeDocument/2006/relationships/hyperlink" Target="#'R07 Commission rates by insurer'!A1" TargetMode="External" Id="rId16"/><Relationship Type="http://schemas.openxmlformats.org/officeDocument/2006/relationships/hyperlink" Target="#'R08 Chart of accounts mapping'!A1" TargetMode="External" Id="rId17"/><Relationship Type="http://schemas.openxmlformats.org/officeDocument/2006/relationships/hyperlink" Target="#'R09 Payees'!A1" TargetMode="External" Id="rId18"/><Relationship Type="http://schemas.openxmlformats.org/officeDocument/2006/relationships/hyperlink" Target="#'R11 Receipt series in use'!A1" TargetMode="External" Id="rId19"/><Relationship Type="http://schemas.openxmlformats.org/officeDocument/2006/relationships/hyperlink" Target="#'C01 Client master'!A1" TargetMode="External" Id="rId20"/><Relationship Type="http://schemas.openxmlformats.org/officeDocument/2006/relationships/hyperlink" Target="#'C02 Client addresses and contac'!A1" TargetMode="External" Id="rId21"/><Relationship Type="http://schemas.openxmlformats.org/officeDocument/2006/relationships/hyperlink" Target="#'C03 Client payout accounts'!A1" TargetMode="External" Id="rId22"/><Relationship Type="http://schemas.openxmlformats.org/officeDocument/2006/relationships/hyperlink" Target="#'P01 In-force policy headers'!A1" TargetMode="External" Id="rId23"/><Relationship Type="http://schemas.openxmlformats.org/officeDocument/2006/relationships/hyperlink" Target="#'P01S Policy insurer shares'!A1" TargetMode="External" Id="rId24"/><Relationship Type="http://schemas.openxmlformats.org/officeDocument/2006/relationships/hyperlink" Target="#'F01 Open legacy invoices - head'!A1" TargetMode="External" Id="rId25"/><Relationship Type="http://schemas.openxmlformats.org/officeDocument/2006/relationships/hyperlink" Target="#'F01C Open legacy invoices - com'!A1" TargetMode="External" Id="rId26"/><Relationship Type="http://schemas.openxmlformats.org/officeDocument/2006/relationships/hyperlink" Target="#'F01S Open legacy invoices - ins'!A1" TargetMode="External" Id="rId27"/><Relationship Type="http://schemas.openxmlformats.org/officeDocument/2006/relationships/hyperlink" Target="#'F02 Unapplied premium payments'!A1" TargetMode="External" Id="rId28"/><Relationship Type="http://schemas.openxmlformats.org/officeDocument/2006/relationships/hyperlink" Target="#'F03 Open collection state'!A1" TargetMode="External" Id="rId29"/><Relationship Type="http://schemas.openxmlformats.org/officeDocument/2006/relationships/hyperlink" Target="#'F04 Remittance in flight'!A1" TargetMode="External" Id="rId30"/><Relationship Type="http://schemas.openxmlformats.org/officeDocument/2006/relationships/hyperlink" Target="#'F06 PDCs, check pick-ups and re'!A1" TargetMode="External" Id="rId31"/><Relationship Type="http://schemas.openxmlformats.org/officeDocument/2006/relationships/hyperlink" Target="#'G01 GL opening trial balance'!A1" TargetMode="External" Id="rId32"/><Relationship Type="http://schemas.openxmlformats.org/officeDocument/2006/relationships/hyperlink" Target="#'P03 Renewal advices already sen'!A1" TargetMode="External" Id="rId33"/><Relationship Type="http://schemas.openxmlformats.org/officeDocument/2006/relationships/hyperlink" Target="#'H01 Archive records (closed tra'!A1" TargetMode="External" Id="rId34"/><Relationship Type="http://schemas.openxmlformats.org/officeDocument/2006/relationships/hyperlink" Target="#'H02 Archive documents index'!A1" TargetMode="External" Id="rId35"/><Relationship Type="http://schemas.openxmlformats.org/officeDocument/2006/relationships/hyperlink" Target="#'G03 FY2027 true-up - legacy adj'!A1" TargetMode="External" Id="rId36"/><Relationship Type="http://schemas.openxmlformats.org/officeDocument/2006/relationships/hyperlink" Target="#'G03D FY2027 true-up - open-item'!A1" TargetMode="External" Id="rId37"/><Relationship Type="http://schemas.openxmlformats.org/officeDocument/2006/relationships/hyperlink" Target="#'Reference lists'!A1" TargetMode="External" Id="rId38"/><Relationship Type="http://schemas.openxmlformats.org/officeDocument/2006/relationships/hyperlink" Target="#'Control file'!A1" TargetMode="External" Id="rId39"/><Relationship Type="http://schemas.openxmlformats.org/officeDocument/2006/relationships/hyperlink" Target="#'Control example'!A1" TargetMode="External" Id="rId40"/><Relationship Type="http://schemas.openxmlformats.org/officeDocument/2006/relationships/hyperlink" Target="#'Control totals'!A1" TargetMode="External" Id="rId41"/><Relationship Type="http://schemas.openxmlformats.org/officeDocument/2006/relationships/hyperlink" Target="#'Code maps'!A1" TargetMode="External" Id="rId42"/><Relationship Type="http://schemas.openxmlformats.org/officeDocument/2006/relationships/hyperlink" Target="#'Code map template'!A1" TargetMode="External" Id="rId43"/><Relationship Type="http://schemas.openxmlformats.org/officeDocument/2006/relationships/hyperlink" Target="#'Validation rules'!A1" TargetMode="External" Id="rId44"/><Relationship Type="http://schemas.openxmlformats.org/officeDocument/2006/relationships/hyperlink" Target="#'Masking'!A1" TargetMode="External" Id="rId45"/><Relationship Type="http://schemas.openxmlformats.org/officeDocument/2006/relationships/hyperlink" Target="#'Cut-over tasks'!A1" TargetMode="External" Id="rId46"/><Relationship Type="http://schemas.openxmlformats.org/officeDocument/2006/relationships/hyperlink" Target="#'Cut-over roles'!A1" TargetMode="External" Id="rId47"/><Relationship Type="http://schemas.openxmlformats.org/officeDocument/2006/relationships/hyperlink" Target="#'Cut-over calendar'!A1" TargetMode="External" Id="rId48"/><Relationship Type="http://schemas.openxmlformats.org/officeDocument/2006/relationships/hyperlink" Target="#'Go-no-go checkpoints'!A1" TargetMode="External" Id="rId49"/><Relationship Type="http://schemas.openxmlformats.org/officeDocument/2006/relationships/hyperlink" Target="#'Freeze windows'!A1" TargetMode="External" Id="rId50"/><Relationship Type="http://schemas.openxmlformats.org/officeDocument/2006/relationships/hyperlink" Target="#'Rollback'!A1" TargetMode="External" Id="rId51"/><Relationship Type="http://schemas.openxmlformats.org/officeDocument/2006/relationships/hyperlink" Target="#'Communication'!A1" TargetMode="External" Id="rId52"/><Relationship Type="http://schemas.openxmlformats.org/officeDocument/2006/relationships/hyperlink" Target="#'Hypercare'!A1" TargetMode="External" Id="rId53"/><Relationship Type="http://schemas.openxmlformats.org/officeDocument/2006/relationships/hyperlink" Target="#'Decommissioning'!A1" TargetMode="External" Id="rId54"/><Relationship Type="http://schemas.openxmlformats.org/officeDocument/2006/relationships/hyperlink" Target="#'Reconciliation sign-off'!A1" TargetMode="External" Id="rId55"/><Relationship Type="http://schemas.openxmlformats.org/officeDocument/2006/relationships/hyperlink" Target="#'Open decisions'!A1" TargetMode="External" Id="rId56"/><Relationship Type="http://schemas.openxmlformats.org/officeDocument/2006/relationships/hyperlink" Target="#'Proposed rules'!A1" TargetMode="External" Id="rId57"/><Relationship Type="http://schemas.openxmlformats.org/officeDocument/2006/relationships/hyperlink" Target="#'Screen standards'!A1" TargetMode="External" Id="rId58"/><Relationship Type="http://schemas.openxmlformats.org/officeDocument/2006/relationships/hyperlink" Target="#'Screen catalogue'!A1" TargetMode="External" Id="rId59"/><Relationship Type="http://schemas.openxmlformats.org/officeDocument/2006/relationships/hyperlink" Target="#'Field register'!A1" TargetMode="External" Id="rId60"/><Relationship Type="http://schemas.openxmlformats.org/officeDocument/2006/relationships/hyperlink" Target="#'Actions'!A1" TargetMode="External" Id="rId61"/><Relationship Type="http://schemas.openxmlformats.org/officeDocument/2006/relationships/hyperlink" Target="#'Business rules'!A1" TargetMode="External" Id="rId62"/><Relationship Type="http://schemas.openxmlformats.org/officeDocument/2006/relationships/hyperlink" Target="#'Messages'!A1" TargetMode="External" Id="rId63"/><Relationship Type="http://schemas.openxmlformats.org/officeDocument/2006/relationships/hyperlink" Target="#'Notifications'!A1" TargetMode="External" Id="rId64"/><Relationship Type="http://schemas.openxmlformats.org/officeDocument/2006/relationships/hyperlink" Target="#'Menu by persona'!A1" TargetMode="External" Id="rId65"/><Relationship Type="http://schemas.openxmlformats.org/officeDocument/2006/relationships/hyperlink" Target="#'Cross-BRD contract'!A1" TargetMode="External" Id="rId66"/><Relationship Type="http://schemas.openxmlformats.org/officeDocument/2006/relationships/hyperlink" Target="#'Comments log'!A1" TargetMode="External" Id="rId67"/><Relationship Type="http://schemas.openxmlformats.org/officeDocument/2006/relationships/hyperlink" Target="#'Meeting minutes'!A1" TargetMode="External" Id="rId68"/><Relationship Type="http://schemas.openxmlformats.org/officeDocument/2006/relationships/hyperlink" Target="#'Version history'!A1" TargetMode="External" Id="rId69"/><Relationship Type="http://schemas.openxmlformats.org/officeDocument/2006/relationships/hyperlink" Target="#'Sign-off certificate'!A1" TargetMode="External" Id="rId70"/><Relationship Type="http://schemas.openxmlformats.org/officeDocument/2006/relationships/drawing" Target="/xl/drawings/drawing1.xml" Id="rId71"/></Relationships>
</file>

<file path=xl/worksheets/_rels/sheet9.xml.rels><Relationships xmlns="http://schemas.openxmlformats.org/package/2006/relationships"><Relationship Type="http://schemas.openxmlformats.org/officeDocument/2006/relationships/drawing" Target="/xl/drawings/drawing2.xml" Id="rId1"/></Relationships>
</file>

<file path=xl/worksheets/_rels/sheet10.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6.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7.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8.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9.xml.rels><Relationships xmlns="http://schemas.openxmlformats.org/package/2006/relationships"><Relationship Type="http://schemas.openxmlformats.org/officeDocument/2006/relationships/table" Target="/xl/tables/table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20.xml.rels><Relationships xmlns="http://schemas.openxmlformats.org/package/2006/relationships"><Relationship Type="http://schemas.openxmlformats.org/officeDocument/2006/relationships/table" Target="/xl/tables/table11.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1.xml.rels><Relationships xmlns="http://schemas.openxmlformats.org/package/2006/relationships"><Relationship Type="http://schemas.openxmlformats.org/officeDocument/2006/relationships/table" Target="/xl/tables/table12.xml" Id="rId1"/><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22.xml.rels><Relationships xmlns="http://schemas.openxmlformats.org/package/2006/relationships"><Relationship Type="http://schemas.openxmlformats.org/officeDocument/2006/relationships/table" Target="/xl/tables/table13.xml" Id="rId1"/><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3.xml.rels><Relationships xmlns="http://schemas.openxmlformats.org/package/2006/relationships"><Relationship Type="http://schemas.openxmlformats.org/officeDocument/2006/relationships/table" Target="/xl/tables/table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4.xml.rels><Relationships xmlns="http://schemas.openxmlformats.org/package/2006/relationships"><Relationship Type="http://schemas.openxmlformats.org/officeDocument/2006/relationships/table" Target="/xl/tables/table15.xml" Id="rId1"/><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5.xml.rels><Relationships xmlns="http://schemas.openxmlformats.org/package/2006/relationships"><Relationship Type="http://schemas.openxmlformats.org/officeDocument/2006/relationships/table" Target="/xl/tables/table16.xm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6.xml.rels><Relationships xmlns="http://schemas.openxmlformats.org/package/2006/relationships"><Relationship Type="http://schemas.openxmlformats.org/officeDocument/2006/relationships/table" Target="/xl/tables/table17.xml" Id="rId1"/><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7.xml.rels><Relationships xmlns="http://schemas.openxmlformats.org/package/2006/relationships"><Relationship Type="http://schemas.openxmlformats.org/officeDocument/2006/relationships/table" Target="/xl/tables/table18.xml" Id="rId1"/><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8.xml.rels><Relationships xmlns="http://schemas.openxmlformats.org/package/2006/relationships"><Relationship Type="http://schemas.openxmlformats.org/officeDocument/2006/relationships/table" Target="/xl/tables/table19.xml" Id="rId1"/><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9.xml.rels><Relationships xmlns="http://schemas.openxmlformats.org/package/2006/relationships"><Relationship Type="http://schemas.openxmlformats.org/officeDocument/2006/relationships/table" Target="/xl/tables/table20.xml" Id="rId1"/><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30.xml.rels><Relationships xmlns="http://schemas.openxmlformats.org/package/2006/relationships"><Relationship Type="http://schemas.openxmlformats.org/officeDocument/2006/relationships/table" Target="/xl/tables/table21.xml" Id="rId1"/><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1.xml.rels><Relationships xmlns="http://schemas.openxmlformats.org/package/2006/relationships"><Relationship Type="http://schemas.openxmlformats.org/officeDocument/2006/relationships/table" Target="/xl/tables/table22.xml" Id="rId1"/><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2.xml.rels><Relationships xmlns="http://schemas.openxmlformats.org/package/2006/relationships"><Relationship Type="http://schemas.openxmlformats.org/officeDocument/2006/relationships/table" Target="/xl/tables/table23.xml" Id="rId1"/><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33.xml.rels><Relationships xmlns="http://schemas.openxmlformats.org/package/2006/relationships"><Relationship Type="http://schemas.openxmlformats.org/officeDocument/2006/relationships/table" Target="/xl/tables/table24.xml" Id="rId1"/><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34.xml.rels><Relationships xmlns="http://schemas.openxmlformats.org/package/2006/relationships"><Relationship Type="http://schemas.openxmlformats.org/officeDocument/2006/relationships/table" Target="/xl/tables/table25.xml" Id="rId1"/><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35.xml.rels><Relationships xmlns="http://schemas.openxmlformats.org/package/2006/relationships"><Relationship Type="http://schemas.openxmlformats.org/officeDocument/2006/relationships/table" Target="/xl/tables/table26.xml" Id="rId1"/><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36.xml.rels><Relationships xmlns="http://schemas.openxmlformats.org/package/2006/relationships"><Relationship Type="http://schemas.openxmlformats.org/officeDocument/2006/relationships/table" Target="/xl/tables/table27.xml" Id="rId1"/><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37.xml.rels><Relationships xmlns="http://schemas.openxmlformats.org/package/2006/relationships"><Relationship Type="http://schemas.openxmlformats.org/officeDocument/2006/relationships/table" Target="/xl/tables/table28.xml" Id="rId1"/><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8.xml.rels><Relationships xmlns="http://schemas.openxmlformats.org/package/2006/relationships"><Relationship Type="http://schemas.openxmlformats.org/officeDocument/2006/relationships/table" Target="/xl/tables/table29.xml" Id="rId1"/><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sheet1.xml><?xml version="1.0" encoding="utf-8"?>
<worksheet xmlns="http://schemas.openxmlformats.org/spreadsheetml/2006/main">
  <sheetPr>
    <outlinePr summaryBelow="1" summaryRight="1"/>
    <pageSetUpPr fitToPage="1"/>
  </sheetPr>
  <dimension ref="B4:E9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MIGRATION WORKBOOK</t>
        </is>
      </c>
    </row>
    <row r="7" ht="32" customHeight="1">
      <c r="B7" s="3" t="inlineStr">
        <is>
          <t>Migration Workbook BRD-13 Data Migration</t>
        </is>
      </c>
    </row>
    <row r="8">
      <c r="B8" s="4" t="inlineStr">
        <is>
          <t>BRD-13 Data Migration – objects and decisions, load templates, code maps, validation rules, data owners, cut-over plan, reconciliation sign-off and the screens,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BRD-13</t>
        </is>
      </c>
    </row>
    <row r="13">
      <c r="B13" s="6" t="inlineStr">
        <is>
          <t>Version</t>
        </is>
      </c>
      <c r="C13" s="7" t="inlineStr">
        <is>
          <t>2.1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Object catalogue</t>
        </is>
      </c>
      <c r="C22" s="12" t="inlineStr">
        <is>
          <t>One row per legacy data object with the proposed decision and the four criteria of the BRD (BRID_MIG 1.1)</t>
        </is>
      </c>
      <c r="D22" s="12" t="n">
        <v>32</v>
      </c>
    </row>
    <row r="23">
      <c r="B23" s="13" t="inlineStr">
        <is>
          <t>Data owners</t>
        </is>
      </c>
      <c r="C23" s="14" t="inlineStr">
        <is>
          <t>Business owner and data steward of every object; BDOI names the people (DMQ01)</t>
        </is>
      </c>
      <c r="D23" s="14" t="n">
        <v>30</v>
      </c>
    </row>
    <row r="24">
      <c r="B24" s="11" t="inlineStr">
        <is>
          <t>Extract planning</t>
        </is>
      </c>
      <c r="C24" s="12" t="inlineStr">
        <is>
          <t>What BDOI extracts per object, how much, how far back and by when</t>
        </is>
      </c>
      <c r="D24" s="12" t="n">
        <v>26</v>
      </c>
    </row>
    <row r="25">
      <c r="B25" s="13" t="inlineStr">
        <is>
          <t>Milestones</t>
        </is>
      </c>
      <c r="C25" s="14" t="inlineStr">
        <is>
          <t>Milestones used in the Due and Needed-by columns</t>
        </is>
      </c>
      <c r="D25" s="14" t="n">
        <v>7</v>
      </c>
    </row>
    <row r="26">
      <c r="B26" s="11" t="inlineStr">
        <is>
          <t>File rules</t>
        </is>
      </c>
      <c r="C26" s="12" t="inlineStr">
        <is>
          <t>Rules of every extract and control file: the delivery rules of the console workbook, then the rules of the migration</t>
        </is>
      </c>
      <c r="D26" s="12" t="n">
        <v>11</v>
      </c>
    </row>
    <row r="27">
      <c r="B27" s="13" t="inlineStr">
        <is>
          <t>Load templates</t>
        </is>
      </c>
      <c r="C27" s="14" t="inlineStr">
        <is>
          <t>Who provides what, the steps and the templates in the order they are filled in</t>
        </is>
      </c>
      <c r="D27" s="14" t="n">
        <v>29</v>
      </c>
    </row>
    <row r="28">
      <c r="B28" s="11" t="inlineStr">
        <is>
          <t>R01 Lists of values and MIS val</t>
        </is>
      </c>
      <c r="C28" s="12" t="inlineStr">
        <is>
          <t>R01 Lists of values and MIS values: One row per record of Lists of values and MIS values as extracted from QPS, EBIX. Key list_type, code. Sent as the file R01_template.csv (CSV, header row as below) with its control file (row count, count of …</t>
        </is>
      </c>
      <c r="D28" s="12" t="n">
        <v>1</v>
      </c>
    </row>
    <row r="29">
      <c r="B29" s="13" t="inlineStr">
        <is>
          <t>R02 Branches and invoicing bran</t>
        </is>
      </c>
      <c r="C29" s="14" t="inlineStr">
        <is>
          <t>R02 Branches and invoicing branches: One row per record of Branches and invoicing branches as extracted from EBIX. Key branch_code. Sent as the file R02_template.csv (CSV, header row as below) with its control file (row count, count of distinct …</t>
        </is>
      </c>
      <c r="D29" s="14" t="n">
        <v>1</v>
      </c>
    </row>
    <row r="30">
      <c r="B30" s="11" t="inlineStr">
        <is>
          <t>R03 Sales organisation (units a</t>
        </is>
      </c>
      <c r="C30" s="12" t="inlineStr">
        <is>
          <t>R03 Sales organisation (units and account officers): One row per record of Sales organisation (regions, departments, teams, unit heads, account officers) as extracted from QPS, EBIX. Key record_type, unit_code, ao_user_id. Sent as the file …</t>
        </is>
      </c>
      <c r="D30" s="12" t="n">
        <v>1</v>
      </c>
    </row>
    <row r="31">
      <c r="B31" s="13" t="inlineStr">
        <is>
          <t>R04 Insurers</t>
        </is>
      </c>
      <c r="C31" s="14" t="inlineStr">
        <is>
          <t>R04 Insurers: One row per record of Insurers and insurer branches as extracted from QPS, EBIX. Key insurer_code. Sent as the file R04_template.csv (CSV, header row as below) with its control file (row count, count of distinct keys).</t>
        </is>
      </c>
      <c r="D31" s="14" t="n">
        <v>1</v>
      </c>
    </row>
    <row r="32">
      <c r="B32" s="11" t="inlineStr">
        <is>
          <t>R04B Insurer branches</t>
        </is>
      </c>
      <c r="C32" s="12" t="inlineStr">
        <is>
          <t>R04B Insurer branches: One row per record of Insurers and insurer branches as extracted from QPS, EBIX. Key insurer_code, branch_code. Sent as the file R04B_template.csv (CSV, header row as below) with its control file (row count, count of distinct …</t>
        </is>
      </c>
      <c r="D32" s="12" t="n">
        <v>1</v>
      </c>
    </row>
    <row r="33">
      <c r="B33" s="13" t="inlineStr">
        <is>
          <t>R05 Product lines, cover types,</t>
        </is>
      </c>
      <c r="C33" s="14" t="inlineStr">
        <is>
          <t>R05 Product lines, cover types, products and risk codes: One row per record of Product lines, cover types, products and risk codes as extracted from QPS, EBIX. Key risk_code. Sent as the file R05_template.csv (CSV, header row as below) with its …</t>
        </is>
      </c>
      <c r="D33" s="14" t="n">
        <v>1</v>
      </c>
    </row>
    <row r="34">
      <c r="B34" s="11" t="inlineStr">
        <is>
          <t>R06 Package code map (legacy pa</t>
        </is>
      </c>
      <c r="C34" s="12" t="inlineStr">
        <is>
          <t>R06 Package code map (legacy package to BIBS package version): One row per record of Package code map (legacy package and version to BIBS package version) as extracted from QPS (legacy packages); TSU (BIBS package versions). Key …</t>
        </is>
      </c>
      <c r="D34" s="12" t="n">
        <v>1</v>
      </c>
    </row>
    <row r="35">
      <c r="B35" s="13" t="inlineStr">
        <is>
          <t>R07 Commission rates by insurer</t>
        </is>
      </c>
      <c r="C35" s="14" t="inlineStr">
        <is>
          <t>R07 Commission rates by insurer and product: One row per record of Commission rates by insurer and product as extracted from QPS, EBIX. Key insurer_code, risk_code, effective_from. Sent as the file R07_template.csv (CSV, header row as below) with …</t>
        </is>
      </c>
      <c r="D35" s="14" t="n">
        <v>1</v>
      </c>
    </row>
    <row r="36">
      <c r="B36" s="11" t="inlineStr">
        <is>
          <t>R08 Chart of accounts mapping</t>
        </is>
      </c>
      <c r="C36" s="12" t="inlineStr">
        <is>
          <t>R08 Chart of accounts mapping: One row per record of Chart of accounts mapping (legacy GL account to BIBS account) as extracted from EBIX, ISYS GL. Key legacy_account_code. Sent as the file R08_template.csv (CSV, header row as below) with its …</t>
        </is>
      </c>
      <c r="D36" s="12" t="n">
        <v>1</v>
      </c>
    </row>
    <row r="37">
      <c r="B37" s="13" t="inlineStr">
        <is>
          <t>R09 Payees</t>
        </is>
      </c>
      <c r="C37" s="14" t="inlineStr">
        <is>
          <t>R09 Payees: One row per record of Payees as extracted from EBIX, Disbursement files. Key payee_code. Sent as the file R09_template.csv (CSV, header row as below) with its control file (row count, count of distinct keys).</t>
        </is>
      </c>
      <c r="D37" s="14" t="n">
        <v>1</v>
      </c>
    </row>
    <row r="38">
      <c r="B38" s="11" t="inlineStr">
        <is>
          <t>R11 Receipt series in use</t>
        </is>
      </c>
      <c r="C38" s="12" t="inlineStr">
        <is>
          <t>R11 Receipt series in use: One row per record of Receipt series in use (AR and OR, ATP and next number) as extracted from EBIX. Key branch_code, kind, prefix. Sent as the file R11_template.csv (CSV, header row as below) with its control file (row …</t>
        </is>
      </c>
      <c r="D38" s="12" t="n">
        <v>1</v>
      </c>
    </row>
    <row r="39">
      <c r="B39" s="13" t="inlineStr">
        <is>
          <t>C01 Client master</t>
        </is>
      </c>
      <c r="C39" s="14" t="inlineStr">
        <is>
          <t>C01 Client master: One row per record of Client master (individual and corporate) as extracted from QPS, EBIX, CMS. Key legacy_client_no. Sent as the file C01_template.csv (CSV, header row as below) with its control file (row count, count of …</t>
        </is>
      </c>
      <c r="D39" s="14" t="n">
        <v>1</v>
      </c>
    </row>
    <row r="40">
      <c r="B40" s="11" t="inlineStr">
        <is>
          <t>C02 Client addresses and contac</t>
        </is>
      </c>
      <c r="C40" s="12" t="inlineStr">
        <is>
          <t>C02 Client addresses and contacts: One row per record of Client master (individual and corporate) as extracted from QPS, EBIX, CMS. Key legacy_client_no, record_type, seq_no. Sent as the file C02_template.csv (CSV, header row as below) with its …</t>
        </is>
      </c>
      <c r="D40" s="12" t="n">
        <v>1</v>
      </c>
    </row>
    <row r="41">
      <c r="B41" s="13" t="inlineStr">
        <is>
          <t>C03 Client payout accounts</t>
        </is>
      </c>
      <c r="C41" s="14" t="inlineStr">
        <is>
          <t>C03 Client payout accounts: One row per record of Client payout accounts (for refunds) as extracted from EBIX. Key legacy_client_no, account_no. Sent as the file C03_template.csv (CSV, header row as below) with its control file (row count, row …</t>
        </is>
      </c>
      <c r="D41" s="14" t="n">
        <v>1</v>
      </c>
    </row>
    <row r="42">
      <c r="B42" s="11" t="inlineStr">
        <is>
          <t>P01 In-force policy headers</t>
        </is>
      </c>
      <c r="C42" s="12" t="inlineStr">
        <is>
          <t>P01 In-force policy headers: One row per record of In-force policy headers as extracted from QPS, EBIX. Key legacy_policy_ref. Sent as the file P01_template.csv (CSV, header row as below) with its control file (row count, count of distinct keys …</t>
        </is>
      </c>
      <c r="D42" s="12" t="n">
        <v>1</v>
      </c>
    </row>
    <row r="43">
      <c r="B43" s="13" t="inlineStr">
        <is>
          <t>P01S Policy insurer shares</t>
        </is>
      </c>
      <c r="C43" s="14" t="inlineStr">
        <is>
          <t>P01S Policy insurer shares: One row per record of In-force policy headers as extracted from QPS, EBIX. Key legacy_policy_ref, share_seq. Sent as the file P01S_template.csv (CSV, header row as below) with its control file (row count, row count).</t>
        </is>
      </c>
      <c r="D43" s="14" t="n">
        <v>1</v>
      </c>
    </row>
    <row r="44">
      <c r="B44" s="11" t="inlineStr">
        <is>
          <t>F01 Open legacy invoices - head</t>
        </is>
      </c>
      <c r="C44" s="12" t="inlineStr">
        <is>
          <t>F01 Open legacy invoices - header: One row per record of Open legacy invoices (premium receivable, paid not remitted, commission receivable, PR2307), with components and insurer shares as extracted from EBIX, QPS. Key legacy_invoice_no. Sent as the …</t>
        </is>
      </c>
      <c r="D44" s="12" t="n">
        <v>1</v>
      </c>
    </row>
    <row r="45">
      <c r="B45" s="13" t="inlineStr">
        <is>
          <t>F01C Open legacy invoices - com</t>
        </is>
      </c>
      <c r="C45" s="14" t="inlineStr">
        <is>
          <t>F01C Open legacy invoices - components and positions: One row per record of Open legacy invoices (premium receivable, paid not remitted, commission receivable, PR2307), with components and insurer shares as extracted from EBIX, QPS. Key …</t>
        </is>
      </c>
      <c r="D45" s="14" t="n">
        <v>1</v>
      </c>
    </row>
    <row r="46">
      <c r="B46" s="11" t="inlineStr">
        <is>
          <t>F01S Open legacy invoices - ins</t>
        </is>
      </c>
      <c r="C46" s="12" t="inlineStr">
        <is>
          <t>F01S Open legacy invoices - insurer shares: One row per record of Open legacy invoices (premium receivable, paid not remitted, commission receivable, PR2307), with components and insurer shares as extracted from EBIX, QPS. Key legacy_invoice_no …</t>
        </is>
      </c>
      <c r="D46" s="12" t="n">
        <v>1</v>
      </c>
    </row>
    <row r="47">
      <c r="B47" s="13" t="inlineStr">
        <is>
          <t>F02 Unapplied premium payments</t>
        </is>
      </c>
      <c r="C47" s="14" t="inlineStr">
        <is>
          <t>F02 Unapplied premium payments (UPP): One row per record of Unapplied premium payments (UPP) with disposition in progress as extracted from EBIX, CMS. Key legacy_upp_ref. Sent as the file F02_template.csv (CSV, header row as below) with its control …</t>
        </is>
      </c>
      <c r="D47" s="14" t="n">
        <v>1</v>
      </c>
    </row>
    <row r="48">
      <c r="B48" s="11" t="inlineStr">
        <is>
          <t>F03 Open collection state</t>
        </is>
      </c>
      <c r="C48" s="12" t="inlineStr">
        <is>
          <t>F03 Open collection state: One row per record of Open collection state (dispositions, promises to pay, installment plans, collector assignments) as extracted from CMS. Key legacy_invoice_no, record_type, seq_no. Sent as the file F03_template.csv …</t>
        </is>
      </c>
      <c r="D48" s="12" t="n">
        <v>1</v>
      </c>
    </row>
    <row r="49">
      <c r="B49" s="13" t="inlineStr">
        <is>
          <t>F04 Remittance in flight</t>
        </is>
      </c>
      <c r="C49" s="14" t="inlineStr">
        <is>
          <t>F04 Remittance in flight: One row per record of Remittance in flight (batches not yet paid, holds, special remittances) as extracted from EBIX. Key legacy_batch_no, legacy_invoice_no. Sent as the file F04_template.csv (CSV, header row as below) …</t>
        </is>
      </c>
      <c r="D49" s="14" t="n">
        <v>1</v>
      </c>
    </row>
    <row r="50">
      <c r="B50" s="11" t="inlineStr">
        <is>
          <t>F06 PDCs, check pick-ups and re</t>
        </is>
      </c>
      <c r="C50" s="12" t="inlineStr">
        <is>
          <t>F06 PDCs, check pick-ups and refunds in process: One row per record of PDCs in the warehouse, check pick-ups and refunds in process as extracted from EBIX. Key record_type, reference. Sent as the file F06_template.csv (CSV, header row as below) …</t>
        </is>
      </c>
      <c r="D50" s="12" t="n">
        <v>1</v>
      </c>
    </row>
    <row r="51">
      <c r="B51" s="13" t="inlineStr">
        <is>
          <t>G01 GL opening trial balance</t>
        </is>
      </c>
      <c r="C51" s="14" t="inlineStr">
        <is>
          <t>G01 GL opening trial balance: One row per record of GL trial balance per account, branch and currency (provisional opening; legacy TB at each true-up) as extracted from EBIX GL, ISYS GL. Key tb_version, branch_code, currency, legacy_account_code …</t>
        </is>
      </c>
      <c r="D51" s="14" t="n">
        <v>1</v>
      </c>
    </row>
    <row r="52">
      <c r="B52" s="11" t="inlineStr">
        <is>
          <t>P03 Renewal advices already sen</t>
        </is>
      </c>
      <c r="C52" s="12" t="inlineStr">
        <is>
          <t>P03 Renewal advices already sent before go-live (RA-sent file): One row per record of Renewal advices already sent before go-live (RA-sent file) as extracted from Excel RA trackers of the Renewal processing team. Key legacy_policy_ref. Sent as the …</t>
        </is>
      </c>
      <c r="D52" s="12" t="n">
        <v>1</v>
      </c>
    </row>
    <row r="53">
      <c r="B53" s="13" t="inlineStr">
        <is>
          <t>H01 Archive records (closed tra</t>
        </is>
      </c>
      <c r="C53" s="14" t="inlineStr">
        <is>
          <t>H01 Archive records (closed transactions and history): One row per record of Closed transactions (paid and remitted invoices, receipts, remittances, endorsements, claims, renewal advices, letters) as extracted from EBIX, QPS, ISYS. Key record_type …</t>
        </is>
      </c>
      <c r="D53" s="14" t="n">
        <v>1</v>
      </c>
    </row>
    <row r="54">
      <c r="B54" s="11" t="inlineStr">
        <is>
          <t>H02 Archive documents index</t>
        </is>
      </c>
      <c r="C54" s="12" t="inlineStr">
        <is>
          <t>H02 Archive documents index: One row per record of Legacy documents (policies, SOAs, ORs, certificates, letters) as extracted from File shares, EBIX. Key record_type, legacy_key, file_name. Sent as the file H02_template.csv (CSV, header row as …</t>
        </is>
      </c>
      <c r="D54" s="12" t="n">
        <v>1</v>
      </c>
    </row>
    <row r="55">
      <c r="B55" s="13" t="inlineStr">
        <is>
          <t>G03 FY2027 true-up - legacy adj</t>
        </is>
      </c>
      <c r="C55" s="14" t="inlineStr">
        <is>
          <t>G03 FY2027 true-up - legacy adjustment journal lines after the freeze: One row per record of FY2027 opening-balance true-ups (legacy adjustment journals after the freeze and their open-item detail) as extracted from EBIX GL, ISYS GL; FY2027 …</t>
        </is>
      </c>
      <c r="D55" s="14" t="n">
        <v>1</v>
      </c>
    </row>
    <row r="56">
      <c r="B56" s="11" t="inlineStr">
        <is>
          <t>G03D FY2027 true-up - open-item</t>
        </is>
      </c>
      <c r="C56" s="12" t="inlineStr">
        <is>
          <t>G03D FY2027 true-up - open-item detail of the lines on legacy control accounts: One row per record of FY2027 opening-balance true-ups (legacy adjustment journals after the freeze and their open-item detail) as extracted from EBIX GL, ISYS GL …</t>
        </is>
      </c>
      <c r="D56" s="12" t="n">
        <v>1</v>
      </c>
    </row>
    <row r="57">
      <c r="B57" s="13" t="inlineStr">
        <is>
          <t>Reference lists</t>
        </is>
      </c>
      <c r="C57" s="14" t="inlineStr">
        <is>
          <t>Every list of allowed values used by the drop-downs (code and label)</t>
        </is>
      </c>
      <c r="D57" s="14" t="n">
        <v>139</v>
      </c>
    </row>
    <row r="58">
      <c r="B58" s="11" t="inlineStr">
        <is>
          <t>Control file</t>
        </is>
      </c>
      <c r="C58" s="12" t="inlineStr">
        <is>
          <t>The control file sent with every data file (&lt;data file name&gt;.ctl.csv): one row per measure</t>
        </is>
      </c>
      <c r="D58" s="12" t="n">
        <v>12</v>
      </c>
    </row>
    <row r="59">
      <c r="B59" s="13" t="inlineStr">
        <is>
          <t>Control example</t>
        </is>
      </c>
      <c r="C59" s="14" t="inlineStr">
        <is>
          <t>Example control file of F01C (made-up values)</t>
        </is>
      </c>
      <c r="D59" s="14" t="n">
        <v>7</v>
      </c>
    </row>
    <row r="60">
      <c r="B60" s="11" t="inlineStr">
        <is>
          <t>Control totals</t>
        </is>
      </c>
      <c r="C60" s="12" t="inlineStr">
        <is>
          <t>Control totals per layout; the tie-out sheet of reconciliation levels L1 to L3 in each run</t>
        </is>
      </c>
      <c r="D60" s="12" t="n">
        <v>116</v>
      </c>
    </row>
    <row r="61">
      <c r="B61" s="13" t="inlineStr">
        <is>
          <t>Code maps</t>
        </is>
      </c>
      <c r="C61" s="14" t="inlineStr">
        <is>
          <t>Code map sets of the Migration Console (BRID_MIG 3.1): one per domain, versioned and approved by the business owner</t>
        </is>
      </c>
      <c r="D61" s="14" t="n">
        <v>34</v>
      </c>
    </row>
    <row r="62">
      <c r="B62" s="11" t="inlineStr">
        <is>
          <t>Code map template</t>
        </is>
      </c>
      <c r="C62" s="12" t="inlineStr">
        <is>
          <t>Columns of a code map version as exported and imported in Excel on the Code Maps screen (the columns source_system to remarks; illustrative rows)</t>
        </is>
      </c>
      <c r="D62" s="12" t="n">
        <v>11</v>
      </c>
    </row>
    <row r="63">
      <c r="B63" s="13" t="inlineStr">
        <is>
          <t>Validation rules</t>
        </is>
      </c>
      <c r="C63" s="14" t="inlineStr">
        <is>
          <t>Data-quality rules applied to every staged row (Layouts and Rules, Data-Quality Rules). Thresholds: master data 0.5 percent rejected or waived; financial objects none</t>
        </is>
      </c>
      <c r="D63" s="14" t="n">
        <v>54</v>
      </c>
    </row>
    <row r="64">
      <c r="B64" s="11" t="inlineStr">
        <is>
          <t>Masking</t>
        </is>
      </c>
      <c r="C64" s="12" t="inlineStr">
        <is>
          <t>Personal data masked when a file is received in any environment other than production</t>
        </is>
      </c>
      <c r="D64" s="12" t="n">
        <v>31</v>
      </c>
    </row>
    <row r="65">
      <c r="B65" s="13" t="inlineStr">
        <is>
          <t>Cut-over tasks</t>
        </is>
      </c>
      <c r="C65" s="14" t="inlineStr">
        <is>
          <t>The production cut-over plan from T-30 to the close of the opening-balance adjustments</t>
        </is>
      </c>
      <c r="D65" s="14" t="n">
        <v>95</v>
      </c>
    </row>
    <row r="66">
      <c r="B66" s="11" t="inlineStr">
        <is>
          <t>Cut-over roles</t>
        </is>
      </c>
      <c r="C66" s="12" t="inlineStr">
        <is>
          <t>Owner roles of the task plan</t>
        </is>
      </c>
      <c r="D66" s="12" t="n">
        <v>16</v>
      </c>
    </row>
    <row r="67">
      <c r="B67" s="13" t="inlineStr">
        <is>
          <t>Cut-over calendar</t>
        </is>
      </c>
      <c r="C67" s="14" t="inlineStr">
        <is>
          <t>Relative days on the calendar of the proposed go-live (DMQ25, DMQ39)</t>
        </is>
      </c>
      <c r="D67" s="14" t="n">
        <v>26</v>
      </c>
    </row>
    <row r="68">
      <c r="B68" s="11" t="inlineStr">
        <is>
          <t>Go-no-go checkpoints</t>
        </is>
      </c>
      <c r="C68" s="12" t="inlineStr">
        <is>
          <t>Go / no-go checkpoints and their criteria</t>
        </is>
      </c>
      <c r="D68" s="12" t="n">
        <v>35</v>
      </c>
    </row>
    <row r="69">
      <c r="B69" s="13" t="inlineStr">
        <is>
          <t>Freeze windows</t>
        </is>
      </c>
      <c r="C69" s="14" t="inlineStr">
        <is>
          <t>Freeze windows of the legacy systems and of BIBS</t>
        </is>
      </c>
      <c r="D69" s="14" t="n">
        <v>6</v>
      </c>
    </row>
    <row r="70">
      <c r="B70" s="11" t="inlineStr">
        <is>
          <t>Rollback</t>
        </is>
      </c>
      <c r="C70" s="12" t="inlineStr">
        <is>
          <t>Rollback procedure (only on NO-GO, before the point of no return)</t>
        </is>
      </c>
      <c r="D70" s="12" t="n">
        <v>8</v>
      </c>
    </row>
    <row r="71">
      <c r="B71" s="13" t="inlineStr">
        <is>
          <t>Communication</t>
        </is>
      </c>
      <c r="C71" s="14" t="inlineStr">
        <is>
          <t>Communication plan of the cut-over</t>
        </is>
      </c>
      <c r="D71" s="14" t="n">
        <v>12</v>
      </c>
    </row>
    <row r="72">
      <c r="B72" s="11" t="inlineStr">
        <is>
          <t>Hypercare</t>
        </is>
      </c>
      <c r="C72" s="12" t="inlineStr">
        <is>
          <t>Hypercare roster and exit criteria</t>
        </is>
      </c>
      <c r="D72" s="12" t="n">
        <v>17</v>
      </c>
    </row>
    <row r="73">
      <c r="B73" s="13" t="inlineStr">
        <is>
          <t>Decommissioning</t>
        </is>
      </c>
      <c r="C73" s="14" t="inlineStr">
        <is>
          <t>Checklist per legacy system and for the legacy context (BRID_MIG 12.1; DMQ27)</t>
        </is>
      </c>
      <c r="D73" s="14" t="n">
        <v>31</v>
      </c>
    </row>
    <row r="74">
      <c r="B74" s="11" t="inlineStr">
        <is>
          <t>Reconciliation sign-off</t>
        </is>
      </c>
      <c r="C74" s="12" t="inlineStr">
        <is>
          <t>Reconciliation and acceptance of every object with a load template: what each level proves and who signs (Handbook Part C)</t>
        </is>
      </c>
      <c r="D74" s="12" t="n">
        <v>23</v>
      </c>
    </row>
    <row r="75">
      <c r="B75" s="13" t="inlineStr">
        <is>
          <t>Open decisions</t>
        </is>
      </c>
      <c r="C75" s="14" t="inlineStr">
        <is>
          <t>Decisions of BDOI that the migration waits for, with the date each is needed by</t>
        </is>
      </c>
      <c r="D75" s="14" t="n">
        <v>42</v>
      </c>
    </row>
    <row r="76">
      <c r="B76" s="11" t="inlineStr">
        <is>
          <t>Proposed rules</t>
        </is>
      </c>
      <c r="C76" s="12" t="inlineStr">
        <is>
          <t>Proposed business rules and clarifications for confirmation (Handbook chapter of the same name)</t>
        </is>
      </c>
      <c r="D76" s="12" t="n">
        <v>48</v>
      </c>
    </row>
    <row r="77">
      <c r="B77" s="13" t="inlineStr">
        <is>
          <t>Screen standards</t>
        </is>
      </c>
      <c r="C77" s="14" t="inlineStr">
        <is>
          <t>Elements and standards shared by every screen (workflow stepper and history, pills, dates, uploads, messages, notifications); described once, not repeated per screen</t>
        </is>
      </c>
      <c r="D77" s="14" t="n">
        <v>9</v>
      </c>
    </row>
    <row r="78">
      <c r="B78" s="11" t="inlineStr">
        <is>
          <t>Screen catalogue</t>
        </is>
      </c>
      <c r="C78" s="12" t="inlineStr">
        <is>
          <t>One row per Data Migration screen</t>
        </is>
      </c>
      <c r="D78" s="12" t="n">
        <v>20</v>
      </c>
    </row>
    <row r="79">
      <c r="B79" s="13" t="inlineStr">
        <is>
          <t>Field register</t>
        </is>
      </c>
      <c r="C79" s="14" t="inlineStr">
        <is>
          <t>Every field and list column of every screen</t>
        </is>
      </c>
      <c r="D79" s="14" t="n">
        <v>190</v>
      </c>
    </row>
    <row r="80">
      <c r="B80" s="11" t="inlineStr">
        <is>
          <t>Actions</t>
        </is>
      </c>
      <c r="C80" s="12" t="inlineStr">
        <is>
          <t>Every action (button) of every screen</t>
        </is>
      </c>
      <c r="D80" s="12" t="n">
        <v>87</v>
      </c>
    </row>
    <row r="81">
      <c r="B81" s="13" t="inlineStr">
        <is>
          <t>Business rules</t>
        </is>
      </c>
      <c r="C81" s="14" t="inlineStr">
        <is>
          <t>The business rules stated on the screens</t>
        </is>
      </c>
      <c r="D81" s="14" t="n">
        <v>68</v>
      </c>
    </row>
    <row r="82">
      <c r="B82" s="11" t="inlineStr">
        <is>
          <t>Messages</t>
        </is>
      </c>
      <c r="C82" s="12" t="inlineStr">
        <is>
          <t>Every validation, error, warning and confirmation message</t>
        </is>
      </c>
      <c r="D82" s="12" t="n">
        <v>217</v>
      </c>
    </row>
    <row r="83">
      <c r="B83" s="13" t="inlineStr">
        <is>
          <t>Notifications</t>
        </is>
      </c>
      <c r="C83" s="14" t="inlineStr">
        <is>
          <t>In-app notifications and e-mails</t>
        </is>
      </c>
      <c r="D83" s="14" t="n">
        <v>10</v>
      </c>
    </row>
    <row r="84">
      <c r="B84" s="11" t="inlineStr">
        <is>
          <t>Menu by persona</t>
        </is>
      </c>
      <c r="C84" s="12" t="inlineStr">
        <is>
          <t>What each Data Migration persona sees in the sidebar (from the role grants)</t>
        </is>
      </c>
      <c r="D84" s="12" t="n">
        <v>437</v>
      </c>
    </row>
    <row r="85">
      <c r="B85" s="13" t="inlineStr">
        <is>
          <t>Cross-BRD contract</t>
        </is>
      </c>
      <c r="C85" s="14" t="inlineStr">
        <is>
          <t>What Data Migration takes from and hands to the other BRDs and systems; a change is a change request</t>
        </is>
      </c>
      <c r="D85" s="14" t="n">
        <v>12</v>
      </c>
    </row>
    <row r="86">
      <c r="B86" s="11" t="inlineStr">
        <is>
          <t>Comments log</t>
        </is>
      </c>
      <c r="C86" s="12" t="inlineStr">
        <is>
          <t>Questions, corrections and change requests raised during the review, with the answer</t>
        </is>
      </c>
      <c r="D86" s="12" t="n">
        <v>50</v>
      </c>
    </row>
    <row r="87">
      <c r="B87" s="13" t="inlineStr">
        <is>
          <t>Meeting minutes</t>
        </is>
      </c>
      <c r="C87" s="14" t="inlineStr">
        <is>
          <t>Minutes of the review sessions</t>
        </is>
      </c>
      <c r="D87" s="14" t="n">
        <v>3</v>
      </c>
    </row>
    <row r="88">
      <c r="B88" s="11" t="inlineStr">
        <is>
          <t>Version history</t>
        </is>
      </c>
      <c r="C88" s="12" t="inlineStr">
        <is>
          <t>Versions of this release set (a revision after review is v2.1; after sign-off, a change request)</t>
        </is>
      </c>
      <c r="D88" s="12" t="n">
        <v>1</v>
      </c>
    </row>
    <row r="89">
      <c r="B89" s="13" t="inlineStr">
        <is>
          <t>Sign-off certificate</t>
        </is>
      </c>
      <c r="C89" s="14" t="inlineStr">
        <is>
          <t>By signing, the signatories confirm the BRD-13 Data Migration – Business Sign-off Pack v2.1: its content, screens and navigation are frozen; the screenshots use fictitious seed data; later changes go through the Change Management Register</t>
        </is>
      </c>
      <c r="D89" s="14" t="n">
        <v>17</v>
      </c>
    </row>
    <row r="91">
      <c r="B91" s="9" t="inlineStr">
        <is>
          <t>Legend</t>
        </is>
      </c>
    </row>
    <row r="92">
      <c r="B92" s="15" t="inlineStr">
        <is>
          <t>Accept</t>
        </is>
      </c>
      <c r="C92" s="16" t="inlineStr">
        <is>
          <t>The row is correct as specified</t>
        </is>
      </c>
    </row>
    <row r="93">
      <c r="B93" s="15" t="inlineStr">
        <is>
          <t>Change requested</t>
        </is>
      </c>
      <c r="C93" s="16" t="inlineStr">
        <is>
          <t>The row must change: describe the change in BU comment</t>
        </is>
      </c>
    </row>
    <row r="94">
      <c r="B94" s="15" t="inlineStr">
        <is>
          <t>Comment</t>
        </is>
      </c>
      <c r="C94" s="16" t="inlineStr">
        <is>
          <t>A remark that does not change the row</t>
        </is>
      </c>
    </row>
    <row r="96">
      <c r="B96" s="17" t="inlineStr">
        <is>
          <t>Issued on 08-Oct-2026 with the Data Migration Handbook v2.1, re-based on the Data Migration BRD V0.03. The load template sheets are the layouts of the Migration Console column for column, each with its guide above the header row; the sheet Load templates lists them in load order. The console exports the same templates (Layouts and Rules).</t>
        </is>
      </c>
    </row>
    <row r="97">
      <c r="B97" s="17" t="inlineStr">
        <is>
          <t>Fill in the BU review columns (on a load template sheet, the BU review rows above each column) and, on the Proposed rules sheet, the BDOI decision. After sign-off the objects, decisions, layouts, screens and rules are frozen; later changes go through the Change Management Register.</t>
        </is>
      </c>
    </row>
    <row r="99" ht="26" customHeight="1">
      <c r="B99"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 xmlns:r="http://schemas.openxmlformats.org/officeDocument/2006/relationships" ref="B38" r:id="rId19"/>
    <hyperlink xmlns:r="http://schemas.openxmlformats.org/officeDocument/2006/relationships" ref="B39" r:id="rId20"/>
    <hyperlink xmlns:r="http://schemas.openxmlformats.org/officeDocument/2006/relationships" ref="B40" r:id="rId21"/>
    <hyperlink xmlns:r="http://schemas.openxmlformats.org/officeDocument/2006/relationships" ref="B41" r:id="rId22"/>
    <hyperlink xmlns:r="http://schemas.openxmlformats.org/officeDocument/2006/relationships" ref="B42" r:id="rId23"/>
    <hyperlink xmlns:r="http://schemas.openxmlformats.org/officeDocument/2006/relationships" ref="B43" r:id="rId24"/>
    <hyperlink xmlns:r="http://schemas.openxmlformats.org/officeDocument/2006/relationships" ref="B44" r:id="rId25"/>
    <hyperlink xmlns:r="http://schemas.openxmlformats.org/officeDocument/2006/relationships" ref="B45" r:id="rId26"/>
    <hyperlink xmlns:r="http://schemas.openxmlformats.org/officeDocument/2006/relationships" ref="B46" r:id="rId27"/>
    <hyperlink xmlns:r="http://schemas.openxmlformats.org/officeDocument/2006/relationships" ref="B47" r:id="rId28"/>
    <hyperlink xmlns:r="http://schemas.openxmlformats.org/officeDocument/2006/relationships" ref="B48" r:id="rId29"/>
    <hyperlink xmlns:r="http://schemas.openxmlformats.org/officeDocument/2006/relationships" ref="B49" r:id="rId30"/>
    <hyperlink xmlns:r="http://schemas.openxmlformats.org/officeDocument/2006/relationships" ref="B50" r:id="rId31"/>
    <hyperlink xmlns:r="http://schemas.openxmlformats.org/officeDocument/2006/relationships" ref="B51" r:id="rId32"/>
    <hyperlink xmlns:r="http://schemas.openxmlformats.org/officeDocument/2006/relationships" ref="B52" r:id="rId33"/>
    <hyperlink xmlns:r="http://schemas.openxmlformats.org/officeDocument/2006/relationships" ref="B53" r:id="rId34"/>
    <hyperlink xmlns:r="http://schemas.openxmlformats.org/officeDocument/2006/relationships" ref="B54" r:id="rId35"/>
    <hyperlink xmlns:r="http://schemas.openxmlformats.org/officeDocument/2006/relationships" ref="B55" r:id="rId36"/>
    <hyperlink xmlns:r="http://schemas.openxmlformats.org/officeDocument/2006/relationships" ref="B56" r:id="rId37"/>
    <hyperlink xmlns:r="http://schemas.openxmlformats.org/officeDocument/2006/relationships" ref="B57" r:id="rId38"/>
    <hyperlink xmlns:r="http://schemas.openxmlformats.org/officeDocument/2006/relationships" ref="B58" r:id="rId39"/>
    <hyperlink xmlns:r="http://schemas.openxmlformats.org/officeDocument/2006/relationships" ref="B59" r:id="rId40"/>
    <hyperlink xmlns:r="http://schemas.openxmlformats.org/officeDocument/2006/relationships" ref="B60" r:id="rId41"/>
    <hyperlink xmlns:r="http://schemas.openxmlformats.org/officeDocument/2006/relationships" ref="B61" r:id="rId42"/>
    <hyperlink xmlns:r="http://schemas.openxmlformats.org/officeDocument/2006/relationships" ref="B62" r:id="rId43"/>
    <hyperlink xmlns:r="http://schemas.openxmlformats.org/officeDocument/2006/relationships" ref="B63" r:id="rId44"/>
    <hyperlink xmlns:r="http://schemas.openxmlformats.org/officeDocument/2006/relationships" ref="B64" r:id="rId45"/>
    <hyperlink xmlns:r="http://schemas.openxmlformats.org/officeDocument/2006/relationships" ref="B65" r:id="rId46"/>
    <hyperlink xmlns:r="http://schemas.openxmlformats.org/officeDocument/2006/relationships" ref="B66" r:id="rId47"/>
    <hyperlink xmlns:r="http://schemas.openxmlformats.org/officeDocument/2006/relationships" ref="B67" r:id="rId48"/>
    <hyperlink xmlns:r="http://schemas.openxmlformats.org/officeDocument/2006/relationships" ref="B68" r:id="rId49"/>
    <hyperlink xmlns:r="http://schemas.openxmlformats.org/officeDocument/2006/relationships" ref="B69" r:id="rId50"/>
    <hyperlink xmlns:r="http://schemas.openxmlformats.org/officeDocument/2006/relationships" ref="B70" r:id="rId51"/>
    <hyperlink xmlns:r="http://schemas.openxmlformats.org/officeDocument/2006/relationships" ref="B71" r:id="rId52"/>
    <hyperlink xmlns:r="http://schemas.openxmlformats.org/officeDocument/2006/relationships" ref="B72" r:id="rId53"/>
    <hyperlink xmlns:r="http://schemas.openxmlformats.org/officeDocument/2006/relationships" ref="B73" r:id="rId54"/>
    <hyperlink xmlns:r="http://schemas.openxmlformats.org/officeDocument/2006/relationships" ref="B74" r:id="rId55"/>
    <hyperlink xmlns:r="http://schemas.openxmlformats.org/officeDocument/2006/relationships" ref="B75" r:id="rId56"/>
    <hyperlink xmlns:r="http://schemas.openxmlformats.org/officeDocument/2006/relationships" ref="B76" r:id="rId57"/>
    <hyperlink xmlns:r="http://schemas.openxmlformats.org/officeDocument/2006/relationships" ref="B77" r:id="rId58"/>
    <hyperlink xmlns:r="http://schemas.openxmlformats.org/officeDocument/2006/relationships" ref="B78" r:id="rId59"/>
    <hyperlink xmlns:r="http://schemas.openxmlformats.org/officeDocument/2006/relationships" ref="B79" r:id="rId60"/>
    <hyperlink xmlns:r="http://schemas.openxmlformats.org/officeDocument/2006/relationships" ref="B80" r:id="rId61"/>
    <hyperlink xmlns:r="http://schemas.openxmlformats.org/officeDocument/2006/relationships" ref="B81" r:id="rId62"/>
    <hyperlink xmlns:r="http://schemas.openxmlformats.org/officeDocument/2006/relationships" ref="B82" r:id="rId63"/>
    <hyperlink xmlns:r="http://schemas.openxmlformats.org/officeDocument/2006/relationships" ref="B83" r:id="rId64"/>
    <hyperlink xmlns:r="http://schemas.openxmlformats.org/officeDocument/2006/relationships" ref="B84" r:id="rId65"/>
    <hyperlink xmlns:r="http://schemas.openxmlformats.org/officeDocument/2006/relationships" ref="B85" r:id="rId66"/>
    <hyperlink xmlns:r="http://schemas.openxmlformats.org/officeDocument/2006/relationships" ref="B86" r:id="rId67"/>
    <hyperlink xmlns:r="http://schemas.openxmlformats.org/officeDocument/2006/relationships" ref="B87" r:id="rId68"/>
    <hyperlink xmlns:r="http://schemas.openxmlformats.org/officeDocument/2006/relationships" ref="B88" r:id="rId69"/>
    <hyperlink xmlns:r="http://schemas.openxmlformats.org/officeDocument/2006/relationships" ref="B89" r:id="rId70"/>
  </hyperlinks>
  <printOptions horizontalCentered="1"/>
  <pageMargins left="0.4" right="0.4" top="0.6" bottom="0.6" header="0.5" footer="0.5"/>
  <pageSetup orientation="portrait"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71"/>
</worksheet>
</file>

<file path=xl/worksheets/sheet2.xml><?xml version="1.0" encoding="utf-8"?>
<worksheet xmlns="http://schemas.openxmlformats.org/spreadsheetml/2006/main">
  <sheetPr>
    <outlinePr summaryBelow="1" summaryRight="1"/>
    <pageSetUpPr fitToPage="1"/>
  </sheetPr>
  <dimension ref="A1:D36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Migration Workbook BRD-13 Data Migration, version 2.1.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Object catalogue</t>
        </is>
      </c>
      <c r="B7" s="20" t="inlineStr">
        <is>
          <t>Object</t>
        </is>
      </c>
      <c r="C7" s="12" t="inlineStr">
        <is>
          <t>Data object code</t>
        </is>
      </c>
      <c r="D7" s="12" t="inlineStr"/>
    </row>
    <row r="8">
      <c r="A8" s="14" t="inlineStr">
        <is>
          <t>Object catalogue</t>
        </is>
      </c>
      <c r="B8" s="21" t="inlineStr">
        <is>
          <t>Data object</t>
        </is>
      </c>
      <c r="C8" s="14" t="inlineStr">
        <is>
          <t>What the object holds</t>
        </is>
      </c>
      <c r="D8" s="14" t="inlineStr"/>
    </row>
    <row r="9">
      <c r="A9" s="12" t="inlineStr">
        <is>
          <t>Object catalogue</t>
        </is>
      </c>
      <c r="B9" s="20" t="inlineStr">
        <is>
          <t>Category</t>
        </is>
      </c>
      <c r="C9" s="12" t="inlineStr">
        <is>
          <t>Reference, Client, Policy, Open item, GL, History</t>
        </is>
      </c>
      <c r="D9" s="12" t="inlineStr"/>
    </row>
    <row r="10">
      <c r="A10" s="14" t="inlineStr">
        <is>
          <t>Object catalogue</t>
        </is>
      </c>
      <c r="B10" s="21" t="inlineStr">
        <is>
          <t>Decision (proposed)</t>
        </is>
      </c>
      <c r="C10" s="14" t="inlineStr">
        <is>
          <t>Migrate, Carry forward, Conditional, Archive or Excluded; the business owner confirms at gate G1</t>
        </is>
      </c>
      <c r="D10" s="14" t="inlineStr">
        <is>
          <t>Migrate, Carry forward, Conditional, Archive, Excluded</t>
        </is>
      </c>
    </row>
    <row r="11">
      <c r="A11" s="12" t="inlineStr">
        <is>
          <t>Object catalogue</t>
        </is>
      </c>
      <c r="B11" s="20" t="inlineStr">
        <is>
          <t>Rationale</t>
        </is>
      </c>
      <c r="C11" s="12" t="inlineStr">
        <is>
          <t>Why this decision</t>
        </is>
      </c>
      <c r="D11" s="12" t="inlineStr"/>
    </row>
    <row r="12">
      <c r="A12" s="14" t="inlineStr">
        <is>
          <t>Object catalogue</t>
        </is>
      </c>
      <c r="B12" s="21" t="inlineStr">
        <is>
          <t>Day-1 need</t>
        </is>
      </c>
      <c r="C12" s="14" t="inlineStr">
        <is>
          <t>Needed in BIBS on the first business day</t>
        </is>
      </c>
      <c r="D12" s="14" t="inlineStr"/>
    </row>
    <row r="13">
      <c r="A13" s="12" t="inlineStr">
        <is>
          <t>Object catalogue</t>
        </is>
      </c>
      <c r="B13" s="20" t="inlineStr">
        <is>
          <t>Compliance need</t>
        </is>
      </c>
      <c r="C13" s="12" t="inlineStr">
        <is>
          <t>Must be kept for compliance or audit</t>
        </is>
      </c>
      <c r="D13" s="12" t="inlineStr"/>
    </row>
    <row r="14">
      <c r="A14" s="14" t="inlineStr">
        <is>
          <t>Object catalogue</t>
        </is>
      </c>
      <c r="B14" s="21" t="inlineStr">
        <is>
          <t>Archive option</t>
        </is>
      </c>
      <c r="C14" s="14" t="inlineStr">
        <is>
          <t>Read-only legacy or the BIBS archive is enough</t>
        </is>
      </c>
      <c r="D14" s="14" t="inlineStr"/>
    </row>
    <row r="15">
      <c r="A15" s="12" t="inlineStr">
        <is>
          <t>Object catalogue</t>
        </is>
      </c>
      <c r="B15" s="20" t="inlineStr">
        <is>
          <t>Data trust</t>
        </is>
      </c>
      <c r="C15" s="12" t="inlineStr">
        <is>
          <t>High, Medium or Low, before cleansing</t>
        </is>
      </c>
      <c r="D15" s="12" t="inlineStr"/>
    </row>
    <row r="16">
      <c r="A16" s="14" t="inlineStr">
        <is>
          <t>Object catalogue</t>
        </is>
      </c>
      <c r="B16" s="21" t="inlineStr">
        <is>
          <t>Condition</t>
        </is>
      </c>
      <c r="C16" s="14" t="inlineStr">
        <is>
          <t>Condition of a conditional object</t>
        </is>
      </c>
      <c r="D16" s="14" t="inlineStr"/>
    </row>
    <row r="17">
      <c r="A17" s="12" t="inlineStr">
        <is>
          <t>Object catalogue</t>
        </is>
      </c>
      <c r="B17" s="20" t="inlineStr">
        <is>
          <t>Source system</t>
        </is>
      </c>
      <c r="C17" s="12" t="inlineStr">
        <is>
          <t>Legacy system(s) that hold the object</t>
        </is>
      </c>
      <c r="D17" s="12" t="inlineStr"/>
    </row>
    <row r="18">
      <c r="A18" s="14" t="inlineStr">
        <is>
          <t>Object catalogue</t>
        </is>
      </c>
      <c r="B18" s="21" t="inlineStr">
        <is>
          <t>Templates</t>
        </is>
      </c>
      <c r="C18" s="14" t="inlineStr">
        <is>
          <t>Load templates of the object (sheets of this workbook)</t>
        </is>
      </c>
      <c r="D18" s="14" t="inlineStr"/>
    </row>
    <row r="19">
      <c r="A19" s="12" t="inlineStr">
        <is>
          <t>Object catalogue</t>
        </is>
      </c>
      <c r="B19" s="20" t="inlineStr">
        <is>
          <t>Where it lands in BIBS</t>
        </is>
      </c>
      <c r="C19" s="12" t="inlineStr">
        <is>
          <t>The BIBS records the object becomes</t>
        </is>
      </c>
      <c r="D19" s="12" t="inlineStr"/>
    </row>
    <row r="20">
      <c r="A20" s="14" t="inlineStr">
        <is>
          <t>Object catalogue</t>
        </is>
      </c>
      <c r="B20" s="21" t="inlineStr">
        <is>
          <t>Load order</t>
        </is>
      </c>
      <c r="C20" s="14" t="inlineStr">
        <is>
          <t>Lower loads first</t>
        </is>
      </c>
      <c r="D20" s="14" t="inlineStr"/>
    </row>
    <row r="21">
      <c r="A21" s="12" t="inlineStr">
        <is>
          <t>Object catalogue</t>
        </is>
      </c>
      <c r="B21" s="20" t="inlineStr">
        <is>
          <t>Loads after</t>
        </is>
      </c>
      <c r="C21" s="12" t="inlineStr">
        <is>
          <t>Objects that must be accepted first</t>
        </is>
      </c>
      <c r="D21" s="12" t="inlineStr"/>
    </row>
    <row r="22">
      <c r="A22" s="14" t="inlineStr">
        <is>
          <t>Object catalogue</t>
        </is>
      </c>
      <c r="B22" s="21" t="inlineStr">
        <is>
          <t>BRD</t>
        </is>
      </c>
      <c r="C22" s="14" t="inlineStr">
        <is>
          <t>BRD requirement</t>
        </is>
      </c>
      <c r="D22" s="14" t="inlineStr"/>
    </row>
    <row r="23">
      <c r="A23" s="12" t="inlineStr">
        <is>
          <t>Object catalogue</t>
        </is>
      </c>
      <c r="B23" s="20" t="inlineStr">
        <is>
          <t>Open decisions</t>
        </is>
      </c>
      <c r="C23" s="12" t="inlineStr">
        <is>
          <t>Decisions that affect the object</t>
        </is>
      </c>
      <c r="D23" s="12" t="inlineStr"/>
    </row>
    <row r="24">
      <c r="A24" s="14" t="inlineStr">
        <is>
          <t>Object catalogue</t>
        </is>
      </c>
      <c r="B24" s="21" t="inlineStr">
        <is>
          <t>BU review</t>
        </is>
      </c>
      <c r="C24" s="14" t="inlineStr">
        <is>
          <t>Business unit decision on the row</t>
        </is>
      </c>
      <c r="D24" s="14" t="inlineStr">
        <is>
          <t>Accept, Change requested, Comment</t>
        </is>
      </c>
    </row>
    <row r="25">
      <c r="A25" s="12" t="inlineStr">
        <is>
          <t>Object catalogue</t>
        </is>
      </c>
      <c r="B25" s="20" t="inlineStr">
        <is>
          <t>BU comment</t>
        </is>
      </c>
      <c r="C25" s="12" t="inlineStr">
        <is>
          <t>What should change, or the comment</t>
        </is>
      </c>
      <c r="D25" s="12" t="inlineStr"/>
    </row>
    <row r="26">
      <c r="A26" s="14" t="inlineStr">
        <is>
          <t>Object catalogue</t>
        </is>
      </c>
      <c r="B26" s="21" t="inlineStr">
        <is>
          <t>Reviewer</t>
        </is>
      </c>
      <c r="C26" s="14" t="inlineStr">
        <is>
          <t>Name of the BU reviewer</t>
        </is>
      </c>
      <c r="D26" s="14" t="inlineStr"/>
    </row>
    <row r="27">
      <c r="A27" s="12" t="inlineStr">
        <is>
          <t>Object catalogue</t>
        </is>
      </c>
      <c r="B27" s="20" t="inlineStr">
        <is>
          <t>Review date</t>
        </is>
      </c>
      <c r="C27" s="12" t="inlineStr">
        <is>
          <t>Date of the review (dd-mmm-yyyy)</t>
        </is>
      </c>
      <c r="D27" s="12" t="inlineStr"/>
    </row>
    <row r="28">
      <c r="A28" s="14" t="inlineStr">
        <is>
          <t>Data owners</t>
        </is>
      </c>
      <c r="B28" s="21" t="inlineStr">
        <is>
          <t>Object</t>
        </is>
      </c>
      <c r="C28" s="14" t="inlineStr">
        <is>
          <t>Data object code</t>
        </is>
      </c>
      <c r="D28" s="14" t="inlineStr"/>
    </row>
    <row r="29">
      <c r="A29" s="12" t="inlineStr">
        <is>
          <t>Data owners</t>
        </is>
      </c>
      <c r="B29" s="20" t="inlineStr">
        <is>
          <t>Data object</t>
        </is>
      </c>
      <c r="C29" s="12" t="inlineStr">
        <is>
          <t>What the object holds</t>
        </is>
      </c>
      <c r="D29" s="12" t="inlineStr"/>
    </row>
    <row r="30">
      <c r="A30" s="14" t="inlineStr">
        <is>
          <t>Data owners</t>
        </is>
      </c>
      <c r="B30" s="21" t="inlineStr">
        <is>
          <t>Business owner (proposed)</t>
        </is>
      </c>
      <c r="C30" s="14" t="inlineStr">
        <is>
          <t>Signs the decision (G1), the code maps (G2) and the acceptance (G6)</t>
        </is>
      </c>
      <c r="D30" s="14" t="inlineStr"/>
    </row>
    <row r="31">
      <c r="A31" s="12" t="inlineStr">
        <is>
          <t>Data owners</t>
        </is>
      </c>
      <c r="B31" s="20" t="inlineStr">
        <is>
          <t>Data steward (proposed)</t>
        </is>
      </c>
      <c r="C31" s="12" t="inlineStr">
        <is>
          <t>Prepares the code maps, resolves data-quality issues, fixes records at source</t>
        </is>
      </c>
      <c r="D31" s="12" t="inlineStr"/>
    </row>
    <row r="32">
      <c r="A32" s="14" t="inlineStr">
        <is>
          <t>Data owners</t>
        </is>
      </c>
      <c r="B32" s="21" t="inlineStr">
        <is>
          <t>Named business owner</t>
        </is>
      </c>
      <c r="C32" s="14" t="inlineStr">
        <is>
          <t>Name given by BDOI</t>
        </is>
      </c>
      <c r="D32" s="14" t="inlineStr"/>
    </row>
    <row r="33">
      <c r="A33" s="12" t="inlineStr">
        <is>
          <t>Data owners</t>
        </is>
      </c>
      <c r="B33" s="20" t="inlineStr">
        <is>
          <t>Named data steward</t>
        </is>
      </c>
      <c r="C33" s="12" t="inlineStr">
        <is>
          <t>Name given by BDOI</t>
        </is>
      </c>
      <c r="D33" s="12" t="inlineStr"/>
    </row>
    <row r="34">
      <c r="A34" s="14" t="inlineStr">
        <is>
          <t>Data owners</t>
        </is>
      </c>
      <c r="B34" s="21" t="inlineStr">
        <is>
          <t>BU review</t>
        </is>
      </c>
      <c r="C34" s="14" t="inlineStr">
        <is>
          <t>Business unit decision on the row</t>
        </is>
      </c>
      <c r="D34" s="14" t="inlineStr">
        <is>
          <t>Accept, Change requested, Comment</t>
        </is>
      </c>
    </row>
    <row r="35">
      <c r="A35" s="12" t="inlineStr">
        <is>
          <t>Data owners</t>
        </is>
      </c>
      <c r="B35" s="20" t="inlineStr">
        <is>
          <t>BU comment</t>
        </is>
      </c>
      <c r="C35" s="12" t="inlineStr">
        <is>
          <t>What should change, or the comment</t>
        </is>
      </c>
      <c r="D35" s="12" t="inlineStr"/>
    </row>
    <row r="36">
      <c r="A36" s="14" t="inlineStr">
        <is>
          <t>Data owners</t>
        </is>
      </c>
      <c r="B36" s="21" t="inlineStr">
        <is>
          <t>Reviewer</t>
        </is>
      </c>
      <c r="C36" s="14" t="inlineStr">
        <is>
          <t>Name of the BU reviewer</t>
        </is>
      </c>
      <c r="D36" s="14" t="inlineStr"/>
    </row>
    <row r="37">
      <c r="A37" s="12" t="inlineStr">
        <is>
          <t>Data owners</t>
        </is>
      </c>
      <c r="B37" s="20" t="inlineStr">
        <is>
          <t>Review date</t>
        </is>
      </c>
      <c r="C37" s="12" t="inlineStr">
        <is>
          <t>Date of the review (dd-mmm-yyyy)</t>
        </is>
      </c>
      <c r="D37" s="12" t="inlineStr"/>
    </row>
    <row r="38">
      <c r="A38" s="14" t="inlineStr">
        <is>
          <t>Extract planning</t>
        </is>
      </c>
      <c r="B38" s="21" t="inlineStr">
        <is>
          <t>Object</t>
        </is>
      </c>
      <c r="C38" s="14" t="inlineStr">
        <is>
          <t>Data object code</t>
        </is>
      </c>
      <c r="D38" s="14" t="inlineStr"/>
    </row>
    <row r="39">
      <c r="A39" s="12" t="inlineStr">
        <is>
          <t>Extract planning</t>
        </is>
      </c>
      <c r="B39" s="20" t="inlineStr">
        <is>
          <t>Data object</t>
        </is>
      </c>
      <c r="C39" s="12" t="inlineStr">
        <is>
          <t>What the object holds</t>
        </is>
      </c>
      <c r="D39" s="12" t="inlineStr"/>
    </row>
    <row r="40">
      <c r="A40" s="14" t="inlineStr">
        <is>
          <t>Extract planning</t>
        </is>
      </c>
      <c r="B40" s="21" t="inlineStr">
        <is>
          <t>Volume (BDOI to fill)</t>
        </is>
      </c>
      <c r="C40" s="14" t="inlineStr">
        <is>
          <t>Row count per source system at the last extract</t>
        </is>
      </c>
      <c r="D40" s="14" t="inlineStr"/>
    </row>
    <row r="41">
      <c r="A41" s="12" t="inlineStr">
        <is>
          <t>Extract planning</t>
        </is>
      </c>
      <c r="B41" s="20" t="inlineStr">
        <is>
          <t>Planning bound</t>
        </is>
      </c>
      <c r="C41" s="12" t="inlineStr">
        <is>
          <t>Known bound from the BRDs</t>
        </is>
      </c>
      <c r="D41" s="12" t="inlineStr"/>
    </row>
    <row r="42">
      <c r="A42" s="14" t="inlineStr">
        <is>
          <t>Extract planning</t>
        </is>
      </c>
      <c r="B42" s="21" t="inlineStr">
        <is>
          <t>History depth</t>
        </is>
      </c>
      <c r="C42" s="14" t="inlineStr">
        <is>
          <t>Which records and how far back</t>
        </is>
      </c>
      <c r="D42" s="14" t="inlineStr"/>
    </row>
    <row r="43">
      <c r="A43" s="12" t="inlineStr">
        <is>
          <t>Extract planning</t>
        </is>
      </c>
      <c r="B43" s="20" t="inlineStr">
        <is>
          <t>Delta frequency</t>
        </is>
      </c>
      <c r="C43" s="12" t="inlineStr">
        <is>
          <t>Extracts after the first full one</t>
        </is>
      </c>
      <c r="D43" s="12" t="inlineStr"/>
    </row>
    <row r="44">
      <c r="A44" s="14" t="inlineStr">
        <is>
          <t>Extract planning</t>
        </is>
      </c>
      <c r="B44" s="21" t="inlineStr">
        <is>
          <t>Format</t>
        </is>
      </c>
      <c r="C44" s="14" t="inlineStr">
        <is>
          <t>CSV or XLSX, with a control file</t>
        </is>
      </c>
      <c r="D44" s="14" t="inlineStr"/>
    </row>
    <row r="45">
      <c r="A45" s="12" t="inlineStr">
        <is>
          <t>Extract planning</t>
        </is>
      </c>
      <c r="B45" s="20" t="inlineStr">
        <is>
          <t>Control totals</t>
        </is>
      </c>
      <c r="C45" s="12" t="inlineStr">
        <is>
          <t>Measures of the control file</t>
        </is>
      </c>
      <c r="D45" s="12" t="inlineStr"/>
    </row>
    <row r="46">
      <c r="A46" s="14" t="inlineStr">
        <is>
          <t>Extract planning</t>
        </is>
      </c>
      <c r="B46" s="21" t="inlineStr">
        <is>
          <t>Due</t>
        </is>
      </c>
      <c r="C46" s="14" t="inlineStr">
        <is>
          <t>Milestone of the first full extract and of the final one</t>
        </is>
      </c>
      <c r="D46" s="14" t="inlineStr"/>
    </row>
    <row r="47">
      <c r="A47" s="12" t="inlineStr">
        <is>
          <t>Extract planning</t>
        </is>
      </c>
      <c r="B47" s="20" t="inlineStr">
        <is>
          <t>BU review</t>
        </is>
      </c>
      <c r="C47" s="12" t="inlineStr">
        <is>
          <t>Business unit decision on the row</t>
        </is>
      </c>
      <c r="D47" s="12" t="inlineStr">
        <is>
          <t>Accept, Change requested, Comment</t>
        </is>
      </c>
    </row>
    <row r="48">
      <c r="A48" s="14" t="inlineStr">
        <is>
          <t>Extract planning</t>
        </is>
      </c>
      <c r="B48" s="21" t="inlineStr">
        <is>
          <t>BU comment</t>
        </is>
      </c>
      <c r="C48" s="14" t="inlineStr">
        <is>
          <t>What should change, or the comment</t>
        </is>
      </c>
      <c r="D48" s="14" t="inlineStr"/>
    </row>
    <row r="49">
      <c r="A49" s="12" t="inlineStr">
        <is>
          <t>Extract planning</t>
        </is>
      </c>
      <c r="B49" s="20" t="inlineStr">
        <is>
          <t>Reviewer</t>
        </is>
      </c>
      <c r="C49" s="12" t="inlineStr">
        <is>
          <t>Name of the BU reviewer</t>
        </is>
      </c>
      <c r="D49" s="12" t="inlineStr"/>
    </row>
    <row r="50">
      <c r="A50" s="14" t="inlineStr">
        <is>
          <t>Extract planning</t>
        </is>
      </c>
      <c r="B50" s="21" t="inlineStr">
        <is>
          <t>Review date</t>
        </is>
      </c>
      <c r="C50" s="14" t="inlineStr">
        <is>
          <t>Date of the review (dd-mmm-yyyy)</t>
        </is>
      </c>
      <c r="D50" s="14" t="inlineStr"/>
    </row>
    <row r="51">
      <c r="A51" s="12" t="inlineStr">
        <is>
          <t>Milestones</t>
        </is>
      </c>
      <c r="B51" s="20" t="inlineStr">
        <is>
          <t>Milestone</t>
        </is>
      </c>
      <c r="C51" s="12" t="inlineStr">
        <is>
          <t>Milestone ID</t>
        </is>
      </c>
      <c r="D51" s="12" t="inlineStr"/>
    </row>
    <row r="52">
      <c r="A52" s="14" t="inlineStr">
        <is>
          <t>Milestones</t>
        </is>
      </c>
      <c r="B52" s="21" t="inlineStr">
        <is>
          <t>What is due</t>
        </is>
      </c>
      <c r="C52" s="14" t="inlineStr">
        <is>
          <t>Content of the milestone</t>
        </is>
      </c>
      <c r="D52" s="14" t="inlineStr"/>
    </row>
    <row r="53">
      <c r="A53" s="12" t="inlineStr">
        <is>
          <t>Milestones</t>
        </is>
      </c>
      <c r="B53" s="20" t="inlineStr">
        <is>
          <t>When</t>
        </is>
      </c>
      <c r="C53" s="12" t="inlineStr">
        <is>
          <t>Date</t>
        </is>
      </c>
      <c r="D53" s="12" t="inlineStr"/>
    </row>
    <row r="54">
      <c r="A54" s="14" t="inlineStr">
        <is>
          <t>File rules</t>
        </is>
      </c>
      <c r="B54" s="21" t="inlineStr">
        <is>
          <t>Topic</t>
        </is>
      </c>
      <c r="C54" s="14" t="inlineStr">
        <is>
          <t>Topic of the rule</t>
        </is>
      </c>
      <c r="D54" s="14" t="inlineStr"/>
    </row>
    <row r="55">
      <c r="A55" s="12" t="inlineStr">
        <is>
          <t>File rules</t>
        </is>
      </c>
      <c r="B55" s="20" t="inlineStr">
        <is>
          <t>Rule</t>
        </is>
      </c>
      <c r="C55" s="12" t="inlineStr">
        <is>
          <t>What every extract file follows</t>
        </is>
      </c>
      <c r="D55" s="12" t="inlineStr"/>
    </row>
    <row r="56">
      <c r="A56" s="14" t="inlineStr">
        <is>
          <t>File rules</t>
        </is>
      </c>
      <c r="B56" s="21" t="inlineStr">
        <is>
          <t>BU review</t>
        </is>
      </c>
      <c r="C56" s="14" t="inlineStr">
        <is>
          <t>Business unit decision on the row</t>
        </is>
      </c>
      <c r="D56" s="14" t="inlineStr">
        <is>
          <t>Accept, Change requested, Comment</t>
        </is>
      </c>
    </row>
    <row r="57">
      <c r="A57" s="12" t="inlineStr">
        <is>
          <t>File rules</t>
        </is>
      </c>
      <c r="B57" s="20" t="inlineStr">
        <is>
          <t>BU comment</t>
        </is>
      </c>
      <c r="C57" s="12" t="inlineStr">
        <is>
          <t>What should change, or the comment</t>
        </is>
      </c>
      <c r="D57" s="12" t="inlineStr"/>
    </row>
    <row r="58">
      <c r="A58" s="14" t="inlineStr">
        <is>
          <t>File rules</t>
        </is>
      </c>
      <c r="B58" s="21" t="inlineStr">
        <is>
          <t>Reviewer</t>
        </is>
      </c>
      <c r="C58" s="14" t="inlineStr">
        <is>
          <t>Name of the BU reviewer</t>
        </is>
      </c>
      <c r="D58" s="14" t="inlineStr"/>
    </row>
    <row r="59">
      <c r="A59" s="12" t="inlineStr">
        <is>
          <t>File rules</t>
        </is>
      </c>
      <c r="B59" s="20" t="inlineStr">
        <is>
          <t>Review date</t>
        </is>
      </c>
      <c r="C59" s="12" t="inlineStr">
        <is>
          <t>Date of the review (dd-mmm-yyyy)</t>
        </is>
      </c>
      <c r="D59" s="12" t="inlineStr"/>
    </row>
    <row r="60">
      <c r="A60" s="14" t="inlineStr">
        <is>
          <t>Control file</t>
        </is>
      </c>
      <c r="B60" s="21" t="inlineStr">
        <is>
          <t>No.</t>
        </is>
      </c>
      <c r="C60" s="14" t="inlineStr">
        <is>
          <t>Column position</t>
        </is>
      </c>
      <c r="D60" s="14" t="inlineStr"/>
    </row>
    <row r="61">
      <c r="A61" s="12" t="inlineStr">
        <is>
          <t>Control file</t>
        </is>
      </c>
      <c r="B61" s="20" t="inlineStr">
        <is>
          <t>Column</t>
        </is>
      </c>
      <c r="C61" s="12" t="inlineStr">
        <is>
          <t>Column name of the control-file template</t>
        </is>
      </c>
      <c r="D61" s="12" t="inlineStr"/>
    </row>
    <row r="62">
      <c r="A62" s="14" t="inlineStr">
        <is>
          <t>Control file</t>
        </is>
      </c>
      <c r="B62" s="21" t="inlineStr">
        <is>
          <t>What it holds</t>
        </is>
      </c>
      <c r="C62" s="14" t="inlineStr">
        <is>
          <t>Content</t>
        </is>
      </c>
      <c r="D62" s="14" t="inlineStr"/>
    </row>
    <row r="63">
      <c r="A63" s="12" t="inlineStr">
        <is>
          <t>Control file</t>
        </is>
      </c>
      <c r="B63" s="20" t="inlineStr">
        <is>
          <t>Mandatory</t>
        </is>
      </c>
      <c r="C63" s="12" t="inlineStr">
        <is>
          <t>Y, N or C (conditional)</t>
        </is>
      </c>
      <c r="D63" s="12" t="inlineStr"/>
    </row>
    <row r="64">
      <c r="A64" s="14" t="inlineStr">
        <is>
          <t>Control file</t>
        </is>
      </c>
      <c r="B64" s="21" t="inlineStr">
        <is>
          <t>Format</t>
        </is>
      </c>
      <c r="C64" s="14" t="inlineStr">
        <is>
          <t>How the value is written</t>
        </is>
      </c>
      <c r="D64" s="14" t="inlineStr"/>
    </row>
    <row r="65">
      <c r="A65" s="12" t="inlineStr">
        <is>
          <t>Control file</t>
        </is>
      </c>
      <c r="B65" s="20" t="inlineStr">
        <is>
          <t>Example</t>
        </is>
      </c>
      <c r="C65" s="12" t="inlineStr">
        <is>
          <t>A made-up example</t>
        </is>
      </c>
      <c r="D65" s="12" t="inlineStr"/>
    </row>
    <row r="66">
      <c r="A66" s="14" t="inlineStr">
        <is>
          <t>Control example</t>
        </is>
      </c>
      <c r="B66" s="21" t="inlineStr">
        <is>
          <t>object</t>
        </is>
      </c>
      <c r="C66" s="14" t="inlineStr">
        <is>
          <t>Object code of the data file</t>
        </is>
      </c>
      <c r="D66" s="14" t="inlineStr"/>
    </row>
    <row r="67">
      <c r="A67" s="12" t="inlineStr">
        <is>
          <t>Control example</t>
        </is>
      </c>
      <c r="B67" s="20" t="inlineStr">
        <is>
          <t>layout</t>
        </is>
      </c>
      <c r="C67" s="12" t="inlineStr">
        <is>
          <t>Layout (template) code</t>
        </is>
      </c>
      <c r="D67" s="12" t="inlineStr"/>
    </row>
    <row r="68">
      <c r="A68" s="14" t="inlineStr">
        <is>
          <t>Control example</t>
        </is>
      </c>
      <c r="B68" s="21" t="inlineStr">
        <is>
          <t>source_system</t>
        </is>
      </c>
      <c r="C68" s="14" t="inlineStr">
        <is>
          <t>Source system: EBIX, QPS, ISYS, CMS or EXCEL</t>
        </is>
      </c>
      <c r="D68" s="14" t="inlineStr"/>
    </row>
    <row r="69">
      <c r="A69" s="12" t="inlineStr">
        <is>
          <t>Control example</t>
        </is>
      </c>
      <c r="B69" s="20" t="inlineStr">
        <is>
          <t>data_file</t>
        </is>
      </c>
      <c r="C69" s="12" t="inlineStr">
        <is>
          <t>Name of the data file the control file belongs to</t>
        </is>
      </c>
      <c r="D69" s="12" t="inlineStr"/>
    </row>
    <row r="70">
      <c r="A70" s="14" t="inlineStr">
        <is>
          <t>Control example</t>
        </is>
      </c>
      <c r="B70" s="21" t="inlineStr">
        <is>
          <t>as_of</t>
        </is>
      </c>
      <c r="C70" s="14" t="inlineStr">
        <is>
          <t>Date and time the data represents</t>
        </is>
      </c>
      <c r="D70" s="14" t="inlineStr"/>
    </row>
    <row r="71">
      <c r="A71" s="12" t="inlineStr">
        <is>
          <t>Control example</t>
        </is>
      </c>
      <c r="B71" s="20" t="inlineStr">
        <is>
          <t>extracted_at</t>
        </is>
      </c>
      <c r="C71" s="12" t="inlineStr">
        <is>
          <t>When the extract ran</t>
        </is>
      </c>
      <c r="D71" s="12" t="inlineStr"/>
    </row>
    <row r="72">
      <c r="A72" s="14" t="inlineStr">
        <is>
          <t>Control example</t>
        </is>
      </c>
      <c r="B72" s="21" t="inlineStr">
        <is>
          <t>extracted_by</t>
        </is>
      </c>
      <c r="C72" s="14" t="inlineStr">
        <is>
          <t>BDOI IT user who ran the extract</t>
        </is>
      </c>
      <c r="D72" s="14" t="inlineStr"/>
    </row>
    <row r="73">
      <c r="A73" s="12" t="inlineStr">
        <is>
          <t>Control example</t>
        </is>
      </c>
      <c r="B73" s="20" t="inlineStr">
        <is>
          <t>measure</t>
        </is>
      </c>
      <c r="C73" s="12" t="inlineStr">
        <is>
          <t>Kind of control: ROW_COUNT, HASH_TOTAL, AMOUNT_TOTAL or SHA256</t>
        </is>
      </c>
      <c r="D73" s="12" t="inlineStr"/>
    </row>
    <row r="74">
      <c r="A74" s="14" t="inlineStr">
        <is>
          <t>Control example</t>
        </is>
      </c>
      <c r="B74" s="21" t="inlineStr">
        <is>
          <t>column_name</t>
        </is>
      </c>
      <c r="C74" s="14" t="inlineStr">
        <is>
          <t>Column the measure applies to</t>
        </is>
      </c>
      <c r="D74" s="14" t="inlineStr"/>
    </row>
    <row r="75">
      <c r="A75" s="12" t="inlineStr">
        <is>
          <t>Control example</t>
        </is>
      </c>
      <c r="B75" s="20" t="inlineStr">
        <is>
          <t>currency</t>
        </is>
      </c>
      <c r="C75" s="12" t="inlineStr">
        <is>
          <t>Currency of an AMOUNT_TOTAL</t>
        </is>
      </c>
      <c r="D75" s="12" t="inlineStr"/>
    </row>
    <row r="76">
      <c r="A76" s="14" t="inlineStr">
        <is>
          <t>Control example</t>
        </is>
      </c>
      <c r="B76" s="21" t="inlineStr">
        <is>
          <t>filter</t>
        </is>
      </c>
      <c r="C76" s="14" t="inlineStr">
        <is>
          <t>Optional filter of the measure</t>
        </is>
      </c>
      <c r="D76" s="14" t="inlineStr"/>
    </row>
    <row r="77">
      <c r="A77" s="12" t="inlineStr">
        <is>
          <t>Control example</t>
        </is>
      </c>
      <c r="B77" s="20" t="inlineStr">
        <is>
          <t>value</t>
        </is>
      </c>
      <c r="C77" s="12" t="inlineStr">
        <is>
          <t>Value of the measure</t>
        </is>
      </c>
      <c r="D77" s="12" t="inlineStr"/>
    </row>
    <row r="78">
      <c r="A78" s="14" t="inlineStr">
        <is>
          <t>Control totals</t>
        </is>
      </c>
      <c r="B78" s="21" t="inlineStr">
        <is>
          <t>Layout</t>
        </is>
      </c>
      <c r="C78" s="14" t="inlineStr">
        <is>
          <t>Layout code</t>
        </is>
      </c>
      <c r="D78" s="14" t="inlineStr"/>
    </row>
    <row r="79">
      <c r="A79" s="12" t="inlineStr">
        <is>
          <t>Control totals</t>
        </is>
      </c>
      <c r="B79" s="20" t="inlineStr">
        <is>
          <t>Object</t>
        </is>
      </c>
      <c r="C79" s="12" t="inlineStr">
        <is>
          <t>Data object</t>
        </is>
      </c>
      <c r="D79" s="12" t="inlineStr"/>
    </row>
    <row r="80">
      <c r="A80" s="14" t="inlineStr">
        <is>
          <t>Control totals</t>
        </is>
      </c>
      <c r="B80" s="21" t="inlineStr">
        <is>
          <t>Measure</t>
        </is>
      </c>
      <c r="C80" s="14" t="inlineStr">
        <is>
          <t>Control measure</t>
        </is>
      </c>
      <c r="D80" s="14" t="inlineStr">
        <is>
          <t>ROW_COUNT, HASH_TOTAL, AMOUNT_TOTAL, SHA256</t>
        </is>
      </c>
    </row>
    <row r="81">
      <c r="A81" s="12" t="inlineStr">
        <is>
          <t>Control totals</t>
        </is>
      </c>
      <c r="B81" s="20" t="inlineStr">
        <is>
          <t>Column</t>
        </is>
      </c>
      <c r="C81" s="12" t="inlineStr">
        <is>
          <t>Column the measure applies to</t>
        </is>
      </c>
      <c r="D81" s="12" t="inlineStr"/>
    </row>
    <row r="82">
      <c r="A82" s="14" t="inlineStr">
        <is>
          <t>Control totals</t>
        </is>
      </c>
      <c r="B82" s="21" t="inlineStr">
        <is>
          <t>Currency</t>
        </is>
      </c>
      <c r="C82" s="14" t="inlineStr">
        <is>
          <t>Per currency or not</t>
        </is>
      </c>
      <c r="D82" s="14" t="inlineStr"/>
    </row>
    <row r="83">
      <c r="A83" s="12" t="inlineStr">
        <is>
          <t>Control totals</t>
        </is>
      </c>
      <c r="B83" s="20" t="inlineStr">
        <is>
          <t>How it is computed</t>
        </is>
      </c>
      <c r="C83" s="12" t="inlineStr">
        <is>
          <t>Computation</t>
        </is>
      </c>
      <c r="D83" s="12" t="inlineStr"/>
    </row>
    <row r="84">
      <c r="A84" s="14" t="inlineStr">
        <is>
          <t>Control totals</t>
        </is>
      </c>
      <c r="B84" s="21" t="inlineStr">
        <is>
          <t>Value from BDOI</t>
        </is>
      </c>
      <c r="C84" s="14" t="inlineStr">
        <is>
          <t>From the control file</t>
        </is>
      </c>
      <c r="D84" s="14" t="inlineStr"/>
    </row>
    <row r="85">
      <c r="A85" s="12" t="inlineStr">
        <is>
          <t>Control totals</t>
        </is>
      </c>
      <c r="B85" s="20" t="inlineStr">
        <is>
          <t>Value in BIBS</t>
        </is>
      </c>
      <c r="C85" s="12" t="inlineStr">
        <is>
          <t>Received, staged or loaded value (Reconciliation Summary)</t>
        </is>
      </c>
      <c r="D85" s="12" t="inlineStr"/>
    </row>
    <row r="86">
      <c r="A86" s="14" t="inlineStr">
        <is>
          <t>Control totals</t>
        </is>
      </c>
      <c r="B86" s="21" t="inlineStr">
        <is>
          <t>Difference</t>
        </is>
      </c>
      <c r="C86" s="14" t="inlineStr">
        <is>
          <t>BDOI value minus BIBS value</t>
        </is>
      </c>
      <c r="D86" s="14" t="inlineStr"/>
    </row>
    <row r="87">
      <c r="A87" s="12" t="inlineStr">
        <is>
          <t>Control totals</t>
        </is>
      </c>
      <c r="B87" s="20" t="inlineStr">
        <is>
          <t>Status</t>
        </is>
      </c>
      <c r="C87" s="12" t="inlineStr">
        <is>
          <t>Matched, Break or Explained</t>
        </is>
      </c>
      <c r="D87" s="12" t="inlineStr">
        <is>
          <t>MATCHED, BREAK, EXPLAINED</t>
        </is>
      </c>
    </row>
    <row r="88">
      <c r="A88" s="14" t="inlineStr">
        <is>
          <t>Code maps</t>
        </is>
      </c>
      <c r="B88" s="21" t="inlineStr">
        <is>
          <t>Code map</t>
        </is>
      </c>
      <c r="C88" s="14" t="inlineStr">
        <is>
          <t>Code map set</t>
        </is>
      </c>
      <c r="D88" s="14" t="inlineStr"/>
    </row>
    <row r="89">
      <c r="A89" s="12" t="inlineStr">
        <is>
          <t>Code maps</t>
        </is>
      </c>
      <c r="B89" s="20" t="inlineStr">
        <is>
          <t>What is mapped</t>
        </is>
      </c>
      <c r="C89" s="12" t="inlineStr">
        <is>
          <t>Legacy codes mapped</t>
        </is>
      </c>
      <c r="D89" s="12" t="inlineStr"/>
    </row>
    <row r="90">
      <c r="A90" s="14" t="inlineStr">
        <is>
          <t>Code maps</t>
        </is>
      </c>
      <c r="B90" s="21" t="inlineStr">
        <is>
          <t>BIBS values</t>
        </is>
      </c>
      <c r="C90" s="14" t="inlineStr">
        <is>
          <t>The BIBS values the codes map to</t>
        </is>
      </c>
      <c r="D90" s="14" t="inlineStr"/>
    </row>
    <row r="91">
      <c r="A91" s="12" t="inlineStr">
        <is>
          <t>Code maps</t>
        </is>
      </c>
      <c r="B91" s="20" t="inlineStr">
        <is>
          <t>Used by layouts</t>
        </is>
      </c>
      <c r="C91" s="12" t="inlineStr">
        <is>
          <t>Layouts whose columns use the set</t>
        </is>
      </c>
      <c r="D91" s="12" t="inlineStr"/>
    </row>
    <row r="92">
      <c r="A92" s="14" t="inlineStr">
        <is>
          <t>Code maps</t>
        </is>
      </c>
      <c r="B92" s="21" t="inlineStr">
        <is>
          <t>Approves (G2)</t>
        </is>
      </c>
      <c r="C92" s="14" t="inlineStr">
        <is>
          <t>Business owner who approves each version</t>
        </is>
      </c>
      <c r="D92" s="14" t="inlineStr"/>
    </row>
    <row r="93">
      <c r="A93" s="12" t="inlineStr">
        <is>
          <t>Code maps</t>
        </is>
      </c>
      <c r="B93" s="20" t="inlineStr">
        <is>
          <t>Prepares</t>
        </is>
      </c>
      <c r="C93" s="12" t="inlineStr">
        <is>
          <t>Data steward who prepares the entries</t>
        </is>
      </c>
      <c r="D93" s="12" t="inlineStr"/>
    </row>
    <row r="94">
      <c r="A94" s="14" t="inlineStr">
        <is>
          <t>Code maps</t>
        </is>
      </c>
      <c r="B94" s="21" t="inlineStr">
        <is>
          <t>First approved version due</t>
        </is>
      </c>
      <c r="C94" s="14" t="inlineStr">
        <is>
          <t>Milestone</t>
        </is>
      </c>
      <c r="D94" s="14" t="inlineStr"/>
    </row>
    <row r="95">
      <c r="A95" s="12" t="inlineStr">
        <is>
          <t>Code maps</t>
        </is>
      </c>
      <c r="B95" s="20" t="inlineStr">
        <is>
          <t>BU review</t>
        </is>
      </c>
      <c r="C95" s="12" t="inlineStr">
        <is>
          <t>Business unit decision on the row</t>
        </is>
      </c>
      <c r="D95" s="12" t="inlineStr">
        <is>
          <t>Accept, Change requested, Comment</t>
        </is>
      </c>
    </row>
    <row r="96">
      <c r="A96" s="14" t="inlineStr">
        <is>
          <t>Code maps</t>
        </is>
      </c>
      <c r="B96" s="21" t="inlineStr">
        <is>
          <t>BU comment</t>
        </is>
      </c>
      <c r="C96" s="14" t="inlineStr">
        <is>
          <t>What should change, or the comment</t>
        </is>
      </c>
      <c r="D96" s="14" t="inlineStr"/>
    </row>
    <row r="97">
      <c r="A97" s="12" t="inlineStr">
        <is>
          <t>Code maps</t>
        </is>
      </c>
      <c r="B97" s="20" t="inlineStr">
        <is>
          <t>Reviewer</t>
        </is>
      </c>
      <c r="C97" s="12" t="inlineStr">
        <is>
          <t>Name of the BU reviewer</t>
        </is>
      </c>
      <c r="D97" s="12" t="inlineStr"/>
    </row>
    <row r="98">
      <c r="A98" s="14" t="inlineStr">
        <is>
          <t>Code maps</t>
        </is>
      </c>
      <c r="B98" s="21" t="inlineStr">
        <is>
          <t>Review date</t>
        </is>
      </c>
      <c r="C98" s="14" t="inlineStr">
        <is>
          <t>Date of the review (dd-mmm-yyyy)</t>
        </is>
      </c>
      <c r="D98" s="14" t="inlineStr"/>
    </row>
    <row r="99">
      <c r="A99" s="12" t="inlineStr">
        <is>
          <t>Code map template</t>
        </is>
      </c>
      <c r="B99" s="20" t="inlineStr">
        <is>
          <t>Code map</t>
        </is>
      </c>
      <c r="C99" s="12" t="inlineStr">
        <is>
          <t>Code map set; the console exports one sheet per set, named after it</t>
        </is>
      </c>
      <c r="D99" s="12" t="inlineStr"/>
    </row>
    <row r="100">
      <c r="A100" s="14" t="inlineStr">
        <is>
          <t>Code map template</t>
        </is>
      </c>
      <c r="B100" s="21" t="inlineStr">
        <is>
          <t>source_system</t>
        </is>
      </c>
      <c r="C100" s="14" t="inlineStr">
        <is>
          <t>Legacy system of the code</t>
        </is>
      </c>
      <c r="D100" s="14" t="inlineStr">
        <is>
          <t>EBIX, QPS, ISYS, CMS, EXCEL</t>
        </is>
      </c>
    </row>
    <row r="101">
      <c r="A101" s="12" t="inlineStr">
        <is>
          <t>Code map template</t>
        </is>
      </c>
      <c r="B101" s="20" t="inlineStr">
        <is>
          <t>legacy_code</t>
        </is>
      </c>
      <c r="C101" s="12" t="inlineStr">
        <is>
          <t>Code as stored in legacy</t>
        </is>
      </c>
      <c r="D101" s="12" t="inlineStr"/>
    </row>
    <row r="102">
      <c r="A102" s="14" t="inlineStr">
        <is>
          <t>Code map template</t>
        </is>
      </c>
      <c r="B102" s="21" t="inlineStr">
        <is>
          <t>legacy_description</t>
        </is>
      </c>
      <c r="C102" s="14" t="inlineStr">
        <is>
          <t>Description in legacy</t>
        </is>
      </c>
      <c r="D102" s="14" t="inlineStr"/>
    </row>
    <row r="103">
      <c r="A103" s="12" t="inlineStr">
        <is>
          <t>Code map template</t>
        </is>
      </c>
      <c r="B103" s="20" t="inlineStr">
        <is>
          <t>qualifier</t>
        </is>
      </c>
      <c r="C103" s="12" t="inlineStr">
        <is>
          <t>Attribute that splits one legacy code into several BIBS values (package code map: RISK_CODE, INSURER or SI_BAND); empty otherwise</t>
        </is>
      </c>
      <c r="D103" s="12" t="inlineStr"/>
    </row>
    <row r="104">
      <c r="A104" s="14" t="inlineStr">
        <is>
          <t>Code map template</t>
        </is>
      </c>
      <c r="B104" s="21" t="inlineStr">
        <is>
          <t>qualifier_value</t>
        </is>
      </c>
      <c r="C104" s="14" t="inlineStr">
        <is>
          <t>Value of the qualifier (a code, or a from-to amount band)</t>
        </is>
      </c>
      <c r="D104" s="14" t="inlineStr"/>
    </row>
    <row r="105">
      <c r="A105" s="12" t="inlineStr">
        <is>
          <t>Code map template</t>
        </is>
      </c>
      <c r="B105" s="20" t="inlineStr">
        <is>
          <t>action</t>
        </is>
      </c>
      <c r="C105" s="12" t="inlineStr">
        <is>
          <t>MAP to a BIBS value, DEFAULT to the default of the set, REJECT the rows, CREATE a new BIBS value</t>
        </is>
      </c>
      <c r="D105" s="12" t="inlineStr">
        <is>
          <t>MAP, DEFAULT, REJECT, CREATE</t>
        </is>
      </c>
    </row>
    <row r="106">
      <c r="A106" s="14" t="inlineStr">
        <is>
          <t>Code map template</t>
        </is>
      </c>
      <c r="B106" s="21" t="inlineStr">
        <is>
          <t>target_code</t>
        </is>
      </c>
      <c r="C106" s="14" t="inlineStr">
        <is>
          <t>BIBS value; mandatory for MAP and CREATE</t>
        </is>
      </c>
      <c r="D106" s="14" t="inlineStr"/>
    </row>
    <row r="107">
      <c r="A107" s="12" t="inlineStr">
        <is>
          <t>Code map template</t>
        </is>
      </c>
      <c r="B107" s="20" t="inlineStr">
        <is>
          <t>remarks</t>
        </is>
      </c>
      <c r="C107" s="12" t="inlineStr">
        <is>
          <t>Reason for DEFAULT, REJECT or CREATE; condition of a conditional entry</t>
        </is>
      </c>
      <c r="D107" s="12" t="inlineStr"/>
    </row>
    <row r="108">
      <c r="A108" s="14" t="inlineStr">
        <is>
          <t>Code map template</t>
        </is>
      </c>
      <c r="B108" s="21" t="inlineStr">
        <is>
          <t>Rows using it</t>
        </is>
      </c>
      <c r="C108" s="14" t="inlineStr">
        <is>
          <t>From the profiling of the extracts (not part of the file)</t>
        </is>
      </c>
      <c r="D108" s="14" t="inlineStr"/>
    </row>
    <row r="109">
      <c r="A109" s="12" t="inlineStr">
        <is>
          <t>Validation rules</t>
        </is>
      </c>
      <c r="B109" s="20" t="inlineStr">
        <is>
          <t>Rule</t>
        </is>
      </c>
      <c r="C109" s="12" t="inlineStr">
        <is>
          <t>Rule ID shown with each issue</t>
        </is>
      </c>
      <c r="D109" s="12" t="inlineStr"/>
    </row>
    <row r="110">
      <c r="A110" s="14" t="inlineStr">
        <is>
          <t>Validation rules</t>
        </is>
      </c>
      <c r="B110" s="21" t="inlineStr">
        <is>
          <t>Layouts</t>
        </is>
      </c>
      <c r="C110" s="14" t="inlineStr">
        <is>
          <t>Layouts checked</t>
        </is>
      </c>
      <c r="D110" s="14" t="inlineStr"/>
    </row>
    <row r="111">
      <c r="A111" s="12" t="inlineStr">
        <is>
          <t>Validation rules</t>
        </is>
      </c>
      <c r="B111" s="20" t="inlineStr">
        <is>
          <t>Columns</t>
        </is>
      </c>
      <c r="C111" s="12" t="inlineStr">
        <is>
          <t>Columns checked</t>
        </is>
      </c>
      <c r="D111" s="12" t="inlineStr"/>
    </row>
    <row r="112">
      <c r="A112" s="14" t="inlineStr">
        <is>
          <t>Validation rules</t>
        </is>
      </c>
      <c r="B112" s="21" t="inlineStr">
        <is>
          <t>Kind</t>
        </is>
      </c>
      <c r="C112" s="14" t="inlineStr">
        <is>
          <t>Kind of rule</t>
        </is>
      </c>
      <c r="D112" s="14" t="inlineStr"/>
    </row>
    <row r="113">
      <c r="A113" s="12" t="inlineStr">
        <is>
          <t>Validation rules</t>
        </is>
      </c>
      <c r="B113" s="20" t="inlineStr">
        <is>
          <t>Rule</t>
        </is>
      </c>
      <c r="C113" s="12" t="inlineStr">
        <is>
          <t>What is checked</t>
        </is>
      </c>
      <c r="D113" s="12" t="inlineStr"/>
    </row>
    <row r="114">
      <c r="A114" s="14" t="inlineStr">
        <is>
          <t>Validation rules</t>
        </is>
      </c>
      <c r="B114" s="21" t="inlineStr">
        <is>
          <t>Severity</t>
        </is>
      </c>
      <c r="C114" s="14" t="inlineStr">
        <is>
          <t>Error: the row is not loaded; Warning: loaded and reported</t>
        </is>
      </c>
      <c r="D114" s="14" t="inlineStr"/>
    </row>
    <row r="115">
      <c r="A115" s="12" t="inlineStr">
        <is>
          <t>Validation rules</t>
        </is>
      </c>
      <c r="B115" s="20" t="inlineStr">
        <is>
          <t>Message</t>
        </is>
      </c>
      <c r="C115" s="12" t="inlineStr">
        <is>
          <t>Message of the issue; {name} is filled in</t>
        </is>
      </c>
      <c r="D115" s="12" t="inlineStr"/>
    </row>
    <row r="116">
      <c r="A116" s="14" t="inlineStr">
        <is>
          <t>Validation rules</t>
        </is>
      </c>
      <c r="B116" s="21" t="inlineStr">
        <is>
          <t>Fixed by</t>
        </is>
      </c>
      <c r="C116" s="14" t="inlineStr">
        <is>
          <t>Who corrects a failing row</t>
        </is>
      </c>
      <c r="D116" s="14" t="inlineStr"/>
    </row>
    <row r="117">
      <c r="A117" s="12" t="inlineStr">
        <is>
          <t>Validation rules</t>
        </is>
      </c>
      <c r="B117" s="20" t="inlineStr">
        <is>
          <t>BU review</t>
        </is>
      </c>
      <c r="C117" s="12" t="inlineStr">
        <is>
          <t>Business unit decision on the row</t>
        </is>
      </c>
      <c r="D117" s="12" t="inlineStr">
        <is>
          <t>Accept, Change requested, Comment</t>
        </is>
      </c>
    </row>
    <row r="118">
      <c r="A118" s="14" t="inlineStr">
        <is>
          <t>Validation rules</t>
        </is>
      </c>
      <c r="B118" s="21" t="inlineStr">
        <is>
          <t>BU comment</t>
        </is>
      </c>
      <c r="C118" s="14" t="inlineStr">
        <is>
          <t>What should change, or the comment</t>
        </is>
      </c>
      <c r="D118" s="14" t="inlineStr"/>
    </row>
    <row r="119">
      <c r="A119" s="12" t="inlineStr">
        <is>
          <t>Validation rules</t>
        </is>
      </c>
      <c r="B119" s="20" t="inlineStr">
        <is>
          <t>Reviewer</t>
        </is>
      </c>
      <c r="C119" s="12" t="inlineStr">
        <is>
          <t>Name of the BU reviewer</t>
        </is>
      </c>
      <c r="D119" s="12" t="inlineStr"/>
    </row>
    <row r="120">
      <c r="A120" s="14" t="inlineStr">
        <is>
          <t>Validation rules</t>
        </is>
      </c>
      <c r="B120" s="21" t="inlineStr">
        <is>
          <t>Review date</t>
        </is>
      </c>
      <c r="C120" s="14" t="inlineStr">
        <is>
          <t>Date of the review (dd-mmm-yyyy)</t>
        </is>
      </c>
      <c r="D120" s="14" t="inlineStr"/>
    </row>
    <row r="121">
      <c r="A121" s="12" t="inlineStr">
        <is>
          <t>Masking</t>
        </is>
      </c>
      <c r="B121" s="20" t="inlineStr">
        <is>
          <t>Layout</t>
        </is>
      </c>
      <c r="C121" s="12" t="inlineStr">
        <is>
          <t>Layout code</t>
        </is>
      </c>
      <c r="D121" s="12" t="inlineStr"/>
    </row>
    <row r="122">
      <c r="A122" s="14" t="inlineStr">
        <is>
          <t>Masking</t>
        </is>
      </c>
      <c r="B122" s="21" t="inlineStr">
        <is>
          <t>Column</t>
        </is>
      </c>
      <c r="C122" s="14" t="inlineStr">
        <is>
          <t>Column masked</t>
        </is>
      </c>
      <c r="D122" s="14" t="inlineStr"/>
    </row>
    <row r="123">
      <c r="A123" s="12" t="inlineStr">
        <is>
          <t>Masking</t>
        </is>
      </c>
      <c r="B123" s="20" t="inlineStr">
        <is>
          <t>Masking outside production</t>
        </is>
      </c>
      <c r="C123" s="12" t="inlineStr">
        <is>
          <t>How the value is replaced (the same value every time)</t>
        </is>
      </c>
      <c r="D123" s="12" t="inlineStr"/>
    </row>
    <row r="124">
      <c r="A124" s="14" t="inlineStr">
        <is>
          <t>Masking</t>
        </is>
      </c>
      <c r="B124" s="21" t="inlineStr">
        <is>
          <t>BU review</t>
        </is>
      </c>
      <c r="C124" s="14" t="inlineStr">
        <is>
          <t>Business unit decision on the row</t>
        </is>
      </c>
      <c r="D124" s="14" t="inlineStr">
        <is>
          <t>Accept, Change requested, Comment</t>
        </is>
      </c>
    </row>
    <row r="125">
      <c r="A125" s="12" t="inlineStr">
        <is>
          <t>Masking</t>
        </is>
      </c>
      <c r="B125" s="20" t="inlineStr">
        <is>
          <t>BU comment</t>
        </is>
      </c>
      <c r="C125" s="12" t="inlineStr">
        <is>
          <t>What should change, or the comment</t>
        </is>
      </c>
      <c r="D125" s="12" t="inlineStr"/>
    </row>
    <row r="126">
      <c r="A126" s="14" t="inlineStr">
        <is>
          <t>Masking</t>
        </is>
      </c>
      <c r="B126" s="21" t="inlineStr">
        <is>
          <t>Reviewer</t>
        </is>
      </c>
      <c r="C126" s="14" t="inlineStr">
        <is>
          <t>Name of the BU reviewer</t>
        </is>
      </c>
      <c r="D126" s="14" t="inlineStr"/>
    </row>
    <row r="127">
      <c r="A127" s="12" t="inlineStr">
        <is>
          <t>Masking</t>
        </is>
      </c>
      <c r="B127" s="20" t="inlineStr">
        <is>
          <t>Review date</t>
        </is>
      </c>
      <c r="C127" s="12" t="inlineStr">
        <is>
          <t>Date of the review (dd-mmm-yyyy)</t>
        </is>
      </c>
      <c r="D127" s="12" t="inlineStr"/>
    </row>
    <row r="128">
      <c r="A128" s="14" t="inlineStr">
        <is>
          <t>Cut-over tasks</t>
        </is>
      </c>
      <c r="B128" s="21" t="inlineStr">
        <is>
          <t>Task</t>
        </is>
      </c>
      <c r="C128" s="14" t="inlineStr">
        <is>
          <t>Task ID</t>
        </is>
      </c>
      <c r="D128" s="14" t="inlineStr"/>
    </row>
    <row r="129">
      <c r="A129" s="12" t="inlineStr">
        <is>
          <t>Cut-over tasks</t>
        </is>
      </c>
      <c r="B129" s="20" t="inlineStr">
        <is>
          <t>Phase</t>
        </is>
      </c>
      <c r="C129" s="12" t="inlineStr">
        <is>
          <t>Phase of the cut-over</t>
        </is>
      </c>
      <c r="D129" s="12" t="inlineStr"/>
    </row>
    <row r="130">
      <c r="A130" s="14" t="inlineStr">
        <is>
          <t>Cut-over tasks</t>
        </is>
      </c>
      <c r="B130" s="21" t="inlineStr">
        <is>
          <t>Day</t>
        </is>
      </c>
      <c r="C130" s="14" t="inlineStr">
        <is>
          <t>Day relative to go-live (T)</t>
        </is>
      </c>
      <c r="D130" s="14" t="inlineStr"/>
    </row>
    <row r="131">
      <c r="A131" s="12" t="inlineStr">
        <is>
          <t>Cut-over tasks</t>
        </is>
      </c>
      <c r="B131" s="20" t="inlineStr">
        <is>
          <t>Start (PHT)</t>
        </is>
      </c>
      <c r="C131" s="12" t="inlineStr">
        <is>
          <t>Planned start</t>
        </is>
      </c>
      <c r="D131" s="12" t="inlineStr"/>
    </row>
    <row r="132">
      <c r="A132" s="14" t="inlineStr">
        <is>
          <t>Cut-over tasks</t>
        </is>
      </c>
      <c r="B132" s="21" t="inlineStr">
        <is>
          <t>Task</t>
        </is>
      </c>
      <c r="C132" s="14" t="inlineStr">
        <is>
          <t>What is done</t>
        </is>
      </c>
      <c r="D132" s="14" t="inlineStr"/>
    </row>
    <row r="133">
      <c r="A133" s="12" t="inlineStr">
        <is>
          <t>Cut-over tasks</t>
        </is>
      </c>
      <c r="B133" s="20" t="inlineStr">
        <is>
          <t>Owner</t>
        </is>
      </c>
      <c r="C133" s="12" t="inlineStr">
        <is>
          <t>Accountable role (sheet Cut-over roles)</t>
        </is>
      </c>
      <c r="D133" s="12" t="inlineStr"/>
    </row>
    <row r="134">
      <c r="A134" s="14" t="inlineStr">
        <is>
          <t>Cut-over tasks</t>
        </is>
      </c>
      <c r="B134" s="21" t="inlineStr">
        <is>
          <t>Hours</t>
        </is>
      </c>
      <c r="C134" s="14" t="inlineStr">
        <is>
          <t>Planned elapsed hours</t>
        </is>
      </c>
      <c r="D134" s="14" t="inlineStr"/>
    </row>
    <row r="135">
      <c r="A135" s="12" t="inlineStr">
        <is>
          <t>Cut-over tasks</t>
        </is>
      </c>
      <c r="B135" s="20" t="inlineStr">
        <is>
          <t>After</t>
        </is>
      </c>
      <c r="C135" s="12" t="inlineStr">
        <is>
          <t>Tasks that must be complete first</t>
        </is>
      </c>
      <c r="D135" s="12" t="inlineStr"/>
    </row>
    <row r="136">
      <c r="A136" s="14" t="inlineStr">
        <is>
          <t>Cut-over tasks</t>
        </is>
      </c>
      <c r="B136" s="21" t="inlineStr">
        <is>
          <t>Verification</t>
        </is>
      </c>
      <c r="C136" s="14" t="inlineStr">
        <is>
          <t>How completion is proven</t>
        </is>
      </c>
      <c r="D136" s="14" t="inlineStr"/>
    </row>
    <row r="137">
      <c r="A137" s="12" t="inlineStr">
        <is>
          <t>Cut-over tasks</t>
        </is>
      </c>
      <c r="B137" s="20" t="inlineStr">
        <is>
          <t>Checkpoint</t>
        </is>
      </c>
      <c r="C137" s="12" t="inlineStr">
        <is>
          <t>Go / no-go checkpoint or milestone</t>
        </is>
      </c>
      <c r="D137" s="12" t="inlineStr"/>
    </row>
    <row r="138">
      <c r="A138" s="14" t="inlineStr">
        <is>
          <t>Cut-over tasks</t>
        </is>
      </c>
      <c r="B138" s="21" t="inlineStr">
        <is>
          <t>Assignee (name)</t>
        </is>
      </c>
      <c r="C138" s="14" t="inlineStr">
        <is>
          <t>Named person</t>
        </is>
      </c>
      <c r="D138" s="14" t="inlineStr"/>
    </row>
    <row r="139">
      <c r="A139" s="12" t="inlineStr">
        <is>
          <t>Cut-over tasks</t>
        </is>
      </c>
      <c r="B139" s="20" t="inlineStr">
        <is>
          <t>Status</t>
        </is>
      </c>
      <c r="C139" s="12" t="inlineStr">
        <is>
          <t>Task status</t>
        </is>
      </c>
      <c r="D139" s="12" t="inlineStr">
        <is>
          <t>NOT STARTED, IN PROGRESS, DONE, BLOCKED, N/A</t>
        </is>
      </c>
    </row>
    <row r="140">
      <c r="A140" s="14" t="inlineStr">
        <is>
          <t>Cut-over tasks</t>
        </is>
      </c>
      <c r="B140" s="21" t="inlineStr">
        <is>
          <t>BU review</t>
        </is>
      </c>
      <c r="C140" s="14" t="inlineStr">
        <is>
          <t>Business unit decision on the row</t>
        </is>
      </c>
      <c r="D140" s="14" t="inlineStr">
        <is>
          <t>Accept, Change requested, Comment</t>
        </is>
      </c>
    </row>
    <row r="141">
      <c r="A141" s="12" t="inlineStr">
        <is>
          <t>Cut-over tasks</t>
        </is>
      </c>
      <c r="B141" s="20" t="inlineStr">
        <is>
          <t>BU comment</t>
        </is>
      </c>
      <c r="C141" s="12" t="inlineStr">
        <is>
          <t>What should change, or the comment</t>
        </is>
      </c>
      <c r="D141" s="12" t="inlineStr"/>
    </row>
    <row r="142">
      <c r="A142" s="14" t="inlineStr">
        <is>
          <t>Cut-over tasks</t>
        </is>
      </c>
      <c r="B142" s="21" t="inlineStr">
        <is>
          <t>Reviewer</t>
        </is>
      </c>
      <c r="C142" s="14" t="inlineStr">
        <is>
          <t>Name of the BU reviewer</t>
        </is>
      </c>
      <c r="D142" s="14" t="inlineStr"/>
    </row>
    <row r="143">
      <c r="A143" s="12" t="inlineStr">
        <is>
          <t>Cut-over tasks</t>
        </is>
      </c>
      <c r="B143" s="20" t="inlineStr">
        <is>
          <t>Review date</t>
        </is>
      </c>
      <c r="C143" s="12" t="inlineStr">
        <is>
          <t>Date of the review (dd-mmm-yyyy)</t>
        </is>
      </c>
      <c r="D143" s="12" t="inlineStr"/>
    </row>
    <row r="144">
      <c r="A144" s="14" t="inlineStr">
        <is>
          <t>Cut-over roles</t>
        </is>
      </c>
      <c r="B144" s="21" t="inlineStr">
        <is>
          <t>Code</t>
        </is>
      </c>
      <c r="C144" s="14" t="inlineStr">
        <is>
          <t>Owner code of the task plan</t>
        </is>
      </c>
      <c r="D144" s="14" t="inlineStr"/>
    </row>
    <row r="145">
      <c r="A145" s="12" t="inlineStr">
        <is>
          <t>Cut-over roles</t>
        </is>
      </c>
      <c r="B145" s="20" t="inlineStr">
        <is>
          <t>Role</t>
        </is>
      </c>
      <c r="C145" s="12" t="inlineStr">
        <is>
          <t>Role</t>
        </is>
      </c>
      <c r="D145" s="12" t="inlineStr"/>
    </row>
    <row r="146">
      <c r="A146" s="14" t="inlineStr">
        <is>
          <t>Cut-over roles</t>
        </is>
      </c>
      <c r="B146" s="21" t="inlineStr">
        <is>
          <t>Organisation</t>
        </is>
      </c>
      <c r="C146" s="14" t="inlineStr">
        <is>
          <t>Organisation</t>
        </is>
      </c>
      <c r="D146" s="14" t="inlineStr"/>
    </row>
    <row r="147">
      <c r="A147" s="12" t="inlineStr">
        <is>
          <t>Cut-over roles</t>
        </is>
      </c>
      <c r="B147" s="20" t="inlineStr">
        <is>
          <t>Name and phone (to fill)</t>
        </is>
      </c>
      <c r="C147" s="12" t="inlineStr">
        <is>
          <t>Named person</t>
        </is>
      </c>
      <c r="D147" s="12" t="inlineStr"/>
    </row>
    <row r="148">
      <c r="A148" s="14" t="inlineStr">
        <is>
          <t>Cut-over calendar</t>
        </is>
      </c>
      <c r="B148" s="21" t="inlineStr">
        <is>
          <t>Day</t>
        </is>
      </c>
      <c r="C148" s="14" t="inlineStr">
        <is>
          <t>Day relative to go-live (T)</t>
        </is>
      </c>
      <c r="D148" s="14" t="inlineStr"/>
    </row>
    <row r="149">
      <c r="A149" s="12" t="inlineStr">
        <is>
          <t>Cut-over calendar</t>
        </is>
      </c>
      <c r="B149" s="20" t="inlineStr">
        <is>
          <t>Date (T = 3-Jan-2028)</t>
        </is>
      </c>
      <c r="C149" s="12" t="inlineStr">
        <is>
          <t>Date for the proposed go-live</t>
        </is>
      </c>
      <c r="D149" s="12" t="inlineStr"/>
    </row>
    <row r="150">
      <c r="A150" s="14" t="inlineStr">
        <is>
          <t>Cut-over calendar</t>
        </is>
      </c>
      <c r="B150" s="21" t="inlineStr">
        <is>
          <t>Note</t>
        </is>
      </c>
      <c r="C150" s="14" t="inlineStr">
        <is>
          <t>Holiday or year-end note</t>
        </is>
      </c>
      <c r="D150" s="14" t="inlineStr"/>
    </row>
    <row r="151">
      <c r="A151" s="12" t="inlineStr">
        <is>
          <t>Go-no-go checkpoints</t>
        </is>
      </c>
      <c r="B151" s="20" t="inlineStr">
        <is>
          <t>Checkpoint</t>
        </is>
      </c>
      <c r="C151" s="12" t="inlineStr">
        <is>
          <t>Checkpoint</t>
        </is>
      </c>
      <c r="D151" s="12" t="inlineStr"/>
    </row>
    <row r="152">
      <c r="A152" s="14" t="inlineStr">
        <is>
          <t>Go-no-go checkpoints</t>
        </is>
      </c>
      <c r="B152" s="21" t="inlineStr">
        <is>
          <t>When</t>
        </is>
      </c>
      <c r="C152" s="14" t="inlineStr">
        <is>
          <t>Day and time</t>
        </is>
      </c>
      <c r="D152" s="14" t="inlineStr"/>
    </row>
    <row r="153">
      <c r="A153" s="12" t="inlineStr">
        <is>
          <t>Go-no-go checkpoints</t>
        </is>
      </c>
      <c r="B153" s="20" t="inlineStr">
        <is>
          <t>Decision</t>
        </is>
      </c>
      <c r="C153" s="12" t="inlineStr">
        <is>
          <t>What is decided</t>
        </is>
      </c>
      <c r="D153" s="12" t="inlineStr"/>
    </row>
    <row r="154">
      <c r="A154" s="14" t="inlineStr">
        <is>
          <t>Go-no-go checkpoints</t>
        </is>
      </c>
      <c r="B154" s="21" t="inlineStr">
        <is>
          <t>No.</t>
        </is>
      </c>
      <c r="C154" s="14" t="inlineStr">
        <is>
          <t>Criterion number</t>
        </is>
      </c>
      <c r="D154" s="14" t="inlineStr"/>
    </row>
    <row r="155">
      <c r="A155" s="12" t="inlineStr">
        <is>
          <t>Go-no-go checkpoints</t>
        </is>
      </c>
      <c r="B155" s="20" t="inlineStr">
        <is>
          <t>Criterion</t>
        </is>
      </c>
      <c r="C155" s="12" t="inlineStr">
        <is>
          <t>Criterion that must be met</t>
        </is>
      </c>
      <c r="D155" s="12" t="inlineStr"/>
    </row>
    <row r="156">
      <c r="A156" s="14" t="inlineStr">
        <is>
          <t>Go-no-go checkpoints</t>
        </is>
      </c>
      <c r="B156" s="21" t="inlineStr">
        <is>
          <t>Measured value</t>
        </is>
      </c>
      <c r="C156" s="14" t="inlineStr">
        <is>
          <t>Value at the decision</t>
        </is>
      </c>
      <c r="D156" s="14" t="inlineStr"/>
    </row>
    <row r="157">
      <c r="A157" s="12" t="inlineStr">
        <is>
          <t>Go-no-go checkpoints</t>
        </is>
      </c>
      <c r="B157" s="20" t="inlineStr">
        <is>
          <t>Met</t>
        </is>
      </c>
      <c r="C157" s="12" t="inlineStr">
        <is>
          <t>Y or N</t>
        </is>
      </c>
      <c r="D157" s="12" t="inlineStr">
        <is>
          <t>Y, N</t>
        </is>
      </c>
    </row>
    <row r="158">
      <c r="A158" s="14" t="inlineStr">
        <is>
          <t>Go-no-go checkpoints</t>
        </is>
      </c>
      <c r="B158" s="21" t="inlineStr">
        <is>
          <t>BU review</t>
        </is>
      </c>
      <c r="C158" s="14" t="inlineStr">
        <is>
          <t>Business unit decision on the row</t>
        </is>
      </c>
      <c r="D158" s="14" t="inlineStr">
        <is>
          <t>Accept, Change requested, Comment</t>
        </is>
      </c>
    </row>
    <row r="159">
      <c r="A159" s="12" t="inlineStr">
        <is>
          <t>Go-no-go checkpoints</t>
        </is>
      </c>
      <c r="B159" s="20" t="inlineStr">
        <is>
          <t>BU comment</t>
        </is>
      </c>
      <c r="C159" s="12" t="inlineStr">
        <is>
          <t>What should change, or the comment</t>
        </is>
      </c>
      <c r="D159" s="12" t="inlineStr"/>
    </row>
    <row r="160">
      <c r="A160" s="14" t="inlineStr">
        <is>
          <t>Go-no-go checkpoints</t>
        </is>
      </c>
      <c r="B160" s="21" t="inlineStr">
        <is>
          <t>Reviewer</t>
        </is>
      </c>
      <c r="C160" s="14" t="inlineStr">
        <is>
          <t>Name of the BU reviewer</t>
        </is>
      </c>
      <c r="D160" s="14" t="inlineStr"/>
    </row>
    <row r="161">
      <c r="A161" s="12" t="inlineStr">
        <is>
          <t>Go-no-go checkpoints</t>
        </is>
      </c>
      <c r="B161" s="20" t="inlineStr">
        <is>
          <t>Review date</t>
        </is>
      </c>
      <c r="C161" s="12" t="inlineStr">
        <is>
          <t>Date of the review (dd-mmm-yyyy)</t>
        </is>
      </c>
      <c r="D161" s="12" t="inlineStr"/>
    </row>
    <row r="162">
      <c r="A162" s="14" t="inlineStr">
        <is>
          <t>Freeze windows</t>
        </is>
      </c>
      <c r="B162" s="21" t="inlineStr">
        <is>
          <t>Freeze</t>
        </is>
      </c>
      <c r="C162" s="14" t="inlineStr">
        <is>
          <t>What is frozen</t>
        </is>
      </c>
      <c r="D162" s="14" t="inlineStr"/>
    </row>
    <row r="163">
      <c r="A163" s="12" t="inlineStr">
        <is>
          <t>Freeze windows</t>
        </is>
      </c>
      <c r="B163" s="20" t="inlineStr">
        <is>
          <t>From</t>
        </is>
      </c>
      <c r="C163" s="12" t="inlineStr">
        <is>
          <t>Start</t>
        </is>
      </c>
      <c r="D163" s="12" t="inlineStr"/>
    </row>
    <row r="164">
      <c r="A164" s="14" t="inlineStr">
        <is>
          <t>Freeze windows</t>
        </is>
      </c>
      <c r="B164" s="21" t="inlineStr">
        <is>
          <t>Until</t>
        </is>
      </c>
      <c r="C164" s="14" t="inlineStr">
        <is>
          <t>End</t>
        </is>
      </c>
      <c r="D164" s="14" t="inlineStr"/>
    </row>
    <row r="165">
      <c r="A165" s="12" t="inlineStr">
        <is>
          <t>Freeze windows</t>
        </is>
      </c>
      <c r="B165" s="20" t="inlineStr">
        <is>
          <t>Scope</t>
        </is>
      </c>
      <c r="C165" s="12" t="inlineStr">
        <is>
          <t>What may not change</t>
        </is>
      </c>
      <c r="D165" s="12" t="inlineStr"/>
    </row>
    <row r="166">
      <c r="A166" s="14" t="inlineStr">
        <is>
          <t>Freeze windows</t>
        </is>
      </c>
      <c r="B166" s="21" t="inlineStr">
        <is>
          <t>Exception route</t>
        </is>
      </c>
      <c r="C166" s="14" t="inlineStr">
        <is>
          <t>How an urgent change is handled</t>
        </is>
      </c>
      <c r="D166" s="14" t="inlineStr"/>
    </row>
    <row r="167">
      <c r="A167" s="12" t="inlineStr">
        <is>
          <t>Freeze windows</t>
        </is>
      </c>
      <c r="B167" s="20" t="inlineStr">
        <is>
          <t>BU review</t>
        </is>
      </c>
      <c r="C167" s="12" t="inlineStr">
        <is>
          <t>Business unit decision on the row</t>
        </is>
      </c>
      <c r="D167" s="12" t="inlineStr">
        <is>
          <t>Accept, Change requested, Comment</t>
        </is>
      </c>
    </row>
    <row r="168">
      <c r="A168" s="14" t="inlineStr">
        <is>
          <t>Freeze windows</t>
        </is>
      </c>
      <c r="B168" s="21" t="inlineStr">
        <is>
          <t>BU comment</t>
        </is>
      </c>
      <c r="C168" s="14" t="inlineStr">
        <is>
          <t>What should change, or the comment</t>
        </is>
      </c>
      <c r="D168" s="14" t="inlineStr"/>
    </row>
    <row r="169">
      <c r="A169" s="12" t="inlineStr">
        <is>
          <t>Freeze windows</t>
        </is>
      </c>
      <c r="B169" s="20" t="inlineStr">
        <is>
          <t>Reviewer</t>
        </is>
      </c>
      <c r="C169" s="12" t="inlineStr">
        <is>
          <t>Name of the BU reviewer</t>
        </is>
      </c>
      <c r="D169" s="12" t="inlineStr"/>
    </row>
    <row r="170">
      <c r="A170" s="14" t="inlineStr">
        <is>
          <t>Freeze windows</t>
        </is>
      </c>
      <c r="B170" s="21" t="inlineStr">
        <is>
          <t>Review date</t>
        </is>
      </c>
      <c r="C170" s="14" t="inlineStr">
        <is>
          <t>Date of the review (dd-mmm-yyyy)</t>
        </is>
      </c>
      <c r="D170" s="14" t="inlineStr"/>
    </row>
    <row r="171">
      <c r="A171" s="12" t="inlineStr">
        <is>
          <t>Rollback</t>
        </is>
      </c>
      <c r="B171" s="20" t="inlineStr">
        <is>
          <t>Step</t>
        </is>
      </c>
      <c r="C171" s="12" t="inlineStr">
        <is>
          <t>Step</t>
        </is>
      </c>
      <c r="D171" s="12" t="inlineStr"/>
    </row>
    <row r="172">
      <c r="A172" s="14" t="inlineStr">
        <is>
          <t>Rollback</t>
        </is>
      </c>
      <c r="B172" s="21" t="inlineStr">
        <is>
          <t>Name</t>
        </is>
      </c>
      <c r="C172" s="14" t="inlineStr">
        <is>
          <t>Step name</t>
        </is>
      </c>
      <c r="D172" s="14" t="inlineStr"/>
    </row>
    <row r="173">
      <c r="A173" s="12" t="inlineStr">
        <is>
          <t>Rollback</t>
        </is>
      </c>
      <c r="B173" s="20" t="inlineStr">
        <is>
          <t>Action</t>
        </is>
      </c>
      <c r="C173" s="12" t="inlineStr">
        <is>
          <t>What is done</t>
        </is>
      </c>
      <c r="D173" s="12" t="inlineStr"/>
    </row>
    <row r="174">
      <c r="A174" s="14" t="inlineStr">
        <is>
          <t>Rollback</t>
        </is>
      </c>
      <c r="B174" s="21" t="inlineStr">
        <is>
          <t>Owner</t>
        </is>
      </c>
      <c r="C174" s="14" t="inlineStr">
        <is>
          <t>Role</t>
        </is>
      </c>
      <c r="D174" s="14" t="inlineStr"/>
    </row>
    <row r="175">
      <c r="A175" s="12" t="inlineStr">
        <is>
          <t>Rollback</t>
        </is>
      </c>
      <c r="B175" s="20" t="inlineStr">
        <is>
          <t>Done at</t>
        </is>
      </c>
      <c r="C175" s="12" t="inlineStr">
        <is>
          <t>Date and time</t>
        </is>
      </c>
      <c r="D175" s="12" t="inlineStr"/>
    </row>
    <row r="176">
      <c r="A176" s="14" t="inlineStr">
        <is>
          <t>Rollback</t>
        </is>
      </c>
      <c r="B176" s="21" t="inlineStr">
        <is>
          <t>BU review</t>
        </is>
      </c>
      <c r="C176" s="14" t="inlineStr">
        <is>
          <t>Business unit decision on the row</t>
        </is>
      </c>
      <c r="D176" s="14" t="inlineStr">
        <is>
          <t>Accept, Change requested, Comment</t>
        </is>
      </c>
    </row>
    <row r="177">
      <c r="A177" s="12" t="inlineStr">
        <is>
          <t>Rollback</t>
        </is>
      </c>
      <c r="B177" s="20" t="inlineStr">
        <is>
          <t>BU comment</t>
        </is>
      </c>
      <c r="C177" s="12" t="inlineStr">
        <is>
          <t>What should change, or the comment</t>
        </is>
      </c>
      <c r="D177" s="12" t="inlineStr"/>
    </row>
    <row r="178">
      <c r="A178" s="14" t="inlineStr">
        <is>
          <t>Rollback</t>
        </is>
      </c>
      <c r="B178" s="21" t="inlineStr">
        <is>
          <t>Reviewer</t>
        </is>
      </c>
      <c r="C178" s="14" t="inlineStr">
        <is>
          <t>Name of the BU reviewer</t>
        </is>
      </c>
      <c r="D178" s="14" t="inlineStr"/>
    </row>
    <row r="179">
      <c r="A179" s="12" t="inlineStr">
        <is>
          <t>Rollback</t>
        </is>
      </c>
      <c r="B179" s="20" t="inlineStr">
        <is>
          <t>Review date</t>
        </is>
      </c>
      <c r="C179" s="12" t="inlineStr">
        <is>
          <t>Date of the review (dd-mmm-yyyy)</t>
        </is>
      </c>
      <c r="D179" s="12" t="inlineStr"/>
    </row>
    <row r="180">
      <c r="A180" s="14" t="inlineStr">
        <is>
          <t>Communication</t>
        </is>
      </c>
      <c r="B180" s="21" t="inlineStr">
        <is>
          <t>No.</t>
        </is>
      </c>
      <c r="C180" s="14" t="inlineStr">
        <is>
          <t>Item</t>
        </is>
      </c>
      <c r="D180" s="14" t="inlineStr"/>
    </row>
    <row r="181">
      <c r="A181" s="12" t="inlineStr">
        <is>
          <t>Communication</t>
        </is>
      </c>
      <c r="B181" s="20" t="inlineStr">
        <is>
          <t>Message</t>
        </is>
      </c>
      <c r="C181" s="12" t="inlineStr">
        <is>
          <t>What is said</t>
        </is>
      </c>
      <c r="D181" s="12" t="inlineStr"/>
    </row>
    <row r="182">
      <c r="A182" s="14" t="inlineStr">
        <is>
          <t>Communication</t>
        </is>
      </c>
      <c r="B182" s="21" t="inlineStr">
        <is>
          <t>Audience</t>
        </is>
      </c>
      <c r="C182" s="14" t="inlineStr">
        <is>
          <t>Who receives it</t>
        </is>
      </c>
      <c r="D182" s="14" t="inlineStr"/>
    </row>
    <row r="183">
      <c r="A183" s="12" t="inlineStr">
        <is>
          <t>Communication</t>
        </is>
      </c>
      <c r="B183" s="20" t="inlineStr">
        <is>
          <t>Channel</t>
        </is>
      </c>
      <c r="C183" s="12" t="inlineStr">
        <is>
          <t>How</t>
        </is>
      </c>
      <c r="D183" s="12" t="inlineStr"/>
    </row>
    <row r="184">
      <c r="A184" s="14" t="inlineStr">
        <is>
          <t>Communication</t>
        </is>
      </c>
      <c r="B184" s="21" t="inlineStr">
        <is>
          <t>When</t>
        </is>
      </c>
      <c r="C184" s="14" t="inlineStr">
        <is>
          <t>Day</t>
        </is>
      </c>
      <c r="D184" s="14" t="inlineStr"/>
    </row>
    <row r="185">
      <c r="A185" s="12" t="inlineStr">
        <is>
          <t>Communication</t>
        </is>
      </c>
      <c r="B185" s="20" t="inlineStr">
        <is>
          <t>Owner</t>
        </is>
      </c>
      <c r="C185" s="12" t="inlineStr">
        <is>
          <t>Role</t>
        </is>
      </c>
      <c r="D185" s="12" t="inlineStr"/>
    </row>
    <row r="186">
      <c r="A186" s="14" t="inlineStr">
        <is>
          <t>Communication</t>
        </is>
      </c>
      <c r="B186" s="21" t="inlineStr">
        <is>
          <t>Sent on</t>
        </is>
      </c>
      <c r="C186" s="14" t="inlineStr">
        <is>
          <t>Date</t>
        </is>
      </c>
      <c r="D186" s="14" t="inlineStr"/>
    </row>
    <row r="187">
      <c r="A187" s="12" t="inlineStr">
        <is>
          <t>Hypercare</t>
        </is>
      </c>
      <c r="B187" s="20" t="inlineStr">
        <is>
          <t>Function</t>
        </is>
      </c>
      <c r="C187" s="12" t="inlineStr">
        <is>
          <t>Support function</t>
        </is>
      </c>
      <c r="D187" s="12" t="inlineStr"/>
    </row>
    <row r="188">
      <c r="A188" s="14" t="inlineStr">
        <is>
          <t>Hypercare</t>
        </is>
      </c>
      <c r="B188" s="21" t="inlineStr">
        <is>
          <t>Who</t>
        </is>
      </c>
      <c r="C188" s="14" t="inlineStr">
        <is>
          <t>Team</t>
        </is>
      </c>
      <c r="D188" s="14" t="inlineStr"/>
    </row>
    <row r="189">
      <c r="A189" s="12" t="inlineStr">
        <is>
          <t>Hypercare</t>
        </is>
      </c>
      <c r="B189" s="20" t="inlineStr">
        <is>
          <t>Coverage</t>
        </is>
      </c>
      <c r="C189" s="12" t="inlineStr">
        <is>
          <t>Hours</t>
        </is>
      </c>
      <c r="D189" s="12" t="inlineStr"/>
    </row>
    <row r="190">
      <c r="A190" s="14" t="inlineStr">
        <is>
          <t>Hypercare</t>
        </is>
      </c>
      <c r="B190" s="21" t="inlineStr">
        <is>
          <t>Escalates to</t>
        </is>
      </c>
      <c r="C190" s="14" t="inlineStr">
        <is>
          <t>Escalation</t>
        </is>
      </c>
      <c r="D190" s="14" t="inlineStr"/>
    </row>
    <row r="191">
      <c r="A191" s="12" t="inlineStr">
        <is>
          <t>Hypercare</t>
        </is>
      </c>
      <c r="B191" s="20" t="inlineStr">
        <is>
          <t>Names and phone (to fill)</t>
        </is>
      </c>
      <c r="C191" s="12" t="inlineStr">
        <is>
          <t>Named people</t>
        </is>
      </c>
      <c r="D191" s="12" t="inlineStr"/>
    </row>
    <row r="192">
      <c r="A192" s="14" t="inlineStr">
        <is>
          <t>Decommissioning</t>
        </is>
      </c>
      <c r="B192" s="21" t="inlineStr">
        <is>
          <t>Legacy system</t>
        </is>
      </c>
      <c r="C192" s="14" t="inlineStr">
        <is>
          <t>System or the legacy context</t>
        </is>
      </c>
      <c r="D192" s="14" t="inlineStr"/>
    </row>
    <row r="193">
      <c r="A193" s="12" t="inlineStr">
        <is>
          <t>Decommissioning</t>
        </is>
      </c>
      <c r="B193" s="20" t="inlineStr">
        <is>
          <t>No.</t>
        </is>
      </c>
      <c r="C193" s="12" t="inlineStr">
        <is>
          <t>Criterion</t>
        </is>
      </c>
      <c r="D193" s="12" t="inlineStr"/>
    </row>
    <row r="194">
      <c r="A194" s="14" t="inlineStr">
        <is>
          <t>Decommissioning</t>
        </is>
      </c>
      <c r="B194" s="21" t="inlineStr">
        <is>
          <t>Criterion</t>
        </is>
      </c>
      <c r="C194" s="14" t="inlineStr">
        <is>
          <t>Criterion</t>
        </is>
      </c>
      <c r="D194" s="14" t="inlineStr"/>
    </row>
    <row r="195">
      <c r="A195" s="12" t="inlineStr">
        <is>
          <t>Decommissioning</t>
        </is>
      </c>
      <c r="B195" s="20" t="inlineStr">
        <is>
          <t>Evidence</t>
        </is>
      </c>
      <c r="C195" s="12" t="inlineStr">
        <is>
          <t>Report, log or sign-off</t>
        </is>
      </c>
      <c r="D195" s="12" t="inlineStr"/>
    </row>
    <row r="196">
      <c r="A196" s="14" t="inlineStr">
        <is>
          <t>Decommissioning</t>
        </is>
      </c>
      <c r="B196" s="21" t="inlineStr">
        <is>
          <t>Signed by and date</t>
        </is>
      </c>
      <c r="C196" s="14" t="inlineStr">
        <is>
          <t>Signer</t>
        </is>
      </c>
      <c r="D196" s="14" t="inlineStr"/>
    </row>
    <row r="197">
      <c r="A197" s="12" t="inlineStr">
        <is>
          <t>Decommissioning</t>
        </is>
      </c>
      <c r="B197" s="20" t="inlineStr">
        <is>
          <t>Status</t>
        </is>
      </c>
      <c r="C197" s="12" t="inlineStr">
        <is>
          <t>Status</t>
        </is>
      </c>
      <c r="D197" s="12" t="inlineStr">
        <is>
          <t>OPEN, DONE, N/A</t>
        </is>
      </c>
    </row>
    <row r="198">
      <c r="A198" s="14" t="inlineStr">
        <is>
          <t>Decommissioning</t>
        </is>
      </c>
      <c r="B198" s="21" t="inlineStr">
        <is>
          <t>BU review</t>
        </is>
      </c>
      <c r="C198" s="14" t="inlineStr">
        <is>
          <t>Business unit decision on the row</t>
        </is>
      </c>
      <c r="D198" s="14" t="inlineStr">
        <is>
          <t>Accept, Change requested, Comment</t>
        </is>
      </c>
    </row>
    <row r="199">
      <c r="A199" s="12" t="inlineStr">
        <is>
          <t>Decommissioning</t>
        </is>
      </c>
      <c r="B199" s="20" t="inlineStr">
        <is>
          <t>BU comment</t>
        </is>
      </c>
      <c r="C199" s="12" t="inlineStr">
        <is>
          <t>What should change, or the comment</t>
        </is>
      </c>
      <c r="D199" s="12" t="inlineStr"/>
    </row>
    <row r="200">
      <c r="A200" s="14" t="inlineStr">
        <is>
          <t>Decommissioning</t>
        </is>
      </c>
      <c r="B200" s="21" t="inlineStr">
        <is>
          <t>Reviewer</t>
        </is>
      </c>
      <c r="C200" s="14" t="inlineStr">
        <is>
          <t>Name of the BU reviewer</t>
        </is>
      </c>
      <c r="D200" s="14" t="inlineStr"/>
    </row>
    <row r="201">
      <c r="A201" s="12" t="inlineStr">
        <is>
          <t>Decommissioning</t>
        </is>
      </c>
      <c r="B201" s="20" t="inlineStr">
        <is>
          <t>Review date</t>
        </is>
      </c>
      <c r="C201" s="12" t="inlineStr">
        <is>
          <t>Date of the review (dd-mmm-yyyy)</t>
        </is>
      </c>
      <c r="D201" s="12" t="inlineStr"/>
    </row>
    <row r="202">
      <c r="A202" s="14" t="inlineStr">
        <is>
          <t>Reconciliation sign-off</t>
        </is>
      </c>
      <c r="B202" s="21" t="inlineStr">
        <is>
          <t>Object</t>
        </is>
      </c>
      <c r="C202" s="14" t="inlineStr">
        <is>
          <t>Data object</t>
        </is>
      </c>
      <c r="D202" s="14" t="inlineStr"/>
    </row>
    <row r="203">
      <c r="A203" s="12" t="inlineStr">
        <is>
          <t>Reconciliation sign-off</t>
        </is>
      </c>
      <c r="B203" s="20" t="inlineStr">
        <is>
          <t>Data object</t>
        </is>
      </c>
      <c r="C203" s="12" t="inlineStr">
        <is>
          <t>What the object holds</t>
        </is>
      </c>
      <c r="D203" s="12" t="inlineStr"/>
    </row>
    <row r="204">
      <c r="A204" s="14" t="inlineStr">
        <is>
          <t>Reconciliation sign-off</t>
        </is>
      </c>
      <c r="B204" s="21" t="inlineStr">
        <is>
          <t>L1 counts</t>
        </is>
      </c>
      <c r="C204" s="14" t="inlineStr">
        <is>
          <t>What the count level compares</t>
        </is>
      </c>
      <c r="D204" s="14" t="inlineStr"/>
    </row>
    <row r="205">
      <c r="A205" s="12" t="inlineStr">
        <is>
          <t>Reconciliation sign-off</t>
        </is>
      </c>
      <c r="B205" s="20" t="inlineStr">
        <is>
          <t>L2 amounts</t>
        </is>
      </c>
      <c r="C205" s="12" t="inlineStr">
        <is>
          <t>What the amount level compares</t>
        </is>
      </c>
      <c r="D205" s="12" t="inlineStr"/>
    </row>
    <row r="206">
      <c r="A206" s="14" t="inlineStr">
        <is>
          <t>Reconciliation sign-off</t>
        </is>
      </c>
      <c r="B206" s="21" t="inlineStr">
        <is>
          <t>L3 hash totals</t>
        </is>
      </c>
      <c r="C206" s="14" t="inlineStr">
        <is>
          <t>What the hash level compares</t>
        </is>
      </c>
      <c r="D206" s="14" t="inlineStr"/>
    </row>
    <row r="207">
      <c r="A207" s="12" t="inlineStr">
        <is>
          <t>Reconciliation sign-off</t>
        </is>
      </c>
      <c r="B207" s="20" t="inlineStr">
        <is>
          <t>L4 fields</t>
        </is>
      </c>
      <c r="C207" s="12" t="inlineStr">
        <is>
          <t>What the field level compares</t>
        </is>
      </c>
      <c r="D207" s="12" t="inlineStr"/>
    </row>
    <row r="208">
      <c r="A208" s="14" t="inlineStr">
        <is>
          <t>Reconciliation sign-off</t>
        </is>
      </c>
      <c r="B208" s="21" t="inlineStr">
        <is>
          <t>L5 or business check</t>
        </is>
      </c>
      <c r="C208" s="14" t="inlineStr">
        <is>
          <t>GL level of the financial objects, or the business check</t>
        </is>
      </c>
      <c r="D208" s="14" t="inlineStr"/>
    </row>
    <row r="209">
      <c r="A209" s="12" t="inlineStr">
        <is>
          <t>Reconciliation sign-off</t>
        </is>
      </c>
      <c r="B209" s="20" t="inlineStr">
        <is>
          <t>Business verification sample (G6)</t>
        </is>
      </c>
      <c r="C209" s="12" t="inlineStr">
        <is>
          <t>What the data owner checks on the BIBS screens</t>
        </is>
      </c>
      <c r="D209" s="12" t="inlineStr"/>
    </row>
    <row r="210">
      <c r="A210" s="14" t="inlineStr">
        <is>
          <t>Reconciliation sign-off</t>
        </is>
      </c>
      <c r="B210" s="21" t="inlineStr">
        <is>
          <t>Signs G5</t>
        </is>
      </c>
      <c r="C210" s="14" t="inlineStr">
        <is>
          <t>Reconciliation approver (Comptrollership for financial objects)</t>
        </is>
      </c>
      <c r="D210" s="14" t="inlineStr"/>
    </row>
    <row r="211">
      <c r="A211" s="12" t="inlineStr">
        <is>
          <t>Reconciliation sign-off</t>
        </is>
      </c>
      <c r="B211" s="20" t="inlineStr">
        <is>
          <t>Run</t>
        </is>
      </c>
      <c r="C211" s="12" t="inlineStr">
        <is>
          <t>Trial migration 1 to 4, dress rehearsal or production</t>
        </is>
      </c>
      <c r="D211" s="12" t="inlineStr">
        <is>
          <t>Trial migration 1, Trial migration 2, Trial migration 3, Trial migration 4, Dress rehearsal, Production</t>
        </is>
      </c>
    </row>
    <row r="212">
      <c r="A212" s="14" t="inlineStr">
        <is>
          <t>Reconciliation sign-off</t>
        </is>
      </c>
      <c r="B212" s="21" t="inlineStr">
        <is>
          <t>Result</t>
        </is>
      </c>
      <c r="C212" s="14" t="inlineStr">
        <is>
          <t>Matched, or explained with approval</t>
        </is>
      </c>
      <c r="D212" s="14" t="inlineStr">
        <is>
          <t>Matched, Explained, Break</t>
        </is>
      </c>
    </row>
    <row r="213">
      <c r="A213" s="12" t="inlineStr">
        <is>
          <t>Reconciliation sign-off</t>
        </is>
      </c>
      <c r="B213" s="20" t="inlineStr">
        <is>
          <t>G5 signed by and date</t>
        </is>
      </c>
      <c r="C213" s="12" t="inlineStr">
        <is>
          <t>Reconciliation approver</t>
        </is>
      </c>
      <c r="D213" s="12" t="inlineStr"/>
    </row>
    <row r="214">
      <c r="A214" s="14" t="inlineStr">
        <is>
          <t>Reconciliation sign-off</t>
        </is>
      </c>
      <c r="B214" s="21" t="inlineStr">
        <is>
          <t>G6 signed by and date</t>
        </is>
      </c>
      <c r="C214" s="14" t="inlineStr">
        <is>
          <t>Data owner and Data Migration Lead</t>
        </is>
      </c>
      <c r="D214" s="14" t="inlineStr"/>
    </row>
    <row r="215">
      <c r="A215" s="12" t="inlineStr">
        <is>
          <t>Reconciliation sign-off</t>
        </is>
      </c>
      <c r="B215" s="20" t="inlineStr">
        <is>
          <t>BU review</t>
        </is>
      </c>
      <c r="C215" s="12" t="inlineStr">
        <is>
          <t>Business unit decision on the row</t>
        </is>
      </c>
      <c r="D215" s="12" t="inlineStr">
        <is>
          <t>Accept, Change requested, Comment</t>
        </is>
      </c>
    </row>
    <row r="216">
      <c r="A216" s="14" t="inlineStr">
        <is>
          <t>Reconciliation sign-off</t>
        </is>
      </c>
      <c r="B216" s="21" t="inlineStr">
        <is>
          <t>BU comment</t>
        </is>
      </c>
      <c r="C216" s="14" t="inlineStr">
        <is>
          <t>What should change, or the comment</t>
        </is>
      </c>
      <c r="D216" s="14" t="inlineStr"/>
    </row>
    <row r="217">
      <c r="A217" s="12" t="inlineStr">
        <is>
          <t>Reconciliation sign-off</t>
        </is>
      </c>
      <c r="B217" s="20" t="inlineStr">
        <is>
          <t>Reviewer</t>
        </is>
      </c>
      <c r="C217" s="12" t="inlineStr">
        <is>
          <t>Name of the BU reviewer</t>
        </is>
      </c>
      <c r="D217" s="12" t="inlineStr"/>
    </row>
    <row r="218">
      <c r="A218" s="14" t="inlineStr">
        <is>
          <t>Reconciliation sign-off</t>
        </is>
      </c>
      <c r="B218" s="21" t="inlineStr">
        <is>
          <t>Review date</t>
        </is>
      </c>
      <c r="C218" s="14" t="inlineStr">
        <is>
          <t>Date of the review (dd-mmm-yyyy)</t>
        </is>
      </c>
      <c r="D218" s="14" t="inlineStr"/>
    </row>
    <row r="219">
      <c r="A219" s="12" t="inlineStr">
        <is>
          <t>Open decisions</t>
        </is>
      </c>
      <c r="B219" s="20" t="inlineStr">
        <is>
          <t>ID</t>
        </is>
      </c>
      <c r="C219" s="12" t="inlineStr">
        <is>
          <t>Question (DMQnn) or register ID (DCR-nnn)</t>
        </is>
      </c>
      <c r="D219" s="12" t="inlineStr"/>
    </row>
    <row r="220">
      <c r="A220" s="14" t="inlineStr">
        <is>
          <t>Open decisions</t>
        </is>
      </c>
      <c r="B220" s="21" t="inlineStr">
        <is>
          <t>Register</t>
        </is>
      </c>
      <c r="C220" s="14" t="inlineStr">
        <is>
          <t>Item of the BRD discrepancy and clarification register</t>
        </is>
      </c>
      <c r="D220" s="14" t="inlineStr"/>
    </row>
    <row r="221">
      <c r="A221" s="12" t="inlineStr">
        <is>
          <t>Open decisions</t>
        </is>
      </c>
      <c r="B221" s="20" t="inlineStr">
        <is>
          <t>Topic</t>
        </is>
      </c>
      <c r="C221" s="12" t="inlineStr">
        <is>
          <t>Subject</t>
        </is>
      </c>
      <c r="D221" s="12" t="inlineStr"/>
    </row>
    <row r="222">
      <c r="A222" s="14" t="inlineStr">
        <is>
          <t>Open decisions</t>
        </is>
      </c>
      <c r="B222" s="21" t="inlineStr">
        <is>
          <t>Decision needed</t>
        </is>
      </c>
      <c r="C222" s="14" t="inlineStr">
        <is>
          <t>What BDOI decides</t>
        </is>
      </c>
      <c r="D222" s="14" t="inlineStr"/>
    </row>
    <row r="223">
      <c r="A223" s="12" t="inlineStr">
        <is>
          <t>Open decisions</t>
        </is>
      </c>
      <c r="B223" s="20" t="inlineStr">
        <is>
          <t>What waits for it</t>
        </is>
      </c>
      <c r="C223" s="12" t="inlineStr">
        <is>
          <t>Objects, gates or dates that wait for the answer</t>
        </is>
      </c>
      <c r="D223" s="12" t="inlineStr"/>
    </row>
    <row r="224">
      <c r="A224" s="14" t="inlineStr">
        <is>
          <t>Open decisions</t>
        </is>
      </c>
      <c r="B224" s="21" t="inlineStr">
        <is>
          <t>Needed by</t>
        </is>
      </c>
      <c r="C224" s="14" t="inlineStr">
        <is>
          <t>Milestone and date</t>
        </is>
      </c>
      <c r="D224" s="14" t="inlineStr"/>
    </row>
    <row r="225">
      <c r="A225" s="12" t="inlineStr">
        <is>
          <t>Open decisions</t>
        </is>
      </c>
      <c r="B225" s="20" t="inlineStr">
        <is>
          <t>BDOI owner</t>
        </is>
      </c>
      <c r="C225" s="12" t="inlineStr">
        <is>
          <t>Who answers</t>
        </is>
      </c>
      <c r="D225" s="12" t="inlineStr"/>
    </row>
    <row r="226">
      <c r="A226" s="14" t="inlineStr">
        <is>
          <t>Open decisions</t>
        </is>
      </c>
      <c r="B226" s="21" t="inlineStr">
        <is>
          <t>Status</t>
        </is>
      </c>
      <c r="C226" s="14" t="inlineStr">
        <is>
          <t>Open, Partly answered, Answered, or Recommended (answered with a recommendation that BDOI still confirms)</t>
        </is>
      </c>
      <c r="D226" s="14" t="inlineStr">
        <is>
          <t>OPEN, PARTIAL, ANSWERED, RECOMMENDED</t>
        </is>
      </c>
    </row>
    <row r="227">
      <c r="A227" s="12" t="inlineStr">
        <is>
          <t>Open decisions</t>
        </is>
      </c>
      <c r="B227" s="20" t="inlineStr">
        <is>
          <t>Answer</t>
        </is>
      </c>
      <c r="C227" s="12" t="inlineStr">
        <is>
          <t>BDOI answer and date</t>
        </is>
      </c>
      <c r="D227" s="12" t="inlineStr"/>
    </row>
    <row r="228">
      <c r="A228" s="14" t="inlineStr">
        <is>
          <t>Proposed rules</t>
        </is>
      </c>
      <c r="B228" s="21" t="inlineStr">
        <is>
          <t>Ref</t>
        </is>
      </c>
      <c r="C228" s="14" t="inlineStr">
        <is>
          <t>Proposal reference</t>
        </is>
      </c>
      <c r="D228" s="14" t="inlineStr"/>
    </row>
    <row r="229">
      <c r="A229" s="12" t="inlineStr">
        <is>
          <t>Proposed rules</t>
        </is>
      </c>
      <c r="B229" s="20" t="inlineStr">
        <is>
          <t>Topic</t>
        </is>
      </c>
      <c r="C229" s="12" t="inlineStr">
        <is>
          <t>Subject</t>
        </is>
      </c>
      <c r="D229" s="12" t="inlineStr"/>
    </row>
    <row r="230">
      <c r="A230" s="14" t="inlineStr">
        <is>
          <t>Proposed rules</t>
        </is>
      </c>
      <c r="B230" s="21" t="inlineStr">
        <is>
          <t>Proposed rule</t>
        </is>
      </c>
      <c r="C230" s="14" t="inlineStr">
        <is>
          <t>The rule proposed by the project team</t>
        </is>
      </c>
      <c r="D230" s="14" t="inlineStr"/>
    </row>
    <row r="231">
      <c r="A231" s="12" t="inlineStr">
        <is>
          <t>Proposed rules</t>
        </is>
      </c>
      <c r="B231" s="20" t="inlineStr">
        <is>
          <t>Reason</t>
        </is>
      </c>
      <c r="C231" s="12" t="inlineStr">
        <is>
          <t>Why it is proposed</t>
        </is>
      </c>
      <c r="D231" s="12" t="inlineStr"/>
    </row>
    <row r="232">
      <c r="A232" s="14" t="inlineStr">
        <is>
          <t>Proposed rules</t>
        </is>
      </c>
      <c r="B232" s="21" t="inlineStr">
        <is>
          <t>Decision requested</t>
        </is>
      </c>
      <c r="C232" s="14" t="inlineStr">
        <is>
          <t>What BDOI is asked to decide</t>
        </is>
      </c>
      <c r="D232" s="14" t="inlineStr"/>
    </row>
    <row r="233">
      <c r="A233" s="12" t="inlineStr">
        <is>
          <t>Proposed rules</t>
        </is>
      </c>
      <c r="B233" s="20" t="inlineStr">
        <is>
          <t>Open decisions</t>
        </is>
      </c>
      <c r="C233" s="12" t="inlineStr">
        <is>
          <t>Decisions it answers</t>
        </is>
      </c>
      <c r="D233" s="12" t="inlineStr"/>
    </row>
    <row r="234">
      <c r="A234" s="14" t="inlineStr">
        <is>
          <t>Proposed rules</t>
        </is>
      </c>
      <c r="B234" s="21" t="inlineStr">
        <is>
          <t>Needed by</t>
        </is>
      </c>
      <c r="C234" s="14" t="inlineStr">
        <is>
          <t>Date</t>
        </is>
      </c>
      <c r="D234" s="14" t="inlineStr"/>
    </row>
    <row r="235">
      <c r="A235" s="12" t="inlineStr">
        <is>
          <t>Proposed rules</t>
        </is>
      </c>
      <c r="B235" s="20" t="inlineStr">
        <is>
          <t>BDOI decision</t>
        </is>
      </c>
      <c r="C235" s="12" t="inlineStr">
        <is>
          <t>Agree, Agree with change, Disagree or Need more information</t>
        </is>
      </c>
      <c r="D235" s="12" t="inlineStr">
        <is>
          <t>Agree, Agree with change, Disagree, Need more information</t>
        </is>
      </c>
    </row>
    <row r="236">
      <c r="A236" s="14" t="inlineStr">
        <is>
          <t>Proposed rules</t>
        </is>
      </c>
      <c r="B236" s="21" t="inlineStr">
        <is>
          <t>Change or comment</t>
        </is>
      </c>
      <c r="C236" s="14" t="inlineStr">
        <is>
          <t>The change asked for, or the comment</t>
        </is>
      </c>
      <c r="D236" s="14" t="inlineStr"/>
    </row>
    <row r="237">
      <c r="A237" s="12" t="inlineStr">
        <is>
          <t>Proposed rules</t>
        </is>
      </c>
      <c r="B237" s="20" t="inlineStr">
        <is>
          <t>Decided by</t>
        </is>
      </c>
      <c r="C237" s="12" t="inlineStr">
        <is>
          <t>Name and unit</t>
        </is>
      </c>
      <c r="D237" s="12" t="inlineStr"/>
    </row>
    <row r="238">
      <c r="A238" s="14" t="inlineStr">
        <is>
          <t>Proposed rules</t>
        </is>
      </c>
      <c r="B238" s="21" t="inlineStr">
        <is>
          <t>Decided on</t>
        </is>
      </c>
      <c r="C238" s="14" t="inlineStr">
        <is>
          <t>Date of the decision (dd-mmm-yyyy)</t>
        </is>
      </c>
      <c r="D238" s="14" t="inlineStr"/>
    </row>
    <row r="239">
      <c r="A239" s="12" t="inlineStr">
        <is>
          <t>Screen standards</t>
        </is>
      </c>
      <c r="B239" s="20" t="inlineStr">
        <is>
          <t>No.</t>
        </is>
      </c>
      <c r="C239" s="12" t="inlineStr">
        <is>
          <t>Row number</t>
        </is>
      </c>
      <c r="D239" s="12" t="inlineStr"/>
    </row>
    <row r="240">
      <c r="A240" s="14" t="inlineStr">
        <is>
          <t>Screen standards</t>
        </is>
      </c>
      <c r="B240" s="21" t="inlineStr">
        <is>
          <t>Element</t>
        </is>
      </c>
      <c r="C240" s="14" t="inlineStr">
        <is>
          <t>Element shared by the Data Migration screens</t>
        </is>
      </c>
      <c r="D240" s="14" t="inlineStr"/>
    </row>
    <row r="241">
      <c r="A241" s="12" t="inlineStr">
        <is>
          <t>Screen standards</t>
        </is>
      </c>
      <c r="B241" s="20" t="inlineStr">
        <is>
          <t>What the user sees and does</t>
        </is>
      </c>
      <c r="C241" s="12" t="inlineStr">
        <is>
          <t>Behaviour of the element on every screen</t>
        </is>
      </c>
      <c r="D241" s="12" t="inlineStr"/>
    </row>
    <row r="242">
      <c r="A242" s="14" t="inlineStr">
        <is>
          <t>Screen standards</t>
        </is>
      </c>
      <c r="B242" s="21" t="inlineStr">
        <is>
          <t>BU review</t>
        </is>
      </c>
      <c r="C242" s="14" t="inlineStr">
        <is>
          <t>Business unit decision on the row</t>
        </is>
      </c>
      <c r="D242" s="14" t="inlineStr">
        <is>
          <t>Accept, Change requested, Comment</t>
        </is>
      </c>
    </row>
    <row r="243">
      <c r="A243" s="12" t="inlineStr">
        <is>
          <t>Screen standards</t>
        </is>
      </c>
      <c r="B243" s="20" t="inlineStr">
        <is>
          <t>BU comment</t>
        </is>
      </c>
      <c r="C243" s="12" t="inlineStr">
        <is>
          <t>What should change, or the comment</t>
        </is>
      </c>
      <c r="D243" s="12" t="inlineStr"/>
    </row>
    <row r="244">
      <c r="A244" s="14" t="inlineStr">
        <is>
          <t>Screen standards</t>
        </is>
      </c>
      <c r="B244" s="21" t="inlineStr">
        <is>
          <t>Reviewer</t>
        </is>
      </c>
      <c r="C244" s="14" t="inlineStr">
        <is>
          <t>Name of the BU reviewer</t>
        </is>
      </c>
      <c r="D244" s="14" t="inlineStr"/>
    </row>
    <row r="245">
      <c r="A245" s="12" t="inlineStr">
        <is>
          <t>Screen standards</t>
        </is>
      </c>
      <c r="B245" s="20" t="inlineStr">
        <is>
          <t>Review date</t>
        </is>
      </c>
      <c r="C245" s="12" t="inlineStr">
        <is>
          <t>Date of the review (dd-mmm-yyyy)</t>
        </is>
      </c>
      <c r="D245" s="12" t="inlineStr"/>
    </row>
    <row r="246">
      <c r="A246" s="14" t="inlineStr">
        <is>
          <t>Screen catalogue</t>
        </is>
      </c>
      <c r="B246" s="21" t="inlineStr">
        <is>
          <t>Screen ID</t>
        </is>
      </c>
      <c r="C246" s="14" t="inlineStr">
        <is>
          <t>Screen identifier used in the Data Migration Handbook</t>
        </is>
      </c>
      <c r="D246" s="14" t="inlineStr"/>
    </row>
    <row r="247">
      <c r="A247" s="12" t="inlineStr">
        <is>
          <t>Screen catalogue</t>
        </is>
      </c>
      <c r="B247" s="20" t="inlineStr">
        <is>
          <t>Area</t>
        </is>
      </c>
      <c r="C247" s="12" t="inlineStr">
        <is>
          <t>Process area</t>
        </is>
      </c>
      <c r="D247" s="12" t="inlineStr"/>
    </row>
    <row r="248">
      <c r="A248" s="14" t="inlineStr">
        <is>
          <t>Screen catalogue</t>
        </is>
      </c>
      <c r="B248" s="21" t="inlineStr">
        <is>
          <t>Screen</t>
        </is>
      </c>
      <c r="C248" s="14" t="inlineStr">
        <is>
          <t>Screen name as in the menu or page title</t>
        </is>
      </c>
      <c r="D248" s="14" t="inlineStr"/>
    </row>
    <row r="249">
      <c r="A249" s="12" t="inlineStr">
        <is>
          <t>Screen catalogue</t>
        </is>
      </c>
      <c r="B249" s="20" t="inlineStr">
        <is>
          <t>Menu path</t>
        </is>
      </c>
      <c r="C249" s="12" t="inlineStr">
        <is>
          <t>Where the screen is in the sidebar (› separates the levels)</t>
        </is>
      </c>
      <c r="D249" s="12" t="inlineStr"/>
    </row>
    <row r="250">
      <c r="A250" s="14" t="inlineStr">
        <is>
          <t>Screen catalogue</t>
        </is>
      </c>
      <c r="B250" s="21" t="inlineStr">
        <is>
          <t>Personas</t>
        </is>
      </c>
      <c r="C250" s="14" t="inlineStr">
        <is>
          <t>Roles that can open the screen (from the role grants)</t>
        </is>
      </c>
      <c r="D250" s="14" t="inlineStr"/>
    </row>
    <row r="251">
      <c r="A251" s="12" t="inlineStr">
        <is>
          <t>Screen catalogue</t>
        </is>
      </c>
      <c r="B251" s="20" t="inlineStr">
        <is>
          <t>Permission</t>
        </is>
      </c>
      <c r="C251" s="12" t="inlineStr">
        <is>
          <t>Permission(s) that open the screen</t>
        </is>
      </c>
      <c r="D251" s="12" t="inlineStr"/>
    </row>
    <row r="252">
      <c r="A252" s="14" t="inlineStr">
        <is>
          <t>Screen catalogue</t>
        </is>
      </c>
      <c r="B252" s="21" t="inlineStr">
        <is>
          <t>Purpose</t>
        </is>
      </c>
      <c r="C252" s="14" t="inlineStr">
        <is>
          <t>What the screen is for</t>
        </is>
      </c>
      <c r="D252" s="14" t="inlineStr"/>
    </row>
    <row r="253">
      <c r="A253" s="12" t="inlineStr">
        <is>
          <t>Screen catalogue</t>
        </is>
      </c>
      <c r="B253" s="20" t="inlineStr">
        <is>
          <t>Other entry points</t>
        </is>
      </c>
      <c r="C253" s="12" t="inlineStr">
        <is>
          <t>How the user reaches it from other screens</t>
        </is>
      </c>
      <c r="D253" s="12" t="inlineStr"/>
    </row>
    <row r="254">
      <c r="A254" s="14" t="inlineStr">
        <is>
          <t>Screen catalogue</t>
        </is>
      </c>
      <c r="B254" s="21" t="inlineStr">
        <is>
          <t>Expected outcome</t>
        </is>
      </c>
      <c r="C254" s="14" t="inlineStr">
        <is>
          <t>What is achieved on the screen</t>
        </is>
      </c>
      <c r="D254" s="14" t="inlineStr"/>
    </row>
    <row r="255">
      <c r="A255" s="12" t="inlineStr">
        <is>
          <t>Screen catalogue</t>
        </is>
      </c>
      <c r="B255" s="20" t="inlineStr">
        <is>
          <t>FRs</t>
        </is>
      </c>
      <c r="C255" s="12" t="inlineStr">
        <is>
          <t>Functional requirements of the Data Migration Handbook</t>
        </is>
      </c>
      <c r="D255" s="12" t="inlineStr"/>
    </row>
    <row r="256">
      <c r="A256" s="14" t="inlineStr">
        <is>
          <t>Screen catalogue</t>
        </is>
      </c>
      <c r="B256" s="21" t="inlineStr">
        <is>
          <t>Test cases</t>
        </is>
      </c>
      <c r="C256" s="14" t="inlineStr">
        <is>
          <t>Test cases of the test plan on this screen</t>
        </is>
      </c>
      <c r="D256" s="14" t="inlineStr"/>
    </row>
    <row r="257">
      <c r="A257" s="12" t="inlineStr">
        <is>
          <t>Screen catalogue</t>
        </is>
      </c>
      <c r="B257" s="20" t="inlineStr">
        <is>
          <t>Screenshots</t>
        </is>
      </c>
      <c r="C257" s="12" t="inlineStr">
        <is>
          <t>Screenshots of the screen in the Data Migration Handbook</t>
        </is>
      </c>
      <c r="D257" s="12" t="inlineStr"/>
    </row>
    <row r="258">
      <c r="A258" s="14" t="inlineStr">
        <is>
          <t>Screen catalogue</t>
        </is>
      </c>
      <c r="B258" s="21" t="inlineStr">
        <is>
          <t>Fields</t>
        </is>
      </c>
      <c r="C258" s="14" t="inlineStr">
        <is>
          <t>Number of fields and columns</t>
        </is>
      </c>
      <c r="D258" s="14" t="inlineStr"/>
    </row>
    <row r="259">
      <c r="A259" s="12" t="inlineStr">
        <is>
          <t>Screen catalogue</t>
        </is>
      </c>
      <c r="B259" s="20" t="inlineStr">
        <is>
          <t>Actions</t>
        </is>
      </c>
      <c r="C259" s="12" t="inlineStr">
        <is>
          <t>Number of actions</t>
        </is>
      </c>
      <c r="D259" s="12" t="inlineStr"/>
    </row>
    <row r="260">
      <c r="A260" s="14" t="inlineStr">
        <is>
          <t>Screen catalogue</t>
        </is>
      </c>
      <c r="B260" s="21" t="inlineStr">
        <is>
          <t>BU review</t>
        </is>
      </c>
      <c r="C260" s="14" t="inlineStr">
        <is>
          <t>Business unit decision on the row</t>
        </is>
      </c>
      <c r="D260" s="14" t="inlineStr">
        <is>
          <t>Accept, Change requested, Comment</t>
        </is>
      </c>
    </row>
    <row r="261">
      <c r="A261" s="12" t="inlineStr">
        <is>
          <t>Screen catalogue</t>
        </is>
      </c>
      <c r="B261" s="20" t="inlineStr">
        <is>
          <t>BU comment</t>
        </is>
      </c>
      <c r="C261" s="12" t="inlineStr">
        <is>
          <t>What should change, or the comment</t>
        </is>
      </c>
      <c r="D261" s="12" t="inlineStr"/>
    </row>
    <row r="262">
      <c r="A262" s="14" t="inlineStr">
        <is>
          <t>Screen catalogue</t>
        </is>
      </c>
      <c r="B262" s="21" t="inlineStr">
        <is>
          <t>Reviewer</t>
        </is>
      </c>
      <c r="C262" s="14" t="inlineStr">
        <is>
          <t>Name of the BU reviewer</t>
        </is>
      </c>
      <c r="D262" s="14" t="inlineStr"/>
    </row>
    <row r="263">
      <c r="A263" s="12" t="inlineStr">
        <is>
          <t>Screen catalogue</t>
        </is>
      </c>
      <c r="B263" s="20" t="inlineStr">
        <is>
          <t>Review date</t>
        </is>
      </c>
      <c r="C263" s="12" t="inlineStr">
        <is>
          <t>Date of the review (dd-mmm-yyyy)</t>
        </is>
      </c>
      <c r="D263" s="12" t="inlineStr"/>
    </row>
    <row r="264">
      <c r="A264" s="14" t="inlineStr">
        <is>
          <t>Field register</t>
        </is>
      </c>
      <c r="B264" s="21" t="inlineStr">
        <is>
          <t>Screen ID</t>
        </is>
      </c>
      <c r="C264" s="14" t="inlineStr">
        <is>
          <t>Screen identifier</t>
        </is>
      </c>
      <c r="D264" s="14" t="inlineStr"/>
    </row>
    <row r="265">
      <c r="A265" s="12" t="inlineStr">
        <is>
          <t>Field register</t>
        </is>
      </c>
      <c r="B265" s="20" t="inlineStr">
        <is>
          <t>Screen</t>
        </is>
      </c>
      <c r="C265" s="12" t="inlineStr">
        <is>
          <t>Screen name</t>
        </is>
      </c>
      <c r="D265" s="12" t="inlineStr"/>
    </row>
    <row r="266">
      <c r="A266" s="14" t="inlineStr">
        <is>
          <t>Field register</t>
        </is>
      </c>
      <c r="B266" s="21" t="inlineStr">
        <is>
          <t>No.</t>
        </is>
      </c>
      <c r="C266" s="14" t="inlineStr">
        <is>
          <t>Field number = callout number on the screenshot</t>
        </is>
      </c>
      <c r="D266" s="14" t="inlineStr"/>
    </row>
    <row r="267">
      <c r="A267" s="12" t="inlineStr">
        <is>
          <t>Field register</t>
        </is>
      </c>
      <c r="B267" s="20" t="inlineStr">
        <is>
          <t>Section</t>
        </is>
      </c>
      <c r="C267" s="12" t="inlineStr">
        <is>
          <t>Card, tab, step or dialog of the field</t>
        </is>
      </c>
      <c r="D267" s="12" t="inlineStr"/>
    </row>
    <row r="268">
      <c r="A268" s="14" t="inlineStr">
        <is>
          <t>Field register</t>
        </is>
      </c>
      <c r="B268" s="21" t="inlineStr">
        <is>
          <t>Field</t>
        </is>
      </c>
      <c r="C268" s="14" t="inlineStr">
        <is>
          <t>Label as shown on screen</t>
        </is>
      </c>
      <c r="D268" s="14" t="inlineStr"/>
    </row>
    <row r="269">
      <c r="A269" s="12" t="inlineStr">
        <is>
          <t>Field register</t>
        </is>
      </c>
      <c r="B269" s="20" t="inlineStr">
        <is>
          <t>Type</t>
        </is>
      </c>
      <c r="C269" s="12" t="inlineStr">
        <is>
          <t>Text, Date, Drop-down, Check box, Column, ...</t>
        </is>
      </c>
      <c r="D269" s="12" t="inlineStr"/>
    </row>
    <row r="270">
      <c r="A270" s="14" t="inlineStr">
        <is>
          <t>Field register</t>
        </is>
      </c>
      <c r="B270" s="21" t="inlineStr">
        <is>
          <t>Length / format</t>
        </is>
      </c>
      <c r="C270" s="14" t="inlineStr">
        <is>
          <t>Length, format, allowed values</t>
        </is>
      </c>
      <c r="D270" s="14" t="inlineStr"/>
    </row>
    <row r="271">
      <c r="A271" s="12" t="inlineStr">
        <is>
          <t>Field register</t>
        </is>
      </c>
      <c r="B271" s="20" t="inlineStr">
        <is>
          <t>Mandatory</t>
        </is>
      </c>
      <c r="C271" s="12" t="inlineStr">
        <is>
          <t>Y, N or the condition that makes it mandatory</t>
        </is>
      </c>
      <c r="D271" s="12" t="inlineStr"/>
    </row>
    <row r="272">
      <c r="A272" s="14" t="inlineStr">
        <is>
          <t>Field register</t>
        </is>
      </c>
      <c r="B272" s="21" t="inlineStr">
        <is>
          <t>Source / list</t>
        </is>
      </c>
      <c r="C272" s="14" t="inlineStr">
        <is>
          <t>List of values, master or record the value comes from</t>
        </is>
      </c>
      <c r="D272" s="14" t="inlineStr"/>
    </row>
    <row r="273">
      <c r="A273" s="12" t="inlineStr">
        <is>
          <t>Field register</t>
        </is>
      </c>
      <c r="B273" s="20" t="inlineStr">
        <is>
          <t>Default</t>
        </is>
      </c>
      <c r="C273" s="12" t="inlineStr">
        <is>
          <t>Value proposed by the system</t>
        </is>
      </c>
      <c r="D273" s="12" t="inlineStr"/>
    </row>
    <row r="274">
      <c r="A274" s="14" t="inlineStr">
        <is>
          <t>Field register</t>
        </is>
      </c>
      <c r="B274" s="21" t="inlineStr">
        <is>
          <t>Editable in</t>
        </is>
      </c>
      <c r="C274" s="14" t="inlineStr">
        <is>
          <t>Statuses in which the field can be changed</t>
        </is>
      </c>
      <c r="D274" s="14" t="inlineStr"/>
    </row>
    <row r="275">
      <c r="A275" s="12" t="inlineStr">
        <is>
          <t>Field register</t>
        </is>
      </c>
      <c r="B275" s="20" t="inlineStr">
        <is>
          <t>Validation rule</t>
        </is>
      </c>
      <c r="C275" s="12" t="inlineStr">
        <is>
          <t>Check applied</t>
        </is>
      </c>
      <c r="D275" s="12" t="inlineStr"/>
    </row>
    <row r="276">
      <c r="A276" s="14" t="inlineStr">
        <is>
          <t>Field register</t>
        </is>
      </c>
      <c r="B276" s="21" t="inlineStr">
        <is>
          <t>Message when it fails</t>
        </is>
      </c>
      <c r="C276" s="14" t="inlineStr">
        <is>
          <t>Message shown, exactly as on screen</t>
        </is>
      </c>
      <c r="D276" s="14" t="inlineStr"/>
    </row>
    <row r="277">
      <c r="A277" s="12" t="inlineStr">
        <is>
          <t>Field register</t>
        </is>
      </c>
      <c r="B277" s="20" t="inlineStr">
        <is>
          <t>BU review</t>
        </is>
      </c>
      <c r="C277" s="12" t="inlineStr">
        <is>
          <t>Business unit decision on the row</t>
        </is>
      </c>
      <c r="D277" s="12" t="inlineStr">
        <is>
          <t>Accept, Change requested, Comment</t>
        </is>
      </c>
    </row>
    <row r="278">
      <c r="A278" s="14" t="inlineStr">
        <is>
          <t>Field register</t>
        </is>
      </c>
      <c r="B278" s="21" t="inlineStr">
        <is>
          <t>BU comment</t>
        </is>
      </c>
      <c r="C278" s="14" t="inlineStr">
        <is>
          <t>What should change, or the comment</t>
        </is>
      </c>
      <c r="D278" s="14" t="inlineStr"/>
    </row>
    <row r="279">
      <c r="A279" s="12" t="inlineStr">
        <is>
          <t>Field register</t>
        </is>
      </c>
      <c r="B279" s="20" t="inlineStr">
        <is>
          <t>Reviewer</t>
        </is>
      </c>
      <c r="C279" s="12" t="inlineStr">
        <is>
          <t>Name of the BU reviewer</t>
        </is>
      </c>
      <c r="D279" s="12" t="inlineStr"/>
    </row>
    <row r="280">
      <c r="A280" s="14" t="inlineStr">
        <is>
          <t>Field register</t>
        </is>
      </c>
      <c r="B280" s="21" t="inlineStr">
        <is>
          <t>Review date</t>
        </is>
      </c>
      <c r="C280" s="14" t="inlineStr">
        <is>
          <t>Date of the review (dd-mmm-yyyy)</t>
        </is>
      </c>
      <c r="D280" s="14" t="inlineStr"/>
    </row>
    <row r="281">
      <c r="A281" s="12" t="inlineStr">
        <is>
          <t>Actions</t>
        </is>
      </c>
      <c r="B281" s="20" t="inlineStr">
        <is>
          <t>Screen ID</t>
        </is>
      </c>
      <c r="C281" s="12" t="inlineStr">
        <is>
          <t>Screen identifier</t>
        </is>
      </c>
      <c r="D281" s="12" t="inlineStr"/>
    </row>
    <row r="282">
      <c r="A282" s="14" t="inlineStr">
        <is>
          <t>Actions</t>
        </is>
      </c>
      <c r="B282" s="21" t="inlineStr">
        <is>
          <t>Screen</t>
        </is>
      </c>
      <c r="C282" s="14" t="inlineStr">
        <is>
          <t>Screen name</t>
        </is>
      </c>
      <c r="D282" s="14" t="inlineStr"/>
    </row>
    <row r="283">
      <c r="A283" s="12" t="inlineStr">
        <is>
          <t>Actions</t>
        </is>
      </c>
      <c r="B283" s="20" t="inlineStr">
        <is>
          <t>Button</t>
        </is>
      </c>
      <c r="C283" s="12" t="inlineStr">
        <is>
          <t>Button or link as shown</t>
        </is>
      </c>
      <c r="D283" s="12" t="inlineStr"/>
    </row>
    <row r="284">
      <c r="A284" s="14" t="inlineStr">
        <is>
          <t>Actions</t>
        </is>
      </c>
      <c r="B284" s="21" t="inlineStr">
        <is>
          <t>Who</t>
        </is>
      </c>
      <c r="C284" s="14" t="inlineStr">
        <is>
          <t>Permission or role that sees it</t>
        </is>
      </c>
      <c r="D284" s="14" t="inlineStr"/>
    </row>
    <row r="285">
      <c r="A285" s="12" t="inlineStr">
        <is>
          <t>Actions</t>
        </is>
      </c>
      <c r="B285" s="20" t="inlineStr">
        <is>
          <t>Enabled when</t>
        </is>
      </c>
      <c r="C285" s="12" t="inlineStr">
        <is>
          <t>Condition for the button to be offered</t>
        </is>
      </c>
      <c r="D285" s="12" t="inlineStr"/>
    </row>
    <row r="286">
      <c r="A286" s="14" t="inlineStr">
        <is>
          <t>Actions</t>
        </is>
      </c>
      <c r="B286" s="21" t="inlineStr">
        <is>
          <t>What happens</t>
        </is>
      </c>
      <c r="C286" s="14" t="inlineStr">
        <is>
          <t>Effect of the action</t>
        </is>
      </c>
      <c r="D286" s="14" t="inlineStr"/>
    </row>
    <row r="287">
      <c r="A287" s="12" t="inlineStr">
        <is>
          <t>Actions</t>
        </is>
      </c>
      <c r="B287" s="20" t="inlineStr">
        <is>
          <t>Resulting status</t>
        </is>
      </c>
      <c r="C287" s="12" t="inlineStr">
        <is>
          <t>Status after the action</t>
        </is>
      </c>
      <c r="D287" s="12" t="inlineStr"/>
    </row>
    <row r="288">
      <c r="A288" s="14" t="inlineStr">
        <is>
          <t>Actions</t>
        </is>
      </c>
      <c r="B288" s="21" t="inlineStr">
        <is>
          <t>Notification</t>
        </is>
      </c>
      <c r="C288" s="14" t="inlineStr">
        <is>
          <t>Notice or e-mail sent</t>
        </is>
      </c>
      <c r="D288" s="14" t="inlineStr"/>
    </row>
    <row r="289">
      <c r="A289" s="12" t="inlineStr">
        <is>
          <t>Business rules</t>
        </is>
      </c>
      <c r="B289" s="20" t="inlineStr">
        <is>
          <t>Rule ID</t>
        </is>
      </c>
      <c r="C289" s="12" t="inlineStr">
        <is>
          <t>Rule identifier in this workbook</t>
        </is>
      </c>
      <c r="D289" s="12" t="inlineStr"/>
    </row>
    <row r="290">
      <c r="A290" s="14" t="inlineStr">
        <is>
          <t>Business rules</t>
        </is>
      </c>
      <c r="B290" s="21" t="inlineStr">
        <is>
          <t>Screen ID</t>
        </is>
      </c>
      <c r="C290" s="14" t="inlineStr">
        <is>
          <t>Screen where the rule applies</t>
        </is>
      </c>
      <c r="D290" s="14" t="inlineStr"/>
    </row>
    <row r="291">
      <c r="A291" s="12" t="inlineStr">
        <is>
          <t>Business rules</t>
        </is>
      </c>
      <c r="B291" s="20" t="inlineStr">
        <is>
          <t>Screen</t>
        </is>
      </c>
      <c r="C291" s="12" t="inlineStr">
        <is>
          <t>Screen name</t>
        </is>
      </c>
      <c r="D291" s="12" t="inlineStr"/>
    </row>
    <row r="292">
      <c r="A292" s="14" t="inlineStr">
        <is>
          <t>Business rules</t>
        </is>
      </c>
      <c r="B292" s="21" t="inlineStr">
        <is>
          <t>Business rule</t>
        </is>
      </c>
      <c r="C292" s="14" t="inlineStr">
        <is>
          <t>The proposed business rule</t>
        </is>
      </c>
      <c r="D292" s="14" t="inlineStr"/>
    </row>
    <row r="293">
      <c r="A293" s="12" t="inlineStr">
        <is>
          <t>Business rules</t>
        </is>
      </c>
      <c r="B293" s="20" t="inlineStr">
        <is>
          <t>FRs</t>
        </is>
      </c>
      <c r="C293" s="12" t="inlineStr">
        <is>
          <t>Functional requirements that state the rule</t>
        </is>
      </c>
      <c r="D293" s="12" t="inlineStr"/>
    </row>
    <row r="294">
      <c r="A294" s="14" t="inlineStr">
        <is>
          <t>Business rules</t>
        </is>
      </c>
      <c r="B294" s="21" t="inlineStr">
        <is>
          <t>BU review</t>
        </is>
      </c>
      <c r="C294" s="14" t="inlineStr">
        <is>
          <t>Business unit decision on the row</t>
        </is>
      </c>
      <c r="D294" s="14" t="inlineStr">
        <is>
          <t>Accept, Change requested, Comment</t>
        </is>
      </c>
    </row>
    <row r="295">
      <c r="A295" s="12" t="inlineStr">
        <is>
          <t>Business rules</t>
        </is>
      </c>
      <c r="B295" s="20" t="inlineStr">
        <is>
          <t>BU comment</t>
        </is>
      </c>
      <c r="C295" s="12" t="inlineStr">
        <is>
          <t>What should change, or the comment</t>
        </is>
      </c>
      <c r="D295" s="12" t="inlineStr"/>
    </row>
    <row r="296">
      <c r="A296" s="14" t="inlineStr">
        <is>
          <t>Business rules</t>
        </is>
      </c>
      <c r="B296" s="21" t="inlineStr">
        <is>
          <t>Reviewer</t>
        </is>
      </c>
      <c r="C296" s="14" t="inlineStr">
        <is>
          <t>Name of the BU reviewer</t>
        </is>
      </c>
      <c r="D296" s="14" t="inlineStr"/>
    </row>
    <row r="297">
      <c r="A297" s="12" t="inlineStr">
        <is>
          <t>Business rules</t>
        </is>
      </c>
      <c r="B297" s="20" t="inlineStr">
        <is>
          <t>Review date</t>
        </is>
      </c>
      <c r="C297" s="12" t="inlineStr">
        <is>
          <t>Date of the review (dd-mmm-yyyy)</t>
        </is>
      </c>
      <c r="D297" s="12" t="inlineStr"/>
    </row>
    <row r="298">
      <c r="A298" s="14" t="inlineStr">
        <is>
          <t>Messages</t>
        </is>
      </c>
      <c r="B298" s="21" t="inlineStr">
        <is>
          <t>Message ID</t>
        </is>
      </c>
      <c r="C298" s="14" t="inlineStr">
        <is>
          <t>Message identifier in this set</t>
        </is>
      </c>
      <c r="D298" s="14" t="inlineStr"/>
    </row>
    <row r="299">
      <c r="A299" s="12" t="inlineStr">
        <is>
          <t>Messages</t>
        </is>
      </c>
      <c r="B299" s="20" t="inlineStr">
        <is>
          <t>Where it appears</t>
        </is>
      </c>
      <c r="C299" s="12" t="inlineStr">
        <is>
          <t>Screen or dialog that shows it</t>
        </is>
      </c>
      <c r="D299" s="12" t="inlineStr"/>
    </row>
    <row r="300">
      <c r="A300" s="14" t="inlineStr">
        <is>
          <t>Messages</t>
        </is>
      </c>
      <c r="B300" s="21" t="inlineStr">
        <is>
          <t>Shown by</t>
        </is>
      </c>
      <c r="C300" s="14" t="inlineStr">
        <is>
          <t>Screen (checked as you type), Server (checked on save or action) or Upload row</t>
        </is>
      </c>
      <c r="D300" s="14" t="inlineStr"/>
    </row>
    <row r="301">
      <c r="A301" s="12" t="inlineStr">
        <is>
          <t>Messages</t>
        </is>
      </c>
      <c r="B301" s="20" t="inlineStr">
        <is>
          <t>Code (not shown)</t>
        </is>
      </c>
      <c r="C301" s="12" t="inlineStr">
        <is>
          <t>Identifies the message for the project team and support; not shown on the screen</t>
        </is>
      </c>
      <c r="D301" s="12" t="inlineStr"/>
    </row>
    <row r="302">
      <c r="A302" s="14" t="inlineStr">
        <is>
          <t>Messages</t>
        </is>
      </c>
      <c r="B302" s="21" t="inlineStr">
        <is>
          <t>Message</t>
        </is>
      </c>
      <c r="C302" s="14" t="inlineStr">
        <is>
          <t>Exact text; &lt;name&gt; is filled in by the system</t>
        </is>
      </c>
      <c r="D302" s="14" t="inlineStr"/>
    </row>
    <row r="303">
      <c r="A303" s="12" t="inlineStr">
        <is>
          <t>Messages</t>
        </is>
      </c>
      <c r="B303" s="20" t="inlineStr">
        <is>
          <t>Type</t>
        </is>
      </c>
      <c r="C303" s="12" t="inlineStr">
        <is>
          <t>Validation, Error, Warning, Confirmation or Information</t>
        </is>
      </c>
      <c r="D303" s="12" t="inlineStr">
        <is>
          <t>Validation, Error, Warning, Confirmation, Information</t>
        </is>
      </c>
    </row>
    <row r="304">
      <c r="A304" s="14" t="inlineStr">
        <is>
          <t>Messages</t>
        </is>
      </c>
      <c r="B304" s="21" t="inlineStr">
        <is>
          <t>What the user does</t>
        </is>
      </c>
      <c r="C304" s="14" t="inlineStr">
        <is>
          <t>The correction or next step</t>
        </is>
      </c>
      <c r="D304" s="14" t="inlineStr"/>
    </row>
    <row r="305">
      <c r="A305" s="12" t="inlineStr">
        <is>
          <t>Messages</t>
        </is>
      </c>
      <c r="B305" s="20" t="inlineStr">
        <is>
          <t>BU review</t>
        </is>
      </c>
      <c r="C305" s="12" t="inlineStr">
        <is>
          <t>Business unit decision on the row</t>
        </is>
      </c>
      <c r="D305" s="12" t="inlineStr">
        <is>
          <t>Accept, Change requested, Comment</t>
        </is>
      </c>
    </row>
    <row r="306">
      <c r="A306" s="14" t="inlineStr">
        <is>
          <t>Messages</t>
        </is>
      </c>
      <c r="B306" s="21" t="inlineStr">
        <is>
          <t>BU comment</t>
        </is>
      </c>
      <c r="C306" s="14" t="inlineStr">
        <is>
          <t>What should change, or the comment</t>
        </is>
      </c>
      <c r="D306" s="14" t="inlineStr"/>
    </row>
    <row r="307">
      <c r="A307" s="12" t="inlineStr">
        <is>
          <t>Messages</t>
        </is>
      </c>
      <c r="B307" s="20" t="inlineStr">
        <is>
          <t>Reviewer</t>
        </is>
      </c>
      <c r="C307" s="12" t="inlineStr">
        <is>
          <t>Name of the BU reviewer</t>
        </is>
      </c>
      <c r="D307" s="12" t="inlineStr"/>
    </row>
    <row r="308">
      <c r="A308" s="14" t="inlineStr">
        <is>
          <t>Messages</t>
        </is>
      </c>
      <c r="B308" s="21" t="inlineStr">
        <is>
          <t>Review date</t>
        </is>
      </c>
      <c r="C308" s="14" t="inlineStr">
        <is>
          <t>Date of the review (dd-mmm-yyyy)</t>
        </is>
      </c>
      <c r="D308" s="14" t="inlineStr"/>
    </row>
    <row r="309">
      <c r="A309" s="12" t="inlineStr">
        <is>
          <t>Notifications</t>
        </is>
      </c>
      <c r="B309" s="20" t="inlineStr">
        <is>
          <t>ID</t>
        </is>
      </c>
      <c r="C309" s="12" t="inlineStr">
        <is>
          <t>Notification identifier</t>
        </is>
      </c>
      <c r="D309" s="12" t="inlineStr"/>
    </row>
    <row r="310">
      <c r="A310" s="14" t="inlineStr">
        <is>
          <t>Notifications</t>
        </is>
      </c>
      <c r="B310" s="21" t="inlineStr">
        <is>
          <t>Channel</t>
        </is>
      </c>
      <c r="C310" s="14" t="inlineStr">
        <is>
          <t>In-app, E-mail or Alert inbox</t>
        </is>
      </c>
      <c r="D310" s="14" t="inlineStr"/>
    </row>
    <row r="311">
      <c r="A311" s="12" t="inlineStr">
        <is>
          <t>Notifications</t>
        </is>
      </c>
      <c r="B311" s="20" t="inlineStr">
        <is>
          <t>Trigger</t>
        </is>
      </c>
      <c r="C311" s="12" t="inlineStr">
        <is>
          <t>What causes it</t>
        </is>
      </c>
      <c r="D311" s="12" t="inlineStr"/>
    </row>
    <row r="312">
      <c r="A312" s="14" t="inlineStr">
        <is>
          <t>Notifications</t>
        </is>
      </c>
      <c r="B312" s="21" t="inlineStr">
        <is>
          <t>Recipient</t>
        </is>
      </c>
      <c r="C312" s="14" t="inlineStr">
        <is>
          <t>Who receives it</t>
        </is>
      </c>
      <c r="D312" s="14" t="inlineStr"/>
    </row>
    <row r="313">
      <c r="A313" s="12" t="inlineStr">
        <is>
          <t>Notifications</t>
        </is>
      </c>
      <c r="B313" s="20" t="inlineStr">
        <is>
          <t>Template and text</t>
        </is>
      </c>
      <c r="C313" s="12" t="inlineStr">
        <is>
          <t>Subject / title and body</t>
        </is>
      </c>
      <c r="D313" s="12" t="inlineStr"/>
    </row>
    <row r="314">
      <c r="A314" s="14" t="inlineStr">
        <is>
          <t>Notifications</t>
        </is>
      </c>
      <c r="B314" s="21" t="inlineStr">
        <is>
          <t>Content</t>
        </is>
      </c>
      <c r="C314" s="14" t="inlineStr">
        <is>
          <t>Attachments and data</t>
        </is>
      </c>
      <c r="D314" s="14" t="inlineStr"/>
    </row>
    <row r="315">
      <c r="A315" s="12" t="inlineStr">
        <is>
          <t>Notifications</t>
        </is>
      </c>
      <c r="B315" s="20" t="inlineStr">
        <is>
          <t>Screen</t>
        </is>
      </c>
      <c r="C315" s="12" t="inlineStr">
        <is>
          <t>Where it is raised or opened</t>
        </is>
      </c>
      <c r="D315" s="12" t="inlineStr"/>
    </row>
    <row r="316">
      <c r="A316" s="14" t="inlineStr">
        <is>
          <t>Notifications</t>
        </is>
      </c>
      <c r="B316" s="21" t="inlineStr">
        <is>
          <t>FRs</t>
        </is>
      </c>
      <c r="C316" s="14" t="inlineStr">
        <is>
          <t>Functional requirements</t>
        </is>
      </c>
      <c r="D316" s="14" t="inlineStr"/>
    </row>
    <row r="317">
      <c r="A317" s="12" t="inlineStr">
        <is>
          <t>Menu by persona</t>
        </is>
      </c>
      <c r="B317" s="20" t="inlineStr">
        <is>
          <t>Persona</t>
        </is>
      </c>
      <c r="C317" s="12" t="inlineStr">
        <is>
          <t>Persona name</t>
        </is>
      </c>
      <c r="D317" s="12" t="inlineStr"/>
    </row>
    <row r="318">
      <c r="A318" s="14" t="inlineStr">
        <is>
          <t>Menu by persona</t>
        </is>
      </c>
      <c r="B318" s="21" t="inlineStr">
        <is>
          <t>Group</t>
        </is>
      </c>
      <c r="C318" s="14" t="inlineStr">
        <is>
          <t>Sidebar group</t>
        </is>
      </c>
      <c r="D318" s="14" t="inlineStr"/>
    </row>
    <row r="319">
      <c r="A319" s="12" t="inlineStr">
        <is>
          <t>Menu by persona</t>
        </is>
      </c>
      <c r="B319" s="20" t="inlineStr">
        <is>
          <t>Section</t>
        </is>
      </c>
      <c r="C319" s="12" t="inlineStr">
        <is>
          <t>Sidebar section</t>
        </is>
      </c>
      <c r="D319" s="12" t="inlineStr"/>
    </row>
    <row r="320">
      <c r="A320" s="14" t="inlineStr">
        <is>
          <t>Menu by persona</t>
        </is>
      </c>
      <c r="B320" s="21" t="inlineStr">
        <is>
          <t>Screen</t>
        </is>
      </c>
      <c r="C320" s="14" t="inlineStr">
        <is>
          <t>Menu entry</t>
        </is>
      </c>
      <c r="D320" s="14" t="inlineStr"/>
    </row>
    <row r="321">
      <c r="A321" s="12" t="inlineStr">
        <is>
          <t>Menu by persona</t>
        </is>
      </c>
      <c r="B321" s="20" t="inlineStr">
        <is>
          <t>BRD</t>
        </is>
      </c>
      <c r="C321" s="12" t="inlineStr">
        <is>
          <t>BRD that owns the screen</t>
        </is>
      </c>
      <c r="D321" s="12" t="inlineStr"/>
    </row>
    <row r="322">
      <c r="A322" s="14" t="inlineStr">
        <is>
          <t>Menu by persona</t>
        </is>
      </c>
      <c r="B322" s="21" t="inlineStr">
        <is>
          <t>Data Migration</t>
        </is>
      </c>
      <c r="C322" s="14" t="inlineStr">
        <is>
          <t>Yes for a screen of this set</t>
        </is>
      </c>
      <c r="D322" s="14" t="inlineStr"/>
    </row>
    <row r="323">
      <c r="A323" s="12" t="inlineStr">
        <is>
          <t>Cross-BRD contract</t>
        </is>
      </c>
      <c r="B323" s="20" t="inlineStr">
        <is>
          <t>ID</t>
        </is>
      </c>
      <c r="C323" s="12" t="inlineStr">
        <is>
          <t>Contract line</t>
        </is>
      </c>
      <c r="D323" s="12" t="inlineStr"/>
    </row>
    <row r="324">
      <c r="A324" s="14" t="inlineStr">
        <is>
          <t>Cross-BRD contract</t>
        </is>
      </c>
      <c r="B324" s="21" t="inlineStr">
        <is>
          <t>BRD or system</t>
        </is>
      </c>
      <c r="C324" s="14" t="inlineStr">
        <is>
          <t>Other BRD or external system</t>
        </is>
      </c>
      <c r="D324" s="14" t="inlineStr"/>
    </row>
    <row r="325">
      <c r="A325" s="12" t="inlineStr">
        <is>
          <t>Cross-BRD contract</t>
        </is>
      </c>
      <c r="B325" s="20" t="inlineStr">
        <is>
          <t>Direction</t>
        </is>
      </c>
      <c r="C325" s="12" t="inlineStr">
        <is>
          <t>In: taken by Data Migration; Out: handed over</t>
        </is>
      </c>
      <c r="D325" s="12" t="inlineStr"/>
    </row>
    <row r="326">
      <c r="A326" s="14" t="inlineStr">
        <is>
          <t>Cross-BRD contract</t>
        </is>
      </c>
      <c r="B326" s="21" t="inlineStr">
        <is>
          <t>What</t>
        </is>
      </c>
      <c r="C326" s="14" t="inlineStr">
        <is>
          <t>Data or function exchanged</t>
        </is>
      </c>
      <c r="D326" s="14" t="inlineStr"/>
    </row>
    <row r="327">
      <c r="A327" s="12" t="inlineStr">
        <is>
          <t>Cross-BRD contract</t>
        </is>
      </c>
      <c r="B327" s="20" t="inlineStr">
        <is>
          <t>When and how</t>
        </is>
      </c>
      <c r="C327" s="12" t="inlineStr">
        <is>
          <t>Trigger and mechanism</t>
        </is>
      </c>
      <c r="D327" s="12" t="inlineStr"/>
    </row>
    <row r="328">
      <c r="A328" s="14" t="inlineStr">
        <is>
          <t>Cross-BRD contract</t>
        </is>
      </c>
      <c r="B328" s="21" t="inlineStr">
        <is>
          <t>Owner of the data</t>
        </is>
      </c>
      <c r="C328" s="14" t="inlineStr">
        <is>
          <t>Who maintains it</t>
        </is>
      </c>
      <c r="D328" s="14" t="inlineStr"/>
    </row>
    <row r="329">
      <c r="A329" s="12" t="inlineStr">
        <is>
          <t>Cross-BRD contract</t>
        </is>
      </c>
      <c r="B329" s="20" t="inlineStr">
        <is>
          <t>Screens</t>
        </is>
      </c>
      <c r="C329" s="12" t="inlineStr">
        <is>
          <t>Data Migration screens concerned</t>
        </is>
      </c>
      <c r="D329" s="12" t="inlineStr"/>
    </row>
    <row r="330">
      <c r="A330" s="14" t="inlineStr">
        <is>
          <t>Cross-BRD contract</t>
        </is>
      </c>
      <c r="B330" s="21" t="inlineStr">
        <is>
          <t>FRs</t>
        </is>
      </c>
      <c r="C330" s="14" t="inlineStr">
        <is>
          <t>Functional requirements</t>
        </is>
      </c>
      <c r="D330" s="14" t="inlineStr"/>
    </row>
    <row r="331">
      <c r="A331" s="12" t="inlineStr">
        <is>
          <t>Comments log</t>
        </is>
      </c>
      <c r="B331" s="20" t="inlineStr">
        <is>
          <t>ID</t>
        </is>
      </c>
      <c r="C331" s="12" t="inlineStr">
        <is>
          <t>Comment identifier</t>
        </is>
      </c>
      <c r="D331" s="12" t="inlineStr"/>
    </row>
    <row r="332">
      <c r="A332" s="14" t="inlineStr">
        <is>
          <t>Comments log</t>
        </is>
      </c>
      <c r="B332" s="21" t="inlineStr">
        <is>
          <t>Raised by</t>
        </is>
      </c>
      <c r="C332" s="14" t="inlineStr">
        <is>
          <t>Name and unit of the reviewer</t>
        </is>
      </c>
      <c r="D332" s="14" t="inlineStr"/>
    </row>
    <row r="333">
      <c r="A333" s="12" t="inlineStr">
        <is>
          <t>Comments log</t>
        </is>
      </c>
      <c r="B333" s="20" t="inlineStr">
        <is>
          <t>Date</t>
        </is>
      </c>
      <c r="C333" s="12" t="inlineStr">
        <is>
          <t>Date raised</t>
        </is>
      </c>
      <c r="D333" s="12" t="inlineStr"/>
    </row>
    <row r="334">
      <c r="A334" s="14" t="inlineStr">
        <is>
          <t>Comments log</t>
        </is>
      </c>
      <c r="B334" s="21" t="inlineStr">
        <is>
          <t>Page / screen</t>
        </is>
      </c>
      <c r="C334" s="14" t="inlineStr">
        <is>
          <t>Data Migration Handbook page or section, screen ID or workbook row</t>
        </is>
      </c>
      <c r="D334" s="14" t="inlineStr"/>
    </row>
    <row r="335">
      <c r="A335" s="12" t="inlineStr">
        <is>
          <t>Comments log</t>
        </is>
      </c>
      <c r="B335" s="20" t="inlineStr">
        <is>
          <t>Template</t>
        </is>
      </c>
      <c r="C335" s="12" t="inlineStr">
        <is>
          <t>Load template (sheet) the question is about, if any</t>
        </is>
      </c>
      <c r="D335" s="12" t="inlineStr"/>
    </row>
    <row r="336">
      <c r="A336" s="14" t="inlineStr">
        <is>
          <t>Comments log</t>
        </is>
      </c>
      <c r="B336" s="21" t="inlineStr">
        <is>
          <t>Column</t>
        </is>
      </c>
      <c r="C336" s="14" t="inlineStr">
        <is>
          <t>Column of the template, if any</t>
        </is>
      </c>
      <c r="D336" s="14" t="inlineStr"/>
    </row>
    <row r="337">
      <c r="A337" s="12" t="inlineStr">
        <is>
          <t>Comments log</t>
        </is>
      </c>
      <c r="B337" s="20" t="inlineStr">
        <is>
          <t>Type</t>
        </is>
      </c>
      <c r="C337" s="12" t="inlineStr">
        <is>
          <t>Clarification, Correction or Change request</t>
        </is>
      </c>
      <c r="D337" s="12" t="inlineStr">
        <is>
          <t>Clarification, Correction, Change request</t>
        </is>
      </c>
    </row>
    <row r="338">
      <c r="A338" s="14" t="inlineStr">
        <is>
          <t>Comments log</t>
        </is>
      </c>
      <c r="B338" s="21" t="inlineStr">
        <is>
          <t>Comment</t>
        </is>
      </c>
      <c r="C338" s="14" t="inlineStr">
        <is>
          <t>The question, the correction or the change asked for</t>
        </is>
      </c>
      <c r="D338" s="14" t="inlineStr"/>
    </row>
    <row r="339">
      <c r="A339" s="12" t="inlineStr">
        <is>
          <t>Comments log</t>
        </is>
      </c>
      <c r="B339" s="20" t="inlineStr">
        <is>
          <t>Response</t>
        </is>
      </c>
      <c r="C339" s="12" t="inlineStr">
        <is>
          <t>Answer of the project team; for a change request, its register number</t>
        </is>
      </c>
      <c r="D339" s="12" t="inlineStr"/>
    </row>
    <row r="340">
      <c r="A340" s="14" t="inlineStr">
        <is>
          <t>Comments log</t>
        </is>
      </c>
      <c r="B340" s="21" t="inlineStr">
        <is>
          <t>Status</t>
        </is>
      </c>
      <c r="C340" s="14" t="inlineStr">
        <is>
          <t>Open, Answered or Closed</t>
        </is>
      </c>
      <c r="D340" s="14" t="inlineStr">
        <is>
          <t>Open, Answered, Closed</t>
        </is>
      </c>
    </row>
    <row r="341">
      <c r="A341" s="12" t="inlineStr">
        <is>
          <t>Comments log</t>
        </is>
      </c>
      <c r="B341" s="20" t="inlineStr">
        <is>
          <t>Closed on</t>
        </is>
      </c>
      <c r="C341" s="12" t="inlineStr">
        <is>
          <t>Date closed</t>
        </is>
      </c>
      <c r="D341" s="12" t="inlineStr"/>
    </row>
    <row r="342">
      <c r="A342" s="14" t="inlineStr">
        <is>
          <t>Meeting minutes</t>
        </is>
      </c>
      <c r="B342" s="21" t="inlineStr">
        <is>
          <t>Date</t>
        </is>
      </c>
      <c r="C342" s="14" t="inlineStr">
        <is>
          <t>Date of the session</t>
        </is>
      </c>
      <c r="D342" s="14" t="inlineStr"/>
    </row>
    <row r="343">
      <c r="A343" s="12" t="inlineStr">
        <is>
          <t>Meeting minutes</t>
        </is>
      </c>
      <c r="B343" s="20" t="inlineStr">
        <is>
          <t>Session</t>
        </is>
      </c>
      <c r="C343" s="12" t="inlineStr">
        <is>
          <t>Walkthrough, Q&amp;A or sign-off meeting</t>
        </is>
      </c>
      <c r="D343" s="12" t="inlineStr"/>
    </row>
    <row r="344">
      <c r="A344" s="14" t="inlineStr">
        <is>
          <t>Meeting minutes</t>
        </is>
      </c>
      <c r="B344" s="21" t="inlineStr">
        <is>
          <t>Planned</t>
        </is>
      </c>
      <c r="C344" s="14" t="inlineStr">
        <is>
          <t>Planned date and length</t>
        </is>
      </c>
      <c r="D344" s="14" t="inlineStr"/>
    </row>
    <row r="345">
      <c r="A345" s="12" t="inlineStr">
        <is>
          <t>Meeting minutes</t>
        </is>
      </c>
      <c r="B345" s="20" t="inlineStr">
        <is>
          <t>Attendees</t>
        </is>
      </c>
      <c r="C345" s="12" t="inlineStr">
        <is>
          <t>Names and units</t>
        </is>
      </c>
      <c r="D345" s="12" t="inlineStr"/>
    </row>
    <row r="346">
      <c r="A346" s="14" t="inlineStr">
        <is>
          <t>Meeting minutes</t>
        </is>
      </c>
      <c r="B346" s="21" t="inlineStr">
        <is>
          <t>Discussion</t>
        </is>
      </c>
      <c r="C346" s="14" t="inlineStr">
        <is>
          <t>Points discussed</t>
        </is>
      </c>
      <c r="D346" s="14" t="inlineStr"/>
    </row>
    <row r="347">
      <c r="A347" s="12" t="inlineStr">
        <is>
          <t>Meeting minutes</t>
        </is>
      </c>
      <c r="B347" s="20" t="inlineStr">
        <is>
          <t>Decisions</t>
        </is>
      </c>
      <c r="C347" s="12" t="inlineStr">
        <is>
          <t>Decisions taken</t>
        </is>
      </c>
      <c r="D347" s="12" t="inlineStr"/>
    </row>
    <row r="348">
      <c r="A348" s="14" t="inlineStr">
        <is>
          <t>Meeting minutes</t>
        </is>
      </c>
      <c r="B348" s="21" t="inlineStr">
        <is>
          <t>Actions</t>
        </is>
      </c>
      <c r="C348" s="14" t="inlineStr">
        <is>
          <t>Actions, with the comment IDs</t>
        </is>
      </c>
      <c r="D348" s="14" t="inlineStr"/>
    </row>
    <row r="349">
      <c r="A349" s="12" t="inlineStr">
        <is>
          <t>Meeting minutes</t>
        </is>
      </c>
      <c r="B349" s="20" t="inlineStr">
        <is>
          <t>Owner</t>
        </is>
      </c>
      <c r="C349" s="12" t="inlineStr">
        <is>
          <t>Owner of the actions</t>
        </is>
      </c>
      <c r="D349" s="12" t="inlineStr"/>
    </row>
    <row r="350">
      <c r="A350" s="14" t="inlineStr">
        <is>
          <t>Meeting minutes</t>
        </is>
      </c>
      <c r="B350" s="21" t="inlineStr">
        <is>
          <t>Due date</t>
        </is>
      </c>
      <c r="C350" s="14" t="inlineStr">
        <is>
          <t>Due date of the actions</t>
        </is>
      </c>
      <c r="D350" s="14" t="inlineStr"/>
    </row>
    <row r="351">
      <c r="A351" s="12" t="inlineStr">
        <is>
          <t>Version history</t>
        </is>
      </c>
      <c r="B351" s="20" t="inlineStr">
        <is>
          <t>Version</t>
        </is>
      </c>
      <c r="C351" s="12" t="inlineStr">
        <is>
          <t>Version of the release set</t>
        </is>
      </c>
      <c r="D351" s="12" t="inlineStr"/>
    </row>
    <row r="352">
      <c r="A352" s="14" t="inlineStr">
        <is>
          <t>Version history</t>
        </is>
      </c>
      <c r="B352" s="21" t="inlineStr">
        <is>
          <t>Date</t>
        </is>
      </c>
      <c r="C352" s="14" t="inlineStr">
        <is>
          <t>Date of issue</t>
        </is>
      </c>
      <c r="D352" s="14" t="inlineStr"/>
    </row>
    <row r="353">
      <c r="A353" s="12" t="inlineStr">
        <is>
          <t>Version history</t>
        </is>
      </c>
      <c r="B353" s="20" t="inlineStr">
        <is>
          <t>Author</t>
        </is>
      </c>
      <c r="C353" s="12" t="inlineStr">
        <is>
          <t>Prepared by</t>
        </is>
      </c>
      <c r="D353" s="12" t="inlineStr"/>
    </row>
    <row r="354">
      <c r="A354" s="14" t="inlineStr">
        <is>
          <t>Version history</t>
        </is>
      </c>
      <c r="B354" s="21" t="inlineStr">
        <is>
          <t>Change</t>
        </is>
      </c>
      <c r="C354" s="14" t="inlineStr">
        <is>
          <t>What changed; for a revision, the comment IDs answered</t>
        </is>
      </c>
      <c r="D354" s="14" t="inlineStr"/>
    </row>
    <row r="355">
      <c r="A355" s="12" t="inlineStr">
        <is>
          <t>Version history</t>
        </is>
      </c>
      <c r="B355" s="20" t="inlineStr">
        <is>
          <t>Rows changed</t>
        </is>
      </c>
      <c r="C355" s="12" t="inlineStr">
        <is>
          <t>Sheets and rows changed</t>
        </is>
      </c>
      <c r="D355" s="12" t="inlineStr"/>
    </row>
    <row r="356">
      <c r="A356" s="14" t="inlineStr">
        <is>
          <t>Sign-off certificate</t>
        </is>
      </c>
      <c r="B356" s="21" t="inlineStr">
        <is>
          <t>Capacity</t>
        </is>
      </c>
      <c r="C356" s="14" t="inlineStr">
        <is>
          <t>Prepared by, Input provided by, Reviewed by or Approved by, as on the BRD approval sheet</t>
        </is>
      </c>
      <c r="D356" s="14" t="inlineStr"/>
    </row>
    <row r="357">
      <c r="A357" s="12" t="inlineStr">
        <is>
          <t>Sign-off certificate</t>
        </is>
      </c>
      <c r="B357" s="20" t="inlineStr">
        <is>
          <t>Role</t>
        </is>
      </c>
      <c r="C357" s="12" t="inlineStr">
        <is>
          <t>Signatory role</t>
        </is>
      </c>
      <c r="D357" s="12" t="inlineStr"/>
    </row>
    <row r="358">
      <c r="A358" s="14" t="inlineStr">
        <is>
          <t>Sign-off certificate</t>
        </is>
      </c>
      <c r="B358" s="21" t="inlineStr">
        <is>
          <t>Organisation</t>
        </is>
      </c>
      <c r="C358" s="14" t="inlineStr">
        <is>
          <t>Organisation</t>
        </is>
      </c>
      <c r="D358" s="14" t="inlineStr"/>
    </row>
    <row r="359">
      <c r="A359" s="12" t="inlineStr">
        <is>
          <t>Sign-off certificate</t>
        </is>
      </c>
      <c r="B359" s="20" t="inlineStr">
        <is>
          <t>Confirms</t>
        </is>
      </c>
      <c r="C359" s="12" t="inlineStr">
        <is>
          <t>What the signatory confirms by signing</t>
        </is>
      </c>
      <c r="D359" s="12" t="inlineStr"/>
    </row>
    <row r="360">
      <c r="A360" s="14" t="inlineStr">
        <is>
          <t>Sign-off certificate</t>
        </is>
      </c>
      <c r="B360" s="21" t="inlineStr">
        <is>
          <t>On the BRD approval sheet</t>
        </is>
      </c>
      <c r="C360" s="14" t="inlineStr">
        <is>
          <t>Where the role signs the BRD (BRD-13 approval pages p.19-20 (BRD V0.03, signed 15 to 19 May 2026))</t>
        </is>
      </c>
      <c r="D360" s="14" t="inlineStr"/>
    </row>
    <row r="361">
      <c r="A361" s="12" t="inlineStr">
        <is>
          <t>Sign-off certificate</t>
        </is>
      </c>
      <c r="B361" s="20" t="inlineStr">
        <is>
          <t>Name</t>
        </is>
      </c>
      <c r="C361" s="12" t="inlineStr">
        <is>
          <t>Name of the signatory</t>
        </is>
      </c>
      <c r="D361" s="12" t="inlineStr"/>
    </row>
    <row r="362">
      <c r="A362" s="14" t="inlineStr">
        <is>
          <t>Sign-off certificate</t>
        </is>
      </c>
      <c r="B362" s="21" t="inlineStr">
        <is>
          <t>Decision</t>
        </is>
      </c>
      <c r="C362" s="14" t="inlineStr">
        <is>
          <t>Approved, Approved with comments or Not approved</t>
        </is>
      </c>
      <c r="D362" s="14" t="inlineStr">
        <is>
          <t>Approved, Approved with comments, Not approved</t>
        </is>
      </c>
    </row>
    <row r="363">
      <c r="A363" s="12" t="inlineStr">
        <is>
          <t>Sign-off certificate</t>
        </is>
      </c>
      <c r="B363" s="20" t="inlineStr">
        <is>
          <t>Comments</t>
        </is>
      </c>
      <c r="C363" s="12" t="inlineStr">
        <is>
          <t>Conditions of the approval</t>
        </is>
      </c>
      <c r="D363" s="12" t="inlineStr"/>
    </row>
    <row r="364">
      <c r="A364" s="14" t="inlineStr">
        <is>
          <t>Sign-off certificate</t>
        </is>
      </c>
      <c r="B364" s="21" t="inlineStr">
        <is>
          <t>Signature</t>
        </is>
      </c>
      <c r="C364" s="14" t="inlineStr">
        <is>
          <t>Signature</t>
        </is>
      </c>
      <c r="D364" s="14" t="inlineStr"/>
    </row>
    <row r="365">
      <c r="A365" s="12" t="inlineStr">
        <is>
          <t>Sign-off certificate</t>
        </is>
      </c>
      <c r="B365" s="20" t="inlineStr">
        <is>
          <t>Date</t>
        </is>
      </c>
      <c r="C365" s="12" t="inlineStr">
        <is>
          <t>Date of the decision</t>
        </is>
      </c>
      <c r="D365" s="12" t="inlineStr"/>
    </row>
  </sheetData>
  <autoFilter ref="A4:D365"/>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Handbook part of your role with the screenshots, or walk through the Migration Console on the SIT environment during the sessions of the Start Here guide.</t>
        </is>
      </c>
    </row>
    <row r="6">
      <c r="A6" s="12" t="inlineStr">
        <is>
          <t>2</t>
        </is>
      </c>
      <c r="B6" s="12" t="inlineStr">
        <is>
          <t>On the sheets of your objects (Object catalogue, Data owners, Extract planning, Code maps, Validation rules, Reconciliation sign-off) and on the screen sheets, set BU review to Accept, Change requested or Comment for each row you review, and write the change in BU comment. On a load template sheet the BU review and BU comment rows sit above each column.</t>
        </is>
      </c>
    </row>
    <row r="7">
      <c r="A7" s="12" t="inlineStr">
        <is>
          <t>3</t>
        </is>
      </c>
      <c r="B7" s="12" t="inlineStr">
        <is>
          <t>On the Proposed rules sheet, record the BDOI decision (Agree, Agree with change, Disagree, Need more information), the change asked for, who decided and the date.</t>
        </is>
      </c>
    </row>
    <row r="8">
      <c r="A8" s="12" t="inlineStr">
        <is>
          <t>4</t>
        </is>
      </c>
      <c r="B8" s="12" t="inlineStr">
        <is>
          <t>Put your name in Reviewer and the date in Review date. Leave the other columns unchanged.</t>
        </is>
      </c>
    </row>
    <row r="9">
      <c r="A9" s="12" t="inlineStr">
        <is>
          <t>5</t>
        </is>
      </c>
      <c r="B9" s="12" t="inlineStr">
        <is>
          <t>The sheet Load templates lists the load templates in load order with a link to each. A load template sheet is the layout of the Migration Console column for column, with the guide of each column (Mandatory, Format, Allowed values, What to enter, the check when loaded) directly above the header row; the console exports the same templates (Layouts and Rules, Load Templates Workbook).</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with the load template and the column when they concern one; the project team answers each one there. On the Sign-off certificate sheet, each signatory records the decision and the date.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U3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11" customWidth="1" min="3" max="3"/>
    <col width="15" customWidth="1" min="4" max="4"/>
    <col width="50" customWidth="1" min="5" max="5"/>
    <col width="9" customWidth="1" min="6" max="6"/>
    <col width="11" customWidth="1" min="7" max="7"/>
    <col width="10" customWidth="1" min="8" max="8"/>
    <col width="9" customWidth="1" min="9" max="9"/>
    <col width="36" customWidth="1" min="10" max="10"/>
    <col width="14" customWidth="1" min="11" max="11"/>
    <col width="12" customWidth="1" min="12" max="12"/>
    <col width="34" customWidth="1" min="13" max="13"/>
    <col width="7" customWidth="1" min="14" max="14"/>
    <col width="12" customWidth="1" min="15" max="15"/>
    <col width="12" customWidth="1" min="16" max="16"/>
    <col width="14" customWidth="1" min="17" max="17"/>
    <col width="16" customWidth="1" min="18" max="18"/>
    <col width="40" customWidth="1" min="19" max="19"/>
    <col width="18" customWidth="1" min="20" max="20"/>
    <col width="13" customWidth="1" min="21" max="21"/>
  </cols>
  <sheetData>
    <row r="1" ht="24" customHeight="1">
      <c r="A1" s="19" t="inlineStr">
        <is>
          <t>Object catalogue</t>
        </is>
      </c>
    </row>
    <row r="2">
      <c r="A2" s="22" t="inlineStr">
        <is>
          <t>One row per legacy data object with the proposed decision and the four criteria of the BRD (BRID_MIG 1.1)</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c r="T3" s="23" t="n"/>
      <c r="U3" s="23" t="n"/>
    </row>
    <row r="4" ht="30" customHeight="1">
      <c r="A4" s="24" t="inlineStr">
        <is>
          <t>Object</t>
        </is>
      </c>
      <c r="B4" s="24" t="inlineStr">
        <is>
          <t>Data object</t>
        </is>
      </c>
      <c r="C4" s="24" t="inlineStr">
        <is>
          <t>Category</t>
        </is>
      </c>
      <c r="D4" s="24" t="inlineStr">
        <is>
          <t>Decision (proposed)</t>
        </is>
      </c>
      <c r="E4" s="24" t="inlineStr">
        <is>
          <t>Rationale</t>
        </is>
      </c>
      <c r="F4" s="24" t="inlineStr">
        <is>
          <t>Day-1 need</t>
        </is>
      </c>
      <c r="G4" s="24" t="inlineStr">
        <is>
          <t>Compliance need</t>
        </is>
      </c>
      <c r="H4" s="24" t="inlineStr">
        <is>
          <t>Archive option</t>
        </is>
      </c>
      <c r="I4" s="24" t="inlineStr">
        <is>
          <t>Data trust</t>
        </is>
      </c>
      <c r="J4" s="24" t="inlineStr">
        <is>
          <t>Condition</t>
        </is>
      </c>
      <c r="K4" s="24" t="inlineStr">
        <is>
          <t>Source system</t>
        </is>
      </c>
      <c r="L4" s="24" t="inlineStr">
        <is>
          <t>Templates</t>
        </is>
      </c>
      <c r="M4" s="24" t="inlineStr">
        <is>
          <t>Where it lands in BIBS</t>
        </is>
      </c>
      <c r="N4" s="24" t="inlineStr">
        <is>
          <t>Load order</t>
        </is>
      </c>
      <c r="O4" s="24" t="inlineStr">
        <is>
          <t>Loads after</t>
        </is>
      </c>
      <c r="P4" s="24" t="inlineStr">
        <is>
          <t>BRD</t>
        </is>
      </c>
      <c r="Q4" s="24" t="inlineStr">
        <is>
          <t>Open decisions</t>
        </is>
      </c>
      <c r="R4" s="24" t="inlineStr">
        <is>
          <t>BU review</t>
        </is>
      </c>
      <c r="S4" s="24" t="inlineStr">
        <is>
          <t>BU comment</t>
        </is>
      </c>
      <c r="T4" s="24" t="inlineStr">
        <is>
          <t>Reviewer</t>
        </is>
      </c>
      <c r="U4" s="24" t="inlineStr">
        <is>
          <t>Review date</t>
        </is>
      </c>
    </row>
    <row r="5">
      <c r="A5" s="12" t="inlineStr">
        <is>
          <t>R01</t>
        </is>
      </c>
      <c r="B5" s="12" t="inlineStr">
        <is>
          <t>Lists of values and MIS values</t>
        </is>
      </c>
      <c r="C5" s="12" t="inlineStr">
        <is>
          <t>Reference</t>
        </is>
      </c>
      <c r="D5" s="12" t="inlineStr">
        <is>
          <t>Migrate</t>
        </is>
      </c>
      <c r="E5" s="12" t="inlineStr">
        <is>
          <t>Every coded field of clients, policies and open items needs its BIBS value on Day 1 (BRID_MIG 3.1). Legacy values are mapped to BIBS values; missing values are created through the LOV master with maker-checker.</t>
        </is>
      </c>
      <c r="F5" s="12" t="inlineStr">
        <is>
          <t>Yes</t>
        </is>
      </c>
      <c r="G5" s="12" t="inlineStr">
        <is>
          <t>No</t>
        </is>
      </c>
      <c r="H5" s="12" t="inlineStr">
        <is>
          <t>No</t>
        </is>
      </c>
      <c r="I5" s="12" t="inlineStr">
        <is>
          <t>Medium</t>
        </is>
      </c>
      <c r="J5" s="12" t="inlineStr"/>
      <c r="K5" s="12" t="inlineStr">
        <is>
          <t>QPS, EBIX</t>
        </is>
      </c>
      <c r="L5" s="12" t="inlineStr">
        <is>
          <t>R01</t>
        </is>
      </c>
      <c r="M5" s="12" t="inlineStr">
        <is>
          <t>Lists of Values (maker-checker); MIS field catalogue</t>
        </is>
      </c>
      <c r="N5" s="12" t="n">
        <v>1</v>
      </c>
      <c r="O5" s="12" t="inlineStr">
        <is>
          <t>-</t>
        </is>
      </c>
      <c r="P5" s="12" t="inlineStr">
        <is>
          <t>BRID_MIG 3.1</t>
        </is>
      </c>
      <c r="Q5" s="12" t="inlineStr">
        <is>
          <t>DMQ08</t>
        </is>
      </c>
      <c r="R5" s="12" t="n"/>
      <c r="S5" s="12" t="n"/>
      <c r="T5" s="12" t="n"/>
      <c r="U5" s="25" t="n"/>
    </row>
    <row r="6">
      <c r="A6" s="12" t="inlineStr">
        <is>
          <t>R02</t>
        </is>
      </c>
      <c r="B6" s="12" t="inlineStr">
        <is>
          <t>Branches and invoicing branches</t>
        </is>
      </c>
      <c r="C6" s="12" t="inlineStr">
        <is>
          <t>Reference</t>
        </is>
      </c>
      <c r="D6" s="12" t="inlineStr">
        <is>
          <t>Migrate</t>
        </is>
      </c>
      <c r="E6" s="12" t="inlineStr">
        <is>
          <t>Branch codes are mapped only; BIBS branches are configured by Comptrollership before the load.</t>
        </is>
      </c>
      <c r="F6" s="12" t="inlineStr">
        <is>
          <t>Yes</t>
        </is>
      </c>
      <c r="G6" s="12" t="inlineStr">
        <is>
          <t>No</t>
        </is>
      </c>
      <c r="H6" s="12" t="inlineStr">
        <is>
          <t>No</t>
        </is>
      </c>
      <c r="I6" s="12" t="inlineStr">
        <is>
          <t>Medium</t>
        </is>
      </c>
      <c r="J6" s="12" t="inlineStr"/>
      <c r="K6" s="12" t="inlineStr">
        <is>
          <t>EBIX</t>
        </is>
      </c>
      <c r="L6" s="12" t="inlineStr">
        <is>
          <t>R02</t>
        </is>
      </c>
      <c r="M6" s="12" t="inlineStr">
        <is>
          <t>Branches (check only, code map BRANCH)</t>
        </is>
      </c>
      <c r="N6" s="12" t="n">
        <v>1</v>
      </c>
      <c r="O6" s="12" t="inlineStr">
        <is>
          <t>-</t>
        </is>
      </c>
      <c r="P6" s="12" t="inlineStr">
        <is>
          <t>BRID_MIG 3.1</t>
        </is>
      </c>
      <c r="Q6" s="12" t="inlineStr">
        <is>
          <t>DMQ08</t>
        </is>
      </c>
      <c r="R6" s="12" t="n"/>
      <c r="S6" s="12" t="n"/>
      <c r="T6" s="12" t="n"/>
      <c r="U6" s="25" t="n"/>
    </row>
    <row r="7">
      <c r="A7" s="12" t="inlineStr">
        <is>
          <t>R03</t>
        </is>
      </c>
      <c r="B7" s="12" t="inlineStr">
        <is>
          <t>Sales organisation (regions, departments, teams, unit heads, account officers)</t>
        </is>
      </c>
      <c r="C7" s="12" t="inlineStr">
        <is>
          <t>Reference</t>
        </is>
      </c>
      <c r="D7" s="12" t="inlineStr">
        <is>
          <t>Migrate</t>
        </is>
      </c>
      <c r="E7" s="12" t="inlineStr">
        <is>
          <t>Clients, policies and open items carry the AO and unit; MIS reporting and Collections assignment need them on Day 1.</t>
        </is>
      </c>
      <c r="F7" s="12" t="inlineStr">
        <is>
          <t>Yes</t>
        </is>
      </c>
      <c r="G7" s="12" t="inlineStr">
        <is>
          <t>No</t>
        </is>
      </c>
      <c r="H7" s="12" t="inlineStr">
        <is>
          <t>No</t>
        </is>
      </c>
      <c r="I7" s="12" t="inlineStr">
        <is>
          <t>Medium</t>
        </is>
      </c>
      <c r="J7" s="12" t="inlineStr"/>
      <c r="K7" s="12" t="inlineStr">
        <is>
          <t>QPS, EBIX</t>
        </is>
      </c>
      <c r="L7" s="12" t="inlineStr">
        <is>
          <t>R03</t>
        </is>
      </c>
      <c r="M7" s="12" t="inlineStr">
        <is>
          <t>Sales organisation: sales units and account officers</t>
        </is>
      </c>
      <c r="N7" s="12" t="n">
        <v>2</v>
      </c>
      <c r="O7" s="12" t="inlineStr">
        <is>
          <t>R02</t>
        </is>
      </c>
      <c r="P7" s="12" t="inlineStr">
        <is>
          <t>BRID_MIG 3.1</t>
        </is>
      </c>
      <c r="Q7" s="12" t="inlineStr">
        <is>
          <t>DMQ08</t>
        </is>
      </c>
      <c r="R7" s="12" t="n"/>
      <c r="S7" s="12" t="n"/>
      <c r="T7" s="12" t="n"/>
      <c r="U7" s="25" t="n"/>
    </row>
    <row r="8">
      <c r="A8" s="12" t="inlineStr">
        <is>
          <t>R04</t>
        </is>
      </c>
      <c r="B8" s="12" t="inlineStr">
        <is>
          <t>Insurers and insurer branches</t>
        </is>
      </c>
      <c r="C8" s="12" t="inlineStr">
        <is>
          <t>Reference</t>
        </is>
      </c>
      <c r="D8" s="12" t="inlineStr">
        <is>
          <t>Migrate</t>
        </is>
      </c>
      <c r="E8" s="12" t="inlineStr">
        <is>
          <t>Every open invoice, header and remittance position is owed to or by an insurer.</t>
        </is>
      </c>
      <c r="F8" s="12" t="inlineStr">
        <is>
          <t>Yes</t>
        </is>
      </c>
      <c r="G8" s="12" t="inlineStr">
        <is>
          <t>No</t>
        </is>
      </c>
      <c r="H8" s="12" t="inlineStr">
        <is>
          <t>No</t>
        </is>
      </c>
      <c r="I8" s="12" t="inlineStr">
        <is>
          <t>Medium</t>
        </is>
      </c>
      <c r="J8" s="12" t="inlineStr"/>
      <c r="K8" s="12" t="inlineStr">
        <is>
          <t>QPS, EBIX</t>
        </is>
      </c>
      <c r="L8" s="12" t="inlineStr">
        <is>
          <t>R04, R04B</t>
        </is>
      </c>
      <c r="M8" s="12" t="inlineStr">
        <is>
          <t>Insurers and insurer branches (insurer and party records)</t>
        </is>
      </c>
      <c r="N8" s="12" t="n">
        <v>2</v>
      </c>
      <c r="O8" s="12" t="inlineStr">
        <is>
          <t>-</t>
        </is>
      </c>
      <c r="P8" s="12" t="inlineStr">
        <is>
          <t>BRID_MIG 3.1</t>
        </is>
      </c>
      <c r="Q8" s="12" t="inlineStr">
        <is>
          <t>DMQ08</t>
        </is>
      </c>
      <c r="R8" s="12" t="n"/>
      <c r="S8" s="12" t="n"/>
      <c r="T8" s="12" t="n"/>
      <c r="U8" s="25" t="n"/>
    </row>
    <row r="9">
      <c r="A9" s="12" t="inlineStr">
        <is>
          <t>R05</t>
        </is>
      </c>
      <c r="B9" s="12" t="inlineStr">
        <is>
          <t>Product lines, cover types, products and risk codes</t>
        </is>
      </c>
      <c r="C9" s="12" t="inlineStr">
        <is>
          <t>Reference</t>
        </is>
      </c>
      <c r="D9" s="12" t="inlineStr">
        <is>
          <t>Migrate</t>
        </is>
      </c>
      <c r="E9" s="12" t="inlineStr">
        <is>
          <t>The risk code decides the premium components, taxes and commission of every open invoice and header.</t>
        </is>
      </c>
      <c r="F9" s="12" t="inlineStr">
        <is>
          <t>Yes</t>
        </is>
      </c>
      <c r="G9" s="12" t="inlineStr">
        <is>
          <t>No</t>
        </is>
      </c>
      <c r="H9" s="12" t="inlineStr">
        <is>
          <t>No</t>
        </is>
      </c>
      <c r="I9" s="12" t="inlineStr">
        <is>
          <t>Medium</t>
        </is>
      </c>
      <c r="J9" s="12" t="inlineStr"/>
      <c r="K9" s="12" t="inlineStr">
        <is>
          <t>QPS, EBIX</t>
        </is>
      </c>
      <c r="L9" s="12" t="inlineStr">
        <is>
          <t>R05</t>
        </is>
      </c>
      <c r="M9" s="12" t="inlineStr">
        <is>
          <t>Product catalogue: product lines, cover types and products</t>
        </is>
      </c>
      <c r="N9" s="12" t="n">
        <v>3</v>
      </c>
      <c r="O9" s="12" t="inlineStr">
        <is>
          <t>-</t>
        </is>
      </c>
      <c r="P9" s="12" t="inlineStr">
        <is>
          <t>BRID_MIG 3.1</t>
        </is>
      </c>
      <c r="Q9" s="12" t="inlineStr">
        <is>
          <t>DMQ08</t>
        </is>
      </c>
      <c r="R9" s="12" t="n"/>
      <c r="S9" s="12" t="n"/>
      <c r="T9" s="12" t="n"/>
      <c r="U9" s="25" t="n"/>
    </row>
    <row r="10">
      <c r="A10" s="12" t="inlineStr">
        <is>
          <t>R06</t>
        </is>
      </c>
      <c r="B10" s="12" t="inlineStr">
        <is>
          <t>Package code map (legacy package and version to BIBS package version)</t>
        </is>
      </c>
      <c r="C10" s="12" t="inlineStr">
        <is>
          <t>Reference</t>
        </is>
      </c>
      <c r="D10" s="12" t="inlineStr">
        <is>
          <t>Migrate</t>
        </is>
      </c>
      <c r="E10" s="12" t="inlineStr">
        <is>
          <t>Packages are remapped at sanitation in Renewal, not at migration intake (DMQ36, answered 26-Sep-2026). The migration loads the package code map as reference data only; the Renewal package check uses it and sends unmapped packages to the Exception bucket, worked by the Renewal processing team. The BIBS packages themselves are maintained by TSU in Product Maintenance (BRD-3) and are not migrated.</t>
        </is>
      </c>
      <c r="F10" s="12" t="inlineStr">
        <is>
          <t>Yes</t>
        </is>
      </c>
      <c r="G10" s="12" t="inlineStr">
        <is>
          <t>No</t>
        </is>
      </c>
      <c r="H10" s="12" t="inlineStr">
        <is>
          <t>No</t>
        </is>
      </c>
      <c r="I10" s="12" t="inlineStr">
        <is>
          <t>Medium</t>
        </is>
      </c>
      <c r="J10" s="12" t="inlineStr"/>
      <c r="K10" s="12" t="inlineStr">
        <is>
          <t>QPS (legacy packages); TSU (BIBS package versions)</t>
        </is>
      </c>
      <c r="L10" s="12" t="inlineStr">
        <is>
          <t>R06</t>
        </is>
      </c>
      <c r="M10" s="12" t="inlineStr">
        <is>
          <t>Renewal package map, used by the package check of the Renewal sanitation</t>
        </is>
      </c>
      <c r="N10" s="12" t="n">
        <v>3</v>
      </c>
      <c r="O10" s="12" t="inlineStr">
        <is>
          <t>-</t>
        </is>
      </c>
      <c r="P10" s="12" t="inlineStr">
        <is>
          <t>BRID_MIG 3.1, 12.1</t>
        </is>
      </c>
      <c r="Q10" s="12" t="inlineStr">
        <is>
          <t>DMQ08, DMQ36</t>
        </is>
      </c>
      <c r="R10" s="12" t="n"/>
      <c r="S10" s="12" t="n"/>
      <c r="T10" s="12" t="n"/>
      <c r="U10" s="25" t="n"/>
    </row>
    <row r="11">
      <c r="A11" s="12" t="inlineStr">
        <is>
          <t>R07</t>
        </is>
      </c>
      <c r="B11" s="12" t="inlineStr">
        <is>
          <t>Commission rates by insurer and product</t>
        </is>
      </c>
      <c r="C11" s="12" t="inlineStr">
        <is>
          <t>Reference</t>
        </is>
      </c>
      <c r="D11" s="12" t="inlineStr">
        <is>
          <t>Migrate</t>
        </is>
      </c>
      <c r="E11" s="12" t="inlineStr">
        <is>
          <t>Endorsements and renewals of legacy policies compute commission from the rate table.</t>
        </is>
      </c>
      <c r="F11" s="12" t="inlineStr">
        <is>
          <t>Yes</t>
        </is>
      </c>
      <c r="G11" s="12" t="inlineStr">
        <is>
          <t>No</t>
        </is>
      </c>
      <c r="H11" s="12" t="inlineStr">
        <is>
          <t>No</t>
        </is>
      </c>
      <c r="I11" s="12" t="inlineStr">
        <is>
          <t>Medium</t>
        </is>
      </c>
      <c r="J11" s="12" t="inlineStr"/>
      <c r="K11" s="12" t="inlineStr">
        <is>
          <t>QPS, EBIX</t>
        </is>
      </c>
      <c r="L11" s="12" t="inlineStr">
        <is>
          <t>R07</t>
        </is>
      </c>
      <c r="M11" s="12" t="inlineStr">
        <is>
          <t>Commission rates of the product catalogue</t>
        </is>
      </c>
      <c r="N11" s="12" t="n">
        <v>3</v>
      </c>
      <c r="O11" s="12" t="inlineStr">
        <is>
          <t>R04</t>
        </is>
      </c>
      <c r="P11" s="12" t="inlineStr">
        <is>
          <t>BRID_MIG 3.1</t>
        </is>
      </c>
      <c r="Q11" s="12" t="inlineStr">
        <is>
          <t>DMQ30</t>
        </is>
      </c>
      <c r="R11" s="12" t="n"/>
      <c r="S11" s="12" t="n"/>
      <c r="T11" s="12" t="n"/>
      <c r="U11" s="25" t="n"/>
    </row>
    <row r="12">
      <c r="A12" s="12" t="inlineStr">
        <is>
          <t>R08</t>
        </is>
      </c>
      <c r="B12" s="12" t="inlineStr">
        <is>
          <t>Chart of accounts mapping (legacy GL account to BIBS account)</t>
        </is>
      </c>
      <c r="C12" s="12" t="inlineStr">
        <is>
          <t>Reference</t>
        </is>
      </c>
      <c r="D12" s="12" t="inlineStr">
        <is>
          <t>Migrate</t>
        </is>
      </c>
      <c r="E12" s="12" t="inlineStr">
        <is>
          <t>The GL opening trial balance (G01) is loaded through this map; legacy control accounts are mapped to Migration Clearing.</t>
        </is>
      </c>
      <c r="F12" s="12" t="inlineStr">
        <is>
          <t>Yes</t>
        </is>
      </c>
      <c r="G12" s="12" t="inlineStr">
        <is>
          <t>No</t>
        </is>
      </c>
      <c r="H12" s="12" t="inlineStr">
        <is>
          <t>No</t>
        </is>
      </c>
      <c r="I12" s="12" t="inlineStr">
        <is>
          <t>Medium</t>
        </is>
      </c>
      <c r="J12" s="12" t="inlineStr"/>
      <c r="K12" s="12" t="inlineStr">
        <is>
          <t>EBIX, ISYS GL</t>
        </is>
      </c>
      <c r="L12" s="12" t="inlineStr">
        <is>
          <t>R08</t>
        </is>
      </c>
      <c r="M12" s="12" t="inlineStr">
        <is>
          <t>GL account code map to the BIBS chart of accounts (chart configured by Comptrollership)</t>
        </is>
      </c>
      <c r="N12" s="12" t="n">
        <v>3</v>
      </c>
      <c r="O12" s="12" t="inlineStr">
        <is>
          <t>-</t>
        </is>
      </c>
      <c r="P12" s="12" t="inlineStr">
        <is>
          <t>BRID_MIG 5.1-8.1; AQ01</t>
        </is>
      </c>
      <c r="Q12" s="12" t="inlineStr">
        <is>
          <t>DMQ18</t>
        </is>
      </c>
      <c r="R12" s="12" t="n"/>
      <c r="S12" s="12" t="n"/>
      <c r="T12" s="12" t="n"/>
      <c r="U12" s="25" t="n"/>
    </row>
    <row r="13">
      <c r="A13" s="12" t="inlineStr">
        <is>
          <t>R09</t>
        </is>
      </c>
      <c r="B13" s="12" t="inlineStr">
        <is>
          <t>Payees</t>
        </is>
      </c>
      <c r="C13" s="12" t="inlineStr">
        <is>
          <t>Reference</t>
        </is>
      </c>
      <c r="D13" s="12" t="inlineStr">
        <is>
          <t>Conditional</t>
        </is>
      </c>
      <c r="E13" s="12" t="inlineStr">
        <is>
          <t>Payees are loaded through the payee migration upload of Disbursement; in scope if BDOI confirms (AQ11, DMQ30).</t>
        </is>
      </c>
      <c r="F13" s="12" t="inlineStr">
        <is>
          <t>Yes</t>
        </is>
      </c>
      <c r="G13" s="12" t="inlineStr">
        <is>
          <t>No</t>
        </is>
      </c>
      <c r="H13" s="12" t="inlineStr">
        <is>
          <t>No</t>
        </is>
      </c>
      <c r="I13" s="12" t="inlineStr">
        <is>
          <t>Medium</t>
        </is>
      </c>
      <c r="J13" s="12" t="inlineStr">
        <is>
          <t>Loaded through the payee registration of Disbursement if BDOI confirms (DMQ30).</t>
        </is>
      </c>
      <c r="K13" s="12" t="inlineStr">
        <is>
          <t>EBIX, Disbursement files</t>
        </is>
      </c>
      <c r="L13" s="12" t="inlineStr">
        <is>
          <t>R09</t>
        </is>
      </c>
      <c r="M13" s="12" t="inlineStr">
        <is>
          <t>Payees (party and payee records, loaded by the payee migration)</t>
        </is>
      </c>
      <c r="N13" s="12" t="n">
        <v>4</v>
      </c>
      <c r="O13" s="12" t="inlineStr">
        <is>
          <t>-</t>
        </is>
      </c>
      <c r="P13" s="12" t="inlineStr">
        <is>
          <t>BRID_MIG 3.1; AQ11</t>
        </is>
      </c>
      <c r="Q13" s="12" t="inlineStr">
        <is>
          <t>DMQ30, CLR-DM-06</t>
        </is>
      </c>
      <c r="R13" s="12" t="n"/>
      <c r="S13" s="12" t="n"/>
      <c r="T13" s="12" t="n"/>
      <c r="U13" s="25" t="n"/>
    </row>
    <row r="14">
      <c r="A14" s="12" t="inlineStr">
        <is>
          <t>R10</t>
        </is>
      </c>
      <c r="B14" s="12" t="inlineStr">
        <is>
          <t>Users and roles</t>
        </is>
      </c>
      <c r="C14" s="12" t="inlineStr">
        <is>
          <t>Reference</t>
        </is>
      </c>
      <c r="D14" s="12" t="inlineStr">
        <is>
          <t>Excluded</t>
        </is>
      </c>
      <c r="E14" s="12" t="inlineStr">
        <is>
          <t>Users are created through User Access requests and approvals (BRD-11); legacy user IDs are only mapped (user code map) so that the AO, handler and collector fields resolve.</t>
        </is>
      </c>
      <c r="F14" s="12" t="inlineStr">
        <is>
          <t>No</t>
        </is>
      </c>
      <c r="G14" s="12" t="inlineStr">
        <is>
          <t>No</t>
        </is>
      </c>
      <c r="H14" s="12" t="inlineStr">
        <is>
          <t>Yes</t>
        </is>
      </c>
      <c r="I14" s="12" t="inlineStr">
        <is>
          <t>Medium</t>
        </is>
      </c>
      <c r="J14" s="12" t="inlineStr"/>
      <c r="K14" s="12" t="inlineStr">
        <is>
          <t>QPS, EBIX</t>
        </is>
      </c>
      <c r="L14" s="12" t="inlineStr">
        <is>
          <t>-</t>
        </is>
      </c>
      <c r="M14" s="12" t="inlineStr">
        <is>
          <t>None (code map USER only)</t>
        </is>
      </c>
      <c r="N14" s="12" t="inlineStr">
        <is>
          <t>-</t>
        </is>
      </c>
      <c r="O14" s="12" t="inlineStr">
        <is>
          <t>-</t>
        </is>
      </c>
      <c r="P14" s="12" t="inlineStr">
        <is>
          <t>BRD-11</t>
        </is>
      </c>
      <c r="Q14" s="12" t="inlineStr">
        <is>
          <t>DMQ30</t>
        </is>
      </c>
      <c r="R14" s="12" t="n"/>
      <c r="S14" s="12" t="n"/>
      <c r="T14" s="12" t="n"/>
      <c r="U14" s="25" t="n"/>
    </row>
    <row r="15">
      <c r="A15" s="12" t="inlineStr">
        <is>
          <t>R11</t>
        </is>
      </c>
      <c r="B15" s="12" t="inlineStr">
        <is>
          <t>Receipt series in use (AR and OR, ATP and next number)</t>
        </is>
      </c>
      <c r="C15" s="12" t="inlineStr">
        <is>
          <t>Reference</t>
        </is>
      </c>
      <c r="D15" s="12" t="inlineStr">
        <is>
          <t>Carry forward</t>
        </is>
      </c>
      <c r="E15" s="12" t="inlineStr">
        <is>
          <t>Receipts issued in BIBS after go-live must continue the BIR-authorised series without gap or overlap.</t>
        </is>
      </c>
      <c r="F15" s="12" t="inlineStr">
        <is>
          <t>Yes</t>
        </is>
      </c>
      <c r="G15" s="12" t="inlineStr">
        <is>
          <t>No</t>
        </is>
      </c>
      <c r="H15" s="12" t="inlineStr">
        <is>
          <t>No</t>
        </is>
      </c>
      <c r="I15" s="12" t="inlineStr">
        <is>
          <t>Medium</t>
        </is>
      </c>
      <c r="J15" s="12" t="inlineStr"/>
      <c r="K15" s="12" t="inlineStr">
        <is>
          <t>EBIX</t>
        </is>
      </c>
      <c r="L15" s="12" t="inlineStr">
        <is>
          <t>R11</t>
        </is>
      </c>
      <c r="M15" s="12" t="inlineStr">
        <is>
          <t>Receipt series of Cashiering</t>
        </is>
      </c>
      <c r="N15" s="12" t="n">
        <v>4</v>
      </c>
      <c r="O15" s="12" t="inlineStr">
        <is>
          <t>R02</t>
        </is>
      </c>
      <c r="P15" s="12" t="inlineStr">
        <is>
          <t>BRID_MIG 6.1</t>
        </is>
      </c>
      <c r="Q15" s="12" t="inlineStr">
        <is>
          <t>DMQ14</t>
        </is>
      </c>
      <c r="R15" s="12" t="n"/>
      <c r="S15" s="12" t="n"/>
      <c r="T15" s="12" t="n"/>
      <c r="U15" s="25" t="n"/>
    </row>
    <row r="16">
      <c r="A16" s="12" t="inlineStr">
        <is>
          <t>C01</t>
        </is>
      </c>
      <c r="B16" s="12" t="inlineStr">
        <is>
          <t>Client master (individual and corporate)</t>
        </is>
      </c>
      <c r="C16" s="12" t="inlineStr">
        <is>
          <t>Client</t>
        </is>
      </c>
      <c r="D16" s="12" t="inlineStr">
        <is>
          <t>Migrate</t>
        </is>
      </c>
      <c r="E16" s="12" t="inlineStr">
        <is>
          <t>Marketing, Operations and Renewal must find and use clients on Day 1 without re-encoding (BRID_MIG 2.1); clients are deduplicated before load. Umbrella BRD p.43 asks for clients "2020 to present" and daily client batches (DCR-173).</t>
        </is>
      </c>
      <c r="F16" s="12" t="inlineStr">
        <is>
          <t>Yes</t>
        </is>
      </c>
      <c r="G16" s="12" t="inlineStr">
        <is>
          <t>No</t>
        </is>
      </c>
      <c r="H16" s="12" t="inlineStr">
        <is>
          <t>No</t>
        </is>
      </c>
      <c r="I16" s="12" t="inlineStr">
        <is>
          <t>Medium</t>
        </is>
      </c>
      <c r="J16" s="12" t="inlineStr"/>
      <c r="K16" s="12" t="inlineStr">
        <is>
          <t>QPS, EBIX, CMS</t>
        </is>
      </c>
      <c r="L16" s="12" t="inlineStr">
        <is>
          <t>C01, C02</t>
        </is>
      </c>
      <c r="M16" s="12" t="inlineStr">
        <is>
          <t>Client master, registered as migrated clients</t>
        </is>
      </c>
      <c r="N16" s="12" t="n">
        <v>5</v>
      </c>
      <c r="O16" s="12" t="inlineStr">
        <is>
          <t>R01,R02,R03</t>
        </is>
      </c>
      <c r="P16" s="12" t="inlineStr">
        <is>
          <t>BRID_MIG 1.3, 2.1</t>
        </is>
      </c>
      <c r="Q16" s="12" t="inlineStr">
        <is>
          <t>DMQ04, DMQ05, DMQ06, DCR-173, CLR-DM-10, CLR-DM-11</t>
        </is>
      </c>
      <c r="R16" s="12" t="n"/>
      <c r="S16" s="12" t="n"/>
      <c r="T16" s="12" t="n"/>
      <c r="U16" s="25" t="n"/>
    </row>
    <row r="17">
      <c r="A17" s="12" t="inlineStr">
        <is>
          <t>C03</t>
        </is>
      </c>
      <c r="B17" s="12" t="inlineStr">
        <is>
          <t>Client payout accounts (for refunds)</t>
        </is>
      </c>
      <c r="C17" s="12" t="inlineStr">
        <is>
          <t>Client</t>
        </is>
      </c>
      <c r="D17" s="12" t="inlineStr">
        <is>
          <t>Migrate</t>
        </is>
      </c>
      <c r="E17" s="12" t="inlineStr">
        <is>
          <t>Refunds of legacy UPP (BRID_MIG 5.4) need the client's payout account.</t>
        </is>
      </c>
      <c r="F17" s="12" t="inlineStr">
        <is>
          <t>Yes</t>
        </is>
      </c>
      <c r="G17" s="12" t="inlineStr">
        <is>
          <t>No</t>
        </is>
      </c>
      <c r="H17" s="12" t="inlineStr">
        <is>
          <t>No</t>
        </is>
      </c>
      <c r="I17" s="12" t="inlineStr">
        <is>
          <t>Medium</t>
        </is>
      </c>
      <c r="J17" s="12" t="inlineStr"/>
      <c r="K17" s="12" t="inlineStr">
        <is>
          <t>EBIX</t>
        </is>
      </c>
      <c r="L17" s="12" t="inlineStr">
        <is>
          <t>C03</t>
        </is>
      </c>
      <c r="M17" s="12" t="inlineStr">
        <is>
          <t>Client payout accounts</t>
        </is>
      </c>
      <c r="N17" s="12" t="n">
        <v>6</v>
      </c>
      <c r="O17" s="12" t="inlineStr">
        <is>
          <t>C01</t>
        </is>
      </c>
      <c r="P17" s="12" t="inlineStr">
        <is>
          <t>BRID_MIG 5.4</t>
        </is>
      </c>
      <c r="Q17" s="12" t="inlineStr">
        <is>
          <t>DMQ17</t>
        </is>
      </c>
      <c r="R17" s="12" t="n"/>
      <c r="S17" s="12" t="n"/>
      <c r="T17" s="12" t="n"/>
      <c r="U17" s="25" t="n"/>
    </row>
    <row r="18">
      <c r="A18" s="12" t="inlineStr">
        <is>
          <t>C04</t>
        </is>
      </c>
      <c r="B18" s="12" t="inlineStr">
        <is>
          <t>KYC documents and IDs</t>
        </is>
      </c>
      <c r="C18" s="12" t="inlineStr">
        <is>
          <t>Client</t>
        </is>
      </c>
      <c r="D18" s="12" t="inlineStr">
        <is>
          <t>Archive</t>
        </is>
      </c>
      <c r="E18" s="12" t="inlineStr">
        <is>
          <t>Documents stay retrievable for audit; BIBS keeps the KYC status and review date on the client (DMQ07 may change this to MIGRATE).</t>
        </is>
      </c>
      <c r="F18" s="12" t="inlineStr">
        <is>
          <t>No</t>
        </is>
      </c>
      <c r="G18" s="12" t="inlineStr">
        <is>
          <t>Yes</t>
        </is>
      </c>
      <c r="H18" s="12" t="inlineStr">
        <is>
          <t>Yes</t>
        </is>
      </c>
      <c r="I18" s="12" t="inlineStr">
        <is>
          <t>Medium</t>
        </is>
      </c>
      <c r="J18" s="12" t="inlineStr"/>
      <c r="K18" s="12" t="inlineStr">
        <is>
          <t>QPS, file shares</t>
        </is>
      </c>
      <c r="L18" s="12" t="inlineStr">
        <is>
          <t>H02</t>
        </is>
      </c>
      <c r="M18" s="12" t="inlineStr">
        <is>
          <t>BIBS archive (legacy document attachments)</t>
        </is>
      </c>
      <c r="N18" s="12" t="n">
        <v>16</v>
      </c>
      <c r="O18" s="12" t="inlineStr">
        <is>
          <t>-</t>
        </is>
      </c>
      <c r="P18" s="12" t="inlineStr">
        <is>
          <t>BRID_MIG 11.1</t>
        </is>
      </c>
      <c r="Q18" s="12" t="inlineStr">
        <is>
          <t>DMQ07, DMQ24</t>
        </is>
      </c>
      <c r="R18" s="12" t="n"/>
      <c r="S18" s="12" t="n"/>
      <c r="T18" s="12" t="n"/>
      <c r="U18" s="25" t="n"/>
    </row>
    <row r="19">
      <c r="A19" s="12" t="inlineStr">
        <is>
          <t>C05</t>
        </is>
      </c>
      <c r="B19" s="12" t="inlineStr">
        <is>
          <t>Screening results and risk ratings</t>
        </is>
      </c>
      <c r="C19" s="12" t="inlineStr">
        <is>
          <t>Client</t>
        </is>
      </c>
      <c r="D19" s="12" t="inlineStr">
        <is>
          <t>Excluded</t>
        </is>
      </c>
      <c r="E19" s="12" t="inlineStr">
        <is>
          <t>One full screening run after the client load gives current results (BRD-10); legacy results are archived with the client history.</t>
        </is>
      </c>
      <c r="F19" s="12" t="inlineStr">
        <is>
          <t>No</t>
        </is>
      </c>
      <c r="G19" s="12" t="inlineStr">
        <is>
          <t>No</t>
        </is>
      </c>
      <c r="H19" s="12" t="inlineStr">
        <is>
          <t>Yes</t>
        </is>
      </c>
      <c r="I19" s="12" t="inlineStr">
        <is>
          <t>Medium</t>
        </is>
      </c>
      <c r="J19" s="12" t="inlineStr"/>
      <c r="K19" s="12" t="inlineStr">
        <is>
          <t>Excel, Compliance</t>
        </is>
      </c>
      <c r="L19" s="12" t="inlineStr">
        <is>
          <t>-</t>
        </is>
      </c>
      <c r="M19" s="12" t="inlineStr">
        <is>
          <t>None (a full periodic screening run after C01)</t>
        </is>
      </c>
      <c r="N19" s="12" t="inlineStr">
        <is>
          <t>-</t>
        </is>
      </c>
      <c r="O19" s="12" t="inlineStr">
        <is>
          <t>-</t>
        </is>
      </c>
      <c r="P19" s="12" t="inlineStr">
        <is>
          <t>BRID_MIG 2.1</t>
        </is>
      </c>
      <c r="Q19" s="12" t="inlineStr">
        <is>
          <t>DMQ06</t>
        </is>
      </c>
      <c r="R19" s="12" t="n"/>
      <c r="S19" s="12" t="n"/>
      <c r="T19" s="12" t="n"/>
      <c r="U19" s="25" t="n"/>
    </row>
    <row r="20">
      <c r="A20" s="12" t="inlineStr">
        <is>
          <t>P01</t>
        </is>
      </c>
      <c r="B20" s="12" t="inlineStr">
        <is>
          <t>In-force policy headers</t>
        </is>
      </c>
      <c r="C20" s="12" t="inlineStr">
        <is>
          <t>Policy</t>
        </is>
      </c>
      <c r="D20" s="12" t="inlineStr">
        <is>
          <t>Conditional</t>
        </is>
      </c>
      <c r="E20" s="12" t="inlineStr">
        <is>
          <t>Needed to locate active coverage, to endorse legacy invoices (BRID_MIG 9) and to renew in BIBS (BRID_MIG 12.1); the scope condition is decided by BDOI (DMQ09). Whatever it is, every policy expiring from T to 31-May-2028 and every renewal term booked in legacy that starts on or after T are in scope, because the go-live renewal extraction works only from the headers (DMQ37). The legacy package is kept as given; it is remapped at Renewal sanitation (DMQ36).</t>
        </is>
      </c>
      <c r="F20" s="12" t="inlineStr">
        <is>
          <t>Yes</t>
        </is>
      </c>
      <c r="G20" s="12" t="inlineStr">
        <is>
          <t>No</t>
        </is>
      </c>
      <c r="H20" s="12" t="inlineStr">
        <is>
          <t>No</t>
        </is>
      </c>
      <c r="I20" s="12" t="inlineStr">
        <is>
          <t>Medium</t>
        </is>
      </c>
      <c r="J20" s="12" t="inlineStr">
        <is>
          <t>Needed to locate active coverage, to endorse legacy invoices and to renew in BIBS; the scope condition is decided by BDOI. Whatever it is, every policy expiring from T to 31-May-2028 and every renewal term booked in legacy that starts on or after T are in scope, because the go-live renewal extraction works only from the headers. The legacy package is kept as given; it is remapped at Renewal sanitation.</t>
        </is>
      </c>
      <c r="K20" s="12" t="inlineStr">
        <is>
          <t>QPS, EBIX</t>
        </is>
      </c>
      <c r="L20" s="12" t="inlineStr">
        <is>
          <t>P01, P01S</t>
        </is>
      </c>
      <c r="M20" s="12" t="inlineStr">
        <is>
          <t>Accounts, imported as legacy policy headers</t>
        </is>
      </c>
      <c r="N20" s="12" t="n">
        <v>7</v>
      </c>
      <c r="O20" s="12" t="inlineStr">
        <is>
          <t>C01,R04,R05</t>
        </is>
      </c>
      <c r="P20" s="12" t="inlineStr">
        <is>
          <t>BRID_MIG 1.3, 4.1</t>
        </is>
      </c>
      <c r="Q20" s="12" t="inlineStr">
        <is>
          <t>DMQ09, DMQ22, DMQ36, DMQ37</t>
        </is>
      </c>
      <c r="R20" s="12" t="n"/>
      <c r="S20" s="12" t="n"/>
      <c r="T20" s="12" t="n"/>
      <c r="U20" s="25" t="n"/>
    </row>
    <row r="21">
      <c r="A21" s="12" t="inlineStr">
        <is>
          <t>P02</t>
        </is>
      </c>
      <c r="B21" s="12" t="inlineStr">
        <is>
          <t>Expired policies and policy history</t>
        </is>
      </c>
      <c r="C21" s="12" t="inlineStr">
        <is>
          <t>Policy</t>
        </is>
      </c>
      <c r="D21" s="12" t="inlineStr">
        <is>
          <t>Archive</t>
        </is>
      </c>
      <c r="E21" s="12" t="inlineStr">
        <is>
          <t>History is not converted (BRD p.3); kept for inquiry.</t>
        </is>
      </c>
      <c r="F21" s="12" t="inlineStr">
        <is>
          <t>No</t>
        </is>
      </c>
      <c r="G21" s="12" t="inlineStr">
        <is>
          <t>Yes</t>
        </is>
      </c>
      <c r="H21" s="12" t="inlineStr">
        <is>
          <t>Yes</t>
        </is>
      </c>
      <c r="I21" s="12" t="inlineStr">
        <is>
          <t>Medium</t>
        </is>
      </c>
      <c r="J21" s="12" t="inlineStr"/>
      <c r="K21" s="12" t="inlineStr">
        <is>
          <t>QPS, EBIX</t>
        </is>
      </c>
      <c r="L21" s="12" t="inlineStr">
        <is>
          <t>H01</t>
        </is>
      </c>
      <c r="M21" s="12" t="inlineStr">
        <is>
          <t>BIBS archive, record type POLICY</t>
        </is>
      </c>
      <c r="N21" s="12" t="n">
        <v>16</v>
      </c>
      <c r="O21" s="12" t="inlineStr">
        <is>
          <t>-</t>
        </is>
      </c>
      <c r="P21" s="12" t="inlineStr">
        <is>
          <t>BRID_MIG 11.1</t>
        </is>
      </c>
      <c r="Q21" s="12" t="inlineStr">
        <is>
          <t>DMQ24</t>
        </is>
      </c>
      <c r="R21" s="12" t="n"/>
      <c r="S21" s="12" t="n"/>
      <c r="T21" s="12" t="n"/>
      <c r="U21" s="25" t="n"/>
    </row>
    <row r="22">
      <c r="A22" s="12" t="inlineStr">
        <is>
          <t>P03</t>
        </is>
      </c>
      <c r="B22" s="12" t="inlineStr">
        <is>
          <t>Renewal advices already sent before go-live (RA-sent file)</t>
        </is>
      </c>
      <c r="C22" s="12" t="inlineStr">
        <is>
          <t>Policy</t>
        </is>
      </c>
      <c r="D22" s="12" t="inlineStr">
        <is>
          <t>Migrate</t>
        </is>
      </c>
      <c r="E22" s="12" t="inlineStr">
        <is>
          <t>The January-May 2028 expiries are processed in BIBS after go-live from a go-live extraction of the migrated headers (DMQ37, answered 26-Sep-2026); no renewal candidate is carried. The RAs already sent by hand before go-live, kept in the Excel trackers of the Renewal processing team (DMQ38), are loaded as a small reference file so that BIBS does not send them again.</t>
        </is>
      </c>
      <c r="F22" s="12" t="inlineStr">
        <is>
          <t>Yes</t>
        </is>
      </c>
      <c r="G22" s="12" t="inlineStr">
        <is>
          <t>No</t>
        </is>
      </c>
      <c r="H22" s="12" t="inlineStr">
        <is>
          <t>No</t>
        </is>
      </c>
      <c r="I22" s="12" t="inlineStr">
        <is>
          <t>Medium</t>
        </is>
      </c>
      <c r="J22" s="12" t="inlineStr"/>
      <c r="K22" s="12" t="inlineStr">
        <is>
          <t>Excel RA trackers of the Renewal processing team</t>
        </is>
      </c>
      <c r="L22" s="12" t="inlineStr">
        <is>
          <t>P03</t>
        </is>
      </c>
      <c r="M22" s="12" t="inlineStr">
        <is>
          <t>Renewal Advices already sent, given to Renewal with the policy header in the go-live extraction</t>
        </is>
      </c>
      <c r="N22" s="12" t="n">
        <v>13</v>
      </c>
      <c r="O22" s="12" t="inlineStr">
        <is>
          <t>P01</t>
        </is>
      </c>
      <c r="P22" s="12" t="inlineStr">
        <is>
          <t>BRID_MIG 12.1, 12.2</t>
        </is>
      </c>
      <c r="Q22" s="12" t="inlineStr">
        <is>
          <t>DMQ26, DMQ37, DMQ38, CLR-DM-07</t>
        </is>
      </c>
      <c r="R22" s="12" t="n"/>
      <c r="S22" s="12" t="n"/>
      <c r="T22" s="12" t="n"/>
      <c r="U22" s="25" t="n"/>
    </row>
    <row r="23">
      <c r="A23" s="12" t="inlineStr">
        <is>
          <t>P04</t>
        </is>
      </c>
      <c r="B23" s="12" t="inlineStr">
        <is>
          <t>Submitted-policy masterlists</t>
        </is>
      </c>
      <c r="C23" s="12" t="inlineStr">
        <is>
          <t>Policy</t>
        </is>
      </c>
      <c r="D23" s="12" t="inlineStr">
        <is>
          <t>Conditional</t>
        </is>
      </c>
      <c r="E23" s="12" t="inlineStr">
        <is>
          <t>Loaded through the masterlist upload of Submitted Policies if BDOI confirms (SP SQ16, DMQ30); the layout is issued with that module.</t>
        </is>
      </c>
      <c r="F23" s="12" t="inlineStr">
        <is>
          <t>Yes</t>
        </is>
      </c>
      <c r="G23" s="12" t="inlineStr">
        <is>
          <t>No</t>
        </is>
      </c>
      <c r="H23" s="12" t="inlineStr">
        <is>
          <t>No</t>
        </is>
      </c>
      <c r="I23" s="12" t="inlineStr">
        <is>
          <t>Medium</t>
        </is>
      </c>
      <c r="J23" s="12" t="inlineStr">
        <is>
          <t>Loaded through the policy registration of Submitted Policies if BDOI confirms (DMQ30); the layout is issued with the Submitted Policies set.</t>
        </is>
      </c>
      <c r="K23" s="12" t="inlineStr">
        <is>
          <t>Excel</t>
        </is>
      </c>
      <c r="L23" s="12" t="inlineStr">
        <is>
          <t>-</t>
        </is>
      </c>
      <c r="M23" s="12" t="inlineStr">
        <is>
          <t>Submitted Policies masterlist (migration upload)</t>
        </is>
      </c>
      <c r="N23" s="12" t="n">
        <v>14</v>
      </c>
      <c r="O23" s="12" t="inlineStr">
        <is>
          <t>-</t>
        </is>
      </c>
      <c r="P23" s="12" t="inlineStr">
        <is>
          <t>BRID_MIG 1.3; BRIDSP-33</t>
        </is>
      </c>
      <c r="Q23" s="12" t="inlineStr">
        <is>
          <t>DMQ30, CLR-DM-05</t>
        </is>
      </c>
      <c r="R23" s="12" t="n"/>
      <c r="S23" s="12" t="n"/>
      <c r="T23" s="12" t="n"/>
      <c r="U23" s="25" t="n"/>
    </row>
    <row r="24">
      <c r="A24" s="12" t="inlineStr">
        <is>
          <t>P05</t>
        </is>
      </c>
      <c r="B24" s="12" t="inlineStr">
        <is>
          <t>Employee Benefits programmes</t>
        </is>
      </c>
      <c r="C24" s="12" t="inlineStr">
        <is>
          <t>Policy</t>
        </is>
      </c>
      <c r="D24" s="12" t="inlineStr">
        <is>
          <t>Conditional</t>
        </is>
      </c>
      <c r="E24" s="12" t="inlineStr">
        <is>
          <t>Loaded through the programme upload of Employee Benefits if BDOI confirms (DMQ30); the layout is issued with that module.</t>
        </is>
      </c>
      <c r="F24" s="12" t="inlineStr">
        <is>
          <t>Yes</t>
        </is>
      </c>
      <c r="G24" s="12" t="inlineStr">
        <is>
          <t>No</t>
        </is>
      </c>
      <c r="H24" s="12" t="inlineStr">
        <is>
          <t>No</t>
        </is>
      </c>
      <c r="I24" s="12" t="inlineStr">
        <is>
          <t>Medium</t>
        </is>
      </c>
      <c r="J24" s="12" t="inlineStr">
        <is>
          <t>Loaded through the programme set-up of Employee Benefits if BDOI confirms (DMQ30); the layout is issued with the Employee Benefits set.</t>
        </is>
      </c>
      <c r="K24" s="12" t="inlineStr">
        <is>
          <t>EBIX</t>
        </is>
      </c>
      <c r="L24" s="12" t="inlineStr">
        <is>
          <t>-</t>
        </is>
      </c>
      <c r="M24" s="12" t="inlineStr">
        <is>
          <t>Employee Benefits programmes (programme load)</t>
        </is>
      </c>
      <c r="N24" s="12" t="n">
        <v>14</v>
      </c>
      <c r="O24" s="12" t="inlineStr">
        <is>
          <t>-</t>
        </is>
      </c>
      <c r="P24" s="12" t="inlineStr">
        <is>
          <t>BRD-8</t>
        </is>
      </c>
      <c r="Q24" s="12" t="inlineStr">
        <is>
          <t>DMQ30</t>
        </is>
      </c>
      <c r="R24" s="12" t="n"/>
      <c r="S24" s="12" t="n"/>
      <c r="T24" s="12" t="n"/>
      <c r="U24" s="25" t="n"/>
    </row>
    <row r="25">
      <c r="A25" s="12" t="inlineStr">
        <is>
          <t>F01</t>
        </is>
      </c>
      <c r="B25" s="12" t="inlineStr">
        <is>
          <t>Open legacy invoices (premium receivable, paid not remitted, commission receivable, PR2307), with components and insurer shares</t>
        </is>
      </c>
      <c r="C25" s="12" t="inlineStr">
        <is>
          <t>Open item</t>
        </is>
      </c>
      <c r="D25" s="12" t="inlineStr">
        <is>
          <t>Carry forward</t>
        </is>
      </c>
      <c r="E25" s="12" t="inlineStr">
        <is>
          <t>Receivables and payables open at cutover must be collected, remitted, reversed and endorsed in BIBS (BRID_MIG 5.1-10.1).</t>
        </is>
      </c>
      <c r="F25" s="12" t="inlineStr">
        <is>
          <t>Yes</t>
        </is>
      </c>
      <c r="G25" s="12" t="inlineStr">
        <is>
          <t>No</t>
        </is>
      </c>
      <c r="H25" s="12" t="inlineStr">
        <is>
          <t>No</t>
        </is>
      </c>
      <c r="I25" s="12" t="inlineStr">
        <is>
          <t>Medium</t>
        </is>
      </c>
      <c r="J25" s="12" t="inlineStr"/>
      <c r="K25" s="12" t="inlineStr">
        <is>
          <t>EBIX, QPS</t>
        </is>
      </c>
      <c r="L25" s="12" t="inlineStr">
        <is>
          <t>F01, F01S, F01C</t>
        </is>
      </c>
      <c r="M25" s="12" t="inlineStr">
        <is>
          <t>Operations invoice ledger (invoices, insurer shares, components) with an opening accounting entry on the legacy sub-ledgers</t>
        </is>
      </c>
      <c r="N25" s="12" t="n">
        <v>8</v>
      </c>
      <c r="O25" s="12" t="inlineStr">
        <is>
          <t>C01,R04,R05,P01</t>
        </is>
      </c>
      <c r="P25" s="12" t="inlineStr">
        <is>
          <t>BRID_MIG 5.2, 6.1-6.4, 7.1, 7.2, 8.1, 9.1-9.3, 10.1, 13.1</t>
        </is>
      </c>
      <c r="Q25" s="12" t="inlineStr">
        <is>
          <t>DMQ10, DMQ11, DMQ12, DMQ13, DMQ35, CLR-DM-14, CLR-DM-18</t>
        </is>
      </c>
      <c r="R25" s="12" t="n"/>
      <c r="S25" s="12" t="n"/>
      <c r="T25" s="12" t="n"/>
      <c r="U25" s="25" t="n"/>
    </row>
    <row r="26">
      <c r="A26" s="12" t="inlineStr">
        <is>
          <t>F02</t>
        </is>
      </c>
      <c r="B26" s="12" t="inlineStr">
        <is>
          <t>Unapplied premium payments (UPP) with disposition in progress</t>
        </is>
      </c>
      <c r="C26" s="12" t="inlineStr">
        <is>
          <t>Open item</t>
        </is>
      </c>
      <c r="D26" s="12" t="inlineStr">
        <is>
          <t>Carry forward</t>
        </is>
      </c>
      <c r="E26" s="12" t="inlineStr">
        <is>
          <t>Unapplied cash must not be lost after cutover (BRID_MIG 5.1); it is applied, refunded or reclassified in BIBS.</t>
        </is>
      </c>
      <c r="F26" s="12" t="inlineStr">
        <is>
          <t>Yes</t>
        </is>
      </c>
      <c r="G26" s="12" t="inlineStr">
        <is>
          <t>No</t>
        </is>
      </c>
      <c r="H26" s="12" t="inlineStr">
        <is>
          <t>No</t>
        </is>
      </c>
      <c r="I26" s="12" t="inlineStr">
        <is>
          <t>Medium</t>
        </is>
      </c>
      <c r="J26" s="12" t="inlineStr"/>
      <c r="K26" s="12" t="inlineStr">
        <is>
          <t>EBIX, CMS</t>
        </is>
      </c>
      <c r="L26" s="12" t="inlineStr">
        <is>
          <t>F02</t>
        </is>
      </c>
      <c r="M26" s="12" t="inlineStr">
        <is>
          <t>Cashiering unapplied payments, as migrated items, with an opening accounting entry</t>
        </is>
      </c>
      <c r="N26" s="12" t="n">
        <v>9</v>
      </c>
      <c r="O26" s="12" t="inlineStr">
        <is>
          <t>C01</t>
        </is>
      </c>
      <c r="P26" s="12" t="inlineStr">
        <is>
          <t>BRID_MIG 5.1-5.5, 6.3, 6.4, 13.1</t>
        </is>
      </c>
      <c r="Q26" s="12" t="inlineStr">
        <is>
          <t>DMQ14, DMQ15, DMQ16</t>
        </is>
      </c>
      <c r="R26" s="12" t="n"/>
      <c r="S26" s="12" t="n"/>
      <c r="T26" s="12" t="n"/>
      <c r="U26" s="25" t="n"/>
    </row>
    <row r="27">
      <c r="A27" s="12" t="inlineStr">
        <is>
          <t>F03</t>
        </is>
      </c>
      <c r="B27" s="12" t="inlineStr">
        <is>
          <t>Open collection state (dispositions, promises to pay, installment plans, collector assignments)</t>
        </is>
      </c>
      <c r="C27" s="12" t="inlineStr">
        <is>
          <t>Open item</t>
        </is>
      </c>
      <c r="D27" s="12" t="inlineStr">
        <is>
          <t>Carry forward</t>
        </is>
      </c>
      <c r="E27" s="12" t="inlineStr">
        <is>
          <t>Collectors continue their follow-up without re-keying (CQ07); only the open state is carried, history is archived (DMQ34).</t>
        </is>
      </c>
      <c r="F27" s="12" t="inlineStr">
        <is>
          <t>Yes</t>
        </is>
      </c>
      <c r="G27" s="12" t="inlineStr">
        <is>
          <t>No</t>
        </is>
      </c>
      <c r="H27" s="12" t="inlineStr">
        <is>
          <t>No</t>
        </is>
      </c>
      <c r="I27" s="12" t="inlineStr">
        <is>
          <t>Medium</t>
        </is>
      </c>
      <c r="J27" s="12" t="inlineStr"/>
      <c r="K27" s="12" t="inlineStr">
        <is>
          <t>CMS</t>
        </is>
      </c>
      <c r="L27" s="12" t="inlineStr">
        <is>
          <t>F03</t>
        </is>
      </c>
      <c r="M27" s="12" t="inlineStr">
        <is>
          <t>Legacy follow-up of the Collections worklist items</t>
        </is>
      </c>
      <c r="N27" s="12" t="n">
        <v>10</v>
      </c>
      <c r="O27" s="12" t="inlineStr">
        <is>
          <t>F01</t>
        </is>
      </c>
      <c r="P27" s="12" t="inlineStr">
        <is>
          <t>CQ07</t>
        </is>
      </c>
      <c r="Q27" s="12" t="inlineStr">
        <is>
          <t>DMQ34</t>
        </is>
      </c>
      <c r="R27" s="12" t="n"/>
      <c r="S27" s="12" t="n"/>
      <c r="T27" s="12" t="n"/>
      <c r="U27" s="25" t="n"/>
    </row>
    <row r="28">
      <c r="A28" s="12" t="inlineStr">
        <is>
          <t>F04</t>
        </is>
      </c>
      <c r="B28" s="12" t="inlineStr">
        <is>
          <t>Remittance in flight (batches not yet paid, holds, special remittances)</t>
        </is>
      </c>
      <c r="C28" s="12" t="inlineStr">
        <is>
          <t>Open item</t>
        </is>
      </c>
      <c r="D28" s="12" t="inlineStr">
        <is>
          <t>Conditional</t>
        </is>
      </c>
      <c r="E28" s="12" t="inlineStr">
        <is>
          <t>Proposal - complete legacy batches before the freeze; carry only holds and special remittances that cannot complete (DMQ21).</t>
        </is>
      </c>
      <c r="F28" s="12" t="inlineStr">
        <is>
          <t>Yes</t>
        </is>
      </c>
      <c r="G28" s="12" t="inlineStr">
        <is>
          <t>No</t>
        </is>
      </c>
      <c r="H28" s="12" t="inlineStr">
        <is>
          <t>No</t>
        </is>
      </c>
      <c r="I28" s="12" t="inlineStr">
        <is>
          <t>Medium</t>
        </is>
      </c>
      <c r="J28" s="12" t="inlineStr">
        <is>
          <t>Proposal - complete legacy batches before the freeze; carry only holds and special remittances that cannot complete.</t>
        </is>
      </c>
      <c r="K28" s="12" t="inlineStr">
        <is>
          <t>EBIX</t>
        </is>
      </c>
      <c r="L28" s="12" t="inlineStr">
        <is>
          <t>F04</t>
        </is>
      </c>
      <c r="M28" s="12" t="inlineStr">
        <is>
          <t>Remittance holds and special remittances</t>
        </is>
      </c>
      <c r="N28" s="12" t="n">
        <v>11</v>
      </c>
      <c r="O28" s="12" t="inlineStr">
        <is>
          <t>F01</t>
        </is>
      </c>
      <c r="P28" s="12" t="inlineStr">
        <is>
          <t>BRID_MIG 8.1</t>
        </is>
      </c>
      <c r="Q28" s="12" t="inlineStr">
        <is>
          <t>DMQ21</t>
        </is>
      </c>
      <c r="R28" s="12" t="n"/>
      <c r="S28" s="12" t="n"/>
      <c r="T28" s="12" t="n"/>
      <c r="U28" s="25" t="n"/>
    </row>
    <row r="29">
      <c r="A29" s="12" t="inlineStr">
        <is>
          <t>F05</t>
        </is>
      </c>
      <c r="B29" s="12" t="inlineStr">
        <is>
          <t>DP billing in process and DP commission receivable</t>
        </is>
      </c>
      <c r="C29" s="12" t="inlineStr">
        <is>
          <t>Open item</t>
        </is>
      </c>
      <c r="D29" s="12" t="inlineStr">
        <is>
          <t>Carry forward</t>
        </is>
      </c>
      <c r="E29" s="12" t="inlineStr">
        <is>
          <t>Carried inside F01 (dp_flag and the COMMISSION components of direct-payment invoices); no separate file.</t>
        </is>
      </c>
      <c r="F29" s="12" t="inlineStr">
        <is>
          <t>Yes</t>
        </is>
      </c>
      <c r="G29" s="12" t="inlineStr">
        <is>
          <t>No</t>
        </is>
      </c>
      <c r="H29" s="12" t="inlineStr">
        <is>
          <t>No</t>
        </is>
      </c>
      <c r="I29" s="12" t="inlineStr">
        <is>
          <t>Medium</t>
        </is>
      </c>
      <c r="J29" s="12" t="inlineStr"/>
      <c r="K29" s="12" t="inlineStr">
        <is>
          <t>EBIX, Operations files</t>
        </is>
      </c>
      <c r="L29" s="12" t="inlineStr">
        <is>
          <t>-</t>
        </is>
      </c>
      <c r="M29" s="12" t="inlineStr">
        <is>
          <t>Part of F01; Commission DP list</t>
        </is>
      </c>
      <c r="N29" s="12" t="n">
        <v>8</v>
      </c>
      <c r="O29" s="12" t="inlineStr">
        <is>
          <t>-</t>
        </is>
      </c>
      <c r="P29" s="12" t="inlineStr">
        <is>
          <t>BRID_MIG 7.1</t>
        </is>
      </c>
      <c r="Q29" s="12" t="inlineStr">
        <is>
          <t>DMQ19, CLR-DM-15</t>
        </is>
      </c>
      <c r="R29" s="12" t="n"/>
      <c r="S29" s="12" t="n"/>
      <c r="T29" s="12" t="n"/>
      <c r="U29" s="25" t="n"/>
    </row>
    <row r="30">
      <c r="A30" s="12" t="inlineStr">
        <is>
          <t>F06</t>
        </is>
      </c>
      <c r="B30" s="12" t="inlineStr">
        <is>
          <t>PDCs in the warehouse, check pick-ups and refunds in process</t>
        </is>
      </c>
      <c r="C30" s="12" t="inlineStr">
        <is>
          <t>Open item</t>
        </is>
      </c>
      <c r="D30" s="12" t="inlineStr">
        <is>
          <t>Conditional</t>
        </is>
      </c>
      <c r="E30" s="12" t="inlineStr">
        <is>
          <t>Proposal - carry PDCs in the warehouse; complete pick-ups and refunds in legacy before the freeze where possible (DMQ33).</t>
        </is>
      </c>
      <c r="F30" s="12" t="inlineStr">
        <is>
          <t>Yes</t>
        </is>
      </c>
      <c r="G30" s="12" t="inlineStr">
        <is>
          <t>No</t>
        </is>
      </c>
      <c r="H30" s="12" t="inlineStr">
        <is>
          <t>No</t>
        </is>
      </c>
      <c r="I30" s="12" t="inlineStr">
        <is>
          <t>Medium</t>
        </is>
      </c>
      <c r="J30" s="12" t="inlineStr">
        <is>
          <t>Proposal - carry PDCs in the warehouse; complete pick-ups and refunds in legacy before the freeze where possible.</t>
        </is>
      </c>
      <c r="K30" s="12" t="inlineStr">
        <is>
          <t>EBIX</t>
        </is>
      </c>
      <c r="L30" s="12" t="inlineStr">
        <is>
          <t>F06</t>
        </is>
      </c>
      <c r="M30" s="12" t="inlineStr">
        <is>
          <t>Cashiering PDC warehouse and check pick-up</t>
        </is>
      </c>
      <c r="N30" s="12" t="n">
        <v>11</v>
      </c>
      <c r="O30" s="12" t="inlineStr">
        <is>
          <t>C01</t>
        </is>
      </c>
      <c r="P30" s="12" t="inlineStr">
        <is>
          <t>BRID_MIG 5.1</t>
        </is>
      </c>
      <c r="Q30" s="12" t="inlineStr">
        <is>
          <t>DMQ33</t>
        </is>
      </c>
      <c r="R30" s="12" t="n"/>
      <c r="S30" s="12" t="n"/>
      <c r="T30" s="12" t="n"/>
      <c r="U30" s="25" t="n"/>
    </row>
    <row r="31">
      <c r="A31" s="12" t="inlineStr">
        <is>
          <t>F07</t>
        </is>
      </c>
      <c r="B31" s="12" t="inlineStr">
        <is>
          <t>Open claims</t>
        </is>
      </c>
      <c r="C31" s="12" t="inlineStr">
        <is>
          <t>Open item</t>
        </is>
      </c>
      <c r="D31" s="12" t="inlineStr">
        <is>
          <t>Conditional</t>
        </is>
      </c>
      <c r="E31" s="12" t="inlineStr">
        <is>
          <t>Loaded through the Claims migration if BDOI decides (CLQ14, DMQ30); closed claims are archived.</t>
        </is>
      </c>
      <c r="F31" s="12" t="inlineStr">
        <is>
          <t>Yes</t>
        </is>
      </c>
      <c r="G31" s="12" t="inlineStr">
        <is>
          <t>No</t>
        </is>
      </c>
      <c r="H31" s="12" t="inlineStr">
        <is>
          <t>No</t>
        </is>
      </c>
      <c r="I31" s="12" t="inlineStr">
        <is>
          <t>Medium</t>
        </is>
      </c>
      <c r="J31" s="12" t="inlineStr">
        <is>
          <t>Loaded through the claim registration of Claims if BDOI decides (DMQ30); closed claims are archived.</t>
        </is>
      </c>
      <c r="K31" s="12" t="inlineStr">
        <is>
          <t>EBIX, ISYS</t>
        </is>
      </c>
      <c r="L31" s="12" t="inlineStr">
        <is>
          <t>-</t>
        </is>
      </c>
      <c r="M31" s="12" t="inlineStr">
        <is>
          <t>Claims, through the claims migration</t>
        </is>
      </c>
      <c r="N31" s="12" t="n">
        <v>14</v>
      </c>
      <c r="O31" s="12" t="inlineStr">
        <is>
          <t>-</t>
        </is>
      </c>
      <c r="P31" s="12" t="inlineStr">
        <is>
          <t>BRID_MIG 1.3, 14.1; CLQ14</t>
        </is>
      </c>
      <c r="Q31" s="12" t="inlineStr">
        <is>
          <t>DMQ30, CLR-DM-08</t>
        </is>
      </c>
      <c r="R31" s="12" t="n"/>
      <c r="S31" s="12" t="n"/>
      <c r="T31" s="12" t="n"/>
      <c r="U31" s="25" t="n"/>
    </row>
    <row r="32">
      <c r="A32" s="12" t="inlineStr">
        <is>
          <t>G01</t>
        </is>
      </c>
      <c r="B32" s="12" t="inlineStr">
        <is>
          <t>GL trial balance per account, branch and currency (provisional opening; legacy TB at each true-up)</t>
        </is>
      </c>
      <c r="C32" s="12" t="inlineStr">
        <is>
          <t>GL</t>
        </is>
      </c>
      <c r="D32" s="12" t="inlineStr">
        <is>
          <t>Migrate</t>
        </is>
      </c>
      <c r="E32" s="12" t="inlineStr">
        <is>
          <t>At the year-end go-live (DMQ39, option A recommended) the BIBS GL opens from the preliminary December 2027 TB - balance-sheet accounts only, the FY2027 net result to retained earnings, legacy control-account lines to Migration Clearing, which the F01 and F02 opening entries clear to 0.00. The opening is provisional; at each true-up the legacy TB after the adjustments is sent again as reconciliation input (G03).</t>
        </is>
      </c>
      <c r="F32" s="12" t="inlineStr">
        <is>
          <t>Yes</t>
        </is>
      </c>
      <c r="G32" s="12" t="inlineStr">
        <is>
          <t>No</t>
        </is>
      </c>
      <c r="H32" s="12" t="inlineStr">
        <is>
          <t>No</t>
        </is>
      </c>
      <c r="I32" s="12" t="inlineStr">
        <is>
          <t>Medium</t>
        </is>
      </c>
      <c r="J32" s="12" t="inlineStr"/>
      <c r="K32" s="12" t="inlineStr">
        <is>
          <t>EBIX GL, ISYS GL</t>
        </is>
      </c>
      <c r="L32" s="12" t="inlineStr">
        <is>
          <t>G01</t>
        </is>
      </c>
      <c r="M32" s="12" t="inlineStr">
        <is>
          <t>General ledger journals of type OPENING (value date 1-Jan-2028); at a true-up, reconciliation input only</t>
        </is>
      </c>
      <c r="N32" s="12" t="n">
        <v>12</v>
      </c>
      <c r="O32" s="12" t="inlineStr">
        <is>
          <t>R08,F01,F02</t>
        </is>
      </c>
      <c r="P32" s="12" t="inlineStr">
        <is>
          <t>BRID_MIG 1.2, 5.1-8.1, 13.1</t>
        </is>
      </c>
      <c r="Q32" s="12" t="inlineStr">
        <is>
          <t>DMQ18, DMQ25, DMQ35, DMQ39</t>
        </is>
      </c>
      <c r="R32" s="12" t="n"/>
      <c r="S32" s="12" t="n"/>
      <c r="T32" s="12" t="n"/>
      <c r="U32" s="25" t="n"/>
    </row>
    <row r="33">
      <c r="A33" s="12" t="inlineStr">
        <is>
          <t>G02</t>
        </is>
      </c>
      <c r="B33" s="12" t="inlineStr">
        <is>
          <t>GL history (journals and balances before cutover)</t>
        </is>
      </c>
      <c r="C33" s="12" t="inlineStr">
        <is>
          <t>History</t>
        </is>
      </c>
      <c r="D33" s="12" t="inlineStr">
        <is>
          <t>Archive</t>
        </is>
      </c>
      <c r="E33" s="12" t="inlineStr">
        <is>
          <t>Kept for audit; BIBS starts from the opening trial balance.</t>
        </is>
      </c>
      <c r="F33" s="12" t="inlineStr">
        <is>
          <t>No</t>
        </is>
      </c>
      <c r="G33" s="12" t="inlineStr">
        <is>
          <t>Yes</t>
        </is>
      </c>
      <c r="H33" s="12" t="inlineStr">
        <is>
          <t>Yes</t>
        </is>
      </c>
      <c r="I33" s="12" t="inlineStr">
        <is>
          <t>Medium</t>
        </is>
      </c>
      <c r="J33" s="12" t="inlineStr"/>
      <c r="K33" s="12" t="inlineStr">
        <is>
          <t>EBIX GL, ISYS GL</t>
        </is>
      </c>
      <c r="L33" s="12" t="inlineStr">
        <is>
          <t>H01</t>
        </is>
      </c>
      <c r="M33" s="12" t="inlineStr">
        <is>
          <t>BIBS archive, record type GL journal</t>
        </is>
      </c>
      <c r="N33" s="12" t="n">
        <v>16</v>
      </c>
      <c r="O33" s="12" t="inlineStr">
        <is>
          <t>-</t>
        </is>
      </c>
      <c r="P33" s="12" t="inlineStr">
        <is>
          <t>BRID_MIG 11.1</t>
        </is>
      </c>
      <c r="Q33" s="12" t="inlineStr">
        <is>
          <t>DMQ24</t>
        </is>
      </c>
      <c r="R33" s="12" t="n"/>
      <c r="S33" s="12" t="n"/>
      <c r="T33" s="12" t="n"/>
      <c r="U33" s="25" t="n"/>
    </row>
    <row r="34">
      <c r="A34" s="12" t="inlineStr">
        <is>
          <t>G03</t>
        </is>
      </c>
      <c r="B34" s="12" t="inlineStr">
        <is>
          <t>FY2027 opening-balance true-ups (legacy adjustment journals after the freeze and their open-item detail)</t>
        </is>
      </c>
      <c r="C34" s="12" t="inlineStr">
        <is>
          <t>GL</t>
        </is>
      </c>
      <c r="D34" s="12" t="inlineStr">
        <is>
          <t>Migrate</t>
        </is>
      </c>
      <c r="E34" s="12" t="inlineStr">
        <is>
          <t>The legacy GL stays open after the freeze only for the FY2027 closing and audit adjustments of Comptrollership (DMQ39). Each adjustment reaches BIBS as a controlled opening-balance adjustment journal in the opening period - after the legacy year-end close and after the audited FS - with approvals, cut-off controls and a reconciliation to the legacy TB.</t>
        </is>
      </c>
      <c r="F34" s="12" t="inlineStr">
        <is>
          <t>Yes</t>
        </is>
      </c>
      <c r="G34" s="12" t="inlineStr">
        <is>
          <t>No</t>
        </is>
      </c>
      <c r="H34" s="12" t="inlineStr">
        <is>
          <t>No</t>
        </is>
      </c>
      <c r="I34" s="12" t="inlineStr">
        <is>
          <t>Medium</t>
        </is>
      </c>
      <c r="J34" s="12" t="inlineStr"/>
      <c r="K34" s="12" t="inlineStr">
        <is>
          <t>EBIX GL, ISYS GL; FY2027 adjustment register of Comptrollership</t>
        </is>
      </c>
      <c r="L34" s="12" t="inlineStr">
        <is>
          <t>G03, G03D</t>
        </is>
      </c>
      <c r="M34" s="12" t="inlineStr">
        <is>
          <t>General ledger journals of type OPENING (reference MIG-TU-&lt;n&gt;); opening adjustments of the legacy open items and unapplied payments</t>
        </is>
      </c>
      <c r="N34" s="12" t="n">
        <v>17</v>
      </c>
      <c r="O34" s="12" t="inlineStr">
        <is>
          <t>G01</t>
        </is>
      </c>
      <c r="P34" s="12" t="inlineStr">
        <is>
          <t>BRID_MIG 1.2, 5.1-8.1, 13.1</t>
        </is>
      </c>
      <c r="Q34" s="12" t="inlineStr">
        <is>
          <t>DMQ18, DMQ39</t>
        </is>
      </c>
      <c r="R34" s="12" t="n"/>
      <c r="S34" s="12" t="n"/>
      <c r="T34" s="12" t="n"/>
      <c r="U34" s="25" t="n"/>
    </row>
    <row r="35">
      <c r="A35" s="12" t="inlineStr">
        <is>
          <t>H01</t>
        </is>
      </c>
      <c r="B35" s="12" t="inlineStr">
        <is>
          <t>Closed transactions (paid and remitted invoices, receipts, remittances, endorsements, claims, renewal advices, letters)</t>
        </is>
      </c>
      <c r="C35" s="12" t="inlineStr">
        <is>
          <t>History</t>
        </is>
      </c>
      <c r="D35" s="12" t="inlineStr">
        <is>
          <t>Archive</t>
        </is>
      </c>
      <c r="E35" s="12" t="inlineStr">
        <is>
          <t>History stays in read-only legacy or the BIBS archive with logged access (BRID_MIG 11.1).</t>
        </is>
      </c>
      <c r="F35" s="12" t="inlineStr">
        <is>
          <t>No</t>
        </is>
      </c>
      <c r="G35" s="12" t="inlineStr">
        <is>
          <t>Yes</t>
        </is>
      </c>
      <c r="H35" s="12" t="inlineStr">
        <is>
          <t>Yes</t>
        </is>
      </c>
      <c r="I35" s="12" t="inlineStr">
        <is>
          <t>Medium</t>
        </is>
      </c>
      <c r="J35" s="12" t="inlineStr"/>
      <c r="K35" s="12" t="inlineStr">
        <is>
          <t>EBIX, QPS, ISYS</t>
        </is>
      </c>
      <c r="L35" s="12" t="inlineStr">
        <is>
          <t>H01</t>
        </is>
      </c>
      <c r="M35" s="12" t="inlineStr">
        <is>
          <t>BIBS archive (Legacy Inquiry)</t>
        </is>
      </c>
      <c r="N35" s="12" t="n">
        <v>16</v>
      </c>
      <c r="O35" s="12" t="inlineStr">
        <is>
          <t>-</t>
        </is>
      </c>
      <c r="P35" s="12" t="inlineStr">
        <is>
          <t>BRID_MIG 11.1</t>
        </is>
      </c>
      <c r="Q35" s="12" t="inlineStr">
        <is>
          <t>DMQ24, DMQ27</t>
        </is>
      </c>
      <c r="R35" s="12" t="n"/>
      <c r="S35" s="12" t="n"/>
      <c r="T35" s="12" t="n"/>
      <c r="U35" s="25" t="n"/>
    </row>
    <row r="36">
      <c r="A36" s="12" t="inlineStr">
        <is>
          <t>H02</t>
        </is>
      </c>
      <c r="B36" s="12" t="inlineStr">
        <is>
          <t>Legacy documents (policies, SOAs, ORs, certificates, letters)</t>
        </is>
      </c>
      <c r="C36" s="12" t="inlineStr">
        <is>
          <t>History</t>
        </is>
      </c>
      <c r="D36" s="12" t="inlineStr">
        <is>
          <t>Archive</t>
        </is>
      </c>
      <c r="E36" s="12" t="inlineStr">
        <is>
          <t>Documents are kept with their archive record and a checksum.</t>
        </is>
      </c>
      <c r="F36" s="12" t="inlineStr">
        <is>
          <t>No</t>
        </is>
      </c>
      <c r="G36" s="12" t="inlineStr">
        <is>
          <t>Yes</t>
        </is>
      </c>
      <c r="H36" s="12" t="inlineStr">
        <is>
          <t>Yes</t>
        </is>
      </c>
      <c r="I36" s="12" t="inlineStr">
        <is>
          <t>Medium</t>
        </is>
      </c>
      <c r="J36" s="12" t="inlineStr"/>
      <c r="K36" s="12" t="inlineStr">
        <is>
          <t>File shares, EBIX</t>
        </is>
      </c>
      <c r="L36" s="12" t="inlineStr">
        <is>
          <t>H02</t>
        </is>
      </c>
      <c r="M36" s="12" t="inlineStr">
        <is>
          <t>Legacy documents attached to the archive records</t>
        </is>
      </c>
      <c r="N36" s="12" t="n">
        <v>16</v>
      </c>
      <c r="O36" s="12" t="inlineStr">
        <is>
          <t>-</t>
        </is>
      </c>
      <c r="P36" s="12" t="inlineStr">
        <is>
          <t>BRID_MIG 11.1</t>
        </is>
      </c>
      <c r="Q36" s="12" t="inlineStr">
        <is>
          <t>DMQ24</t>
        </is>
      </c>
      <c r="R36" s="12" t="n"/>
      <c r="S36" s="12" t="n"/>
      <c r="T36" s="12" t="n"/>
      <c r="U36" s="25" t="n"/>
    </row>
  </sheetData>
  <autoFilter ref="A4:U36"/>
  <mergeCells count="1">
    <mergeCell ref="A2:U2"/>
  </mergeCells>
  <conditionalFormatting sqref="A5:U536">
    <cfRule type="expression" priority="1" dxfId="0">
      <formula>AND(MOD(ROW(),2)=0,$A5&lt;&gt;"")</formula>
    </cfRule>
  </conditionalFormatting>
  <dataValidations count="3">
    <dataValidation sqref="D5:D536" showDropDown="0" showInputMessage="0" showErrorMessage="1" allowBlank="1" errorTitle="Decision (proposed)" error="Choose a value from the list (Decision (proposed))." type="list">
      <formula1>'_lists'!$A$1:$A$5</formula1>
    </dataValidation>
    <dataValidation sqref="R5:R536" showDropDown="0" showInputMessage="0" showErrorMessage="1" allowBlank="1" errorTitle="BU review" error="Choose a value from the list (BU review)." type="list">
      <formula1>'_lists'!$B$1:$B$3</formula1>
    </dataValidation>
    <dataValidation sqref="U5:U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3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34" customWidth="1" min="3" max="3"/>
    <col width="30" customWidth="1" min="4" max="4"/>
    <col width="24" customWidth="1" min="5" max="5"/>
    <col width="24" customWidth="1" min="6" max="6"/>
    <col width="16" customWidth="1" min="7" max="7"/>
    <col width="40" customWidth="1" min="8" max="8"/>
    <col width="18" customWidth="1" min="9" max="9"/>
    <col width="13" customWidth="1" min="10" max="10"/>
  </cols>
  <sheetData>
    <row r="1" ht="24" customHeight="1">
      <c r="A1" s="19" t="inlineStr">
        <is>
          <t>Data owners</t>
        </is>
      </c>
    </row>
    <row r="2">
      <c r="A2" s="22" t="inlineStr">
        <is>
          <t>Business owner and data steward of every object; BDOI names the people (DMQ01)</t>
        </is>
      </c>
    </row>
    <row r="3" ht="6" customHeight="1">
      <c r="A3" s="23" t="n"/>
      <c r="B3" s="23" t="n"/>
      <c r="C3" s="23" t="n"/>
      <c r="D3" s="23" t="n"/>
      <c r="E3" s="23" t="n"/>
      <c r="F3" s="23" t="n"/>
      <c r="G3" s="23" t="n"/>
      <c r="H3" s="23" t="n"/>
      <c r="I3" s="23" t="n"/>
      <c r="J3" s="23" t="n"/>
    </row>
    <row r="4" ht="30" customHeight="1">
      <c r="A4" s="24" t="inlineStr">
        <is>
          <t>Object</t>
        </is>
      </c>
      <c r="B4" s="24" t="inlineStr">
        <is>
          <t>Data object</t>
        </is>
      </c>
      <c r="C4" s="24" t="inlineStr">
        <is>
          <t>Business owner (proposed)</t>
        </is>
      </c>
      <c r="D4" s="24" t="inlineStr">
        <is>
          <t>Data steward (proposed)</t>
        </is>
      </c>
      <c r="E4" s="24" t="inlineStr">
        <is>
          <t>Named business owner</t>
        </is>
      </c>
      <c r="F4" s="24" t="inlineStr">
        <is>
          <t>Named data steward</t>
        </is>
      </c>
      <c r="G4" s="24" t="inlineStr">
        <is>
          <t>BU review</t>
        </is>
      </c>
      <c r="H4" s="24" t="inlineStr">
        <is>
          <t>BU comment</t>
        </is>
      </c>
      <c r="I4" s="24" t="inlineStr">
        <is>
          <t>Reviewer</t>
        </is>
      </c>
      <c r="J4" s="24" t="inlineStr">
        <is>
          <t>Review date</t>
        </is>
      </c>
    </row>
    <row r="5">
      <c r="A5" s="12" t="inlineStr">
        <is>
          <t>R01</t>
        </is>
      </c>
      <c r="B5" s="12" t="inlineStr">
        <is>
          <t>Lists of values and MIS values</t>
        </is>
      </c>
      <c r="C5" s="12" t="inlineStr">
        <is>
          <t>Product Owner, Marketing Business System (MBS)</t>
        </is>
      </c>
      <c r="D5" s="12" t="inlineStr">
        <is>
          <t>MBS data steward (to name)</t>
        </is>
      </c>
      <c r="E5" s="12" t="n"/>
      <c r="F5" s="12" t="n"/>
      <c r="G5" s="12" t="n"/>
      <c r="H5" s="12" t="n"/>
      <c r="I5" s="12" t="n"/>
      <c r="J5" s="25" t="n"/>
    </row>
    <row r="6">
      <c r="A6" s="12" t="inlineStr">
        <is>
          <t>R02</t>
        </is>
      </c>
      <c r="B6" s="12" t="inlineStr">
        <is>
          <t>Branches and invoicing branches</t>
        </is>
      </c>
      <c r="C6" s="12" t="inlineStr">
        <is>
          <t>Head, Comptrollership</t>
        </is>
      </c>
      <c r="D6" s="12" t="inlineStr">
        <is>
          <t>Comptrollership data steward (to name)</t>
        </is>
      </c>
      <c r="E6" s="12" t="n"/>
      <c r="F6" s="12" t="n"/>
      <c r="G6" s="12" t="n"/>
      <c r="H6" s="12" t="n"/>
      <c r="I6" s="12" t="n"/>
      <c r="J6" s="25" t="n"/>
    </row>
    <row r="7">
      <c r="A7" s="12" t="inlineStr">
        <is>
          <t>R03</t>
        </is>
      </c>
      <c r="B7" s="12" t="inlineStr">
        <is>
          <t>Sales organisation (regions, departments, teams, unit heads, account officers)</t>
        </is>
      </c>
      <c r="C7" s="12" t="inlineStr">
        <is>
          <t>Heads, Retail and Corporate Marketing</t>
        </is>
      </c>
      <c r="D7" s="12" t="inlineStr">
        <is>
          <t>Marketing data steward (to name)</t>
        </is>
      </c>
      <c r="E7" s="12" t="n"/>
      <c r="F7" s="12" t="n"/>
      <c r="G7" s="12" t="n"/>
      <c r="H7" s="12" t="n"/>
      <c r="I7" s="12" t="n"/>
      <c r="J7" s="25" t="n"/>
    </row>
    <row r="8">
      <c r="A8" s="12" t="inlineStr">
        <is>
          <t>R04</t>
        </is>
      </c>
      <c r="B8" s="12" t="inlineStr">
        <is>
          <t>Insurers and insurer branches</t>
        </is>
      </c>
      <c r="C8" s="12" t="inlineStr">
        <is>
          <t>Head, Operations</t>
        </is>
      </c>
      <c r="D8" s="12" t="inlineStr">
        <is>
          <t>Operations data steward (to name)</t>
        </is>
      </c>
      <c r="E8" s="12" t="n"/>
      <c r="F8" s="12" t="n"/>
      <c r="G8" s="12" t="n"/>
      <c r="H8" s="12" t="n"/>
      <c r="I8" s="12" t="n"/>
      <c r="J8" s="25" t="n"/>
    </row>
    <row r="9">
      <c r="A9" s="12" t="inlineStr">
        <is>
          <t>R05</t>
        </is>
      </c>
      <c r="B9" s="12" t="inlineStr">
        <is>
          <t>Product lines, cover types, products and risk codes</t>
        </is>
      </c>
      <c r="C9" s="12" t="inlineStr">
        <is>
          <t>Product Owner, MBS</t>
        </is>
      </c>
      <c r="D9" s="12" t="inlineStr">
        <is>
          <t>MBS data steward (to name)</t>
        </is>
      </c>
      <c r="E9" s="12" t="n"/>
      <c r="F9" s="12" t="n"/>
      <c r="G9" s="12" t="n"/>
      <c r="H9" s="12" t="n"/>
      <c r="I9" s="12" t="n"/>
      <c r="J9" s="25" t="n"/>
    </row>
    <row r="10">
      <c r="A10" s="12" t="inlineStr">
        <is>
          <t>R06</t>
        </is>
      </c>
      <c r="B10" s="12" t="inlineStr">
        <is>
          <t>Package code map (legacy package and version to BIBS package version)</t>
        </is>
      </c>
      <c r="C10" s="12" t="inlineStr">
        <is>
          <t>Product Owner, MBS (approves); TSU (prepares)</t>
        </is>
      </c>
      <c r="D10" s="12" t="inlineStr">
        <is>
          <t>TSU (to name)</t>
        </is>
      </c>
      <c r="E10" s="12" t="n"/>
      <c r="F10" s="12" t="n"/>
      <c r="G10" s="12" t="n"/>
      <c r="H10" s="12" t="n"/>
      <c r="I10" s="12" t="n"/>
      <c r="J10" s="25" t="n"/>
    </row>
    <row r="11">
      <c r="A11" s="12" t="inlineStr">
        <is>
          <t>R07</t>
        </is>
      </c>
      <c r="B11" s="12" t="inlineStr">
        <is>
          <t>Commission rates by insurer and product</t>
        </is>
      </c>
      <c r="C11" s="12" t="inlineStr">
        <is>
          <t>Head, Operations</t>
        </is>
      </c>
      <c r="D11" s="12" t="inlineStr">
        <is>
          <t>Operations data steward (to name)</t>
        </is>
      </c>
      <c r="E11" s="12" t="n"/>
      <c r="F11" s="12" t="n"/>
      <c r="G11" s="12" t="n"/>
      <c r="H11" s="12" t="n"/>
      <c r="I11" s="12" t="n"/>
      <c r="J11" s="25" t="n"/>
    </row>
    <row r="12">
      <c r="A12" s="12" t="inlineStr">
        <is>
          <t>R08</t>
        </is>
      </c>
      <c r="B12" s="12" t="inlineStr">
        <is>
          <t>Chart of accounts mapping (legacy GL account to BIBS account)</t>
        </is>
      </c>
      <c r="C12" s="12" t="inlineStr">
        <is>
          <t>Head, Comptrollership; Product Owner FRBS and ACSL</t>
        </is>
      </c>
      <c r="D12" s="12" t="inlineStr">
        <is>
          <t>Comptrollership data steward (to name)</t>
        </is>
      </c>
      <c r="E12" s="12" t="n"/>
      <c r="F12" s="12" t="n"/>
      <c r="G12" s="12" t="n"/>
      <c r="H12" s="12" t="n"/>
      <c r="I12" s="12" t="n"/>
      <c r="J12" s="25" t="n"/>
    </row>
    <row r="13">
      <c r="A13" s="12" t="inlineStr">
        <is>
          <t>R09</t>
        </is>
      </c>
      <c r="B13" s="12" t="inlineStr">
        <is>
          <t>Payees</t>
        </is>
      </c>
      <c r="C13" s="12" t="inlineStr">
        <is>
          <t>Product Owner, Comptrollership - Disbursement</t>
        </is>
      </c>
      <c r="D13" s="12" t="inlineStr">
        <is>
          <t>Disbursement data steward (to name)</t>
        </is>
      </c>
      <c r="E13" s="12" t="n"/>
      <c r="F13" s="12" t="n"/>
      <c r="G13" s="12" t="n"/>
      <c r="H13" s="12" t="n"/>
      <c r="I13" s="12" t="n"/>
      <c r="J13" s="25" t="n"/>
    </row>
    <row r="14">
      <c r="A14" s="12" t="inlineStr">
        <is>
          <t>R11</t>
        </is>
      </c>
      <c r="B14" s="12" t="inlineStr">
        <is>
          <t>Receipt series in use (AR and OR, ATP and next number)</t>
        </is>
      </c>
      <c r="C14" s="12" t="inlineStr">
        <is>
          <t>Operations - Financial Transactions</t>
        </is>
      </c>
      <c r="D14" s="12" t="inlineStr">
        <is>
          <t>Cashiering data steward (to name)</t>
        </is>
      </c>
      <c r="E14" s="12" t="n"/>
      <c r="F14" s="12" t="n"/>
      <c r="G14" s="12" t="n"/>
      <c r="H14" s="12" t="n"/>
      <c r="I14" s="12" t="n"/>
      <c r="J14" s="25" t="n"/>
    </row>
    <row r="15">
      <c r="A15" s="12" t="inlineStr">
        <is>
          <t>C01</t>
        </is>
      </c>
      <c r="B15" s="12" t="inlineStr">
        <is>
          <t>Client master (individual and corporate)</t>
        </is>
      </c>
      <c r="C15" s="12" t="inlineStr">
        <is>
          <t>Product Owner, MBS; Heads, Retail and Corporate Marketing</t>
        </is>
      </c>
      <c r="D15" s="12" t="inlineStr">
        <is>
          <t>Marketing data steward (to name)</t>
        </is>
      </c>
      <c r="E15" s="12" t="n"/>
      <c r="F15" s="12" t="n"/>
      <c r="G15" s="12" t="n"/>
      <c r="H15" s="12" t="n"/>
      <c r="I15" s="12" t="n"/>
      <c r="J15" s="25" t="n"/>
    </row>
    <row r="16">
      <c r="A16" s="12" t="inlineStr">
        <is>
          <t>C03</t>
        </is>
      </c>
      <c r="B16" s="12" t="inlineStr">
        <is>
          <t>Client payout accounts (for refunds)</t>
        </is>
      </c>
      <c r="C16" s="12" t="inlineStr">
        <is>
          <t>Product Owner, Comptrollership - Disbursement</t>
        </is>
      </c>
      <c r="D16" s="12" t="inlineStr">
        <is>
          <t>Disbursement data steward (to name)</t>
        </is>
      </c>
      <c r="E16" s="12" t="n"/>
      <c r="F16" s="12" t="n"/>
      <c r="G16" s="12" t="n"/>
      <c r="H16" s="12" t="n"/>
      <c r="I16" s="12" t="n"/>
      <c r="J16" s="25" t="n"/>
    </row>
    <row r="17">
      <c r="A17" s="12" t="inlineStr">
        <is>
          <t>C04</t>
        </is>
      </c>
      <c r="B17" s="12" t="inlineStr">
        <is>
          <t>KYC documents and IDs</t>
        </is>
      </c>
      <c r="C17" s="12" t="inlineStr">
        <is>
          <t>Compliance</t>
        </is>
      </c>
      <c r="D17" s="12" t="inlineStr">
        <is>
          <t>Compliance data steward (to name)</t>
        </is>
      </c>
      <c r="E17" s="12" t="n"/>
      <c r="F17" s="12" t="n"/>
      <c r="G17" s="12" t="n"/>
      <c r="H17" s="12" t="n"/>
      <c r="I17" s="12" t="n"/>
      <c r="J17" s="25" t="n"/>
    </row>
    <row r="18">
      <c r="A18" s="12" t="inlineStr">
        <is>
          <t>P01</t>
        </is>
      </c>
      <c r="B18" s="12" t="inlineStr">
        <is>
          <t>In-force policy headers</t>
        </is>
      </c>
      <c r="C18" s="12" t="inlineStr">
        <is>
          <t>Head, Operations</t>
        </is>
      </c>
      <c r="D18" s="12" t="inlineStr">
        <is>
          <t>Operations data steward (to name)</t>
        </is>
      </c>
      <c r="E18" s="12" t="n"/>
      <c r="F18" s="12" t="n"/>
      <c r="G18" s="12" t="n"/>
      <c r="H18" s="12" t="n"/>
      <c r="I18" s="12" t="n"/>
      <c r="J18" s="25" t="n"/>
    </row>
    <row r="19">
      <c r="A19" s="12" t="inlineStr">
        <is>
          <t>P02</t>
        </is>
      </c>
      <c r="B19" s="12" t="inlineStr">
        <is>
          <t>Expired policies and policy history</t>
        </is>
      </c>
      <c r="C19" s="12" t="inlineStr">
        <is>
          <t>Head, Operations</t>
        </is>
      </c>
      <c r="D19" s="12" t="inlineStr">
        <is>
          <t>Operations data steward (to name)</t>
        </is>
      </c>
      <c r="E19" s="12" t="n"/>
      <c r="F19" s="12" t="n"/>
      <c r="G19" s="12" t="n"/>
      <c r="H19" s="12" t="n"/>
      <c r="I19" s="12" t="n"/>
      <c r="J19" s="25" t="n"/>
    </row>
    <row r="20">
      <c r="A20" s="12" t="inlineStr">
        <is>
          <t>P03</t>
        </is>
      </c>
      <c r="B20" s="12" t="inlineStr">
        <is>
          <t>Renewal advices already sent before go-live (RA-sent file)</t>
        </is>
      </c>
      <c r="C20" s="12" t="inlineStr">
        <is>
          <t>Head of the Renewal processing team</t>
        </is>
      </c>
      <c r="D20" s="12" t="inlineStr">
        <is>
          <t>Renewal processing team - makers (corrections) and checkers (resubmission approval)</t>
        </is>
      </c>
      <c r="E20" s="12" t="n"/>
      <c r="F20" s="12" t="n"/>
      <c r="G20" s="12" t="n"/>
      <c r="H20" s="12" t="n"/>
      <c r="I20" s="12" t="n"/>
      <c r="J20" s="25" t="n"/>
    </row>
    <row r="21">
      <c r="A21" s="12" t="inlineStr">
        <is>
          <t>P04</t>
        </is>
      </c>
      <c r="B21" s="12" t="inlineStr">
        <is>
          <t>Submitted-policy masterlists</t>
        </is>
      </c>
      <c r="C21" s="12" t="inlineStr">
        <is>
          <t>CBG and Non-CBG Marketing (Submitted Policies)</t>
        </is>
      </c>
      <c r="D21" s="12" t="inlineStr">
        <is>
          <t>Submitted Policies data steward (to name)</t>
        </is>
      </c>
      <c r="E21" s="12" t="n"/>
      <c r="F21" s="12" t="n"/>
      <c r="G21" s="12" t="n"/>
      <c r="H21" s="12" t="n"/>
      <c r="I21" s="12" t="n"/>
      <c r="J21" s="25" t="n"/>
    </row>
    <row r="22">
      <c r="A22" s="12" t="inlineStr">
        <is>
          <t>P05</t>
        </is>
      </c>
      <c r="B22" s="12" t="inlineStr">
        <is>
          <t>Employee Benefits programmes</t>
        </is>
      </c>
      <c r="C22" s="12" t="inlineStr">
        <is>
          <t>Head, Employee Benefits</t>
        </is>
      </c>
      <c r="D22" s="12" t="inlineStr">
        <is>
          <t>EB data steward (to name)</t>
        </is>
      </c>
      <c r="E22" s="12" t="n"/>
      <c r="F22" s="12" t="n"/>
      <c r="G22" s="12" t="n"/>
      <c r="H22" s="12" t="n"/>
      <c r="I22" s="12" t="n"/>
      <c r="J22" s="25" t="n"/>
    </row>
    <row r="23">
      <c r="A23" s="12" t="inlineStr">
        <is>
          <t>F01</t>
        </is>
      </c>
      <c r="B23" s="12" t="inlineStr">
        <is>
          <t>Open legacy invoices (premium receivable, paid not remitted, commission receivable, PR2307), with components and insurer shares</t>
        </is>
      </c>
      <c r="C23" s="12" t="inlineStr">
        <is>
          <t>Operations - Financial Transactions; Head, Comptrollership</t>
        </is>
      </c>
      <c r="D23" s="12" t="inlineStr">
        <is>
          <t>Operations data steward (to name)</t>
        </is>
      </c>
      <c r="E23" s="12" t="n"/>
      <c r="F23" s="12" t="n"/>
      <c r="G23" s="12" t="n"/>
      <c r="H23" s="12" t="n"/>
      <c r="I23" s="12" t="n"/>
      <c r="J23" s="25" t="n"/>
    </row>
    <row r="24">
      <c r="A24" s="12" t="inlineStr">
        <is>
          <t>F02</t>
        </is>
      </c>
      <c r="B24" s="12" t="inlineStr">
        <is>
          <t>Unapplied premium payments (UPP) with disposition in progress</t>
        </is>
      </c>
      <c r="C24" s="12" t="inlineStr">
        <is>
          <t>Operations - Financial Transactions</t>
        </is>
      </c>
      <c r="D24" s="12" t="inlineStr">
        <is>
          <t>Cashiering data steward (to name)</t>
        </is>
      </c>
      <c r="E24" s="12" t="n"/>
      <c r="F24" s="12" t="n"/>
      <c r="G24" s="12" t="n"/>
      <c r="H24" s="12" t="n"/>
      <c r="I24" s="12" t="n"/>
      <c r="J24" s="25" t="n"/>
    </row>
    <row r="25">
      <c r="A25" s="12" t="inlineStr">
        <is>
          <t>F03</t>
        </is>
      </c>
      <c r="B25" s="12" t="inlineStr">
        <is>
          <t>Open collection state (dispositions, promises to pay, installment plans, collector assignments)</t>
        </is>
      </c>
      <c r="C25" s="12" t="inlineStr">
        <is>
          <t>Head, Operations (Collections)</t>
        </is>
      </c>
      <c r="D25" s="12" t="inlineStr">
        <is>
          <t>Collections data steward (to name)</t>
        </is>
      </c>
      <c r="E25" s="12" t="n"/>
      <c r="F25" s="12" t="n"/>
      <c r="G25" s="12" t="n"/>
      <c r="H25" s="12" t="n"/>
      <c r="I25" s="12" t="n"/>
      <c r="J25" s="25" t="n"/>
    </row>
    <row r="26">
      <c r="A26" s="12" t="inlineStr">
        <is>
          <t>F04</t>
        </is>
      </c>
      <c r="B26" s="12" t="inlineStr">
        <is>
          <t>Remittance in flight (batches not yet paid, holds, special remittances)</t>
        </is>
      </c>
      <c r="C26" s="12" t="inlineStr">
        <is>
          <t>Operations - Remittance</t>
        </is>
      </c>
      <c r="D26" s="12" t="inlineStr">
        <is>
          <t>Remittance data steward (to name)</t>
        </is>
      </c>
      <c r="E26" s="12" t="n"/>
      <c r="F26" s="12" t="n"/>
      <c r="G26" s="12" t="n"/>
      <c r="H26" s="12" t="n"/>
      <c r="I26" s="12" t="n"/>
      <c r="J26" s="25" t="n"/>
    </row>
    <row r="27">
      <c r="A27" s="12" t="inlineStr">
        <is>
          <t>F05</t>
        </is>
      </c>
      <c r="B27" s="12" t="inlineStr">
        <is>
          <t>DP billing in process and DP commission receivable</t>
        </is>
      </c>
      <c r="C27" s="12" t="inlineStr">
        <is>
          <t>Operations - Financial Transactions</t>
        </is>
      </c>
      <c r="D27" s="12" t="inlineStr">
        <is>
          <t>Operations data steward (to name)</t>
        </is>
      </c>
      <c r="E27" s="12" t="n"/>
      <c r="F27" s="12" t="n"/>
      <c r="G27" s="12" t="n"/>
      <c r="H27" s="12" t="n"/>
      <c r="I27" s="12" t="n"/>
      <c r="J27" s="25" t="n"/>
    </row>
    <row r="28">
      <c r="A28" s="12" t="inlineStr">
        <is>
          <t>F06</t>
        </is>
      </c>
      <c r="B28" s="12" t="inlineStr">
        <is>
          <t>PDCs in the warehouse, check pick-ups and refunds in process</t>
        </is>
      </c>
      <c r="C28" s="12" t="inlineStr">
        <is>
          <t>Operations - Cashiering</t>
        </is>
      </c>
      <c r="D28" s="12" t="inlineStr">
        <is>
          <t>Cashiering data steward (to name)</t>
        </is>
      </c>
      <c r="E28" s="12" t="n"/>
      <c r="F28" s="12" t="n"/>
      <c r="G28" s="12" t="n"/>
      <c r="H28" s="12" t="n"/>
      <c r="I28" s="12" t="n"/>
      <c r="J28" s="25" t="n"/>
    </row>
    <row r="29">
      <c r="A29" s="12" t="inlineStr">
        <is>
          <t>F07</t>
        </is>
      </c>
      <c r="B29" s="12" t="inlineStr">
        <is>
          <t>Open claims</t>
        </is>
      </c>
      <c r="C29" s="12" t="inlineStr">
        <is>
          <t>Unit Head, Claims, RI and TU</t>
        </is>
      </c>
      <c r="D29" s="12" t="inlineStr">
        <is>
          <t>Claims data steward (to name)</t>
        </is>
      </c>
      <c r="E29" s="12" t="n"/>
      <c r="F29" s="12" t="n"/>
      <c r="G29" s="12" t="n"/>
      <c r="H29" s="12" t="n"/>
      <c r="I29" s="12" t="n"/>
      <c r="J29" s="25" t="n"/>
    </row>
    <row r="30">
      <c r="A30" s="12" t="inlineStr">
        <is>
          <t>G01</t>
        </is>
      </c>
      <c r="B30" s="12" t="inlineStr">
        <is>
          <t>GL trial balance per account, branch and currency (provisional opening; legacy TB at each true-up)</t>
        </is>
      </c>
      <c r="C30" s="12" t="inlineStr">
        <is>
          <t>Head, Comptrollership</t>
        </is>
      </c>
      <c r="D30" s="12" t="inlineStr">
        <is>
          <t>Comptrollership data steward (to name)</t>
        </is>
      </c>
      <c r="E30" s="12" t="n"/>
      <c r="F30" s="12" t="n"/>
      <c r="G30" s="12" t="n"/>
      <c r="H30" s="12" t="n"/>
      <c r="I30" s="12" t="n"/>
      <c r="J30" s="25" t="n"/>
    </row>
    <row r="31">
      <c r="A31" s="12" t="inlineStr">
        <is>
          <t>G02</t>
        </is>
      </c>
      <c r="B31" s="12" t="inlineStr">
        <is>
          <t>GL history (journals and balances before cutover)</t>
        </is>
      </c>
      <c r="C31" s="12" t="inlineStr">
        <is>
          <t>Head, Comptrollership</t>
        </is>
      </c>
      <c r="D31" s="12" t="inlineStr">
        <is>
          <t>Comptrollership data steward (to name)</t>
        </is>
      </c>
      <c r="E31" s="12" t="n"/>
      <c r="F31" s="12" t="n"/>
      <c r="G31" s="12" t="n"/>
      <c r="H31" s="12" t="n"/>
      <c r="I31" s="12" t="n"/>
      <c r="J31" s="25" t="n"/>
    </row>
    <row r="32">
      <c r="A32" s="12" t="inlineStr">
        <is>
          <t>G03</t>
        </is>
      </c>
      <c r="B32" s="12" t="inlineStr">
        <is>
          <t>FY2027 opening-balance true-ups (legacy adjustment journals after the freeze and their open-item detail)</t>
        </is>
      </c>
      <c r="C32" s="12" t="inlineStr">
        <is>
          <t>Head, Comptrollership</t>
        </is>
      </c>
      <c r="D32" s="12" t="inlineStr">
        <is>
          <t>Comptrollership GL lead (prepares each true-up)</t>
        </is>
      </c>
      <c r="E32" s="12" t="n"/>
      <c r="F32" s="12" t="n"/>
      <c r="G32" s="12" t="n"/>
      <c r="H32" s="12" t="n"/>
      <c r="I32" s="12" t="n"/>
      <c r="J32" s="25" t="n"/>
    </row>
    <row r="33">
      <c r="A33" s="12" t="inlineStr">
        <is>
          <t>H01</t>
        </is>
      </c>
      <c r="B33" s="12" t="inlineStr">
        <is>
          <t>Closed transactions (paid and remitted invoices, receipts, remittances, endorsements, claims, renewal advices, letters)</t>
        </is>
      </c>
      <c r="C33" s="12" t="inlineStr">
        <is>
          <t>Audit / Compliance; legacy system owners</t>
        </is>
      </c>
      <c r="D33" s="12" t="inlineStr">
        <is>
          <t>Compliance data steward (to name)</t>
        </is>
      </c>
      <c r="E33" s="12" t="n"/>
      <c r="F33" s="12" t="n"/>
      <c r="G33" s="12" t="n"/>
      <c r="H33" s="12" t="n"/>
      <c r="I33" s="12" t="n"/>
      <c r="J33" s="25" t="n"/>
    </row>
    <row r="34">
      <c r="A34" s="12" t="inlineStr">
        <is>
          <t>H02</t>
        </is>
      </c>
      <c r="B34" s="12" t="inlineStr">
        <is>
          <t>Legacy documents (policies, SOAs, ORs, certificates, letters)</t>
        </is>
      </c>
      <c r="C34" s="12" t="inlineStr">
        <is>
          <t>Audit / Compliance</t>
        </is>
      </c>
      <c r="D34" s="12" t="inlineStr">
        <is>
          <t>Compliance data steward (to name)</t>
        </is>
      </c>
      <c r="E34" s="12" t="n"/>
      <c r="F34" s="12" t="n"/>
      <c r="G34" s="12" t="n"/>
      <c r="H34" s="12" t="n"/>
      <c r="I34" s="12" t="n"/>
      <c r="J34" s="25" t="n"/>
    </row>
  </sheetData>
  <autoFilter ref="A4:J34"/>
  <mergeCells count="1">
    <mergeCell ref="A2:J2"/>
  </mergeCells>
  <conditionalFormatting sqref="A5:J534">
    <cfRule type="expression" priority="1" dxfId="0">
      <formula>AND(MOD(ROW(),2)=0,$A5&lt;&gt;"")</formula>
    </cfRule>
  </conditionalFormatting>
  <dataValidations count="2">
    <dataValidation sqref="G5:G534" showDropDown="0" showInputMessage="0" showErrorMessage="1" allowBlank="1" errorTitle="BU review" error="Choose a value from the list (BU review)." type="list">
      <formula1>'_lists'!$C$1:$C$3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M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14" customWidth="1" min="3" max="3"/>
    <col width="18" customWidth="1" min="4" max="4"/>
    <col width="26" customWidth="1" min="5" max="5"/>
    <col width="26" customWidth="1" min="6" max="6"/>
    <col width="10" customWidth="1" min="7" max="7"/>
    <col width="30" customWidth="1" min="8" max="8"/>
    <col width="26" customWidth="1" min="9" max="9"/>
    <col width="16" customWidth="1" min="10" max="10"/>
    <col width="40" customWidth="1" min="11" max="11"/>
    <col width="18" customWidth="1" min="12" max="12"/>
    <col width="13" customWidth="1" min="13" max="13"/>
  </cols>
  <sheetData>
    <row r="1" ht="24" customHeight="1">
      <c r="A1" s="19" t="inlineStr">
        <is>
          <t>Extract planning</t>
        </is>
      </c>
    </row>
    <row r="2">
      <c r="A2" s="22" t="inlineStr">
        <is>
          <t>What BDOI extracts per object, how much, how far back and by when</t>
        </is>
      </c>
    </row>
    <row r="3" ht="6" customHeight="1">
      <c r="A3" s="23" t="n"/>
      <c r="B3" s="23" t="n"/>
      <c r="C3" s="23" t="n"/>
      <c r="D3" s="23" t="n"/>
      <c r="E3" s="23" t="n"/>
      <c r="F3" s="23" t="n"/>
      <c r="G3" s="23" t="n"/>
      <c r="H3" s="23" t="n"/>
      <c r="I3" s="23" t="n"/>
      <c r="J3" s="23" t="n"/>
      <c r="K3" s="23" t="n"/>
      <c r="L3" s="23" t="n"/>
      <c r="M3" s="23" t="n"/>
    </row>
    <row r="4" ht="30" customHeight="1">
      <c r="A4" s="24" t="inlineStr">
        <is>
          <t>Object</t>
        </is>
      </c>
      <c r="B4" s="24" t="inlineStr">
        <is>
          <t>Data object</t>
        </is>
      </c>
      <c r="C4" s="24" t="inlineStr">
        <is>
          <t>Volume (BDOI to fill)</t>
        </is>
      </c>
      <c r="D4" s="24" t="inlineStr">
        <is>
          <t>Planning bound</t>
        </is>
      </c>
      <c r="E4" s="24" t="inlineStr">
        <is>
          <t>History depth</t>
        </is>
      </c>
      <c r="F4" s="24" t="inlineStr">
        <is>
          <t>Delta frequency</t>
        </is>
      </c>
      <c r="G4" s="24" t="inlineStr">
        <is>
          <t>Format</t>
        </is>
      </c>
      <c r="H4" s="24" t="inlineStr">
        <is>
          <t>Control totals</t>
        </is>
      </c>
      <c r="I4" s="24" t="inlineStr">
        <is>
          <t>Due</t>
        </is>
      </c>
      <c r="J4" s="24" t="inlineStr">
        <is>
          <t>BU review</t>
        </is>
      </c>
      <c r="K4" s="24" t="inlineStr">
        <is>
          <t>BU comment</t>
        </is>
      </c>
      <c r="L4" s="24" t="inlineStr">
        <is>
          <t>Reviewer</t>
        </is>
      </c>
      <c r="M4" s="24" t="inlineStr">
        <is>
          <t>Review date</t>
        </is>
      </c>
    </row>
    <row r="5">
      <c r="A5" s="12" t="inlineStr">
        <is>
          <t>R01</t>
        </is>
      </c>
      <c r="B5" s="12" t="inlineStr">
        <is>
          <t>Lists of values and MIS values</t>
        </is>
      </c>
      <c r="C5" s="12" t="n"/>
      <c r="D5" s="12" t="inlineStr">
        <is>
          <t>A few thousand values</t>
        </is>
      </c>
      <c r="E5" s="12" t="inlineStr">
        <is>
          <t>Current values and values used by any migrated record</t>
        </is>
      </c>
      <c r="F5" s="12" t="inlineStr">
        <is>
          <t>None after the map freeze (T-7 days); changes by change request and a new map version</t>
        </is>
      </c>
      <c r="G5" s="12" t="inlineStr">
        <is>
          <t>CSV</t>
        </is>
      </c>
      <c r="H5" s="12" t="inlineStr">
        <is>
          <t>Row count; count of distinct (list_type, code)</t>
        </is>
      </c>
      <c r="I5" s="12" t="inlineStr">
        <is>
          <t>M3 (29 Jan 2027)</t>
        </is>
      </c>
      <c r="J5" s="12" t="n"/>
      <c r="K5" s="12" t="n"/>
      <c r="L5" s="12" t="n"/>
      <c r="M5" s="25" t="n"/>
    </row>
    <row r="6">
      <c r="A6" s="12" t="inlineStr">
        <is>
          <t>R02</t>
        </is>
      </c>
      <c r="B6" s="12" t="inlineStr">
        <is>
          <t>Branches and invoicing branches</t>
        </is>
      </c>
      <c r="C6" s="12" t="n"/>
      <c r="D6" s="12" t="inlineStr">
        <is>
          <t>Under 100</t>
        </is>
      </c>
      <c r="E6" s="12" t="inlineStr">
        <is>
          <t>Current</t>
        </is>
      </c>
      <c r="F6" s="12" t="inlineStr">
        <is>
          <t>None</t>
        </is>
      </c>
      <c r="G6" s="12" t="inlineStr">
        <is>
          <t>CSV</t>
        </is>
      </c>
      <c r="H6" s="12" t="inlineStr">
        <is>
          <t>Row count</t>
        </is>
      </c>
      <c r="I6" s="12" t="inlineStr">
        <is>
          <t>M3 (29 Jan 2027)</t>
        </is>
      </c>
      <c r="J6" s="12" t="n"/>
      <c r="K6" s="12" t="n"/>
      <c r="L6" s="12" t="n"/>
      <c r="M6" s="25" t="n"/>
    </row>
    <row r="7">
      <c r="A7" s="12" t="inlineStr">
        <is>
          <t>R03</t>
        </is>
      </c>
      <c r="B7" s="12" t="inlineStr">
        <is>
          <t>Sales organisation (regions, departments, teams, unit heads, account officers)</t>
        </is>
      </c>
      <c r="C7" s="12" t="n"/>
      <c r="D7" s="12" t="inlineStr">
        <is>
          <t>About 600 AOs (485 Marketing users, BRD-3)</t>
        </is>
      </c>
      <c r="E7" s="12" t="inlineStr">
        <is>
          <t>Current, plus inactive AOs referenced by open items</t>
        </is>
      </c>
      <c r="F7" s="12" t="inlineStr">
        <is>
          <t>Weekly until the freeze</t>
        </is>
      </c>
      <c r="G7" s="12" t="inlineStr">
        <is>
          <t>CSV</t>
        </is>
      </c>
      <c r="H7" s="12" t="inlineStr">
        <is>
          <t>Row count per record type</t>
        </is>
      </c>
      <c r="I7" s="12" t="inlineStr">
        <is>
          <t>M3 (29 Jan 2027)</t>
        </is>
      </c>
      <c r="J7" s="12" t="n"/>
      <c r="K7" s="12" t="n"/>
      <c r="L7" s="12" t="n"/>
      <c r="M7" s="25" t="n"/>
    </row>
    <row r="8">
      <c r="A8" s="12" t="inlineStr">
        <is>
          <t>R04</t>
        </is>
      </c>
      <c r="B8" s="12" t="inlineStr">
        <is>
          <t>Insurers and insurer branches</t>
        </is>
      </c>
      <c r="C8" s="12" t="n"/>
      <c r="D8" s="12" t="inlineStr">
        <is>
          <t>Under 100 insurers</t>
        </is>
      </c>
      <c r="E8" s="12" t="inlineStr">
        <is>
          <t>Active insurers, and inactive insurers with open items</t>
        </is>
      </c>
      <c r="F8" s="12" t="inlineStr">
        <is>
          <t>None</t>
        </is>
      </c>
      <c r="G8" s="12" t="inlineStr">
        <is>
          <t>CSV</t>
        </is>
      </c>
      <c r="H8" s="12" t="inlineStr">
        <is>
          <t>Row count per file</t>
        </is>
      </c>
      <c r="I8" s="12" t="inlineStr">
        <is>
          <t>M3 (29 Jan 2027)</t>
        </is>
      </c>
      <c r="J8" s="12" t="n"/>
      <c r="K8" s="12" t="n"/>
      <c r="L8" s="12" t="n"/>
      <c r="M8" s="25" t="n"/>
    </row>
    <row r="9">
      <c r="A9" s="12" t="inlineStr">
        <is>
          <t>R05</t>
        </is>
      </c>
      <c r="B9" s="12" t="inlineStr">
        <is>
          <t>Product lines, cover types, products and risk codes</t>
        </is>
      </c>
      <c r="C9" s="12" t="n"/>
      <c r="D9" s="12" t="inlineStr">
        <is>
          <t>A few hundred codes</t>
        </is>
      </c>
      <c r="E9" s="12" t="inlineStr">
        <is>
          <t>Current, plus codes used by in-force policies and open items</t>
        </is>
      </c>
      <c r="F9" s="12" t="inlineStr">
        <is>
          <t>None</t>
        </is>
      </c>
      <c r="G9" s="12" t="inlineStr">
        <is>
          <t>CSV</t>
        </is>
      </c>
      <c r="H9" s="12" t="inlineStr">
        <is>
          <t>Row count</t>
        </is>
      </c>
      <c r="I9" s="12" t="inlineStr">
        <is>
          <t>M3 (29 Jan 2027)</t>
        </is>
      </c>
      <c r="J9" s="12" t="n"/>
      <c r="K9" s="12" t="n"/>
      <c r="L9" s="12" t="n"/>
      <c r="M9" s="25" t="n"/>
    </row>
    <row r="10">
      <c r="A10" s="12" t="inlineStr">
        <is>
          <t>R06</t>
        </is>
      </c>
      <c r="B10" s="12" t="inlineStr">
        <is>
          <t>Package code map (legacy package and version to BIBS package version)</t>
        </is>
      </c>
      <c r="C10" s="12" t="n"/>
      <c r="D10" s="12" t="inlineStr">
        <is>
          <t>Under 200 legacy packages</t>
        </is>
      </c>
      <c r="E10" s="12" t="inlineStr">
        <is>
          <t>Legacy packages of in-force policies</t>
        </is>
      </c>
      <c r="F10" s="12" t="inlineStr">
        <is>
          <t>New map versions until the map freeze (T-7 days)</t>
        </is>
      </c>
      <c r="G10" s="12" t="inlineStr">
        <is>
          <t>XLSX or CSV</t>
        </is>
      </c>
      <c r="H10" s="12" t="inlineStr">
        <is>
          <t>Row count; count of distinct (legacy_package_code, legacy_package_version)</t>
        </is>
      </c>
      <c r="I10" s="12" t="inlineStr">
        <is>
          <t>M5 (18 Jun 2027); final at T-7</t>
        </is>
      </c>
      <c r="J10" s="12" t="n"/>
      <c r="K10" s="12" t="n"/>
      <c r="L10" s="12" t="n"/>
      <c r="M10" s="25" t="n"/>
    </row>
    <row r="11">
      <c r="A11" s="12" t="inlineStr">
        <is>
          <t>R07</t>
        </is>
      </c>
      <c r="B11" s="12" t="inlineStr">
        <is>
          <t>Commission rates by insurer and product</t>
        </is>
      </c>
      <c r="C11" s="12" t="n"/>
      <c r="D11" s="12" t="inlineStr">
        <is>
          <t>Insurers x products</t>
        </is>
      </c>
      <c r="E11" s="12" t="inlineStr">
        <is>
          <t>Rates effective at cutover and later</t>
        </is>
      </c>
      <c r="F11" s="12" t="inlineStr">
        <is>
          <t>None</t>
        </is>
      </c>
      <c r="G11" s="12" t="inlineStr">
        <is>
          <t>CSV</t>
        </is>
      </c>
      <c r="H11" s="12" t="inlineStr">
        <is>
          <t>Row count</t>
        </is>
      </c>
      <c r="I11" s="12" t="inlineStr">
        <is>
          <t>M3 (29 Jan 2027)</t>
        </is>
      </c>
      <c r="J11" s="12" t="n"/>
      <c r="K11" s="12" t="n"/>
      <c r="L11" s="12" t="n"/>
      <c r="M11" s="25" t="n"/>
    </row>
    <row r="12">
      <c r="A12" s="12" t="inlineStr">
        <is>
          <t>R08</t>
        </is>
      </c>
      <c r="B12" s="12" t="inlineStr">
        <is>
          <t>Chart of accounts mapping (legacy GL account to BIBS account)</t>
        </is>
      </c>
      <c r="C12" s="12" t="n"/>
      <c r="D12" s="12" t="inlineStr">
        <is>
          <t>A few thousand accounts</t>
        </is>
      </c>
      <c r="E12" s="12" t="inlineStr">
        <is>
          <t>Current chart</t>
        </is>
      </c>
      <c r="F12" s="12" t="inlineStr">
        <is>
          <t>None</t>
        </is>
      </c>
      <c r="G12" s="12" t="inlineStr">
        <is>
          <t>XLSX or CSV</t>
        </is>
      </c>
      <c r="H12" s="12" t="inlineStr">
        <is>
          <t>Row count</t>
        </is>
      </c>
      <c r="I12" s="12" t="inlineStr">
        <is>
          <t>M3 (29 Jan 2027)</t>
        </is>
      </c>
      <c r="J12" s="12" t="n"/>
      <c r="K12" s="12" t="n"/>
      <c r="L12" s="12" t="n"/>
      <c r="M12" s="25" t="n"/>
    </row>
    <row r="13">
      <c r="A13" s="12" t="inlineStr">
        <is>
          <t>R09</t>
        </is>
      </c>
      <c r="B13" s="12" t="inlineStr">
        <is>
          <t>Payees</t>
        </is>
      </c>
      <c r="C13" s="12" t="n"/>
      <c r="D13" s="12" t="inlineStr">
        <is>
          <t>To supply</t>
        </is>
      </c>
      <c r="E13" s="12" t="inlineStr">
        <is>
          <t>Active payees</t>
        </is>
      </c>
      <c r="F13" s="12" t="inlineStr">
        <is>
          <t>None</t>
        </is>
      </c>
      <c r="G13" s="12" t="inlineStr">
        <is>
          <t>CSV</t>
        </is>
      </c>
      <c r="H13" s="12" t="inlineStr">
        <is>
          <t>Row count</t>
        </is>
      </c>
      <c r="I13" s="12" t="inlineStr">
        <is>
          <t>M3 (29 Jan 2027)</t>
        </is>
      </c>
      <c r="J13" s="12" t="n"/>
      <c r="K13" s="12" t="n"/>
      <c r="L13" s="12" t="n"/>
      <c r="M13" s="25" t="n"/>
    </row>
    <row r="14">
      <c r="A14" s="12" t="inlineStr">
        <is>
          <t>R11</t>
        </is>
      </c>
      <c r="B14" s="12" t="inlineStr">
        <is>
          <t>Receipt series in use (AR and OR, ATP and next number)</t>
        </is>
      </c>
      <c r="C14" s="12" t="n"/>
      <c r="D14" s="12" t="inlineStr">
        <is>
          <t>One per branch and kind</t>
        </is>
      </c>
      <c r="E14" s="12" t="inlineStr">
        <is>
          <t>Series in use at the freeze</t>
        </is>
      </c>
      <c r="F14" s="12" t="inlineStr">
        <is>
          <t>Final values at the freeze (T-3)</t>
        </is>
      </c>
      <c r="G14" s="12" t="inlineStr">
        <is>
          <t>CSV</t>
        </is>
      </c>
      <c r="H14" s="12" t="inlineStr">
        <is>
          <t>Row count</t>
        </is>
      </c>
      <c r="I14" s="12" t="inlineStr">
        <is>
          <t>M3 (29 Jan 2027); final at T-3</t>
        </is>
      </c>
      <c r="J14" s="12" t="n"/>
      <c r="K14" s="12" t="n"/>
      <c r="L14" s="12" t="n"/>
      <c r="M14" s="25" t="n"/>
    </row>
    <row r="15">
      <c r="A15" s="12" t="inlineStr">
        <is>
          <t>C01</t>
        </is>
      </c>
      <c r="B15" s="12" t="inlineStr">
        <is>
          <t>Client master (individual and corporate)</t>
        </is>
      </c>
      <c r="C15" s="12" t="n"/>
      <c r="D15" s="12" t="inlineStr">
        <is>
          <t>Loaders sized for 1,000,000 rows</t>
        </is>
      </c>
      <c r="E15" s="12" t="inlineStr">
        <is>
          <t>Clients from 2020 to present (umbrella p.43); filter per DMQ05</t>
        </is>
      </c>
      <c r="F15" s="12" t="inlineStr">
        <is>
          <t>Daily new and changed clients from T-14 days until the freeze</t>
        </is>
      </c>
      <c r="G15" s="12" t="inlineStr">
        <is>
          <t>CSV</t>
        </is>
      </c>
      <c r="H15" s="12" t="inlineStr">
        <is>
          <t>Row count; count of distinct legacy_client_no</t>
        </is>
      </c>
      <c r="I15" s="12" t="inlineStr">
        <is>
          <t>M3 (29 Jan 2027); deltas daily from T-14 days</t>
        </is>
      </c>
      <c r="J15" s="12" t="n"/>
      <c r="K15" s="12" t="n"/>
      <c r="L15" s="12" t="n"/>
      <c r="M15" s="25" t="n"/>
    </row>
    <row r="16">
      <c r="A16" s="12" t="inlineStr">
        <is>
          <t>C03</t>
        </is>
      </c>
      <c r="B16" s="12" t="inlineStr">
        <is>
          <t>Client payout accounts (for refunds)</t>
        </is>
      </c>
      <c r="C16" s="12" t="n"/>
      <c r="D16" s="12" t="inlineStr">
        <is>
          <t>To supply</t>
        </is>
      </c>
      <c r="E16" s="12" t="inlineStr">
        <is>
          <t>Active accounts</t>
        </is>
      </c>
      <c r="F16" s="12" t="inlineStr">
        <is>
          <t>None</t>
        </is>
      </c>
      <c r="G16" s="12" t="inlineStr">
        <is>
          <t>CSV</t>
        </is>
      </c>
      <c r="H16" s="12" t="inlineStr">
        <is>
          <t>Row count</t>
        </is>
      </c>
      <c r="I16" s="12" t="inlineStr">
        <is>
          <t>M3 (29 Jan 2027)</t>
        </is>
      </c>
      <c r="J16" s="12" t="n"/>
      <c r="K16" s="12" t="n"/>
      <c r="L16" s="12" t="n"/>
      <c r="M16" s="25" t="n"/>
    </row>
    <row r="17">
      <c r="A17" s="12" t="inlineStr">
        <is>
          <t>C04</t>
        </is>
      </c>
      <c r="B17" s="12" t="inlineStr">
        <is>
          <t>KYC documents and IDs</t>
        </is>
      </c>
      <c r="C17" s="12" t="n"/>
      <c r="D17" s="12" t="inlineStr">
        <is>
          <t>To supply</t>
        </is>
      </c>
      <c r="E17" s="12" t="inlineStr">
        <is>
          <t>Per retention</t>
        </is>
      </c>
      <c r="F17" s="12" t="inlineStr">
        <is>
          <t>None</t>
        </is>
      </c>
      <c r="G17" s="12" t="inlineStr">
        <is>
          <t>CSV index plus files</t>
        </is>
      </c>
      <c r="H17" s="12" t="inlineStr">
        <is>
          <t>Row count; SHA-256 per file</t>
        </is>
      </c>
      <c r="I17" s="12" t="inlineStr">
        <is>
          <t>Before decommissioning</t>
        </is>
      </c>
      <c r="J17" s="12" t="n"/>
      <c r="K17" s="12" t="n"/>
      <c r="L17" s="12" t="n"/>
      <c r="M17" s="25" t="n"/>
    </row>
    <row r="18">
      <c r="A18" s="12" t="inlineStr">
        <is>
          <t>P01</t>
        </is>
      </c>
      <c r="B18" s="12" t="inlineStr">
        <is>
          <t>In-force policy headers</t>
        </is>
      </c>
      <c r="C18" s="12" t="n"/>
      <c r="D18" s="12" t="inlineStr">
        <is>
          <t>250,000-310,000 renewable accounts a year (umbrella p.44-45)</t>
        </is>
      </c>
      <c r="E18" s="12" t="inlineStr">
        <is>
          <t>Policies in force at T (DMQ09); at least every expiry from T to 31-May-2028 and every booked renewal term starting on or after T</t>
        </is>
      </c>
      <c r="F18" s="12" t="inlineStr">
        <is>
          <t>Single load after the freeze</t>
        </is>
      </c>
      <c r="G18" s="12" t="inlineStr">
        <is>
          <t>CSV</t>
        </is>
      </c>
      <c r="H18" s="12" t="inlineStr">
        <is>
          <t>Row count; sum of sum_insured and gross_premium per currency; count of distinct legacy_policy_ref</t>
        </is>
      </c>
      <c r="I18" s="12" t="inlineStr">
        <is>
          <t>M3 (29 Jan 2027); final at T-2</t>
        </is>
      </c>
      <c r="J18" s="12" t="n"/>
      <c r="K18" s="12" t="n"/>
      <c r="L18" s="12" t="n"/>
      <c r="M18" s="25" t="n"/>
    </row>
    <row r="19">
      <c r="A19" s="12" t="inlineStr">
        <is>
          <t>P02</t>
        </is>
      </c>
      <c r="B19" s="12" t="inlineStr">
        <is>
          <t>Expired policies and policy history</t>
        </is>
      </c>
      <c r="C19" s="12" t="n"/>
      <c r="D19" s="12" t="inlineStr">
        <is>
          <t>To supply</t>
        </is>
      </c>
      <c r="E19" s="12" t="inlineStr">
        <is>
          <t>Per retention (5 years online, 15 years archive, umbrella p.45)</t>
        </is>
      </c>
      <c r="F19" s="12" t="inlineStr">
        <is>
          <t>None</t>
        </is>
      </c>
      <c r="G19" s="12" t="inlineStr">
        <is>
          <t>CSV</t>
        </is>
      </c>
      <c r="H19" s="12" t="inlineStr">
        <is>
          <t>Row count and hash total per record type</t>
        </is>
      </c>
      <c r="I19" s="12" t="inlineStr">
        <is>
          <t>Before decommissioning</t>
        </is>
      </c>
      <c r="J19" s="12" t="n"/>
      <c r="K19" s="12" t="n"/>
      <c r="L19" s="12" t="n"/>
      <c r="M19" s="25" t="n"/>
    </row>
    <row r="20">
      <c r="A20" s="12" t="inlineStr">
        <is>
          <t>P03</t>
        </is>
      </c>
      <c r="B20" s="12" t="inlineStr">
        <is>
          <t>Renewal advices already sent before go-live (RA-sent file)</t>
        </is>
      </c>
      <c r="C20" s="12" t="n"/>
      <c r="D20" s="12" t="inlineStr">
        <is>
          <t>Small - at most the January-May 2028 expiries with an RA sent before go-live</t>
        </is>
      </c>
      <c r="E20" s="12" t="inlineStr">
        <is>
          <t>RAs sent before go-live for expiries from T to 31-May-2028</t>
        </is>
      </c>
      <c r="F20" s="12" t="inlineStr">
        <is>
          <t>One file in every trial migration; final file with the RAs sent up to T-5; resubmissions of corrected rows until T-1 12:00</t>
        </is>
      </c>
      <c r="G20" s="12" t="inlineStr">
        <is>
          <t>XLSX template (P03_template.xlsx) or CSV</t>
        </is>
      </c>
      <c r="H20" s="12" t="inlineStr">
        <is>
          <t>Row count; count of distinct legacy_policy_ref; sum of proposed_premium per currency</t>
        </is>
      </c>
      <c r="I20" s="12" t="inlineStr">
        <is>
          <t>M4 (9 Apr 2027) (Trial migration 1); final at T-5</t>
        </is>
      </c>
      <c r="J20" s="12" t="n"/>
      <c r="K20" s="12" t="n"/>
      <c r="L20" s="12" t="n"/>
      <c r="M20" s="25" t="n"/>
    </row>
    <row r="21">
      <c r="A21" s="12" t="inlineStr">
        <is>
          <t>F01</t>
        </is>
      </c>
      <c r="B21" s="12" t="inlineStr">
        <is>
          <t>Open legacy invoices (premium receivable, paid not remitted, commission receivable, PR2307), with components and insurer shares</t>
        </is>
      </c>
      <c r="C21" s="12" t="n"/>
      <c r="D21" s="12" t="inlineStr">
        <is>
          <t>Loaders sized for 500,000 rows</t>
        </is>
      </c>
      <c r="E21" s="12" t="inlineStr">
        <is>
          <t>Every invoice with any open component at T (DMQ10)</t>
        </is>
      </c>
      <c r="F21" s="12" t="inlineStr">
        <is>
          <t>Single load after the freeze</t>
        </is>
      </c>
      <c r="G21" s="12" t="inlineStr">
        <is>
          <t>CSV with control file</t>
        </is>
      </c>
      <c r="H21" s="12" t="inlineStr">
        <is>
          <t>Row count per file; sums per component, bucket and currency; count of distinct legacy_invoice_no</t>
        </is>
      </c>
      <c r="I21" s="12" t="inlineStr">
        <is>
          <t>M3 (29 Jan 2027); final at T-2</t>
        </is>
      </c>
      <c r="J21" s="12" t="n"/>
      <c r="K21" s="12" t="n"/>
      <c r="L21" s="12" t="n"/>
      <c r="M21" s="25" t="n"/>
    </row>
    <row r="22">
      <c r="A22" s="12" t="inlineStr">
        <is>
          <t>F02</t>
        </is>
      </c>
      <c r="B22" s="12" t="inlineStr">
        <is>
          <t>Unapplied premium payments (UPP) with disposition in progress</t>
        </is>
      </c>
      <c r="C22" s="12" t="n"/>
      <c r="D22" s="12" t="inlineStr">
        <is>
          <t>To supply</t>
        </is>
      </c>
      <c r="E22" s="12" t="inlineStr">
        <is>
          <t>Every UPP item with a balance at T</t>
        </is>
      </c>
      <c r="F22" s="12" t="inlineStr">
        <is>
          <t>Single load after the freeze</t>
        </is>
      </c>
      <c r="G22" s="12" t="inlineStr">
        <is>
          <t>CSV with control file</t>
        </is>
      </c>
      <c r="H22" s="12" t="inlineStr">
        <is>
          <t>Row count; sums of amount and balance per currency; count of distinct legacy_upp_ref</t>
        </is>
      </c>
      <c r="I22" s="12" t="inlineStr">
        <is>
          <t>M3 (29 Jan 2027); final at T-2</t>
        </is>
      </c>
      <c r="J22" s="12" t="n"/>
      <c r="K22" s="12" t="n"/>
      <c r="L22" s="12" t="n"/>
      <c r="M22" s="25" t="n"/>
    </row>
    <row r="23">
      <c r="A23" s="12" t="inlineStr">
        <is>
          <t>F03</t>
        </is>
      </c>
      <c r="B23" s="12" t="inlineStr">
        <is>
          <t>Open collection state (dispositions, promises to pay, installment plans, collector assignments)</t>
        </is>
      </c>
      <c r="C23" s="12" t="n"/>
      <c r="D23" s="12" t="inlineStr">
        <is>
          <t>1,200 dispositions a day (umbrella p.42)</t>
        </is>
      </c>
      <c r="E23" s="12" t="inlineStr">
        <is>
          <t>Open items only</t>
        </is>
      </c>
      <c r="F23" s="12" t="inlineStr">
        <is>
          <t>Single load after the freeze</t>
        </is>
      </c>
      <c r="G23" s="12" t="inlineStr">
        <is>
          <t>CSV</t>
        </is>
      </c>
      <c r="H23" s="12" t="inlineStr">
        <is>
          <t>Row count; sum of promise_amount per currency</t>
        </is>
      </c>
      <c r="I23" s="12" t="inlineStr">
        <is>
          <t>M3 (29 Jan 2027); final at T-2</t>
        </is>
      </c>
      <c r="J23" s="12" t="n"/>
      <c r="K23" s="12" t="n"/>
      <c r="L23" s="12" t="n"/>
      <c r="M23" s="25" t="n"/>
    </row>
    <row r="24">
      <c r="A24" s="12" t="inlineStr">
        <is>
          <t>F04</t>
        </is>
      </c>
      <c r="B24" s="12" t="inlineStr">
        <is>
          <t>Remittance in flight (batches not yet paid, holds, special remittances)</t>
        </is>
      </c>
      <c r="C24" s="12" t="n"/>
      <c r="D24" s="12" t="inlineStr">
        <is>
          <t>To supply</t>
        </is>
      </c>
      <c r="E24" s="12" t="inlineStr">
        <is>
          <t>Open at T</t>
        </is>
      </c>
      <c r="F24" s="12" t="inlineStr">
        <is>
          <t>Single load after the freeze</t>
        </is>
      </c>
      <c r="G24" s="12" t="inlineStr">
        <is>
          <t>CSV</t>
        </is>
      </c>
      <c r="H24" s="12" t="inlineStr">
        <is>
          <t>Row count; sum of amount per currency</t>
        </is>
      </c>
      <c r="I24" s="12" t="inlineStr">
        <is>
          <t>M3 (29 Jan 2027); final at T-2</t>
        </is>
      </c>
      <c r="J24" s="12" t="n"/>
      <c r="K24" s="12" t="n"/>
      <c r="L24" s="12" t="n"/>
      <c r="M24" s="25" t="n"/>
    </row>
    <row r="25">
      <c r="A25" s="12" t="inlineStr">
        <is>
          <t>F06</t>
        </is>
      </c>
      <c r="B25" s="12" t="inlineStr">
        <is>
          <t>PDCs in the warehouse, check pick-ups and refunds in process</t>
        </is>
      </c>
      <c r="C25" s="12" t="n"/>
      <c r="D25" s="12" t="inlineStr">
        <is>
          <t>To supply</t>
        </is>
      </c>
      <c r="E25" s="12" t="inlineStr">
        <is>
          <t>Open at T</t>
        </is>
      </c>
      <c r="F25" s="12" t="inlineStr">
        <is>
          <t>Single load after the freeze</t>
        </is>
      </c>
      <c r="G25" s="12" t="inlineStr">
        <is>
          <t>CSV</t>
        </is>
      </c>
      <c r="H25" s="12" t="inlineStr">
        <is>
          <t>Row count; sum of amount per currency and record type</t>
        </is>
      </c>
      <c r="I25" s="12" t="inlineStr">
        <is>
          <t>M3 (29 Jan 2027); final at T-2</t>
        </is>
      </c>
      <c r="J25" s="12" t="n"/>
      <c r="K25" s="12" t="n"/>
      <c r="L25" s="12" t="n"/>
      <c r="M25" s="25" t="n"/>
    </row>
    <row r="26">
      <c r="A26" s="12" t="inlineStr">
        <is>
          <t>G01</t>
        </is>
      </c>
      <c r="B26" s="12" t="inlineStr">
        <is>
          <t>GL trial balance per account, branch and currency (provisional opening; legacy TB at each true-up)</t>
        </is>
      </c>
      <c r="C26" s="12" t="n"/>
      <c r="D26" s="12" t="inlineStr">
        <is>
          <t>A few thousand lines</t>
        </is>
      </c>
      <c r="E26" s="12" t="inlineStr">
        <is>
          <t>Preliminary December 2027 TB after the last legacy EOD; the legacy TB at each true-up</t>
        </is>
      </c>
      <c r="F26" s="12" t="inlineStr">
        <is>
          <t>Single load after the freeze; one TB per true-up (about 18-Jan-2028 and after the audited FS)</t>
        </is>
      </c>
      <c r="G26" s="12" t="inlineStr">
        <is>
          <t>XLSX or CSV with control file</t>
        </is>
      </c>
      <c r="H26" s="12" t="inlineStr">
        <is>
          <t>Row count; total debit and total credit per branch and currency (must be equal)</t>
        </is>
      </c>
      <c r="I26" s="12" t="inlineStr">
        <is>
          <t>M3 (29 Jan 2027); final at T-2; at each true-up</t>
        </is>
      </c>
      <c r="J26" s="12" t="n"/>
      <c r="K26" s="12" t="n"/>
      <c r="L26" s="12" t="n"/>
      <c r="M26" s="25" t="n"/>
    </row>
    <row r="27">
      <c r="A27" s="12" t="inlineStr">
        <is>
          <t>G02</t>
        </is>
      </c>
      <c r="B27" s="12" t="inlineStr">
        <is>
          <t>GL history (journals and balances before cutover)</t>
        </is>
      </c>
      <c r="C27" s="12" t="n"/>
      <c r="D27" s="12" t="inlineStr">
        <is>
          <t>To supply</t>
        </is>
      </c>
      <c r="E27" s="12" t="inlineStr">
        <is>
          <t>Per retention</t>
        </is>
      </c>
      <c r="F27" s="12" t="inlineStr">
        <is>
          <t>None</t>
        </is>
      </c>
      <c r="G27" s="12" t="inlineStr">
        <is>
          <t>CSV</t>
        </is>
      </c>
      <c r="H27" s="12" t="inlineStr">
        <is>
          <t>Row count and debit / credit totals per period</t>
        </is>
      </c>
      <c r="I27" s="12" t="inlineStr">
        <is>
          <t>Before decommissioning</t>
        </is>
      </c>
      <c r="J27" s="12" t="n"/>
      <c r="K27" s="12" t="n"/>
      <c r="L27" s="12" t="n"/>
      <c r="M27" s="25" t="n"/>
    </row>
    <row r="28">
      <c r="A28" s="12" t="inlineStr">
        <is>
          <t>G03</t>
        </is>
      </c>
      <c r="B28" s="12" t="inlineStr">
        <is>
          <t>FY2027 opening-balance true-ups (legacy adjustment journals after the freeze and their open-item detail)</t>
        </is>
      </c>
      <c r="C28" s="12" t="n"/>
      <c r="D28" s="12" t="inlineStr">
        <is>
          <t>Tens to a few hundred journal lines per true-up</t>
        </is>
      </c>
      <c r="E28" s="12" t="inlineStr">
        <is>
          <t>Legacy journals posted after the freeze, dated in FY2027</t>
        </is>
      </c>
      <c r="F28" s="12" t="inlineStr">
        <is>
          <t>One set per true-up (true-up 1 about 18-Jan-2028; final after the audited FS, about March-April 2028)</t>
        </is>
      </c>
      <c r="G28" s="12" t="inlineStr">
        <is>
          <t>XLSX or CSV with control file</t>
        </is>
      </c>
      <c r="H28" s="12" t="inlineStr">
        <is>
          <t>Row count; debit and credit totals per branch and currency; count of distinct legacy_journal_no</t>
        </is>
      </c>
      <c r="I28" s="12" t="inlineStr">
        <is>
          <t>T+16 (true-up 1); T+92 (final)</t>
        </is>
      </c>
      <c r="J28" s="12" t="n"/>
      <c r="K28" s="12" t="n"/>
      <c r="L28" s="12" t="n"/>
      <c r="M28" s="25" t="n"/>
    </row>
    <row r="29">
      <c r="A29" s="12" t="inlineStr">
        <is>
          <t>H01</t>
        </is>
      </c>
      <c r="B29" s="12" t="inlineStr">
        <is>
          <t>Closed transactions (paid and remitted invoices, receipts, remittances, endorsements, claims, renewal advices, letters)</t>
        </is>
      </c>
      <c r="C29" s="12" t="n"/>
      <c r="D29" s="12" t="inlineStr">
        <is>
          <t>To supply</t>
        </is>
      </c>
      <c r="E29" s="12" t="inlineStr">
        <is>
          <t>Per retention (5 years online, 15 years archive, umbrella p.45)</t>
        </is>
      </c>
      <c r="F29" s="12" t="inlineStr">
        <is>
          <t>None</t>
        </is>
      </c>
      <c r="G29" s="12" t="inlineStr">
        <is>
          <t>CSV</t>
        </is>
      </c>
      <c r="H29" s="12" t="inlineStr">
        <is>
          <t>Row count, amount totals and hash total per record type</t>
        </is>
      </c>
      <c r="I29" s="12" t="inlineStr">
        <is>
          <t>Before decommissioning</t>
        </is>
      </c>
      <c r="J29" s="12" t="n"/>
      <c r="K29" s="12" t="n"/>
      <c r="L29" s="12" t="n"/>
      <c r="M29" s="25" t="n"/>
    </row>
    <row r="30">
      <c r="A30" s="12" t="inlineStr">
        <is>
          <t>H02</t>
        </is>
      </c>
      <c r="B30" s="12" t="inlineStr">
        <is>
          <t>Legacy documents (policies, SOAs, ORs, certificates, letters)</t>
        </is>
      </c>
      <c r="C30" s="12" t="n"/>
      <c r="D30" s="12" t="inlineStr">
        <is>
          <t>To supply</t>
        </is>
      </c>
      <c r="E30" s="12" t="inlineStr">
        <is>
          <t>Per retention</t>
        </is>
      </c>
      <c r="F30" s="12" t="inlineStr">
        <is>
          <t>None</t>
        </is>
      </c>
      <c r="G30" s="12" t="inlineStr">
        <is>
          <t>CSV index plus files</t>
        </is>
      </c>
      <c r="H30" s="12" t="inlineStr">
        <is>
          <t>Row count; SHA-256 per file</t>
        </is>
      </c>
      <c r="I30" s="12" t="inlineStr">
        <is>
          <t>Before decommissioning</t>
        </is>
      </c>
      <c r="J30" s="12" t="n"/>
      <c r="K30" s="12" t="n"/>
      <c r="L30" s="12" t="n"/>
      <c r="M30" s="25" t="n"/>
    </row>
  </sheetData>
  <autoFilter ref="A4:M30"/>
  <mergeCells count="1">
    <mergeCell ref="A2:M2"/>
  </mergeCells>
  <conditionalFormatting sqref="A5:M530">
    <cfRule type="expression" priority="1" dxfId="0">
      <formula>AND(MOD(ROW(),2)=0,$A5&lt;&gt;"")</formula>
    </cfRule>
  </conditionalFormatting>
  <dataValidations count="2">
    <dataValidation sqref="J5:J530" showDropDown="0" showInputMessage="0" showErrorMessage="1" allowBlank="1" errorTitle="BU review" error="Choose a value from the list (BU review)." type="list">
      <formula1>'_lists'!$D$1:$D$3</formula1>
    </dataValidation>
    <dataValidation sqref="M5:M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s>
  <sheetData>
    <row r="1" ht="24" customHeight="1">
      <c r="A1" s="19" t="inlineStr">
        <is>
          <t>Milestones</t>
        </is>
      </c>
    </row>
    <row r="2">
      <c r="A2" s="22" t="inlineStr">
        <is>
          <t>Milestones used in the Due and Needed-by columns</t>
        </is>
      </c>
    </row>
    <row r="3" ht="6" customHeight="1">
      <c r="A3" s="23" t="n"/>
      <c r="B3" s="23" t="n"/>
      <c r="C3" s="23" t="n"/>
    </row>
    <row r="4" ht="30" customHeight="1">
      <c r="A4" s="24" t="inlineStr">
        <is>
          <t>Milestone</t>
        </is>
      </c>
      <c r="B4" s="24" t="inlineStr">
        <is>
          <t>What is due</t>
        </is>
      </c>
      <c r="C4" s="24" t="inlineStr">
        <is>
          <t>When</t>
        </is>
      </c>
    </row>
    <row r="5">
      <c r="A5" s="12" t="inlineStr">
        <is>
          <t>M0</t>
        </is>
      </c>
      <c r="B5" s="12" t="inlineStr">
        <is>
          <t>Business sign-off set issued to BDOI (release set v2.0, with the BDOI answers to DMQ36-DMQ39)</t>
        </is>
      </c>
      <c r="C5" s="12" t="inlineStr">
        <is>
          <t>5 Oct 2026</t>
        </is>
      </c>
    </row>
    <row r="6">
      <c r="A6" s="12" t="inlineStr">
        <is>
          <t>M1</t>
        </is>
      </c>
      <c r="B6" s="12" t="inlineStr">
        <is>
          <t>Scope-shaping decisions (answers that change the migration functions)</t>
        </is>
      </c>
      <c r="C6" s="12" t="inlineStr">
        <is>
          <t>16 Oct 2026</t>
        </is>
      </c>
    </row>
    <row r="7">
      <c r="A7" s="12" t="inlineStr">
        <is>
          <t>M2</t>
        </is>
      </c>
      <c r="B7" s="12" t="inlineStr">
        <is>
          <t>Owners, stewards, keys and remaining business rules; object decisions signed (gate G1); layouts frozen, version 1 (G2 part 1) - end of requirements and mapping</t>
        </is>
      </c>
      <c r="C7" s="12" t="inlineStr">
        <is>
          <t>30 Oct 2026</t>
        </is>
      </c>
    </row>
    <row r="8">
      <c r="A8" s="12" t="inlineStr">
        <is>
          <t>M3</t>
        </is>
      </c>
      <c r="B8" s="12" t="inlineStr">
        <is>
          <t>First full extracts in the templates, with control files and volumes (profiling, performance sizing)</t>
        </is>
      </c>
      <c r="C8" s="12" t="inlineStr">
        <is>
          <t>29 Jan 2027</t>
        </is>
      </c>
    </row>
    <row r="9">
      <c r="A9" s="12" t="inlineStr">
        <is>
          <t>M4</t>
        </is>
      </c>
      <c r="B9" s="12" t="inlineStr">
        <is>
          <t>Extracts for Trial migration 1 (SIT migration starts); reference data and clients first</t>
        </is>
      </c>
      <c r="C9" s="12" t="inlineStr">
        <is>
          <t>9 Apr 2027</t>
        </is>
      </c>
    </row>
    <row r="10">
      <c r="A10" s="12" t="inlineStr">
        <is>
          <t>M5</t>
        </is>
      </c>
      <c r="B10" s="12" t="inlineStr">
        <is>
          <t>Code maps approved for Trial migration 2 (G2), including the package code map</t>
        </is>
      </c>
      <c r="C10" s="12" t="inlineStr">
        <is>
          <t>18 Jun 2027</t>
        </is>
      </c>
    </row>
    <row r="11">
      <c r="A11" s="12" t="inlineStr">
        <is>
          <t>M6</t>
        </is>
      </c>
      <c r="B11" s="12" t="inlineStr">
        <is>
          <t>Cut-over date and window, fallback and decommissioning criteria agreed; Comptrollership confirms the year-end option A (DMQ39)</t>
        </is>
      </c>
      <c r="C11" s="12" t="inlineStr">
        <is>
          <t>1 Oct 2027</t>
        </is>
      </c>
    </row>
  </sheetData>
  <autoFilter ref="A4:C11"/>
  <mergeCells count="1">
    <mergeCell ref="A2:C2"/>
  </mergeCells>
  <conditionalFormatting sqref="A5:C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00" customWidth="1" min="2" max="2"/>
    <col width="16" customWidth="1" min="3" max="3"/>
    <col width="40" customWidth="1" min="4" max="4"/>
    <col width="18" customWidth="1" min="5" max="5"/>
    <col width="13" customWidth="1" min="6" max="6"/>
  </cols>
  <sheetData>
    <row r="1" ht="24" customHeight="1">
      <c r="A1" s="19" t="inlineStr">
        <is>
          <t>File rules</t>
        </is>
      </c>
    </row>
    <row r="2">
      <c r="A2" s="22" t="inlineStr">
        <is>
          <t>Rules of every extract and control file: the delivery rules of the console workbook, then the rules of the migration</t>
        </is>
      </c>
    </row>
    <row r="3" ht="6" customHeight="1">
      <c r="A3" s="23" t="n"/>
      <c r="B3" s="23" t="n"/>
      <c r="C3" s="23" t="n"/>
      <c r="D3" s="23" t="n"/>
      <c r="E3" s="23" t="n"/>
      <c r="F3" s="23" t="n"/>
    </row>
    <row r="4" ht="30" customHeight="1">
      <c r="A4" s="24" t="inlineStr">
        <is>
          <t>Topic</t>
        </is>
      </c>
      <c r="B4" s="24" t="inlineStr">
        <is>
          <t>Rule</t>
        </is>
      </c>
      <c r="C4" s="24" t="inlineStr">
        <is>
          <t>BU review</t>
        </is>
      </c>
      <c r="D4" s="24" t="inlineStr">
        <is>
          <t>BU comment</t>
        </is>
      </c>
      <c r="E4" s="24" t="inlineStr">
        <is>
          <t>Reviewer</t>
        </is>
      </c>
      <c r="F4" s="24" t="inlineStr">
        <is>
          <t>Review date</t>
        </is>
      </c>
    </row>
    <row r="5">
      <c r="A5" s="12" t="inlineStr">
        <is>
          <t>File name</t>
        </is>
      </c>
      <c r="B5" s="12" t="inlineStr">
        <is>
          <t>&lt;LAYOUT&gt;_&lt;SOURCE&gt;_&lt;yyyyMMdd&gt;_&lt;nn&gt;.xlsx or .csv, for example F01C_EBIX_20271231_01.xlsx: the layout code, the source system, the as-of date and the sequence of the day</t>
        </is>
      </c>
      <c r="C5" s="12" t="n"/>
      <c r="D5" s="12" t="n"/>
      <c r="E5" s="12" t="n"/>
      <c r="F5" s="25" t="n"/>
    </row>
    <row r="6">
      <c r="A6" s="12" t="inlineStr">
        <is>
          <t>One file per</t>
        </is>
      </c>
      <c r="B6" s="12" t="inlineStr">
        <is>
          <t>Layout, source system and extract; an object with several layouts sends one file per layout with the same as-of date</t>
        </is>
      </c>
      <c r="C6" s="12" t="n"/>
      <c r="D6" s="12" t="n"/>
      <c r="E6" s="12" t="n"/>
      <c r="F6" s="25" t="n"/>
    </row>
    <row r="7">
      <c r="A7" s="12" t="inlineStr">
        <is>
          <t>Excel</t>
        </is>
      </c>
      <c r="B7" s="12" t="inlineStr">
        <is>
          <t>The load template of the console, uploaded as it is: its guide rows and example row are skipped and the sheet of the layout is read; a workbook of several layouts is uploaded once per layout, named after that layout. A plain workbook has the header in row 1 of its first sheet, no merged cells, no formulas</t>
        </is>
      </c>
      <c r="C7" s="12" t="n"/>
      <c r="D7" s="12" t="n"/>
      <c r="E7" s="12" t="n"/>
      <c r="F7" s="25" t="n"/>
    </row>
    <row r="8">
      <c r="A8" s="12" t="inlineStr">
        <is>
          <t>CSV</t>
        </is>
      </c>
      <c r="B8" s="12" t="inlineStr">
        <is>
          <t>For large extracts: UTF-8 without byte order mark, comma separator, double quotes around values that hold a comma, a quote or a line break, one header row with the column names exactly as in the template</t>
        </is>
      </c>
      <c r="C8" s="12" t="n"/>
      <c r="D8" s="12" t="n"/>
      <c r="E8" s="12" t="n"/>
      <c r="F8" s="25" t="n"/>
    </row>
    <row r="9">
      <c r="A9" s="12" t="inlineStr">
        <is>
          <t>Values</t>
        </is>
      </c>
      <c r="B9" s="12" t="inlineStr">
        <is>
          <t>Dates as Excel dates or yyyy-MM-dd; timestamps yyyy-MM-dd HH:mm:ss (Philippine time); amounts with a dot decimal, 2 decimals, no thousands separator, minus sign for negatives; currency ISO 4217; codes exactly as stored in the legacy system; blank means no value</t>
        </is>
      </c>
      <c r="C9" s="12" t="n"/>
      <c r="D9" s="12" t="n"/>
      <c r="E9" s="12" t="n"/>
      <c r="F9" s="25" t="n"/>
    </row>
    <row r="10">
      <c r="A10" s="12" t="inlineStr">
        <is>
          <t>Control file</t>
        </is>
      </c>
      <c r="B10" s="12" t="inlineStr">
        <is>
          <t>&lt;data file name&gt;.ctl.xlsx or .ctl.csv in the control layout: the row count, the hash total of the key column, the total of each amount column per currency and the SHA-256 of the data file, one row per measure</t>
        </is>
      </c>
      <c r="C10" s="12" t="n"/>
      <c r="D10" s="12" t="n"/>
      <c r="E10" s="12" t="n"/>
      <c r="F10" s="25" t="n"/>
    </row>
    <row r="11">
      <c r="A11" s="12" t="inlineStr">
        <is>
          <t>Delivery</t>
        </is>
      </c>
      <c r="B11" s="12" t="inlineStr">
        <is>
          <t>Upload the data file and its control file together on the Extracts screen of the Migration Console; never by e-mail</t>
        </is>
      </c>
      <c r="C11" s="12" t="n"/>
      <c r="D11" s="12" t="n"/>
      <c r="E11" s="12" t="n"/>
      <c r="F11" s="25" t="n"/>
    </row>
    <row r="12">
      <c r="A12" s="12" t="inlineStr">
        <is>
          <t>Checks</t>
        </is>
      </c>
      <c r="B12" s="12" t="inlineStr">
        <is>
          <t>A file whose checksum, header, row count, amount totals or hash total does not agree with its control file is rejected with the reason; nothing of it is loaded</t>
        </is>
      </c>
      <c r="C12" s="12" t="n"/>
      <c r="D12" s="12" t="n"/>
      <c r="E12" s="12" t="n"/>
      <c r="F12" s="25" t="n"/>
    </row>
    <row r="13">
      <c r="A13" s="12" t="inlineStr">
        <is>
          <t>Personal data</t>
        </is>
      </c>
      <c r="B13" s="12" t="inlineStr">
        <is>
          <t>Production extracts are loaded only in production. Every other environment receives masked data: names, addresses, TIN, ID, account and phone numbers, e-mail addresses and birth dates are masked when the file is received. Staged rows and files are deleted within 5 days of the batch sign-off</t>
        </is>
      </c>
      <c r="C13" s="12" t="n"/>
      <c r="D13" s="12" t="n"/>
      <c r="E13" s="12" t="n"/>
      <c r="F13" s="25" t="n"/>
    </row>
    <row r="14">
      <c r="A14" s="12" t="inlineStr">
        <is>
          <t>Layout changes</t>
        </is>
      </c>
      <c r="B14" s="12" t="inlineStr">
        <is>
          <t>A layout is frozen at gate G2. A file whose header does not match the layout in force is rejected. A change of layout is a new layout version agreed with the Data Migration Lead</t>
        </is>
      </c>
      <c r="C14" s="12" t="n"/>
      <c r="D14" s="12" t="n"/>
      <c r="E14" s="12" t="n"/>
      <c r="F14" s="25" t="n"/>
    </row>
    <row r="15">
      <c r="A15" s="12" t="inlineStr">
        <is>
          <t>Load template workbook of P03</t>
        </is>
      </c>
      <c r="B15" s="12" t="inlineStr">
        <is>
          <t>The Renewal processing team may send the RA-sent file in the load template workbook of layout P03 exported by the Migration Console (the template sheet with the guide rows Mandatory, Format, Allowed values and What to enter directly above the header row, and the Lists sheet with the allowed values); the CSV template is also accepted</t>
        </is>
      </c>
      <c r="C15" s="12" t="n"/>
      <c r="D15" s="12" t="n"/>
      <c r="E15" s="12" t="n"/>
      <c r="F15" s="25" t="n"/>
    </row>
  </sheetData>
  <autoFilter ref="A4:F15"/>
  <mergeCells count="1">
    <mergeCell ref="A2:F2"/>
  </mergeCells>
  <conditionalFormatting sqref="A5:F515">
    <cfRule type="expression" priority="1" dxfId="0">
      <formula>AND(MOD(ROW(),2)=0,$A5&lt;&gt;"")</formula>
    </cfRule>
  </conditionalFormatting>
  <dataValidations count="2">
    <dataValidation sqref="C5:C515" showDropDown="0" showInputMessage="0" showErrorMessage="1" allowBlank="1" errorTitle="BU review" error="Choose a value from the list (BU review)." type="list">
      <formula1>'_lists'!$E$1:$E$3</formula1>
    </dataValidation>
    <dataValidation sqref="F5:F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tabColor rgb="00FDB913"/>
    <outlinePr summaryBelow="1" summaryRight="1"/>
    <pageSetUpPr fitToPage="1"/>
  </sheetPr>
  <dimension ref="A2:P51"/>
  <sheetViews>
    <sheetView showGridLines="0" workbookViewId="0">
      <selection activeCell="A1" sqref="A1"/>
    </sheetView>
  </sheetViews>
  <sheetFormatPr baseColWidth="8" defaultRowHeight="15"/>
  <cols>
    <col width="6" customWidth="1" min="1" max="1"/>
    <col width="8" customWidth="1" min="2" max="2"/>
    <col width="8" customWidth="1" min="3" max="3"/>
    <col width="30" customWidth="1" min="4" max="4"/>
    <col width="30" customWidth="1" min="5" max="5"/>
    <col width="18" customWidth="1" min="6" max="6"/>
    <col width="12" customWidth="1" min="7" max="7"/>
    <col width="14" customWidth="1" min="8" max="8"/>
    <col width="8" customWidth="1" min="9" max="9"/>
    <col width="9" customWidth="1" min="10" max="10"/>
    <col width="20" customWidth="1" min="11" max="11"/>
    <col width="18" customWidth="1" min="12" max="12"/>
    <col width="9" customWidth="1" min="13" max="13"/>
    <col width="10" customWidth="1" min="14" max="14"/>
    <col width="14" customWidth="1" min="15" max="15"/>
    <col width="8" customWidth="1" min="16" max="16"/>
  </cols>
  <sheetData>
    <row r="1" ht="34" customHeight="1"/>
    <row r="2" ht="6" customHeight="1">
      <c r="A2" s="1" t="n"/>
      <c r="B2" s="1" t="n"/>
      <c r="C2" s="1" t="n"/>
      <c r="D2" s="1" t="n"/>
      <c r="E2" s="1" t="n"/>
      <c r="F2" s="1" t="n"/>
      <c r="G2" s="1" t="n"/>
      <c r="H2" s="1" t="n"/>
      <c r="I2" s="1" t="n"/>
      <c r="J2" s="1" t="n"/>
      <c r="K2" s="1" t="n"/>
      <c r="L2" s="1" t="n"/>
      <c r="M2" s="1" t="n"/>
      <c r="N2" s="1" t="n"/>
      <c r="O2" s="1" t="n"/>
      <c r="P2" s="1" t="n"/>
    </row>
    <row r="3" ht="28" customHeight="1">
      <c r="A3" s="26" t="inlineStr">
        <is>
          <t>Load templates – start here</t>
        </is>
      </c>
    </row>
    <row r="4">
      <c r="A4" s="27" t="inlineStr">
        <is>
          <t>The extract layouts in force, in load order, each with its sheet</t>
        </is>
      </c>
    </row>
    <row r="6">
      <c r="A6" s="28" t="inlineStr">
        <is>
          <t>Client</t>
        </is>
      </c>
      <c r="B6" s="29" t="n"/>
      <c r="C6" s="30" t="inlineStr">
        <is>
          <t>BDO Insurance and Reinsurance Brokers, Inc.</t>
        </is>
      </c>
      <c r="D6" s="31" t="n"/>
      <c r="E6" s="31" t="n"/>
      <c r="F6" s="31" t="n"/>
      <c r="G6" s="31" t="n"/>
      <c r="H6" s="31" t="n"/>
    </row>
    <row r="7">
      <c r="A7" s="28" t="inlineStr">
        <is>
          <t>Release set</t>
        </is>
      </c>
      <c r="B7" s="29" t="n"/>
      <c r="C7" s="30" t="inlineStr">
        <is>
          <t>BRD-13 Data Migration (Drop 0, Setup and Data Migration)</t>
        </is>
      </c>
      <c r="D7" s="31" t="n"/>
      <c r="E7" s="31" t="n"/>
      <c r="F7" s="31" t="n"/>
      <c r="G7" s="31" t="n"/>
      <c r="H7" s="31" t="n"/>
    </row>
    <row r="8">
      <c r="A8" s="28" t="inlineStr">
        <is>
          <t>Version and date</t>
        </is>
      </c>
      <c r="B8" s="29" t="n"/>
      <c r="C8" s="30" t="inlineStr">
        <is>
          <t>Version 2.1, 8 October 2026</t>
        </is>
      </c>
      <c r="D8" s="31" t="n"/>
      <c r="E8" s="31" t="n"/>
      <c r="F8" s="31" t="n"/>
      <c r="G8" s="31" t="n"/>
      <c r="H8" s="31" t="n"/>
    </row>
    <row r="9">
      <c r="A9" s="28" t="inlineStr">
        <is>
          <t>Owner</t>
        </is>
      </c>
      <c r="B9" s="29" t="n"/>
      <c r="C9" s="30" t="inlineStr">
        <is>
          <t>Program Manager, Business Project Services (Data Migration)</t>
        </is>
      </c>
      <c r="D9" s="31" t="n"/>
      <c r="E9" s="31" t="n"/>
      <c r="F9" s="31" t="n"/>
      <c r="G9" s="31" t="n"/>
      <c r="H9" s="31" t="n"/>
    </row>
    <row r="10">
      <c r="A10" s="28" t="inlineStr">
        <is>
          <t>Due</t>
        </is>
      </c>
      <c r="B10" s="29" t="n"/>
      <c r="C10" s="30" t="inlineStr">
        <is>
          <t>Per object: the Due of the index (milestones on the sheet Milestones)</t>
        </is>
      </c>
      <c r="D10" s="31" t="n"/>
      <c r="E10" s="31" t="n"/>
      <c r="F10" s="31" t="n"/>
      <c r="G10" s="31" t="n"/>
      <c r="H10" s="31" t="n"/>
    </row>
    <row r="12">
      <c r="A12" s="9" t="inlineStr">
        <is>
          <t>How to fill in this workbook</t>
        </is>
      </c>
    </row>
    <row r="13" ht="29" customHeight="1">
      <c r="A13" s="32" t="n">
        <v>1</v>
      </c>
      <c r="B13" s="33" t="inlineStr">
        <is>
          <t>The index below lists the load templates in load order: reference data first, then clients, policies, open items, the general ledger and the archive. Each template has a sheet of its own, named as in the workbook the Migration Console exports (Layouts and Rules); the extracts are sent as CSV files with their control file (sheets File rules and Control file).</t>
        </is>
      </c>
    </row>
    <row r="14" ht="29" customHeight="1">
      <c r="A14" s="32" t="n">
        <v>2</v>
      </c>
      <c r="B14" s="33" t="inlineStr">
        <is>
          <t>On a template sheet, the header block says what one row holds, who provides it, when it is due and how it is loaded; above each column the guide gives Mandatory, Format (type and length), Allowed values or the code map, What to enter and the check applied when the file is loaded. The header row is the header row of the file; * marks a mandatory column.</t>
        </is>
      </c>
    </row>
    <row r="15" ht="16" customHeight="1">
      <c r="A15" s="32" t="n">
        <v>3</v>
      </c>
      <c r="B15" s="33" t="inlineStr">
        <is>
          <t>Review each column: set BU review (Accept, Change requested or Comment) and write the change in BU comment, in the two rows above the guide; record your name and the date in Reviewed by and Review date.</t>
        </is>
      </c>
    </row>
    <row r="16" ht="16" customHeight="1">
      <c r="A16" s="32" t="n">
        <v>4</v>
      </c>
      <c r="B16" s="33" t="inlineStr">
        <is>
          <t>The grey example row is made up. Test rows may be entered under it for the review: the drop-downs offer the allowed values (sheet Reference lists) and a mandatory cell left empty turns red.</t>
        </is>
      </c>
    </row>
    <row r="17" ht="16" customHeight="1">
      <c r="A17" s="32" t="n">
        <v>5</v>
      </c>
      <c r="B17" s="33" t="inlineStr">
        <is>
          <t>Set the Status of each template in the index. Questions go to the Comments log with the template and the column.</t>
        </is>
      </c>
    </row>
    <row r="19">
      <c r="A19" s="9" t="inlineStr">
        <is>
          <t>Load templates in load order</t>
        </is>
      </c>
    </row>
    <row r="20" ht="30" customHeight="1">
      <c r="A20" s="34" t="inlineStr">
        <is>
          <t>Step</t>
        </is>
      </c>
      <c r="B20" s="34" t="inlineStr">
        <is>
          <t>Layout</t>
        </is>
      </c>
      <c r="C20" s="34" t="inlineStr">
        <is>
          <t>Object</t>
        </is>
      </c>
      <c r="D20" s="34" t="inlineStr">
        <is>
          <t>Content</t>
        </is>
      </c>
      <c r="E20" s="34" t="inlineStr">
        <is>
          <t>Provided by</t>
        </is>
      </c>
      <c r="F20" s="34" t="inlineStr">
        <is>
          <t>Due</t>
        </is>
      </c>
      <c r="G20" s="34" t="inlineStr">
        <is>
          <t>Decision</t>
        </is>
      </c>
      <c r="H20" s="34" t="inlineStr">
        <is>
          <t>Loads after</t>
        </is>
      </c>
      <c r="I20" s="34" t="inlineStr">
        <is>
          <t>Columns</t>
        </is>
      </c>
      <c r="J20" s="34" t="inlineStr">
        <is>
          <t>Mandatory</t>
        </is>
      </c>
      <c r="K20" s="34" t="inlineStr">
        <is>
          <t>Key</t>
        </is>
      </c>
      <c r="L20" s="34" t="inlineStr">
        <is>
          <t>File</t>
        </is>
      </c>
      <c r="M20" s="34" t="inlineStr">
        <is>
          <t>Rows entered</t>
        </is>
      </c>
      <c r="N20" s="34" t="inlineStr">
        <is>
          <t>Mandatory cells missing</t>
        </is>
      </c>
      <c r="O20" s="34" t="inlineStr">
        <is>
          <t>Status</t>
        </is>
      </c>
      <c r="P20" s="34" t="inlineStr">
        <is>
          <t>Open</t>
        </is>
      </c>
    </row>
    <row r="21" ht="56" customHeight="1">
      <c r="A21" s="35" t="n">
        <v>1</v>
      </c>
      <c r="B21" s="36" t="inlineStr">
        <is>
          <t>R01</t>
        </is>
      </c>
      <c r="C21" s="36" t="inlineStr">
        <is>
          <t>R01</t>
        </is>
      </c>
      <c r="D21" s="36" t="inlineStr">
        <is>
          <t>Lists of values and MIS values</t>
        </is>
      </c>
      <c r="E21" s="36" t="inlineStr">
        <is>
          <t>MBS data steward (to name); approved by Product Owner, Marketing Business System (MBS); extracted by BDOI IT</t>
        </is>
      </c>
      <c r="F21" s="36" t="inlineStr">
        <is>
          <t>M3 (29 Jan 2027)</t>
        </is>
      </c>
      <c r="G21" s="36" t="inlineStr">
        <is>
          <t>Migrate</t>
        </is>
      </c>
      <c r="H21" s="36" t="inlineStr">
        <is>
          <t>-</t>
        </is>
      </c>
      <c r="I21" s="37" t="n">
        <v>8</v>
      </c>
      <c r="J21" s="37" t="n">
        <v>4</v>
      </c>
      <c r="K21" s="36" t="inlineStr">
        <is>
          <t>list_type, code</t>
        </is>
      </c>
      <c r="L21" s="36" t="inlineStr">
        <is>
          <t>R01_template.csv</t>
        </is>
      </c>
      <c r="M21" s="37">
        <f>'R01 Lists of values and MIS val'!$C$9</f>
        <v/>
      </c>
      <c r="N21" s="37">
        <f>'R01 Lists of values and MIS val'!$E$9</f>
        <v/>
      </c>
      <c r="O21" s="36" t="inlineStr">
        <is>
          <t>Not started</t>
        </is>
      </c>
      <c r="P21" s="38" t="inlineStr">
        <is>
          <t>Open →</t>
        </is>
      </c>
    </row>
    <row r="22" ht="43" customHeight="1">
      <c r="A22" s="39" t="n">
        <v>2</v>
      </c>
      <c r="B22" s="40" t="inlineStr">
        <is>
          <t>R02</t>
        </is>
      </c>
      <c r="C22" s="40" t="inlineStr">
        <is>
          <t>R02</t>
        </is>
      </c>
      <c r="D22" s="40" t="inlineStr">
        <is>
          <t>Branches and invoicing branches</t>
        </is>
      </c>
      <c r="E22" s="40" t="inlineStr">
        <is>
          <t>Comptrollership data steward (to name); approved by Head, Comptrollership; extracted by BDOI IT</t>
        </is>
      </c>
      <c r="F22" s="40" t="inlineStr">
        <is>
          <t>M3 (29 Jan 2027)</t>
        </is>
      </c>
      <c r="G22" s="40" t="inlineStr">
        <is>
          <t>Migrate</t>
        </is>
      </c>
      <c r="H22" s="40" t="inlineStr">
        <is>
          <t>-</t>
        </is>
      </c>
      <c r="I22" s="41" t="n">
        <v>5</v>
      </c>
      <c r="J22" s="41" t="n">
        <v>4</v>
      </c>
      <c r="K22" s="40" t="inlineStr">
        <is>
          <t>branch_code</t>
        </is>
      </c>
      <c r="L22" s="40" t="inlineStr">
        <is>
          <t>R02_template.csv</t>
        </is>
      </c>
      <c r="M22" s="41">
        <f>'R02 Branches and invoicing bran'!$C$9</f>
        <v/>
      </c>
      <c r="N22" s="41">
        <f>'R02 Branches and invoicing bran'!$E$9</f>
        <v/>
      </c>
      <c r="O22" s="40" t="inlineStr">
        <is>
          <t>Not started</t>
        </is>
      </c>
      <c r="P22" s="42" t="inlineStr">
        <is>
          <t>Open →</t>
        </is>
      </c>
    </row>
    <row r="23" ht="43" customHeight="1">
      <c r="A23" s="35" t="n">
        <v>3</v>
      </c>
      <c r="B23" s="36" t="inlineStr">
        <is>
          <t>R03</t>
        </is>
      </c>
      <c r="C23" s="36" t="inlineStr">
        <is>
          <t>R03</t>
        </is>
      </c>
      <c r="D23" s="36" t="inlineStr">
        <is>
          <t>Sales organisation (units and account officers)</t>
        </is>
      </c>
      <c r="E23" s="36" t="inlineStr">
        <is>
          <t>Marketing data steward (to name); approved by Heads, Retail and Corporate Marketing; extracted by BDOI IT</t>
        </is>
      </c>
      <c r="F23" s="36" t="inlineStr">
        <is>
          <t>M3 (29 Jan 2027)</t>
        </is>
      </c>
      <c r="G23" s="36" t="inlineStr">
        <is>
          <t>Migrate</t>
        </is>
      </c>
      <c r="H23" s="36" t="inlineStr">
        <is>
          <t>R02</t>
        </is>
      </c>
      <c r="I23" s="37" t="n">
        <v>11</v>
      </c>
      <c r="J23" s="37" t="n">
        <v>3</v>
      </c>
      <c r="K23" s="36" t="inlineStr">
        <is>
          <t>record_type, unit_code, ao_user_id</t>
        </is>
      </c>
      <c r="L23" s="36" t="inlineStr">
        <is>
          <t>R03_template.csv</t>
        </is>
      </c>
      <c r="M23" s="37">
        <f>'R03 Sales organisation (units a'!$C$9</f>
        <v/>
      </c>
      <c r="N23" s="37">
        <f>'R03 Sales organisation (units a'!$E$9</f>
        <v/>
      </c>
      <c r="O23" s="36" t="inlineStr">
        <is>
          <t>Not started</t>
        </is>
      </c>
      <c r="P23" s="38" t="inlineStr">
        <is>
          <t>Open →</t>
        </is>
      </c>
    </row>
    <row r="24" ht="43" customHeight="1">
      <c r="A24" s="39" t="n">
        <v>4</v>
      </c>
      <c r="B24" s="40" t="inlineStr">
        <is>
          <t>R04</t>
        </is>
      </c>
      <c r="C24" s="40" t="inlineStr">
        <is>
          <t>R04</t>
        </is>
      </c>
      <c r="D24" s="40" t="inlineStr">
        <is>
          <t>Insurers</t>
        </is>
      </c>
      <c r="E24" s="40" t="inlineStr">
        <is>
          <t>Operations data steward (to name); approved by Head, Operations; extracted by BDOI IT</t>
        </is>
      </c>
      <c r="F24" s="40" t="inlineStr">
        <is>
          <t>M3 (29 Jan 2027)</t>
        </is>
      </c>
      <c r="G24" s="40" t="inlineStr">
        <is>
          <t>Migrate</t>
        </is>
      </c>
      <c r="H24" s="40" t="inlineStr">
        <is>
          <t>-</t>
        </is>
      </c>
      <c r="I24" s="41" t="n">
        <v>10</v>
      </c>
      <c r="J24" s="41" t="n">
        <v>3</v>
      </c>
      <c r="K24" s="40" t="inlineStr">
        <is>
          <t>insurer_code</t>
        </is>
      </c>
      <c r="L24" s="40" t="inlineStr">
        <is>
          <t>R04_template.csv</t>
        </is>
      </c>
      <c r="M24" s="41">
        <f>'R04 Insurers'!$C$9</f>
        <v/>
      </c>
      <c r="N24" s="41">
        <f>'R04 Insurers'!$E$9</f>
        <v/>
      </c>
      <c r="O24" s="40" t="inlineStr">
        <is>
          <t>Not started</t>
        </is>
      </c>
      <c r="P24" s="42" t="inlineStr">
        <is>
          <t>Open →</t>
        </is>
      </c>
    </row>
    <row r="25" ht="43" customHeight="1">
      <c r="A25" s="35" t="n">
        <v>5</v>
      </c>
      <c r="B25" s="36" t="inlineStr">
        <is>
          <t>R04B</t>
        </is>
      </c>
      <c r="C25" s="36" t="inlineStr">
        <is>
          <t>R04</t>
        </is>
      </c>
      <c r="D25" s="36" t="inlineStr">
        <is>
          <t>Insurer branches</t>
        </is>
      </c>
      <c r="E25" s="36" t="inlineStr">
        <is>
          <t>Operations data steward (to name); approved by Head, Operations; extracted by BDOI IT</t>
        </is>
      </c>
      <c r="F25" s="36" t="inlineStr">
        <is>
          <t>M3 (29 Jan 2027)</t>
        </is>
      </c>
      <c r="G25" s="36" t="inlineStr">
        <is>
          <t>Migrate</t>
        </is>
      </c>
      <c r="H25" s="36" t="inlineStr">
        <is>
          <t>R04</t>
        </is>
      </c>
      <c r="I25" s="37" t="n">
        <v>7</v>
      </c>
      <c r="J25" s="37" t="n">
        <v>4</v>
      </c>
      <c r="K25" s="36" t="inlineStr">
        <is>
          <t>insurer_code, branch_code</t>
        </is>
      </c>
      <c r="L25" s="36" t="inlineStr">
        <is>
          <t>R04B_template.csv</t>
        </is>
      </c>
      <c r="M25" s="37">
        <f>'R04B Insurer branches'!$C$9</f>
        <v/>
      </c>
      <c r="N25" s="37">
        <f>'R04B Insurer branches'!$E$9</f>
        <v/>
      </c>
      <c r="O25" s="36" t="inlineStr">
        <is>
          <t>Not started</t>
        </is>
      </c>
      <c r="P25" s="38" t="inlineStr">
        <is>
          <t>Open →</t>
        </is>
      </c>
    </row>
    <row r="26" ht="43" customHeight="1">
      <c r="A26" s="39" t="n">
        <v>6</v>
      </c>
      <c r="B26" s="40" t="inlineStr">
        <is>
          <t>R05</t>
        </is>
      </c>
      <c r="C26" s="40" t="inlineStr">
        <is>
          <t>R05</t>
        </is>
      </c>
      <c r="D26" s="40" t="inlineStr">
        <is>
          <t>Product lines, cover types, products and risk codes</t>
        </is>
      </c>
      <c r="E26" s="40" t="inlineStr">
        <is>
          <t>MBS data steward (to name); approved by Product Owner, MBS; extracted by BDOI IT</t>
        </is>
      </c>
      <c r="F26" s="40" t="inlineStr">
        <is>
          <t>M3 (29 Jan 2027)</t>
        </is>
      </c>
      <c r="G26" s="40" t="inlineStr">
        <is>
          <t>Migrate</t>
        </is>
      </c>
      <c r="H26" s="40" t="inlineStr">
        <is>
          <t>-</t>
        </is>
      </c>
      <c r="I26" s="41" t="n">
        <v>9</v>
      </c>
      <c r="J26" s="41" t="n">
        <v>4</v>
      </c>
      <c r="K26" s="40" t="inlineStr">
        <is>
          <t>risk_code</t>
        </is>
      </c>
      <c r="L26" s="40" t="inlineStr">
        <is>
          <t>R05_template.csv</t>
        </is>
      </c>
      <c r="M26" s="41">
        <f>'R05 Product lines, cover types,'!$C$9</f>
        <v/>
      </c>
      <c r="N26" s="41">
        <f>'R05 Product lines, cover types,'!$E$9</f>
        <v/>
      </c>
      <c r="O26" s="40" t="inlineStr">
        <is>
          <t>Not started</t>
        </is>
      </c>
      <c r="P26" s="42" t="inlineStr">
        <is>
          <t>Open →</t>
        </is>
      </c>
    </row>
    <row r="27" ht="56" customHeight="1">
      <c r="A27" s="35" t="n">
        <v>7</v>
      </c>
      <c r="B27" s="36" t="inlineStr">
        <is>
          <t>R06</t>
        </is>
      </c>
      <c r="C27" s="36" t="inlineStr">
        <is>
          <t>R06</t>
        </is>
      </c>
      <c r="D27" s="36" t="inlineStr">
        <is>
          <t>Package code map (legacy package to BIBS package version)</t>
        </is>
      </c>
      <c r="E27" s="36" t="inlineStr">
        <is>
          <t>TSU (to name); approved by Product Owner, MBS (approves); TSU (prepares); extracted by BDOI IT</t>
        </is>
      </c>
      <c r="F27" s="36" t="inlineStr">
        <is>
          <t>M5 (18 Jun 2027); final at T-7</t>
        </is>
      </c>
      <c r="G27" s="36" t="inlineStr">
        <is>
          <t>Migrate</t>
        </is>
      </c>
      <c r="H27" s="36" t="inlineStr">
        <is>
          <t>-</t>
        </is>
      </c>
      <c r="I27" s="37" t="n">
        <v>8</v>
      </c>
      <c r="J27" s="37" t="n">
        <v>4</v>
      </c>
      <c r="K27" s="36" t="inlineStr">
        <is>
          <t>legacy_package_code, legacy_package_version, qualifier, qualifier_value</t>
        </is>
      </c>
      <c r="L27" s="36" t="inlineStr">
        <is>
          <t>R06_template.csv</t>
        </is>
      </c>
      <c r="M27" s="37">
        <f>'R06 Package code map (legacy pa'!$C$9</f>
        <v/>
      </c>
      <c r="N27" s="37">
        <f>'R06 Package code map (legacy pa'!$E$9</f>
        <v/>
      </c>
      <c r="O27" s="36" t="inlineStr">
        <is>
          <t>Not started</t>
        </is>
      </c>
      <c r="P27" s="38" t="inlineStr">
        <is>
          <t>Open →</t>
        </is>
      </c>
    </row>
    <row r="28" ht="43" customHeight="1">
      <c r="A28" s="39" t="n">
        <v>8</v>
      </c>
      <c r="B28" s="40" t="inlineStr">
        <is>
          <t>R07</t>
        </is>
      </c>
      <c r="C28" s="40" t="inlineStr">
        <is>
          <t>R07</t>
        </is>
      </c>
      <c r="D28" s="40" t="inlineStr">
        <is>
          <t>Commission rates by insurer and product</t>
        </is>
      </c>
      <c r="E28" s="40" t="inlineStr">
        <is>
          <t>Operations data steward (to name); approved by Head, Operations; extracted by BDOI IT</t>
        </is>
      </c>
      <c r="F28" s="40" t="inlineStr">
        <is>
          <t>M3 (29 Jan 2027)</t>
        </is>
      </c>
      <c r="G28" s="40" t="inlineStr">
        <is>
          <t>Migrate</t>
        </is>
      </c>
      <c r="H28" s="40" t="inlineStr">
        <is>
          <t>R04, R04B</t>
        </is>
      </c>
      <c r="I28" s="41" t="n">
        <v>5</v>
      </c>
      <c r="J28" s="41" t="n">
        <v>4</v>
      </c>
      <c r="K28" s="40" t="inlineStr">
        <is>
          <t>insurer_code, risk_code, effective_from</t>
        </is>
      </c>
      <c r="L28" s="40" t="inlineStr">
        <is>
          <t>R07_template.csv</t>
        </is>
      </c>
      <c r="M28" s="41">
        <f>'R07 Commission rates by insurer'!$C$9</f>
        <v/>
      </c>
      <c r="N28" s="41">
        <f>'R07 Commission rates by insurer'!$E$9</f>
        <v/>
      </c>
      <c r="O28" s="40" t="inlineStr">
        <is>
          <t>Not started</t>
        </is>
      </c>
      <c r="P28" s="42" t="inlineStr">
        <is>
          <t>Open →</t>
        </is>
      </c>
    </row>
    <row r="29" ht="56" customHeight="1">
      <c r="A29" s="35" t="n">
        <v>9</v>
      </c>
      <c r="B29" s="36" t="inlineStr">
        <is>
          <t>R08</t>
        </is>
      </c>
      <c r="C29" s="36" t="inlineStr">
        <is>
          <t>R08</t>
        </is>
      </c>
      <c r="D29" s="36" t="inlineStr">
        <is>
          <t>Chart of accounts mapping</t>
        </is>
      </c>
      <c r="E29" s="36" t="inlineStr">
        <is>
          <t>Comptrollership data steward (to name); approved by Head, Comptrollership; Product Owner FRBS and ACSL; extracted by BDOI IT</t>
        </is>
      </c>
      <c r="F29" s="36" t="inlineStr">
        <is>
          <t>M3 (29 Jan 2027)</t>
        </is>
      </c>
      <c r="G29" s="36" t="inlineStr">
        <is>
          <t>Migrate</t>
        </is>
      </c>
      <c r="H29" s="36" t="inlineStr">
        <is>
          <t>-</t>
        </is>
      </c>
      <c r="I29" s="37" t="n">
        <v>8</v>
      </c>
      <c r="J29" s="37" t="n">
        <v>4</v>
      </c>
      <c r="K29" s="36" t="inlineStr">
        <is>
          <t>legacy_account_code</t>
        </is>
      </c>
      <c r="L29" s="36" t="inlineStr">
        <is>
          <t>R08_template.csv</t>
        </is>
      </c>
      <c r="M29" s="37">
        <f>'R08 Chart of accounts mapping'!$C$9</f>
        <v/>
      </c>
      <c r="N29" s="37">
        <f>'R08 Chart of accounts mapping'!$E$9</f>
        <v/>
      </c>
      <c r="O29" s="36" t="inlineStr">
        <is>
          <t>Not started</t>
        </is>
      </c>
      <c r="P29" s="38" t="inlineStr">
        <is>
          <t>Open →</t>
        </is>
      </c>
    </row>
    <row r="30" ht="56" customHeight="1">
      <c r="A30" s="39" t="n">
        <v>10</v>
      </c>
      <c r="B30" s="40" t="inlineStr">
        <is>
          <t>R09</t>
        </is>
      </c>
      <c r="C30" s="40" t="inlineStr">
        <is>
          <t>R09</t>
        </is>
      </c>
      <c r="D30" s="40" t="inlineStr">
        <is>
          <t>Payees</t>
        </is>
      </c>
      <c r="E30" s="40" t="inlineStr">
        <is>
          <t>Disbursement data steward (to name); approved by Product Owner, Comptrollership - Disbursement; extracted by BDOI IT</t>
        </is>
      </c>
      <c r="F30" s="40" t="inlineStr">
        <is>
          <t>M3 (29 Jan 2027)</t>
        </is>
      </c>
      <c r="G30" s="40" t="inlineStr">
        <is>
          <t>Conditional</t>
        </is>
      </c>
      <c r="H30" s="40" t="inlineStr">
        <is>
          <t>-</t>
        </is>
      </c>
      <c r="I30" s="41" t="n">
        <v>11</v>
      </c>
      <c r="J30" s="41" t="n">
        <v>6</v>
      </c>
      <c r="K30" s="40" t="inlineStr">
        <is>
          <t>payee_code</t>
        </is>
      </c>
      <c r="L30" s="40" t="inlineStr">
        <is>
          <t>R09_template.csv</t>
        </is>
      </c>
      <c r="M30" s="41">
        <f>'R09 Payees'!$C$9</f>
        <v/>
      </c>
      <c r="N30" s="41">
        <f>'R09 Payees'!$E$9</f>
        <v/>
      </c>
      <c r="O30" s="40" t="inlineStr">
        <is>
          <t>Not started</t>
        </is>
      </c>
      <c r="P30" s="42" t="inlineStr">
        <is>
          <t>Open →</t>
        </is>
      </c>
    </row>
    <row r="31" ht="43" customHeight="1">
      <c r="A31" s="35" t="n">
        <v>11</v>
      </c>
      <c r="B31" s="36" t="inlineStr">
        <is>
          <t>R11</t>
        </is>
      </c>
      <c r="C31" s="36" t="inlineStr">
        <is>
          <t>R11</t>
        </is>
      </c>
      <c r="D31" s="36" t="inlineStr">
        <is>
          <t>Receipt series in use</t>
        </is>
      </c>
      <c r="E31" s="36" t="inlineStr">
        <is>
          <t>Cashiering data steward (to name); approved by Operations - Financial Transactions; extracted by BDOI IT</t>
        </is>
      </c>
      <c r="F31" s="36" t="inlineStr">
        <is>
          <t>M3 (29 Jan 2027); final at T-3</t>
        </is>
      </c>
      <c r="G31" s="36" t="inlineStr">
        <is>
          <t>Carry forward</t>
        </is>
      </c>
      <c r="H31" s="36" t="inlineStr">
        <is>
          <t>R02</t>
        </is>
      </c>
      <c r="I31" s="37" t="n">
        <v>8</v>
      </c>
      <c r="J31" s="37" t="n">
        <v>7</v>
      </c>
      <c r="K31" s="36" t="inlineStr">
        <is>
          <t>branch_code, kind, prefix</t>
        </is>
      </c>
      <c r="L31" s="36" t="inlineStr">
        <is>
          <t>R11_template.csv</t>
        </is>
      </c>
      <c r="M31" s="37">
        <f>'R11 Receipt series in use'!$C$9</f>
        <v/>
      </c>
      <c r="N31" s="37">
        <f>'R11 Receipt series in use'!$E$9</f>
        <v/>
      </c>
      <c r="O31" s="36" t="inlineStr">
        <is>
          <t>Not started</t>
        </is>
      </c>
      <c r="P31" s="38" t="inlineStr">
        <is>
          <t>Open →</t>
        </is>
      </c>
    </row>
    <row r="32" ht="56" customHeight="1">
      <c r="A32" s="39" t="n">
        <v>12</v>
      </c>
      <c r="B32" s="40" t="inlineStr">
        <is>
          <t>C01</t>
        </is>
      </c>
      <c r="C32" s="40" t="inlineStr">
        <is>
          <t>C01</t>
        </is>
      </c>
      <c r="D32" s="40" t="inlineStr">
        <is>
          <t>Client master</t>
        </is>
      </c>
      <c r="E32" s="40" t="inlineStr">
        <is>
          <t>Marketing data steward (to name); approved by Product Owner, MBS; Heads, Retail and Corporate Marketing; extracted by BDOI IT</t>
        </is>
      </c>
      <c r="F32" s="40" t="inlineStr">
        <is>
          <t>M3 (29 Jan 2027); deltas daily from T-14 days</t>
        </is>
      </c>
      <c r="G32" s="40" t="inlineStr">
        <is>
          <t>Migrate</t>
        </is>
      </c>
      <c r="H32" s="40" t="inlineStr">
        <is>
          <t>R01, R02, R03</t>
        </is>
      </c>
      <c r="I32" s="41" t="n">
        <v>36</v>
      </c>
      <c r="J32" s="41" t="n">
        <v>6</v>
      </c>
      <c r="K32" s="40" t="inlineStr">
        <is>
          <t>legacy_client_no</t>
        </is>
      </c>
      <c r="L32" s="40" t="inlineStr">
        <is>
          <t>C01_template.csv</t>
        </is>
      </c>
      <c r="M32" s="41">
        <f>'C01 Client master'!$C$9</f>
        <v/>
      </c>
      <c r="N32" s="41">
        <f>'C01 Client master'!$E$9</f>
        <v/>
      </c>
      <c r="O32" s="40" t="inlineStr">
        <is>
          <t>Not started</t>
        </is>
      </c>
      <c r="P32" s="42" t="inlineStr">
        <is>
          <t>Open →</t>
        </is>
      </c>
    </row>
    <row r="33" ht="56" customHeight="1">
      <c r="A33" s="35" t="n">
        <v>13</v>
      </c>
      <c r="B33" s="36" t="inlineStr">
        <is>
          <t>C02</t>
        </is>
      </c>
      <c r="C33" s="36" t="inlineStr">
        <is>
          <t>C01</t>
        </is>
      </c>
      <c r="D33" s="36" t="inlineStr">
        <is>
          <t>Client addresses and contacts</t>
        </is>
      </c>
      <c r="E33" s="36" t="inlineStr">
        <is>
          <t>Marketing data steward (to name); approved by Product Owner, MBS; Heads, Retail and Corporate Marketing; extracted by BDOI IT</t>
        </is>
      </c>
      <c r="F33" s="36" t="inlineStr">
        <is>
          <t>M3 (29 Jan 2027); deltas daily from T-14 days</t>
        </is>
      </c>
      <c r="G33" s="36" t="inlineStr">
        <is>
          <t>Migrate</t>
        </is>
      </c>
      <c r="H33" s="36" t="inlineStr">
        <is>
          <t>C01, R01, R02, R03</t>
        </is>
      </c>
      <c r="I33" s="37" t="n">
        <v>13</v>
      </c>
      <c r="J33" s="37" t="n">
        <v>4</v>
      </c>
      <c r="K33" s="36" t="inlineStr">
        <is>
          <t>legacy_client_no, record_type, seq_no</t>
        </is>
      </c>
      <c r="L33" s="36" t="inlineStr">
        <is>
          <t>C02_template.csv</t>
        </is>
      </c>
      <c r="M33" s="37">
        <f>'C02 Client addresses and contac'!$C$9</f>
        <v/>
      </c>
      <c r="N33" s="37">
        <f>'C02 Client addresses and contac'!$E$9</f>
        <v/>
      </c>
      <c r="O33" s="36" t="inlineStr">
        <is>
          <t>Not started</t>
        </is>
      </c>
      <c r="P33" s="38" t="inlineStr">
        <is>
          <t>Open →</t>
        </is>
      </c>
    </row>
    <row r="34" ht="56" customHeight="1">
      <c r="A34" s="39" t="n">
        <v>14</v>
      </c>
      <c r="B34" s="40" t="inlineStr">
        <is>
          <t>C03</t>
        </is>
      </c>
      <c r="C34" s="40" t="inlineStr">
        <is>
          <t>C03</t>
        </is>
      </c>
      <c r="D34" s="40" t="inlineStr">
        <is>
          <t>Client payout accounts</t>
        </is>
      </c>
      <c r="E34" s="40" t="inlineStr">
        <is>
          <t>Disbursement data steward (to name); approved by Product Owner, Comptrollership - Disbursement; extracted by BDOI IT</t>
        </is>
      </c>
      <c r="F34" s="40" t="inlineStr">
        <is>
          <t>M3 (29 Jan 2027)</t>
        </is>
      </c>
      <c r="G34" s="40" t="inlineStr">
        <is>
          <t>Migrate</t>
        </is>
      </c>
      <c r="H34" s="40" t="inlineStr">
        <is>
          <t>C01, C02</t>
        </is>
      </c>
      <c r="I34" s="41" t="n">
        <v>6</v>
      </c>
      <c r="J34" s="41" t="n">
        <v>4</v>
      </c>
      <c r="K34" s="40" t="inlineStr">
        <is>
          <t>legacy_client_no, account_no</t>
        </is>
      </c>
      <c r="L34" s="40" t="inlineStr">
        <is>
          <t>C03_template.csv</t>
        </is>
      </c>
      <c r="M34" s="41">
        <f>'C03 Client payout accounts'!$C$9</f>
        <v/>
      </c>
      <c r="N34" s="41">
        <f>'C03 Client payout accounts'!$E$9</f>
        <v/>
      </c>
      <c r="O34" s="40" t="inlineStr">
        <is>
          <t>Not started</t>
        </is>
      </c>
      <c r="P34" s="42" t="inlineStr">
        <is>
          <t>Open →</t>
        </is>
      </c>
    </row>
    <row r="35" ht="43" customHeight="1">
      <c r="A35" s="35" t="n">
        <v>15</v>
      </c>
      <c r="B35" s="36" t="inlineStr">
        <is>
          <t>P01</t>
        </is>
      </c>
      <c r="C35" s="36" t="inlineStr">
        <is>
          <t>P01</t>
        </is>
      </c>
      <c r="D35" s="36" t="inlineStr">
        <is>
          <t>In-force policy headers</t>
        </is>
      </c>
      <c r="E35" s="36" t="inlineStr">
        <is>
          <t>Operations data steward (to name); approved by Head, Operations; extracted by BDOI IT</t>
        </is>
      </c>
      <c r="F35" s="36" t="inlineStr">
        <is>
          <t>M3 (29 Jan 2027); final at T-2</t>
        </is>
      </c>
      <c r="G35" s="36" t="inlineStr">
        <is>
          <t>Conditional</t>
        </is>
      </c>
      <c r="H35" s="36" t="inlineStr">
        <is>
          <t>C01, C02, R04, R04B, R05</t>
        </is>
      </c>
      <c r="I35" s="37" t="n">
        <v>31</v>
      </c>
      <c r="J35" s="37" t="n">
        <v>20</v>
      </c>
      <c r="K35" s="36" t="inlineStr">
        <is>
          <t>legacy_policy_ref</t>
        </is>
      </c>
      <c r="L35" s="36" t="inlineStr">
        <is>
          <t>P01_template.csv</t>
        </is>
      </c>
      <c r="M35" s="37">
        <f>'P01 In-force policy headers'!$C$9</f>
        <v/>
      </c>
      <c r="N35" s="37">
        <f>'P01 In-force policy headers'!$E$9</f>
        <v/>
      </c>
      <c r="O35" s="36" t="inlineStr">
        <is>
          <t>Not started</t>
        </is>
      </c>
      <c r="P35" s="38" t="inlineStr">
        <is>
          <t>Open →</t>
        </is>
      </c>
    </row>
    <row r="36" ht="43" customHeight="1">
      <c r="A36" s="39" t="n">
        <v>16</v>
      </c>
      <c r="B36" s="40" t="inlineStr">
        <is>
          <t>P01S</t>
        </is>
      </c>
      <c r="C36" s="40" t="inlineStr">
        <is>
          <t>P01</t>
        </is>
      </c>
      <c r="D36" s="40" t="inlineStr">
        <is>
          <t>Policy insurer shares</t>
        </is>
      </c>
      <c r="E36" s="40" t="inlineStr">
        <is>
          <t>Operations data steward (to name); approved by Head, Operations; extracted by BDOI IT</t>
        </is>
      </c>
      <c r="F36" s="40" t="inlineStr">
        <is>
          <t>M3 (29 Jan 2027); final at T-2</t>
        </is>
      </c>
      <c r="G36" s="40" t="inlineStr">
        <is>
          <t>Conditional</t>
        </is>
      </c>
      <c r="H36" s="40" t="inlineStr">
        <is>
          <t>P01, C01, C02, R04, R04B, R05</t>
        </is>
      </c>
      <c r="I36" s="41" t="n">
        <v>6</v>
      </c>
      <c r="J36" s="41" t="n">
        <v>5</v>
      </c>
      <c r="K36" s="40" t="inlineStr">
        <is>
          <t>legacy_policy_ref, share_seq</t>
        </is>
      </c>
      <c r="L36" s="40" t="inlineStr">
        <is>
          <t>P01S_template.csv</t>
        </is>
      </c>
      <c r="M36" s="41">
        <f>'P01S Policy insurer shares'!$C$9</f>
        <v/>
      </c>
      <c r="N36" s="41">
        <f>'P01S Policy insurer shares'!$E$9</f>
        <v/>
      </c>
      <c r="O36" s="40" t="inlineStr">
        <is>
          <t>Not started</t>
        </is>
      </c>
      <c r="P36" s="42" t="inlineStr">
        <is>
          <t>Open →</t>
        </is>
      </c>
    </row>
    <row r="37" ht="56" customHeight="1">
      <c r="A37" s="35" t="n">
        <v>17</v>
      </c>
      <c r="B37" s="36" t="inlineStr">
        <is>
          <t>F01</t>
        </is>
      </c>
      <c r="C37" s="36" t="inlineStr">
        <is>
          <t>F01</t>
        </is>
      </c>
      <c r="D37" s="36" t="inlineStr">
        <is>
          <t>Open legacy invoices - header</t>
        </is>
      </c>
      <c r="E37" s="36" t="inlineStr">
        <is>
          <t>Operations data steward (to name); approved by Operations - Financial Transactions; Head, Comptrollership; extracted by BDOI IT</t>
        </is>
      </c>
      <c r="F37" s="36" t="inlineStr">
        <is>
          <t>M3 (29 Jan 2027); final at T-2</t>
        </is>
      </c>
      <c r="G37" s="36" t="inlineStr">
        <is>
          <t>Carry forward</t>
        </is>
      </c>
      <c r="H37" s="36" t="inlineStr">
        <is>
          <t>C01, C02, R04, R04B, R05, P01, P01S</t>
        </is>
      </c>
      <c r="I37" s="37" t="n">
        <v>38</v>
      </c>
      <c r="J37" s="37" t="n">
        <v>24</v>
      </c>
      <c r="K37" s="36" t="inlineStr">
        <is>
          <t>legacy_invoice_no</t>
        </is>
      </c>
      <c r="L37" s="36" t="inlineStr">
        <is>
          <t>F01_template.csv</t>
        </is>
      </c>
      <c r="M37" s="37">
        <f>'F01 Open legacy invoices - head'!$C$9</f>
        <v/>
      </c>
      <c r="N37" s="37">
        <f>'F01 Open legacy invoices - head'!$E$9</f>
        <v/>
      </c>
      <c r="O37" s="36" t="inlineStr">
        <is>
          <t>Not started</t>
        </is>
      </c>
      <c r="P37" s="38" t="inlineStr">
        <is>
          <t>Open →</t>
        </is>
      </c>
    </row>
    <row r="38" ht="56" customHeight="1">
      <c r="A38" s="39" t="n">
        <v>18</v>
      </c>
      <c r="B38" s="40" t="inlineStr">
        <is>
          <t>F01C</t>
        </is>
      </c>
      <c r="C38" s="40" t="inlineStr">
        <is>
          <t>F01</t>
        </is>
      </c>
      <c r="D38" s="40" t="inlineStr">
        <is>
          <t>Open legacy invoices - components and positions</t>
        </is>
      </c>
      <c r="E38" s="40" t="inlineStr">
        <is>
          <t>Operations data steward (to name); approved by Operations - Financial Transactions; Head, Comptrollership; extracted by BDOI IT</t>
        </is>
      </c>
      <c r="F38" s="40" t="inlineStr">
        <is>
          <t>M3 (29 Jan 2027); final at T-2</t>
        </is>
      </c>
      <c r="G38" s="40" t="inlineStr">
        <is>
          <t>Carry forward</t>
        </is>
      </c>
      <c r="H38" s="40" t="inlineStr">
        <is>
          <t>F01, C01, C02, R04, R04B, R05, P01, P01S</t>
        </is>
      </c>
      <c r="I38" s="41" t="n">
        <v>8</v>
      </c>
      <c r="J38" s="41" t="n">
        <v>8</v>
      </c>
      <c r="K38" s="40" t="inlineStr">
        <is>
          <t>legacy_invoice_no, component</t>
        </is>
      </c>
      <c r="L38" s="40" t="inlineStr">
        <is>
          <t>F01C_template.csv</t>
        </is>
      </c>
      <c r="M38" s="41">
        <f>'F01C Open legacy invoices - com'!$C$9</f>
        <v/>
      </c>
      <c r="N38" s="41">
        <f>'F01C Open legacy invoices - com'!$E$9</f>
        <v/>
      </c>
      <c r="O38" s="40" t="inlineStr">
        <is>
          <t>Not started</t>
        </is>
      </c>
      <c r="P38" s="42" t="inlineStr">
        <is>
          <t>Open →</t>
        </is>
      </c>
    </row>
    <row r="39" ht="56" customHeight="1">
      <c r="A39" s="35" t="n">
        <v>19</v>
      </c>
      <c r="B39" s="36" t="inlineStr">
        <is>
          <t>F01S</t>
        </is>
      </c>
      <c r="C39" s="36" t="inlineStr">
        <is>
          <t>F01</t>
        </is>
      </c>
      <c r="D39" s="36" t="inlineStr">
        <is>
          <t>Open legacy invoices - insurer shares</t>
        </is>
      </c>
      <c r="E39" s="36" t="inlineStr">
        <is>
          <t>Operations data steward (to name); approved by Operations - Financial Transactions; Head, Comptrollership; extracted by BDOI IT</t>
        </is>
      </c>
      <c r="F39" s="36" t="inlineStr">
        <is>
          <t>M3 (29 Jan 2027); final at T-2</t>
        </is>
      </c>
      <c r="G39" s="36" t="inlineStr">
        <is>
          <t>Carry forward</t>
        </is>
      </c>
      <c r="H39" s="36" t="inlineStr">
        <is>
          <t>F01, C01, C02, R04, R04B, R05, P01, P01S</t>
        </is>
      </c>
      <c r="I39" s="37" t="n">
        <v>5</v>
      </c>
      <c r="J39" s="37" t="n">
        <v>5</v>
      </c>
      <c r="K39" s="36" t="inlineStr">
        <is>
          <t>legacy_invoice_no, share_seq</t>
        </is>
      </c>
      <c r="L39" s="36" t="inlineStr">
        <is>
          <t>F01S_template.csv</t>
        </is>
      </c>
      <c r="M39" s="37">
        <f>'F01S Open legacy invoices - ins'!$C$9</f>
        <v/>
      </c>
      <c r="N39" s="37">
        <f>'F01S Open legacy invoices - ins'!$E$9</f>
        <v/>
      </c>
      <c r="O39" s="36" t="inlineStr">
        <is>
          <t>Not started</t>
        </is>
      </c>
      <c r="P39" s="38" t="inlineStr">
        <is>
          <t>Open →</t>
        </is>
      </c>
    </row>
    <row r="40" ht="43" customHeight="1">
      <c r="A40" s="39" t="n">
        <v>20</v>
      </c>
      <c r="B40" s="40" t="inlineStr">
        <is>
          <t>F02</t>
        </is>
      </c>
      <c r="C40" s="40" t="inlineStr">
        <is>
          <t>F02</t>
        </is>
      </c>
      <c r="D40" s="40" t="inlineStr">
        <is>
          <t>Unapplied premium payments (UPP)</t>
        </is>
      </c>
      <c r="E40" s="40" t="inlineStr">
        <is>
          <t>Cashiering data steward (to name); approved by Operations - Financial Transactions; extracted by BDOI IT</t>
        </is>
      </c>
      <c r="F40" s="40" t="inlineStr">
        <is>
          <t>M3 (29 Jan 2027); final at T-2</t>
        </is>
      </c>
      <c r="G40" s="40" t="inlineStr">
        <is>
          <t>Carry forward</t>
        </is>
      </c>
      <c r="H40" s="40" t="inlineStr">
        <is>
          <t>C01, C02</t>
        </is>
      </c>
      <c r="I40" s="41" t="n">
        <v>21</v>
      </c>
      <c r="J40" s="41" t="n">
        <v>11</v>
      </c>
      <c r="K40" s="40" t="inlineStr">
        <is>
          <t>legacy_upp_ref</t>
        </is>
      </c>
      <c r="L40" s="40" t="inlineStr">
        <is>
          <t>F02_template.csv</t>
        </is>
      </c>
      <c r="M40" s="41">
        <f>'F02 Unapplied premium payments'!$C$9</f>
        <v/>
      </c>
      <c r="N40" s="41">
        <f>'F02 Unapplied premium payments'!$E$9</f>
        <v/>
      </c>
      <c r="O40" s="40" t="inlineStr">
        <is>
          <t>Not started</t>
        </is>
      </c>
      <c r="P40" s="42" t="inlineStr">
        <is>
          <t>Open →</t>
        </is>
      </c>
    </row>
    <row r="41" ht="43" customHeight="1">
      <c r="A41" s="35" t="n">
        <v>21</v>
      </c>
      <c r="B41" s="36" t="inlineStr">
        <is>
          <t>F03</t>
        </is>
      </c>
      <c r="C41" s="36" t="inlineStr">
        <is>
          <t>F03</t>
        </is>
      </c>
      <c r="D41" s="36" t="inlineStr">
        <is>
          <t>Open collection state</t>
        </is>
      </c>
      <c r="E41" s="36" t="inlineStr">
        <is>
          <t>Collections data steward (to name); approved by Head, Operations (Collections); extracted by BDOI IT</t>
        </is>
      </c>
      <c r="F41" s="36" t="inlineStr">
        <is>
          <t>M3 (29 Jan 2027); final at T-2</t>
        </is>
      </c>
      <c r="G41" s="36" t="inlineStr">
        <is>
          <t>Carry forward</t>
        </is>
      </c>
      <c r="H41" s="36" t="inlineStr">
        <is>
          <t>F01, F01S, F01C</t>
        </is>
      </c>
      <c r="I41" s="37" t="n">
        <v>12</v>
      </c>
      <c r="J41" s="37" t="n">
        <v>3</v>
      </c>
      <c r="K41" s="36" t="inlineStr">
        <is>
          <t>legacy_invoice_no, record_type, seq_no</t>
        </is>
      </c>
      <c r="L41" s="36" t="inlineStr">
        <is>
          <t>F03_template.csv</t>
        </is>
      </c>
      <c r="M41" s="37">
        <f>'F03 Open collection state'!$C$9</f>
        <v/>
      </c>
      <c r="N41" s="37">
        <f>'F03 Open collection state'!$E$9</f>
        <v/>
      </c>
      <c r="O41" s="36" t="inlineStr">
        <is>
          <t>Not started</t>
        </is>
      </c>
      <c r="P41" s="38" t="inlineStr">
        <is>
          <t>Open →</t>
        </is>
      </c>
    </row>
    <row r="42" ht="43" customHeight="1">
      <c r="A42" s="39" t="n">
        <v>22</v>
      </c>
      <c r="B42" s="40" t="inlineStr">
        <is>
          <t>F04</t>
        </is>
      </c>
      <c r="C42" s="40" t="inlineStr">
        <is>
          <t>F04</t>
        </is>
      </c>
      <c r="D42" s="40" t="inlineStr">
        <is>
          <t>Remittance in flight</t>
        </is>
      </c>
      <c r="E42" s="40" t="inlineStr">
        <is>
          <t>Remittance data steward (to name); approved by Operations - Remittance; extracted by BDOI IT</t>
        </is>
      </c>
      <c r="F42" s="40" t="inlineStr">
        <is>
          <t>M3 (29 Jan 2027); final at T-2</t>
        </is>
      </c>
      <c r="G42" s="40" t="inlineStr">
        <is>
          <t>Conditional</t>
        </is>
      </c>
      <c r="H42" s="40" t="inlineStr">
        <is>
          <t>F01, F01S, F01C</t>
        </is>
      </c>
      <c r="I42" s="41" t="n">
        <v>10</v>
      </c>
      <c r="J42" s="41" t="n">
        <v>6</v>
      </c>
      <c r="K42" s="40" t="inlineStr">
        <is>
          <t>legacy_batch_no, legacy_invoice_no</t>
        </is>
      </c>
      <c r="L42" s="40" t="inlineStr">
        <is>
          <t>F04_template.csv</t>
        </is>
      </c>
      <c r="M42" s="41">
        <f>'F04 Remittance in flight'!$C$9</f>
        <v/>
      </c>
      <c r="N42" s="41">
        <f>'F04 Remittance in flight'!$E$9</f>
        <v/>
      </c>
      <c r="O42" s="40" t="inlineStr">
        <is>
          <t>Not started</t>
        </is>
      </c>
      <c r="P42" s="42" t="inlineStr">
        <is>
          <t>Open →</t>
        </is>
      </c>
    </row>
    <row r="43" ht="43" customHeight="1">
      <c r="A43" s="35" t="n">
        <v>23</v>
      </c>
      <c r="B43" s="36" t="inlineStr">
        <is>
          <t>F06</t>
        </is>
      </c>
      <c r="C43" s="36" t="inlineStr">
        <is>
          <t>F06</t>
        </is>
      </c>
      <c r="D43" s="36" t="inlineStr">
        <is>
          <t>PDCs, check pick-ups and refunds in process</t>
        </is>
      </c>
      <c r="E43" s="36" t="inlineStr">
        <is>
          <t>Cashiering data steward (to name); approved by Operations - Cashiering; extracted by BDOI IT</t>
        </is>
      </c>
      <c r="F43" s="36" t="inlineStr">
        <is>
          <t>M3 (29 Jan 2027); final at T-2</t>
        </is>
      </c>
      <c r="G43" s="36" t="inlineStr">
        <is>
          <t>Conditional</t>
        </is>
      </c>
      <c r="H43" s="36" t="inlineStr">
        <is>
          <t>C01, C02</t>
        </is>
      </c>
      <c r="I43" s="37" t="n">
        <v>14</v>
      </c>
      <c r="J43" s="37" t="n">
        <v>6</v>
      </c>
      <c r="K43" s="36" t="inlineStr">
        <is>
          <t>record_type, reference</t>
        </is>
      </c>
      <c r="L43" s="36" t="inlineStr">
        <is>
          <t>F06_template.csv</t>
        </is>
      </c>
      <c r="M43" s="37">
        <f>'F06 PDCs, check pick-ups and re'!$C$9</f>
        <v/>
      </c>
      <c r="N43" s="37">
        <f>'F06 PDCs, check pick-ups and re'!$E$9</f>
        <v/>
      </c>
      <c r="O43" s="36" t="inlineStr">
        <is>
          <t>Not started</t>
        </is>
      </c>
      <c r="P43" s="38" t="inlineStr">
        <is>
          <t>Open →</t>
        </is>
      </c>
    </row>
    <row r="44" ht="43" customHeight="1">
      <c r="A44" s="39" t="n">
        <v>24</v>
      </c>
      <c r="B44" s="40" t="inlineStr">
        <is>
          <t>G01</t>
        </is>
      </c>
      <c r="C44" s="40" t="inlineStr">
        <is>
          <t>G01</t>
        </is>
      </c>
      <c r="D44" s="40" t="inlineStr">
        <is>
          <t>GL opening trial balance</t>
        </is>
      </c>
      <c r="E44" s="40" t="inlineStr">
        <is>
          <t>Comptrollership data steward (to name); approved by Head, Comptrollership; extracted by BDOI IT</t>
        </is>
      </c>
      <c r="F44" s="40" t="inlineStr">
        <is>
          <t>M3 (29 Jan 2027); final at T-2; at each true-up</t>
        </is>
      </c>
      <c r="G44" s="40" t="inlineStr">
        <is>
          <t>Migrate</t>
        </is>
      </c>
      <c r="H44" s="40" t="inlineStr">
        <is>
          <t>R08, F01, F01S, F01C, F02</t>
        </is>
      </c>
      <c r="I44" s="41" t="n">
        <v>11</v>
      </c>
      <c r="J44" s="41" t="n">
        <v>9</v>
      </c>
      <c r="K44" s="40" t="inlineStr">
        <is>
          <t>tb_version, branch_code, currency, legacy_account_code, cost_center</t>
        </is>
      </c>
      <c r="L44" s="40" t="inlineStr">
        <is>
          <t>G01_template.csv</t>
        </is>
      </c>
      <c r="M44" s="41">
        <f>'G01 GL opening trial balance'!$C$9</f>
        <v/>
      </c>
      <c r="N44" s="41">
        <f>'G01 GL opening trial balance'!$E$9</f>
        <v/>
      </c>
      <c r="O44" s="40" t="inlineStr">
        <is>
          <t>Not started</t>
        </is>
      </c>
      <c r="P44" s="42" t="inlineStr">
        <is>
          <t>Open →</t>
        </is>
      </c>
    </row>
    <row r="45" ht="69" customHeight="1">
      <c r="A45" s="35" t="n">
        <v>25</v>
      </c>
      <c r="B45" s="36" t="inlineStr">
        <is>
          <t>P03</t>
        </is>
      </c>
      <c r="C45" s="36" t="inlineStr">
        <is>
          <t>P03</t>
        </is>
      </c>
      <c r="D45" s="36" t="inlineStr">
        <is>
          <t>Renewal advices already sent before go-live (RA-sent file)</t>
        </is>
      </c>
      <c r="E45" s="36" t="inlineStr">
        <is>
          <t>Renewal processing team - makers (corrections) and checkers (resubmission approval); approved by Head of the Renewal processing team; extracted by BDOI IT</t>
        </is>
      </c>
      <c r="F45" s="36" t="inlineStr">
        <is>
          <t>M4 (9 Apr 2027) (Trial migration 1); final at T-5</t>
        </is>
      </c>
      <c r="G45" s="36" t="inlineStr">
        <is>
          <t>Migrate</t>
        </is>
      </c>
      <c r="H45" s="36" t="inlineStr">
        <is>
          <t>P01, P01S</t>
        </is>
      </c>
      <c r="I45" s="37" t="n">
        <v>13</v>
      </c>
      <c r="J45" s="37" t="n">
        <v>6</v>
      </c>
      <c r="K45" s="36" t="inlineStr">
        <is>
          <t>legacy_policy_ref</t>
        </is>
      </c>
      <c r="L45" s="36" t="inlineStr">
        <is>
          <t>P03_template.csv</t>
        </is>
      </c>
      <c r="M45" s="37">
        <f>'P03 Renewal advices already sen'!$C$9</f>
        <v/>
      </c>
      <c r="N45" s="37">
        <f>'P03 Renewal advices already sen'!$E$9</f>
        <v/>
      </c>
      <c r="O45" s="36" t="inlineStr">
        <is>
          <t>Not started</t>
        </is>
      </c>
      <c r="P45" s="38" t="inlineStr">
        <is>
          <t>Open →</t>
        </is>
      </c>
    </row>
    <row r="46" ht="56" customHeight="1">
      <c r="A46" s="39" t="n">
        <v>26</v>
      </c>
      <c r="B46" s="40" t="inlineStr">
        <is>
          <t>H01</t>
        </is>
      </c>
      <c r="C46" s="40" t="inlineStr">
        <is>
          <t>H01</t>
        </is>
      </c>
      <c r="D46" s="40" t="inlineStr">
        <is>
          <t>Archive records (closed transactions and history)</t>
        </is>
      </c>
      <c r="E46" s="40" t="inlineStr">
        <is>
          <t>Compliance data steward (to name); approved by Audit / Compliance; legacy system owners; extracted by BDOI IT</t>
        </is>
      </c>
      <c r="F46" s="40" t="inlineStr">
        <is>
          <t>Before decommissioning</t>
        </is>
      </c>
      <c r="G46" s="40" t="inlineStr">
        <is>
          <t>Archive</t>
        </is>
      </c>
      <c r="H46" s="40" t="inlineStr">
        <is>
          <t>-</t>
        </is>
      </c>
      <c r="I46" s="41" t="n">
        <v>15</v>
      </c>
      <c r="J46" s="41" t="n">
        <v>3</v>
      </c>
      <c r="K46" s="40" t="inlineStr">
        <is>
          <t>record_type, legacy_key</t>
        </is>
      </c>
      <c r="L46" s="40" t="inlineStr">
        <is>
          <t>H01_template.csv</t>
        </is>
      </c>
      <c r="M46" s="41">
        <f>'H01 Archive records (closed tra'!$C$9</f>
        <v/>
      </c>
      <c r="N46" s="41">
        <f>'H01 Archive records (closed tra'!$E$9</f>
        <v/>
      </c>
      <c r="O46" s="40" t="inlineStr">
        <is>
          <t>Not started</t>
        </is>
      </c>
      <c r="P46" s="42" t="inlineStr">
        <is>
          <t>Open →</t>
        </is>
      </c>
    </row>
    <row r="47" ht="43" customHeight="1">
      <c r="A47" s="35" t="n">
        <v>27</v>
      </c>
      <c r="B47" s="36" t="inlineStr">
        <is>
          <t>H02</t>
        </is>
      </c>
      <c r="C47" s="36" t="inlineStr">
        <is>
          <t>H02</t>
        </is>
      </c>
      <c r="D47" s="36" t="inlineStr">
        <is>
          <t>Archive documents index</t>
        </is>
      </c>
      <c r="E47" s="36" t="inlineStr">
        <is>
          <t>Compliance data steward (to name); approved by Audit / Compliance; extracted by BDOI IT</t>
        </is>
      </c>
      <c r="F47" s="36" t="inlineStr">
        <is>
          <t>Before decommissioning</t>
        </is>
      </c>
      <c r="G47" s="36" t="inlineStr">
        <is>
          <t>Archive</t>
        </is>
      </c>
      <c r="H47" s="36" t="inlineStr">
        <is>
          <t>-</t>
        </is>
      </c>
      <c r="I47" s="37" t="n">
        <v>8</v>
      </c>
      <c r="J47" s="37" t="n">
        <v>6</v>
      </c>
      <c r="K47" s="36" t="inlineStr">
        <is>
          <t>record_type, legacy_key, file_name</t>
        </is>
      </c>
      <c r="L47" s="36" t="inlineStr">
        <is>
          <t>H02_template.csv</t>
        </is>
      </c>
      <c r="M47" s="37">
        <f>'H02 Archive documents index'!$C$9</f>
        <v/>
      </c>
      <c r="N47" s="37">
        <f>'H02 Archive documents index'!$E$9</f>
        <v/>
      </c>
      <c r="O47" s="36" t="inlineStr">
        <is>
          <t>Not started</t>
        </is>
      </c>
      <c r="P47" s="38" t="inlineStr">
        <is>
          <t>Open →</t>
        </is>
      </c>
    </row>
    <row r="48" ht="43" customHeight="1">
      <c r="A48" s="39" t="n">
        <v>28</v>
      </c>
      <c r="B48" s="40" t="inlineStr">
        <is>
          <t>G03</t>
        </is>
      </c>
      <c r="C48" s="40" t="inlineStr">
        <is>
          <t>G03</t>
        </is>
      </c>
      <c r="D48" s="40" t="inlineStr">
        <is>
          <t>FY2027 true-up - legacy adjustment journal lines after the freeze</t>
        </is>
      </c>
      <c r="E48" s="40" t="inlineStr">
        <is>
          <t>Comptrollership GL lead (prepares each true-up); approved by Head, Comptrollership; extracted by BDOI IT</t>
        </is>
      </c>
      <c r="F48" s="40" t="inlineStr">
        <is>
          <t>T+16 (true-up 1); T+92 (final)</t>
        </is>
      </c>
      <c r="G48" s="40" t="inlineStr">
        <is>
          <t>Migrate</t>
        </is>
      </c>
      <c r="H48" s="40" t="inlineStr">
        <is>
          <t>G01</t>
        </is>
      </c>
      <c r="I48" s="41" t="n">
        <v>19</v>
      </c>
      <c r="J48" s="41" t="n">
        <v>17</v>
      </c>
      <c r="K48" s="40" t="inlineStr">
        <is>
          <t>legacy_journal_no, line_no</t>
        </is>
      </c>
      <c r="L48" s="40" t="inlineStr">
        <is>
          <t>G03_template.csv</t>
        </is>
      </c>
      <c r="M48" s="41">
        <f>'G03 FY2027 true-up - legacy adj'!$C$9</f>
        <v/>
      </c>
      <c r="N48" s="41">
        <f>'G03 FY2027 true-up - legacy adj'!$E$9</f>
        <v/>
      </c>
      <c r="O48" s="40" t="inlineStr">
        <is>
          <t>Not started</t>
        </is>
      </c>
      <c r="P48" s="42" t="inlineStr">
        <is>
          <t>Open →</t>
        </is>
      </c>
    </row>
    <row r="49" ht="43" customHeight="1">
      <c r="A49" s="35" t="n">
        <v>29</v>
      </c>
      <c r="B49" s="36" t="inlineStr">
        <is>
          <t>G03D</t>
        </is>
      </c>
      <c r="C49" s="36" t="inlineStr">
        <is>
          <t>G03</t>
        </is>
      </c>
      <c r="D49" s="36" t="inlineStr">
        <is>
          <t>FY2027 true-up - open-item detail of the lines on legacy control accounts</t>
        </is>
      </c>
      <c r="E49" s="36" t="inlineStr">
        <is>
          <t>Comptrollership GL lead (prepares each true-up); approved by Head, Comptrollership; extracted by BDOI IT</t>
        </is>
      </c>
      <c r="F49" s="36" t="inlineStr">
        <is>
          <t>T+16 (true-up 1); T+92 (final)</t>
        </is>
      </c>
      <c r="G49" s="36" t="inlineStr">
        <is>
          <t>Migrate</t>
        </is>
      </c>
      <c r="H49" s="36" t="inlineStr">
        <is>
          <t>G03, G01</t>
        </is>
      </c>
      <c r="I49" s="37" t="n">
        <v>10</v>
      </c>
      <c r="J49" s="37" t="n">
        <v>10</v>
      </c>
      <c r="K49" s="36" t="inlineStr">
        <is>
          <t>legacy_journal_no, line_no, item_ref, component</t>
        </is>
      </c>
      <c r="L49" s="36" t="inlineStr">
        <is>
          <t>G03D_template.csv</t>
        </is>
      </c>
      <c r="M49" s="37">
        <f>'G03D FY2027 true-up - open-item'!$C$9</f>
        <v/>
      </c>
      <c r="N49" s="37">
        <f>'G03D FY2027 true-up - open-item'!$E$9</f>
        <v/>
      </c>
      <c r="O49" s="36" t="inlineStr">
        <is>
          <t>Not started</t>
        </is>
      </c>
      <c r="P49" s="38" t="inlineStr">
        <is>
          <t>Open →</t>
        </is>
      </c>
    </row>
    <row r="51">
      <c r="A51" s="43" t="inlineStr">
        <is>
          <t>Prepared by iorta TechNXT for BDOI. Confidential – BDOI.</t>
        </is>
      </c>
    </row>
  </sheetData>
  <autoFilter ref="A20:P49"/>
  <mergeCells count="15">
    <mergeCell ref="B15:P15"/>
    <mergeCell ref="C6:H6"/>
    <mergeCell ref="C10:H10"/>
    <mergeCell ref="B16:P16"/>
    <mergeCell ref="A7:B7"/>
    <mergeCell ref="C7:H7"/>
    <mergeCell ref="C9:H9"/>
    <mergeCell ref="A10:B10"/>
    <mergeCell ref="B14:P14"/>
    <mergeCell ref="C8:H8"/>
    <mergeCell ref="A9:B9"/>
    <mergeCell ref="B17:P17"/>
    <mergeCell ref="A8:B8"/>
    <mergeCell ref="B13:P13"/>
    <mergeCell ref="A6:B6"/>
  </mergeCells>
  <conditionalFormatting sqref="O21:O49">
    <cfRule type="cellIs" priority="1" operator="equal" dxfId="1" stopIfTrue="1">
      <formula>"Not started"</formula>
    </cfRule>
    <cfRule type="cellIs" priority="2" operator="equal" dxfId="2" stopIfTrue="1">
      <formula>"In progress"</formula>
    </cfRule>
    <cfRule type="cellIs" priority="3" operator="equal" dxfId="3" stopIfTrue="1">
      <formula>"Ready for review"</formula>
    </cfRule>
    <cfRule type="cellIs" priority="4" operator="equal" dxfId="4" stopIfTrue="1">
      <formula>"Confirmed"</formula>
    </cfRule>
  </conditionalFormatting>
  <conditionalFormatting sqref="N21:N49">
    <cfRule type="cellIs" priority="5" operator="greaterThan" dxfId="5">
      <formula>0</formula>
    </cfRule>
  </conditionalFormatting>
  <dataValidations count="1">
    <dataValidation sqref="O21:O49"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P21" location="'R01 Lists of values and MIS val'!A1"/>
    <hyperlink ref="P22" location="'R02 Branches and invoicing bran'!A1"/>
    <hyperlink ref="P23" location="'R03 Sales organisation (units a'!A1"/>
    <hyperlink ref="P24" location="'R04 Insurers'!A1"/>
    <hyperlink ref="P25" location="'R04B Insurer branches'!A1"/>
    <hyperlink ref="P26" location="'R05 Product lines, cover types,'!A1"/>
    <hyperlink ref="P27" location="'R06 Package code map (legacy pa'!A1"/>
    <hyperlink ref="P28" location="'R07 Commission rates by insurer'!A1"/>
    <hyperlink ref="P29" location="'R08 Chart of accounts mapping'!A1"/>
    <hyperlink ref="P30" location="'R09 Payees'!A1"/>
    <hyperlink ref="P31" location="'R11 Receipt series in use'!A1"/>
    <hyperlink ref="P32" location="'C01 Client master'!A1"/>
    <hyperlink ref="P33" location="'C02 Client addresses and contac'!A1"/>
    <hyperlink ref="P34" location="'C03 Client payout accounts'!A1"/>
    <hyperlink ref="P35" location="'P01 In-force policy headers'!A1"/>
    <hyperlink ref="P36" location="'P01S Policy insurer shares'!A1"/>
    <hyperlink ref="P37" location="'F01 Open legacy invoices - head'!A1"/>
    <hyperlink ref="P38" location="'F01C Open legacy invoices - com'!A1"/>
    <hyperlink ref="P39" location="'F01S Open legacy invoices - ins'!A1"/>
    <hyperlink ref="P40" location="'F02 Unapplied premium payments'!A1"/>
    <hyperlink ref="P41" location="'F03 Open collection state'!A1"/>
    <hyperlink ref="P42" location="'F04 Remittance in flight'!A1"/>
    <hyperlink ref="P43" location="'F06 PDCs, check pick-ups and re'!A1"/>
    <hyperlink ref="P44" location="'G01 GL opening trial balance'!A1"/>
    <hyperlink ref="P45" location="'P03 Renewal advices already sen'!A1"/>
    <hyperlink ref="P46" location="'H01 Archive records (closed tra'!A1"/>
    <hyperlink ref="P47" location="'H02 Archive documents index'!A1"/>
    <hyperlink ref="P48" location="'G03 FY2027 true-up - legacy adj'!A1"/>
    <hyperlink ref="P49" location="'G03D FY2027 true-up - open-item'!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004EA8"/>
    <outlinePr summaryBelow="0" summaryRight="1"/>
    <pageSetUpPr fitToPage="1"/>
  </sheetPr>
  <dimension ref="A1:I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90909090909091" customWidth="1" min="3" max="3"/>
    <col width="24" customWidth="1" min="4" max="4"/>
    <col width="16" customWidth="1" min="5" max="5"/>
    <col width="16" customWidth="1" min="6" max="6"/>
    <col width="19" customWidth="1" min="7" max="7"/>
    <col width="17" customWidth="1" min="8" max="8"/>
    <col width="15" customWidth="1" min="9" max="9"/>
  </cols>
  <sheetData>
    <row r="1" ht="26" customHeight="1">
      <c r="A1" s="44" t="inlineStr">
        <is>
          <t>R01 Lists of values and MIS values</t>
        </is>
      </c>
      <c r="I1" s="45" t="inlineStr">
        <is>
          <t>Step 1 of 29</t>
        </is>
      </c>
    </row>
    <row r="2">
      <c r="A2" s="46" t="inlineStr">
        <is>
          <t>← Back to Load templates</t>
        </is>
      </c>
      <c r="B2" s="47" t="inlineStr">
        <is>
          <t>Step 1 of 29. Fill in one row per record below the column headers; the guide above each column says what to enter.</t>
        </is>
      </c>
      <c r="I2" s="48" t="inlineStr">
        <is>
          <t>Ask a question →</t>
        </is>
      </c>
    </row>
    <row r="3" outlineLevel="1" ht="28" customHeight="1">
      <c r="A3" s="49" t="inlineStr">
        <is>
          <t>Purpose</t>
        </is>
      </c>
      <c r="B3" s="50" t="inlineStr">
        <is>
          <t>One row per record of Lists of values and MIS values as extracted from QPS, EBIX. Key list_type, code. Sent as the file R01_template.csv (CSV, header row as below) with its control file (row count, count of distinct keys).</t>
        </is>
      </c>
    </row>
    <row r="4" outlineLevel="1" ht="15.5" customHeight="1">
      <c r="A4" s="49" t="inlineStr">
        <is>
          <t>Provided by</t>
        </is>
      </c>
      <c r="B4" s="50" t="inlineStr">
        <is>
          <t>MBS data steward (to name); approved by Product Owner, Marketing Business System (MBS); extracted by BDOI IT</t>
        </is>
      </c>
    </row>
    <row r="5" outlineLevel="1" ht="15.5" customHeight="1">
      <c r="A5" s="49" t="inlineStr">
        <is>
          <t>Due</t>
        </is>
      </c>
      <c r="B5" s="51" t="inlineStr">
        <is>
          <t>M3 (29 Jan 2027)</t>
        </is>
      </c>
    </row>
    <row r="6" outlineLevel="1" ht="15.5" customHeight="1">
      <c r="A6" s="49" t="inlineStr">
        <is>
          <t>How it is loaded</t>
        </is>
      </c>
      <c r="B6" s="50" t="inlineStr">
        <is>
          <t>Data migration object R01 (Migrate), layout R01 version 1, through the Migration Console; lands in: Lists of Values (maker-checker); MIS field catalogue</t>
        </is>
      </c>
    </row>
    <row r="7" outlineLevel="1" ht="15.5" customHeight="1">
      <c r="A7" s="49" t="inlineStr">
        <is>
          <t>Source</t>
        </is>
      </c>
      <c r="B7" s="50" t="inlineStr">
        <is>
          <t>QPS, EBIX</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SUMPRODUCT(((ROW($B$20:$B$220)&gt;20)+($B$20&lt;&gt;"MARKET_SEGMENT")&gt;0)*(LEN($B$20:$B$220&amp;$C$20:$C$220&amp;$D$20:$D$220&amp;$E$20:$E$220&amp;$F$20:$F$220&amp;$G$20:$G$220&amp;$H$20:$H$220&amp;$I$20:$I$220)&gt;0))</f>
        <v/>
      </c>
      <c r="D9" s="54" t="inlineStr">
        <is>
          <t>Mandatory cells missing</t>
        </is>
      </c>
      <c r="E9" s="55">
        <f>SUMPRODUCT(((ROW($B$20:$B$220)&gt;20)+($B$20&lt;&gt;"MARKET_SEGMENT")&gt;0)*(LEN($B$20:$B$220&amp;$C$20:$C$220&amp;$D$20:$D$220&amp;$E$20:$E$220&amp;$F$20:$F$220&amp;$G$20:$G$220&amp;$H$20:$H$220&amp;$I$20:$I$220)&gt;0)*(($B$20:$B$220="")+($C$20:$C$220="")+($D$20:$D$220="")+($F$20:$F$220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row>
    <row r="12" ht="30" customHeight="1">
      <c r="A12" s="59" t="inlineStr">
        <is>
          <t>BU review</t>
        </is>
      </c>
      <c r="B12" s="60" t="n"/>
      <c r="C12" s="60" t="n"/>
      <c r="D12" s="60" t="n"/>
      <c r="E12" s="60" t="n"/>
      <c r="F12" s="60" t="n"/>
      <c r="G12" s="60" t="n"/>
      <c r="H12" s="60" t="n"/>
      <c r="I12" s="60" t="n"/>
    </row>
    <row r="13" ht="30" customHeight="1">
      <c r="A13" s="59" t="inlineStr">
        <is>
          <t>BU comment</t>
        </is>
      </c>
      <c r="B13" s="60" t="n"/>
      <c r="C13" s="60" t="n"/>
      <c r="D13" s="60" t="n"/>
      <c r="E13" s="60" t="n"/>
      <c r="F13" s="60" t="n"/>
      <c r="G13" s="60" t="n"/>
      <c r="H13" s="60" t="n"/>
      <c r="I13" s="60" t="n"/>
    </row>
    <row r="14" ht="30" customHeight="1">
      <c r="A14" s="59" t="inlineStr">
        <is>
          <t>Check when loaded</t>
        </is>
      </c>
      <c r="B14" s="61" t="inlineStr">
        <is>
          <t>Known list name</t>
        </is>
      </c>
      <c r="C14" s="61" t="inlineStr">
        <is>
          <t>Unique per list_type</t>
        </is>
      </c>
      <c r="D14" s="61" t="inlineStr">
        <is>
          <t>Not blank</t>
        </is>
      </c>
      <c r="E14" s="61" t="inlineStr">
        <is>
          <t>Parent exists in the file</t>
        </is>
      </c>
      <c r="F14" s="61" t="inlineStr">
        <is>
          <t>Y or N</t>
        </is>
      </c>
      <c r="G14" s="61" t="inlineStr">
        <is>
          <t>Valid date</t>
        </is>
      </c>
      <c r="H14" s="61" t="inlineStr">
        <is>
          <t>Not before effective_from</t>
        </is>
      </c>
      <c r="I14" s="61" t="inlineStr">
        <is>
          <t>0 or more</t>
        </is>
      </c>
    </row>
    <row r="15" ht="17" customHeight="1">
      <c r="A15" s="59" t="inlineStr">
        <is>
          <t>Mandatory</t>
        </is>
      </c>
      <c r="B15" s="62" t="inlineStr">
        <is>
          <t>Yes</t>
        </is>
      </c>
      <c r="C15" s="62" t="inlineStr">
        <is>
          <t>Yes</t>
        </is>
      </c>
      <c r="D15" s="62" t="inlineStr">
        <is>
          <t>Yes</t>
        </is>
      </c>
      <c r="E15" s="61" t="inlineStr">
        <is>
          <t>No</t>
        </is>
      </c>
      <c r="F15" s="62" t="inlineStr">
        <is>
          <t>Yes</t>
        </is>
      </c>
      <c r="G15" s="61" t="inlineStr">
        <is>
          <t>No</t>
        </is>
      </c>
      <c r="H15" s="61" t="inlineStr">
        <is>
          <t>No</t>
        </is>
      </c>
      <c r="I15" s="61" t="inlineStr">
        <is>
          <t>No</t>
        </is>
      </c>
    </row>
    <row r="16" ht="30" customHeight="1">
      <c r="A16" s="59" t="inlineStr">
        <is>
          <t>Format</t>
        </is>
      </c>
      <c r="B16" s="61" t="inlineStr">
        <is>
          <t>Code, up to 40; Upper case</t>
        </is>
      </c>
      <c r="C16" s="61" t="inlineStr">
        <is>
          <t>Code, up to 40; As stored in legacy</t>
        </is>
      </c>
      <c r="D16" s="61" t="inlineStr">
        <is>
          <t>Text, up to 200; Free text</t>
        </is>
      </c>
      <c r="E16" s="61" t="inlineStr">
        <is>
          <t>Code, up to 40</t>
        </is>
      </c>
      <c r="F16" s="61" t="inlineStr">
        <is>
          <t>Flag, up to 1; Y or N</t>
        </is>
      </c>
      <c r="G16" s="61" t="inlineStr">
        <is>
          <t>Date, up to 10; yyyy-MM-dd</t>
        </is>
      </c>
      <c r="H16" s="61" t="inlineStr">
        <is>
          <t>Date, up to 10; yyyy-MM-dd</t>
        </is>
      </c>
      <c r="I16" s="61" t="inlineStr">
        <is>
          <t>Integer, up to 9; Digits</t>
        </is>
      </c>
    </row>
    <row r="17" ht="56" customHeight="1">
      <c r="A17" s="59" t="inlineStr">
        <is>
          <t>Allowed values</t>
        </is>
      </c>
      <c r="B17" s="61" t="inlineStr">
        <is>
          <t>Legacy list names; one code map set LOV:&lt;list&gt; or MIS:&lt;field&gt; per list</t>
        </is>
      </c>
      <c r="C17" s="61" t="inlineStr">
        <is>
          <t>Free entry, up to 40 characters</t>
        </is>
      </c>
      <c r="D17" s="61" t="inlineStr">
        <is>
          <t>Free entry, up to 200 characters</t>
        </is>
      </c>
      <c r="E17" s="61" t="inlineStr">
        <is>
          <t>Codes of the same file</t>
        </is>
      </c>
      <c r="F17" s="61" t="inlineStr">
        <is>
          <t>Y or N</t>
        </is>
      </c>
      <c r="G17" s="61" t="inlineStr">
        <is>
          <t>Free entry</t>
        </is>
      </c>
      <c r="H17" s="61" t="inlineStr">
        <is>
          <t>Free entry</t>
        </is>
      </c>
      <c r="I17" s="61" t="inlineStr">
        <is>
          <t>A whole number</t>
        </is>
      </c>
    </row>
    <row r="18" ht="121" customHeight="1">
      <c r="A18" s="59" t="inlineStr">
        <is>
          <t>What to enter</t>
        </is>
      </c>
      <c r="B18" s="61" t="inlineStr">
        <is>
          <t>Legacy name of the list (for example MARKET_SEGMENT, BUSINESS_ORIGIN, CUSTOMER_SEGMENT, REGION, AREA, DEPARTMENT, ACCOUNT_TYPE, ID_TYPE, NATIONALITY)</t>
        </is>
      </c>
      <c r="C18" s="61" t="inlineStr">
        <is>
          <t>Legacy value code</t>
        </is>
      </c>
      <c r="D18" s="61" t="inlineStr">
        <is>
          <t>Legacy value description</t>
        </is>
      </c>
      <c r="E18" s="61" t="inlineStr">
        <is>
          <t>Code of the parent value for hierarchical lists (area under region)</t>
        </is>
      </c>
      <c r="F18" s="61" t="inlineStr">
        <is>
          <t>Value in use in legacy</t>
        </is>
      </c>
      <c r="G18" s="61" t="inlineStr">
        <is>
          <t>First day the value is valid</t>
        </is>
      </c>
      <c r="H18" s="61" t="inlineStr">
        <is>
          <t>Last day the value is valid</t>
        </is>
      </c>
      <c r="I18" s="61" t="inlineStr">
        <is>
          <t>Number of legacy records that use the value (helps the mapping)</t>
        </is>
      </c>
    </row>
    <row r="19" ht="30" customHeight="1">
      <c r="A19" s="63" t="inlineStr">
        <is>
          <t>Row</t>
        </is>
      </c>
      <c r="B19" s="24" t="inlineStr">
        <is>
          <t>list_type *</t>
        </is>
      </c>
      <c r="C19" s="24" t="inlineStr">
        <is>
          <t>code *</t>
        </is>
      </c>
      <c r="D19" s="24" t="inlineStr">
        <is>
          <t>description *</t>
        </is>
      </c>
      <c r="E19" s="24" t="inlineStr">
        <is>
          <t>parent_code</t>
        </is>
      </c>
      <c r="F19" s="24" t="inlineStr">
        <is>
          <t>active_flag *</t>
        </is>
      </c>
      <c r="G19" s="24" t="inlineStr">
        <is>
          <t>effective_from</t>
        </is>
      </c>
      <c r="H19" s="24" t="inlineStr">
        <is>
          <t>effective_to</t>
        </is>
      </c>
      <c r="I19" s="24" t="inlineStr">
        <is>
          <t>used_count</t>
        </is>
      </c>
    </row>
    <row r="20" ht="18" customHeight="1">
      <c r="A20" s="64" t="inlineStr">
        <is>
          <t>Example – overwrite or delete</t>
        </is>
      </c>
      <c r="B20" s="65" t="inlineStr">
        <is>
          <t>MARKET_SEGMENT</t>
        </is>
      </c>
      <c r="C20" s="65" t="inlineStr">
        <is>
          <t>CBG</t>
        </is>
      </c>
      <c r="D20" s="65" t="inlineStr">
        <is>
          <t>Consumer Banking Group</t>
        </is>
      </c>
      <c r="E20" s="65" t="inlineStr">
        <is>
          <t>NCR</t>
        </is>
      </c>
      <c r="F20" s="65" t="inlineStr">
        <is>
          <t>Y</t>
        </is>
      </c>
      <c r="G20" s="65" t="inlineStr">
        <is>
          <t>2020-01-01</t>
        </is>
      </c>
      <c r="H20" s="65" t="n"/>
      <c r="I20" s="66" t="n">
        <v>1520</v>
      </c>
    </row>
    <row r="21">
      <c r="B21" s="67" t="n"/>
      <c r="C21" s="67" t="n"/>
      <c r="D21" s="67" t="n"/>
      <c r="E21" s="67" t="n"/>
      <c r="F21" s="67" t="n"/>
      <c r="G21" s="67" t="n"/>
      <c r="H21" s="67" t="n"/>
    </row>
    <row r="22">
      <c r="B22" s="67" t="n"/>
      <c r="C22" s="67" t="n"/>
      <c r="D22" s="67" t="n"/>
      <c r="E22" s="67" t="n"/>
      <c r="F22" s="67" t="n"/>
      <c r="G22" s="67" t="n"/>
      <c r="H22" s="67" t="n"/>
    </row>
    <row r="23">
      <c r="B23" s="67" t="n"/>
      <c r="C23" s="67" t="n"/>
      <c r="D23" s="67" t="n"/>
      <c r="E23" s="67" t="n"/>
      <c r="F23" s="67" t="n"/>
      <c r="G23" s="67" t="n"/>
      <c r="H23" s="67" t="n"/>
    </row>
    <row r="24">
      <c r="B24" s="67" t="n"/>
      <c r="C24" s="67" t="n"/>
      <c r="D24" s="67" t="n"/>
      <c r="E24" s="67" t="n"/>
      <c r="F24" s="67" t="n"/>
      <c r="G24" s="67" t="n"/>
      <c r="H24" s="67" t="n"/>
    </row>
    <row r="25">
      <c r="B25" s="67" t="n"/>
      <c r="C25" s="67" t="n"/>
      <c r="D25" s="67" t="n"/>
      <c r="E25" s="67" t="n"/>
      <c r="F25" s="67" t="n"/>
      <c r="G25" s="67" t="n"/>
      <c r="H25" s="67" t="n"/>
    </row>
    <row r="26">
      <c r="B26" s="67" t="n"/>
      <c r="C26" s="67" t="n"/>
      <c r="D26" s="67" t="n"/>
      <c r="E26" s="67" t="n"/>
      <c r="F26" s="67" t="n"/>
      <c r="G26" s="67" t="n"/>
      <c r="H26" s="67" t="n"/>
    </row>
    <row r="27">
      <c r="B27" s="67" t="n"/>
      <c r="C27" s="67" t="n"/>
      <c r="D27" s="67" t="n"/>
      <c r="E27" s="67" t="n"/>
      <c r="F27" s="67" t="n"/>
      <c r="G27" s="67" t="n"/>
      <c r="H27" s="67" t="n"/>
    </row>
    <row r="28">
      <c r="B28" s="67" t="n"/>
      <c r="C28" s="67" t="n"/>
      <c r="D28" s="67" t="n"/>
      <c r="E28" s="67" t="n"/>
      <c r="F28" s="67" t="n"/>
      <c r="G28" s="67" t="n"/>
      <c r="H28" s="67" t="n"/>
    </row>
    <row r="29">
      <c r="B29" s="67" t="n"/>
      <c r="C29" s="67" t="n"/>
      <c r="D29" s="67" t="n"/>
      <c r="E29" s="67" t="n"/>
      <c r="F29" s="67" t="n"/>
      <c r="G29" s="67" t="n"/>
      <c r="H29" s="67" t="n"/>
    </row>
    <row r="30">
      <c r="B30" s="67" t="n"/>
      <c r="C30" s="67" t="n"/>
      <c r="D30" s="67" t="n"/>
      <c r="E30" s="67" t="n"/>
      <c r="F30" s="67" t="n"/>
      <c r="G30" s="67" t="n"/>
      <c r="H30" s="67" t="n"/>
    </row>
    <row r="31">
      <c r="B31" s="67" t="n"/>
      <c r="C31" s="67" t="n"/>
      <c r="D31" s="67" t="n"/>
      <c r="E31" s="67" t="n"/>
      <c r="F31" s="67" t="n"/>
      <c r="G31" s="67" t="n"/>
      <c r="H31" s="67" t="n"/>
    </row>
    <row r="32">
      <c r="B32" s="67" t="n"/>
      <c r="C32" s="67" t="n"/>
      <c r="D32" s="67" t="n"/>
      <c r="E32" s="67" t="n"/>
      <c r="F32" s="67" t="n"/>
      <c r="G32" s="67" t="n"/>
      <c r="H32" s="67" t="n"/>
    </row>
    <row r="33">
      <c r="B33" s="67" t="n"/>
      <c r="C33" s="67" t="n"/>
      <c r="D33" s="67" t="n"/>
      <c r="E33" s="67" t="n"/>
      <c r="F33" s="67" t="n"/>
      <c r="G33" s="67" t="n"/>
      <c r="H33" s="67" t="n"/>
    </row>
    <row r="34">
      <c r="B34" s="67" t="n"/>
      <c r="C34" s="67" t="n"/>
      <c r="D34" s="67" t="n"/>
      <c r="E34" s="67" t="n"/>
      <c r="F34" s="67" t="n"/>
      <c r="G34" s="67" t="n"/>
      <c r="H34" s="67" t="n"/>
    </row>
    <row r="35">
      <c r="B35" s="67" t="n"/>
      <c r="C35" s="67" t="n"/>
      <c r="D35" s="67" t="n"/>
      <c r="E35" s="67" t="n"/>
      <c r="F35" s="67" t="n"/>
      <c r="G35" s="67" t="n"/>
      <c r="H35" s="67" t="n"/>
    </row>
    <row r="36">
      <c r="B36" s="67" t="n"/>
      <c r="C36" s="67" t="n"/>
      <c r="D36" s="67" t="n"/>
      <c r="E36" s="67" t="n"/>
      <c r="F36" s="67" t="n"/>
      <c r="G36" s="67" t="n"/>
      <c r="H36" s="67" t="n"/>
    </row>
    <row r="37">
      <c r="B37" s="67" t="n"/>
      <c r="C37" s="67" t="n"/>
      <c r="D37" s="67" t="n"/>
      <c r="E37" s="67" t="n"/>
      <c r="F37" s="67" t="n"/>
      <c r="G37" s="67" t="n"/>
      <c r="H37" s="67" t="n"/>
    </row>
    <row r="38">
      <c r="B38" s="67" t="n"/>
      <c r="C38" s="67" t="n"/>
      <c r="D38" s="67" t="n"/>
      <c r="E38" s="67" t="n"/>
      <c r="F38" s="67" t="n"/>
      <c r="G38" s="67" t="n"/>
      <c r="H38" s="67" t="n"/>
    </row>
    <row r="39">
      <c r="B39" s="67" t="n"/>
      <c r="C39" s="67" t="n"/>
      <c r="D39" s="67" t="n"/>
      <c r="E39" s="67" t="n"/>
      <c r="F39" s="67" t="n"/>
      <c r="G39" s="67" t="n"/>
      <c r="H39" s="67" t="n"/>
    </row>
    <row r="40">
      <c r="B40" s="67" t="n"/>
      <c r="C40" s="67" t="n"/>
      <c r="D40" s="67" t="n"/>
      <c r="E40" s="67" t="n"/>
      <c r="F40" s="67" t="n"/>
      <c r="G40" s="67" t="n"/>
      <c r="H40" s="67" t="n"/>
    </row>
    <row r="41">
      <c r="B41" s="67" t="n"/>
      <c r="C41" s="67" t="n"/>
      <c r="D41" s="67" t="n"/>
      <c r="E41" s="67" t="n"/>
      <c r="F41" s="67" t="n"/>
      <c r="G41" s="67" t="n"/>
      <c r="H41" s="67" t="n"/>
    </row>
    <row r="42">
      <c r="B42" s="67" t="n"/>
      <c r="C42" s="67" t="n"/>
      <c r="D42" s="67" t="n"/>
      <c r="E42" s="67" t="n"/>
      <c r="F42" s="67" t="n"/>
      <c r="G42" s="67" t="n"/>
      <c r="H42" s="67" t="n"/>
    </row>
    <row r="43">
      <c r="B43" s="67" t="n"/>
      <c r="C43" s="67" t="n"/>
      <c r="D43" s="67" t="n"/>
      <c r="E43" s="67" t="n"/>
      <c r="F43" s="67" t="n"/>
      <c r="G43" s="67" t="n"/>
      <c r="H43" s="67" t="n"/>
    </row>
    <row r="44">
      <c r="B44" s="67" t="n"/>
      <c r="C44" s="67" t="n"/>
      <c r="D44" s="67" t="n"/>
      <c r="E44" s="67" t="n"/>
      <c r="F44" s="67" t="n"/>
      <c r="G44" s="67" t="n"/>
      <c r="H44" s="67" t="n"/>
    </row>
    <row r="45">
      <c r="B45" s="67" t="n"/>
      <c r="C45" s="67" t="n"/>
      <c r="D45" s="67" t="n"/>
      <c r="E45" s="67" t="n"/>
      <c r="F45" s="67" t="n"/>
      <c r="G45" s="67" t="n"/>
      <c r="H45" s="67" t="n"/>
    </row>
    <row r="46">
      <c r="B46" s="67" t="n"/>
      <c r="C46" s="67" t="n"/>
      <c r="D46" s="67" t="n"/>
      <c r="E46" s="67" t="n"/>
      <c r="F46" s="67" t="n"/>
      <c r="G46" s="67" t="n"/>
      <c r="H46" s="67" t="n"/>
    </row>
    <row r="47">
      <c r="B47" s="67" t="n"/>
      <c r="C47" s="67" t="n"/>
      <c r="D47" s="67" t="n"/>
      <c r="E47" s="67" t="n"/>
      <c r="F47" s="67" t="n"/>
      <c r="G47" s="67" t="n"/>
      <c r="H47" s="67" t="n"/>
    </row>
    <row r="48">
      <c r="B48" s="67" t="n"/>
      <c r="C48" s="67" t="n"/>
      <c r="D48" s="67" t="n"/>
      <c r="E48" s="67" t="n"/>
      <c r="F48" s="67" t="n"/>
      <c r="G48" s="67" t="n"/>
      <c r="H48" s="67" t="n"/>
    </row>
    <row r="49">
      <c r="B49" s="67" t="n"/>
      <c r="C49" s="67" t="n"/>
      <c r="D49" s="67" t="n"/>
      <c r="E49" s="67" t="n"/>
      <c r="F49" s="67" t="n"/>
      <c r="G49" s="67" t="n"/>
      <c r="H49" s="67" t="n"/>
    </row>
    <row r="50">
      <c r="B50" s="67" t="n"/>
      <c r="C50" s="67" t="n"/>
      <c r="D50" s="67" t="n"/>
      <c r="E50" s="67" t="n"/>
      <c r="F50" s="67" t="n"/>
      <c r="G50" s="67" t="n"/>
      <c r="H50" s="67" t="n"/>
    </row>
    <row r="51">
      <c r="B51" s="67" t="n"/>
      <c r="C51" s="67" t="n"/>
      <c r="D51" s="67" t="n"/>
      <c r="E51" s="67" t="n"/>
      <c r="F51" s="67" t="n"/>
      <c r="G51" s="67" t="n"/>
      <c r="H51" s="67" t="n"/>
    </row>
    <row r="52">
      <c r="B52" s="67" t="n"/>
      <c r="C52" s="67" t="n"/>
      <c r="D52" s="67" t="n"/>
      <c r="E52" s="67" t="n"/>
      <c r="F52" s="67" t="n"/>
      <c r="G52" s="67" t="n"/>
      <c r="H52" s="67" t="n"/>
    </row>
    <row r="53">
      <c r="B53" s="67" t="n"/>
      <c r="C53" s="67" t="n"/>
      <c r="D53" s="67" t="n"/>
      <c r="E53" s="67" t="n"/>
      <c r="F53" s="67" t="n"/>
      <c r="G53" s="67" t="n"/>
      <c r="H53" s="67" t="n"/>
    </row>
    <row r="54">
      <c r="B54" s="67" t="n"/>
      <c r="C54" s="67" t="n"/>
      <c r="D54" s="67" t="n"/>
      <c r="E54" s="67" t="n"/>
      <c r="F54" s="67" t="n"/>
      <c r="G54" s="67" t="n"/>
      <c r="H54" s="67" t="n"/>
    </row>
    <row r="55">
      <c r="B55" s="67" t="n"/>
      <c r="C55" s="67" t="n"/>
      <c r="D55" s="67" t="n"/>
      <c r="E55" s="67" t="n"/>
      <c r="F55" s="67" t="n"/>
      <c r="G55" s="67" t="n"/>
      <c r="H55" s="67" t="n"/>
    </row>
    <row r="56">
      <c r="B56" s="67" t="n"/>
      <c r="C56" s="67" t="n"/>
      <c r="D56" s="67" t="n"/>
      <c r="E56" s="67" t="n"/>
      <c r="F56" s="67" t="n"/>
      <c r="G56" s="67" t="n"/>
      <c r="H56" s="67" t="n"/>
    </row>
    <row r="57">
      <c r="B57" s="67" t="n"/>
      <c r="C57" s="67" t="n"/>
      <c r="D57" s="67" t="n"/>
      <c r="E57" s="67" t="n"/>
      <c r="F57" s="67" t="n"/>
      <c r="G57" s="67" t="n"/>
      <c r="H57" s="67" t="n"/>
    </row>
    <row r="58">
      <c r="B58" s="67" t="n"/>
      <c r="C58" s="67" t="n"/>
      <c r="D58" s="67" t="n"/>
      <c r="E58" s="67" t="n"/>
      <c r="F58" s="67" t="n"/>
      <c r="G58" s="67" t="n"/>
      <c r="H58" s="67" t="n"/>
    </row>
    <row r="59">
      <c r="B59" s="67" t="n"/>
      <c r="C59" s="67" t="n"/>
      <c r="D59" s="67" t="n"/>
      <c r="E59" s="67" t="n"/>
      <c r="F59" s="67" t="n"/>
      <c r="G59" s="67" t="n"/>
      <c r="H59" s="67" t="n"/>
    </row>
    <row r="60">
      <c r="B60" s="67" t="n"/>
      <c r="C60" s="67" t="n"/>
      <c r="D60" s="67" t="n"/>
      <c r="E60" s="67" t="n"/>
      <c r="F60" s="67" t="n"/>
      <c r="G60" s="67" t="n"/>
      <c r="H60" s="67" t="n"/>
    </row>
    <row r="61">
      <c r="B61" s="67" t="n"/>
      <c r="C61" s="67" t="n"/>
      <c r="D61" s="67" t="n"/>
      <c r="E61" s="67" t="n"/>
      <c r="F61" s="67" t="n"/>
      <c r="G61" s="67" t="n"/>
      <c r="H61" s="67" t="n"/>
    </row>
    <row r="62">
      <c r="B62" s="67" t="n"/>
      <c r="C62" s="67" t="n"/>
      <c r="D62" s="67" t="n"/>
      <c r="E62" s="67" t="n"/>
      <c r="F62" s="67" t="n"/>
      <c r="G62" s="67" t="n"/>
      <c r="H62" s="67" t="n"/>
    </row>
    <row r="63">
      <c r="B63" s="67" t="n"/>
      <c r="C63" s="67" t="n"/>
      <c r="D63" s="67" t="n"/>
      <c r="E63" s="67" t="n"/>
      <c r="F63" s="67" t="n"/>
      <c r="G63" s="67" t="n"/>
      <c r="H63" s="67" t="n"/>
    </row>
    <row r="64">
      <c r="B64" s="67" t="n"/>
      <c r="C64" s="67" t="n"/>
      <c r="D64" s="67" t="n"/>
      <c r="E64" s="67" t="n"/>
      <c r="F64" s="67" t="n"/>
      <c r="G64" s="67" t="n"/>
      <c r="H64" s="67" t="n"/>
    </row>
    <row r="65">
      <c r="B65" s="67" t="n"/>
      <c r="C65" s="67" t="n"/>
      <c r="D65" s="67" t="n"/>
      <c r="E65" s="67" t="n"/>
      <c r="F65" s="67" t="n"/>
      <c r="G65" s="67" t="n"/>
      <c r="H65" s="67" t="n"/>
    </row>
    <row r="66">
      <c r="B66" s="67" t="n"/>
      <c r="C66" s="67" t="n"/>
      <c r="D66" s="67" t="n"/>
      <c r="E66" s="67" t="n"/>
      <c r="F66" s="67" t="n"/>
      <c r="G66" s="67" t="n"/>
      <c r="H66" s="67" t="n"/>
    </row>
    <row r="67">
      <c r="B67" s="67" t="n"/>
      <c r="C67" s="67" t="n"/>
      <c r="D67" s="67" t="n"/>
      <c r="E67" s="67" t="n"/>
      <c r="F67" s="67" t="n"/>
      <c r="G67" s="67" t="n"/>
      <c r="H67" s="67" t="n"/>
    </row>
    <row r="68">
      <c r="B68" s="67" t="n"/>
      <c r="C68" s="67" t="n"/>
      <c r="D68" s="67" t="n"/>
      <c r="E68" s="67" t="n"/>
      <c r="F68" s="67" t="n"/>
      <c r="G68" s="67" t="n"/>
      <c r="H68" s="67" t="n"/>
    </row>
    <row r="69">
      <c r="B69" s="67" t="n"/>
      <c r="C69" s="67" t="n"/>
      <c r="D69" s="67" t="n"/>
      <c r="E69" s="67" t="n"/>
      <c r="F69" s="67" t="n"/>
      <c r="G69" s="67" t="n"/>
      <c r="H69" s="67" t="n"/>
    </row>
    <row r="70">
      <c r="B70" s="67" t="n"/>
      <c r="C70" s="67" t="n"/>
      <c r="D70" s="67" t="n"/>
      <c r="E70" s="67" t="n"/>
      <c r="F70" s="67" t="n"/>
      <c r="G70" s="67" t="n"/>
      <c r="H70" s="67" t="n"/>
    </row>
    <row r="71">
      <c r="B71" s="67" t="n"/>
      <c r="C71" s="67" t="n"/>
      <c r="D71" s="67" t="n"/>
      <c r="E71" s="67" t="n"/>
      <c r="F71" s="67" t="n"/>
      <c r="G71" s="67" t="n"/>
      <c r="H71" s="67" t="n"/>
    </row>
    <row r="72">
      <c r="B72" s="67" t="n"/>
      <c r="C72" s="67" t="n"/>
      <c r="D72" s="67" t="n"/>
      <c r="E72" s="67" t="n"/>
      <c r="F72" s="67" t="n"/>
      <c r="G72" s="67" t="n"/>
      <c r="H72" s="67" t="n"/>
    </row>
    <row r="73">
      <c r="B73" s="67" t="n"/>
      <c r="C73" s="67" t="n"/>
      <c r="D73" s="67" t="n"/>
      <c r="E73" s="67" t="n"/>
      <c r="F73" s="67" t="n"/>
      <c r="G73" s="67" t="n"/>
      <c r="H73" s="67" t="n"/>
    </row>
    <row r="74">
      <c r="B74" s="67" t="n"/>
      <c r="C74" s="67" t="n"/>
      <c r="D74" s="67" t="n"/>
      <c r="E74" s="67" t="n"/>
      <c r="F74" s="67" t="n"/>
      <c r="G74" s="67" t="n"/>
      <c r="H74" s="67" t="n"/>
    </row>
    <row r="75">
      <c r="B75" s="67" t="n"/>
      <c r="C75" s="67" t="n"/>
      <c r="D75" s="67" t="n"/>
      <c r="E75" s="67" t="n"/>
      <c r="F75" s="67" t="n"/>
      <c r="G75" s="67" t="n"/>
      <c r="H75" s="67" t="n"/>
    </row>
    <row r="76">
      <c r="B76" s="67" t="n"/>
      <c r="C76" s="67" t="n"/>
      <c r="D76" s="67" t="n"/>
      <c r="E76" s="67" t="n"/>
      <c r="F76" s="67" t="n"/>
      <c r="G76" s="67" t="n"/>
      <c r="H76" s="67" t="n"/>
    </row>
    <row r="77">
      <c r="B77" s="67" t="n"/>
      <c r="C77" s="67" t="n"/>
      <c r="D77" s="67" t="n"/>
      <c r="E77" s="67" t="n"/>
      <c r="F77" s="67" t="n"/>
      <c r="G77" s="67" t="n"/>
      <c r="H77" s="67" t="n"/>
    </row>
    <row r="78">
      <c r="B78" s="67" t="n"/>
      <c r="C78" s="67" t="n"/>
      <c r="D78" s="67" t="n"/>
      <c r="E78" s="67" t="n"/>
      <c r="F78" s="67" t="n"/>
      <c r="G78" s="67" t="n"/>
      <c r="H78" s="67" t="n"/>
    </row>
    <row r="79">
      <c r="B79" s="67" t="n"/>
      <c r="C79" s="67" t="n"/>
      <c r="D79" s="67" t="n"/>
      <c r="E79" s="67" t="n"/>
      <c r="F79" s="67" t="n"/>
      <c r="G79" s="67" t="n"/>
      <c r="H79" s="67" t="n"/>
    </row>
    <row r="80">
      <c r="B80" s="67" t="n"/>
      <c r="C80" s="67" t="n"/>
      <c r="D80" s="67" t="n"/>
      <c r="E80" s="67" t="n"/>
      <c r="F80" s="67" t="n"/>
      <c r="G80" s="67" t="n"/>
      <c r="H80" s="67" t="n"/>
    </row>
    <row r="81">
      <c r="B81" s="67" t="n"/>
      <c r="C81" s="67" t="n"/>
      <c r="D81" s="67" t="n"/>
      <c r="E81" s="67" t="n"/>
      <c r="F81" s="67" t="n"/>
      <c r="G81" s="67" t="n"/>
      <c r="H81" s="67" t="n"/>
    </row>
    <row r="82">
      <c r="B82" s="67" t="n"/>
      <c r="C82" s="67" t="n"/>
      <c r="D82" s="67" t="n"/>
      <c r="E82" s="67" t="n"/>
      <c r="F82" s="67" t="n"/>
      <c r="G82" s="67" t="n"/>
      <c r="H82" s="67" t="n"/>
    </row>
    <row r="83">
      <c r="B83" s="67" t="n"/>
      <c r="C83" s="67" t="n"/>
      <c r="D83" s="67" t="n"/>
      <c r="E83" s="67" t="n"/>
      <c r="F83" s="67" t="n"/>
      <c r="G83" s="67" t="n"/>
      <c r="H83" s="67" t="n"/>
    </row>
    <row r="84">
      <c r="B84" s="67" t="n"/>
      <c r="C84" s="67" t="n"/>
      <c r="D84" s="67" t="n"/>
      <c r="E84" s="67" t="n"/>
      <c r="F84" s="67" t="n"/>
      <c r="G84" s="67" t="n"/>
      <c r="H84" s="67" t="n"/>
    </row>
    <row r="85">
      <c r="B85" s="67" t="n"/>
      <c r="C85" s="67" t="n"/>
      <c r="D85" s="67" t="n"/>
      <c r="E85" s="67" t="n"/>
      <c r="F85" s="67" t="n"/>
      <c r="G85" s="67" t="n"/>
      <c r="H85" s="67" t="n"/>
    </row>
    <row r="86">
      <c r="B86" s="67" t="n"/>
      <c r="C86" s="67" t="n"/>
      <c r="D86" s="67" t="n"/>
      <c r="E86" s="67" t="n"/>
      <c r="F86" s="67" t="n"/>
      <c r="G86" s="67" t="n"/>
      <c r="H86" s="67" t="n"/>
    </row>
    <row r="87">
      <c r="B87" s="67" t="n"/>
      <c r="C87" s="67" t="n"/>
      <c r="D87" s="67" t="n"/>
      <c r="E87" s="67" t="n"/>
      <c r="F87" s="67" t="n"/>
      <c r="G87" s="67" t="n"/>
      <c r="H87" s="67" t="n"/>
    </row>
    <row r="88">
      <c r="B88" s="67" t="n"/>
      <c r="C88" s="67" t="n"/>
      <c r="D88" s="67" t="n"/>
      <c r="E88" s="67" t="n"/>
      <c r="F88" s="67" t="n"/>
      <c r="G88" s="67" t="n"/>
      <c r="H88" s="67" t="n"/>
    </row>
    <row r="89">
      <c r="B89" s="67" t="n"/>
      <c r="C89" s="67" t="n"/>
      <c r="D89" s="67" t="n"/>
      <c r="E89" s="67" t="n"/>
      <c r="F89" s="67" t="n"/>
      <c r="G89" s="67" t="n"/>
      <c r="H89" s="67" t="n"/>
    </row>
    <row r="90">
      <c r="B90" s="67" t="n"/>
      <c r="C90" s="67" t="n"/>
      <c r="D90" s="67" t="n"/>
      <c r="E90" s="67" t="n"/>
      <c r="F90" s="67" t="n"/>
      <c r="G90" s="67" t="n"/>
      <c r="H90" s="67" t="n"/>
    </row>
    <row r="91">
      <c r="B91" s="67" t="n"/>
      <c r="C91" s="67" t="n"/>
      <c r="D91" s="67" t="n"/>
      <c r="E91" s="67" t="n"/>
      <c r="F91" s="67" t="n"/>
      <c r="G91" s="67" t="n"/>
      <c r="H91" s="67" t="n"/>
    </row>
    <row r="92">
      <c r="B92" s="67" t="n"/>
      <c r="C92" s="67" t="n"/>
      <c r="D92" s="67" t="n"/>
      <c r="E92" s="67" t="n"/>
      <c r="F92" s="67" t="n"/>
      <c r="G92" s="67" t="n"/>
      <c r="H92" s="67" t="n"/>
    </row>
    <row r="93">
      <c r="B93" s="67" t="n"/>
      <c r="C93" s="67" t="n"/>
      <c r="D93" s="67" t="n"/>
      <c r="E93" s="67" t="n"/>
      <c r="F93" s="67" t="n"/>
      <c r="G93" s="67" t="n"/>
      <c r="H93" s="67" t="n"/>
    </row>
    <row r="94">
      <c r="B94" s="67" t="n"/>
      <c r="C94" s="67" t="n"/>
      <c r="D94" s="67" t="n"/>
      <c r="E94" s="67" t="n"/>
      <c r="F94" s="67" t="n"/>
      <c r="G94" s="67" t="n"/>
      <c r="H94" s="67" t="n"/>
    </row>
    <row r="95">
      <c r="B95" s="67" t="n"/>
      <c r="C95" s="67" t="n"/>
      <c r="D95" s="67" t="n"/>
      <c r="E95" s="67" t="n"/>
      <c r="F95" s="67" t="n"/>
      <c r="G95" s="67" t="n"/>
      <c r="H95" s="67" t="n"/>
    </row>
    <row r="96">
      <c r="B96" s="67" t="n"/>
      <c r="C96" s="67" t="n"/>
      <c r="D96" s="67" t="n"/>
      <c r="E96" s="67" t="n"/>
      <c r="F96" s="67" t="n"/>
      <c r="G96" s="67" t="n"/>
      <c r="H96" s="67" t="n"/>
    </row>
    <row r="97">
      <c r="B97" s="67" t="n"/>
      <c r="C97" s="67" t="n"/>
      <c r="D97" s="67" t="n"/>
      <c r="E97" s="67" t="n"/>
      <c r="F97" s="67" t="n"/>
      <c r="G97" s="67" t="n"/>
      <c r="H97" s="67" t="n"/>
    </row>
    <row r="98">
      <c r="B98" s="67" t="n"/>
      <c r="C98" s="67" t="n"/>
      <c r="D98" s="67" t="n"/>
      <c r="E98" s="67" t="n"/>
      <c r="F98" s="67" t="n"/>
      <c r="G98" s="67" t="n"/>
      <c r="H98" s="67" t="n"/>
    </row>
    <row r="99">
      <c r="B99" s="67" t="n"/>
      <c r="C99" s="67" t="n"/>
      <c r="D99" s="67" t="n"/>
      <c r="E99" s="67" t="n"/>
      <c r="F99" s="67" t="n"/>
      <c r="G99" s="67" t="n"/>
      <c r="H99" s="67" t="n"/>
    </row>
    <row r="100">
      <c r="B100" s="67" t="n"/>
      <c r="C100" s="67" t="n"/>
      <c r="D100" s="67" t="n"/>
      <c r="E100" s="67" t="n"/>
      <c r="F100" s="67" t="n"/>
      <c r="G100" s="67" t="n"/>
      <c r="H100" s="67" t="n"/>
    </row>
    <row r="101">
      <c r="B101" s="67" t="n"/>
      <c r="C101" s="67" t="n"/>
      <c r="D101" s="67" t="n"/>
      <c r="E101" s="67" t="n"/>
      <c r="F101" s="67" t="n"/>
      <c r="G101" s="67" t="n"/>
      <c r="H101" s="67" t="n"/>
    </row>
    <row r="102">
      <c r="B102" s="67" t="n"/>
      <c r="C102" s="67" t="n"/>
      <c r="D102" s="67" t="n"/>
      <c r="E102" s="67" t="n"/>
      <c r="F102" s="67" t="n"/>
      <c r="G102" s="67" t="n"/>
      <c r="H102" s="67" t="n"/>
    </row>
    <row r="103">
      <c r="B103" s="67" t="n"/>
      <c r="C103" s="67" t="n"/>
      <c r="D103" s="67" t="n"/>
      <c r="E103" s="67" t="n"/>
      <c r="F103" s="67" t="n"/>
      <c r="G103" s="67" t="n"/>
      <c r="H103" s="67" t="n"/>
    </row>
    <row r="104">
      <c r="B104" s="67" t="n"/>
      <c r="C104" s="67" t="n"/>
      <c r="D104" s="67" t="n"/>
      <c r="E104" s="67" t="n"/>
      <c r="F104" s="67" t="n"/>
      <c r="G104" s="67" t="n"/>
      <c r="H104" s="67" t="n"/>
    </row>
    <row r="105">
      <c r="B105" s="67" t="n"/>
      <c r="C105" s="67" t="n"/>
      <c r="D105" s="67" t="n"/>
      <c r="E105" s="67" t="n"/>
      <c r="F105" s="67" t="n"/>
      <c r="G105" s="67" t="n"/>
      <c r="H105" s="67" t="n"/>
    </row>
    <row r="106">
      <c r="B106" s="67" t="n"/>
      <c r="C106" s="67" t="n"/>
      <c r="D106" s="67" t="n"/>
      <c r="E106" s="67" t="n"/>
      <c r="F106" s="67" t="n"/>
      <c r="G106" s="67" t="n"/>
      <c r="H106" s="67" t="n"/>
    </row>
    <row r="107">
      <c r="B107" s="67" t="n"/>
      <c r="C107" s="67" t="n"/>
      <c r="D107" s="67" t="n"/>
      <c r="E107" s="67" t="n"/>
      <c r="F107" s="67" t="n"/>
      <c r="G107" s="67" t="n"/>
      <c r="H107" s="67" t="n"/>
    </row>
    <row r="108">
      <c r="B108" s="67" t="n"/>
      <c r="C108" s="67" t="n"/>
      <c r="D108" s="67" t="n"/>
      <c r="E108" s="67" t="n"/>
      <c r="F108" s="67" t="n"/>
      <c r="G108" s="67" t="n"/>
      <c r="H108" s="67" t="n"/>
    </row>
    <row r="109">
      <c r="B109" s="67" t="n"/>
      <c r="C109" s="67" t="n"/>
      <c r="D109" s="67" t="n"/>
      <c r="E109" s="67" t="n"/>
      <c r="F109" s="67" t="n"/>
      <c r="G109" s="67" t="n"/>
      <c r="H109" s="67" t="n"/>
    </row>
    <row r="110">
      <c r="B110" s="67" t="n"/>
      <c r="C110" s="67" t="n"/>
      <c r="D110" s="67" t="n"/>
      <c r="E110" s="67" t="n"/>
      <c r="F110" s="67" t="n"/>
      <c r="G110" s="67" t="n"/>
      <c r="H110" s="67" t="n"/>
    </row>
    <row r="111">
      <c r="B111" s="67" t="n"/>
      <c r="C111" s="67" t="n"/>
      <c r="D111" s="67" t="n"/>
      <c r="E111" s="67" t="n"/>
      <c r="F111" s="67" t="n"/>
      <c r="G111" s="67" t="n"/>
      <c r="H111" s="67" t="n"/>
    </row>
    <row r="112">
      <c r="B112" s="67" t="n"/>
      <c r="C112" s="67" t="n"/>
      <c r="D112" s="67" t="n"/>
      <c r="E112" s="67" t="n"/>
      <c r="F112" s="67" t="n"/>
      <c r="G112" s="67" t="n"/>
      <c r="H112" s="67" t="n"/>
    </row>
    <row r="113">
      <c r="B113" s="67" t="n"/>
      <c r="C113" s="67" t="n"/>
      <c r="D113" s="67" t="n"/>
      <c r="E113" s="67" t="n"/>
      <c r="F113" s="67" t="n"/>
      <c r="G113" s="67" t="n"/>
      <c r="H113" s="67" t="n"/>
    </row>
    <row r="114">
      <c r="B114" s="67" t="n"/>
      <c r="C114" s="67" t="n"/>
      <c r="D114" s="67" t="n"/>
      <c r="E114" s="67" t="n"/>
      <c r="F114" s="67" t="n"/>
      <c r="G114" s="67" t="n"/>
      <c r="H114" s="67" t="n"/>
    </row>
    <row r="115">
      <c r="B115" s="67" t="n"/>
      <c r="C115" s="67" t="n"/>
      <c r="D115" s="67" t="n"/>
      <c r="E115" s="67" t="n"/>
      <c r="F115" s="67" t="n"/>
      <c r="G115" s="67" t="n"/>
      <c r="H115" s="67" t="n"/>
    </row>
    <row r="116">
      <c r="B116" s="67" t="n"/>
      <c r="C116" s="67" t="n"/>
      <c r="D116" s="67" t="n"/>
      <c r="E116" s="67" t="n"/>
      <c r="F116" s="67" t="n"/>
      <c r="G116" s="67" t="n"/>
      <c r="H116" s="67" t="n"/>
    </row>
    <row r="117">
      <c r="B117" s="67" t="n"/>
      <c r="C117" s="67" t="n"/>
      <c r="D117" s="67" t="n"/>
      <c r="E117" s="67" t="n"/>
      <c r="F117" s="67" t="n"/>
      <c r="G117" s="67" t="n"/>
      <c r="H117" s="67" t="n"/>
    </row>
    <row r="118">
      <c r="B118" s="67" t="n"/>
      <c r="C118" s="67" t="n"/>
      <c r="D118" s="67" t="n"/>
      <c r="E118" s="67" t="n"/>
      <c r="F118" s="67" t="n"/>
      <c r="G118" s="67" t="n"/>
      <c r="H118" s="67" t="n"/>
    </row>
    <row r="119">
      <c r="B119" s="67" t="n"/>
      <c r="C119" s="67" t="n"/>
      <c r="D119" s="67" t="n"/>
      <c r="E119" s="67" t="n"/>
      <c r="F119" s="67" t="n"/>
      <c r="G119" s="67" t="n"/>
      <c r="H119" s="67" t="n"/>
    </row>
    <row r="120">
      <c r="B120" s="67" t="n"/>
      <c r="C120" s="67" t="n"/>
      <c r="D120" s="67" t="n"/>
      <c r="E120" s="67" t="n"/>
      <c r="F120" s="67" t="n"/>
      <c r="G120" s="67" t="n"/>
      <c r="H120" s="67" t="n"/>
    </row>
    <row r="121">
      <c r="B121" s="67" t="n"/>
      <c r="C121" s="67" t="n"/>
      <c r="D121" s="67" t="n"/>
      <c r="E121" s="67" t="n"/>
      <c r="F121" s="67" t="n"/>
      <c r="G121" s="67" t="n"/>
      <c r="H121" s="67" t="n"/>
    </row>
    <row r="122">
      <c r="B122" s="67" t="n"/>
      <c r="C122" s="67" t="n"/>
      <c r="D122" s="67" t="n"/>
      <c r="E122" s="67" t="n"/>
      <c r="F122" s="67" t="n"/>
      <c r="G122" s="67" t="n"/>
      <c r="H122" s="67" t="n"/>
    </row>
    <row r="123">
      <c r="B123" s="67" t="n"/>
      <c r="C123" s="67" t="n"/>
      <c r="D123" s="67" t="n"/>
      <c r="E123" s="67" t="n"/>
      <c r="F123" s="67" t="n"/>
      <c r="G123" s="67" t="n"/>
      <c r="H123" s="67" t="n"/>
    </row>
    <row r="124">
      <c r="B124" s="67" t="n"/>
      <c r="C124" s="67" t="n"/>
      <c r="D124" s="67" t="n"/>
      <c r="E124" s="67" t="n"/>
      <c r="F124" s="67" t="n"/>
      <c r="G124" s="67" t="n"/>
      <c r="H124" s="67" t="n"/>
    </row>
    <row r="125">
      <c r="B125" s="67" t="n"/>
      <c r="C125" s="67" t="n"/>
      <c r="D125" s="67" t="n"/>
      <c r="E125" s="67" t="n"/>
      <c r="F125" s="67" t="n"/>
      <c r="G125" s="67" t="n"/>
      <c r="H125" s="67" t="n"/>
    </row>
    <row r="126">
      <c r="B126" s="67" t="n"/>
      <c r="C126" s="67" t="n"/>
      <c r="D126" s="67" t="n"/>
      <c r="E126" s="67" t="n"/>
      <c r="F126" s="67" t="n"/>
      <c r="G126" s="67" t="n"/>
      <c r="H126" s="67" t="n"/>
    </row>
    <row r="127">
      <c r="B127" s="67" t="n"/>
      <c r="C127" s="67" t="n"/>
      <c r="D127" s="67" t="n"/>
      <c r="E127" s="67" t="n"/>
      <c r="F127" s="67" t="n"/>
      <c r="G127" s="67" t="n"/>
      <c r="H127" s="67" t="n"/>
    </row>
    <row r="128">
      <c r="B128" s="67" t="n"/>
      <c r="C128" s="67" t="n"/>
      <c r="D128" s="67" t="n"/>
      <c r="E128" s="67" t="n"/>
      <c r="F128" s="67" t="n"/>
      <c r="G128" s="67" t="n"/>
      <c r="H128" s="67" t="n"/>
    </row>
    <row r="129">
      <c r="B129" s="67" t="n"/>
      <c r="C129" s="67" t="n"/>
      <c r="D129" s="67" t="n"/>
      <c r="E129" s="67" t="n"/>
      <c r="F129" s="67" t="n"/>
      <c r="G129" s="67" t="n"/>
      <c r="H129" s="67" t="n"/>
    </row>
    <row r="130">
      <c r="B130" s="67" t="n"/>
      <c r="C130" s="67" t="n"/>
      <c r="D130" s="67" t="n"/>
      <c r="E130" s="67" t="n"/>
      <c r="F130" s="67" t="n"/>
      <c r="G130" s="67" t="n"/>
      <c r="H130" s="67" t="n"/>
    </row>
    <row r="131">
      <c r="B131" s="67" t="n"/>
      <c r="C131" s="67" t="n"/>
      <c r="D131" s="67" t="n"/>
      <c r="E131" s="67" t="n"/>
      <c r="F131" s="67" t="n"/>
      <c r="G131" s="67" t="n"/>
      <c r="H131" s="67" t="n"/>
    </row>
    <row r="132">
      <c r="B132" s="67" t="n"/>
      <c r="C132" s="67" t="n"/>
      <c r="D132" s="67" t="n"/>
      <c r="E132" s="67" t="n"/>
      <c r="F132" s="67" t="n"/>
      <c r="G132" s="67" t="n"/>
      <c r="H132" s="67" t="n"/>
    </row>
    <row r="133">
      <c r="B133" s="67" t="n"/>
      <c r="C133" s="67" t="n"/>
      <c r="D133" s="67" t="n"/>
      <c r="E133" s="67" t="n"/>
      <c r="F133" s="67" t="n"/>
      <c r="G133" s="67" t="n"/>
      <c r="H133" s="67" t="n"/>
    </row>
    <row r="134">
      <c r="B134" s="67" t="n"/>
      <c r="C134" s="67" t="n"/>
      <c r="D134" s="67" t="n"/>
      <c r="E134" s="67" t="n"/>
      <c r="F134" s="67" t="n"/>
      <c r="G134" s="67" t="n"/>
      <c r="H134" s="67" t="n"/>
    </row>
    <row r="135">
      <c r="B135" s="67" t="n"/>
      <c r="C135" s="67" t="n"/>
      <c r="D135" s="67" t="n"/>
      <c r="E135" s="67" t="n"/>
      <c r="F135" s="67" t="n"/>
      <c r="G135" s="67" t="n"/>
      <c r="H135" s="67" t="n"/>
    </row>
    <row r="136">
      <c r="B136" s="67" t="n"/>
      <c r="C136" s="67" t="n"/>
      <c r="D136" s="67" t="n"/>
      <c r="E136" s="67" t="n"/>
      <c r="F136" s="67" t="n"/>
      <c r="G136" s="67" t="n"/>
      <c r="H136" s="67" t="n"/>
    </row>
    <row r="137">
      <c r="B137" s="67" t="n"/>
      <c r="C137" s="67" t="n"/>
      <c r="D137" s="67" t="n"/>
      <c r="E137" s="67" t="n"/>
      <c r="F137" s="67" t="n"/>
      <c r="G137" s="67" t="n"/>
      <c r="H137" s="67" t="n"/>
    </row>
    <row r="138">
      <c r="B138" s="67" t="n"/>
      <c r="C138" s="67" t="n"/>
      <c r="D138" s="67" t="n"/>
      <c r="E138" s="67" t="n"/>
      <c r="F138" s="67" t="n"/>
      <c r="G138" s="67" t="n"/>
      <c r="H138" s="67" t="n"/>
    </row>
    <row r="139">
      <c r="B139" s="67" t="n"/>
      <c r="C139" s="67" t="n"/>
      <c r="D139" s="67" t="n"/>
      <c r="E139" s="67" t="n"/>
      <c r="F139" s="67" t="n"/>
      <c r="G139" s="67" t="n"/>
      <c r="H139" s="67" t="n"/>
    </row>
    <row r="140">
      <c r="B140" s="67" t="n"/>
      <c r="C140" s="67" t="n"/>
      <c r="D140" s="67" t="n"/>
      <c r="E140" s="67" t="n"/>
      <c r="F140" s="67" t="n"/>
      <c r="G140" s="67" t="n"/>
      <c r="H140" s="67" t="n"/>
    </row>
    <row r="141">
      <c r="B141" s="67" t="n"/>
      <c r="C141" s="67" t="n"/>
      <c r="D141" s="67" t="n"/>
      <c r="E141" s="67" t="n"/>
      <c r="F141" s="67" t="n"/>
      <c r="G141" s="67" t="n"/>
      <c r="H141" s="67" t="n"/>
    </row>
    <row r="142">
      <c r="B142" s="67" t="n"/>
      <c r="C142" s="67" t="n"/>
      <c r="D142" s="67" t="n"/>
      <c r="E142" s="67" t="n"/>
      <c r="F142" s="67" t="n"/>
      <c r="G142" s="67" t="n"/>
      <c r="H142" s="67" t="n"/>
    </row>
    <row r="143">
      <c r="B143" s="67" t="n"/>
      <c r="C143" s="67" t="n"/>
      <c r="D143" s="67" t="n"/>
      <c r="E143" s="67" t="n"/>
      <c r="F143" s="67" t="n"/>
      <c r="G143" s="67" t="n"/>
      <c r="H143" s="67" t="n"/>
    </row>
    <row r="144">
      <c r="B144" s="67" t="n"/>
      <c r="C144" s="67" t="n"/>
      <c r="D144" s="67" t="n"/>
      <c r="E144" s="67" t="n"/>
      <c r="F144" s="67" t="n"/>
      <c r="G144" s="67" t="n"/>
      <c r="H144" s="67" t="n"/>
    </row>
    <row r="145">
      <c r="B145" s="67" t="n"/>
      <c r="C145" s="67" t="n"/>
      <c r="D145" s="67" t="n"/>
      <c r="E145" s="67" t="n"/>
      <c r="F145" s="67" t="n"/>
      <c r="G145" s="67" t="n"/>
      <c r="H145" s="67" t="n"/>
    </row>
    <row r="146">
      <c r="B146" s="67" t="n"/>
      <c r="C146" s="67" t="n"/>
      <c r="D146" s="67" t="n"/>
      <c r="E146" s="67" t="n"/>
      <c r="F146" s="67" t="n"/>
      <c r="G146" s="67" t="n"/>
      <c r="H146" s="67" t="n"/>
    </row>
    <row r="147">
      <c r="B147" s="67" t="n"/>
      <c r="C147" s="67" t="n"/>
      <c r="D147" s="67" t="n"/>
      <c r="E147" s="67" t="n"/>
      <c r="F147" s="67" t="n"/>
      <c r="G147" s="67" t="n"/>
      <c r="H147" s="67" t="n"/>
    </row>
    <row r="148">
      <c r="B148" s="67" t="n"/>
      <c r="C148" s="67" t="n"/>
      <c r="D148" s="67" t="n"/>
      <c r="E148" s="67" t="n"/>
      <c r="F148" s="67" t="n"/>
      <c r="G148" s="67" t="n"/>
      <c r="H148" s="67" t="n"/>
    </row>
    <row r="149">
      <c r="B149" s="67" t="n"/>
      <c r="C149" s="67" t="n"/>
      <c r="D149" s="67" t="n"/>
      <c r="E149" s="67" t="n"/>
      <c r="F149" s="67" t="n"/>
      <c r="G149" s="67" t="n"/>
      <c r="H149" s="67" t="n"/>
    </row>
    <row r="150">
      <c r="B150" s="67" t="n"/>
      <c r="C150" s="67" t="n"/>
      <c r="D150" s="67" t="n"/>
      <c r="E150" s="67" t="n"/>
      <c r="F150" s="67" t="n"/>
      <c r="G150" s="67" t="n"/>
      <c r="H150" s="67" t="n"/>
    </row>
    <row r="151">
      <c r="B151" s="67" t="n"/>
      <c r="C151" s="67" t="n"/>
      <c r="D151" s="67" t="n"/>
      <c r="E151" s="67" t="n"/>
      <c r="F151" s="67" t="n"/>
      <c r="G151" s="67" t="n"/>
      <c r="H151" s="67" t="n"/>
    </row>
    <row r="152">
      <c r="B152" s="67" t="n"/>
      <c r="C152" s="67" t="n"/>
      <c r="D152" s="67" t="n"/>
      <c r="E152" s="67" t="n"/>
      <c r="F152" s="67" t="n"/>
      <c r="G152" s="67" t="n"/>
      <c r="H152" s="67" t="n"/>
    </row>
    <row r="153">
      <c r="B153" s="67" t="n"/>
      <c r="C153" s="67" t="n"/>
      <c r="D153" s="67" t="n"/>
      <c r="E153" s="67" t="n"/>
      <c r="F153" s="67" t="n"/>
      <c r="G153" s="67" t="n"/>
      <c r="H153" s="67" t="n"/>
    </row>
    <row r="154">
      <c r="B154" s="67" t="n"/>
      <c r="C154" s="67" t="n"/>
      <c r="D154" s="67" t="n"/>
      <c r="E154" s="67" t="n"/>
      <c r="F154" s="67" t="n"/>
      <c r="G154" s="67" t="n"/>
      <c r="H154" s="67" t="n"/>
    </row>
    <row r="155">
      <c r="B155" s="67" t="n"/>
      <c r="C155" s="67" t="n"/>
      <c r="D155" s="67" t="n"/>
      <c r="E155" s="67" t="n"/>
      <c r="F155" s="67" t="n"/>
      <c r="G155" s="67" t="n"/>
      <c r="H155" s="67" t="n"/>
    </row>
    <row r="156">
      <c r="B156" s="67" t="n"/>
      <c r="C156" s="67" t="n"/>
      <c r="D156" s="67" t="n"/>
      <c r="E156" s="67" t="n"/>
      <c r="F156" s="67" t="n"/>
      <c r="G156" s="67" t="n"/>
      <c r="H156" s="67" t="n"/>
    </row>
    <row r="157">
      <c r="B157" s="67" t="n"/>
      <c r="C157" s="67" t="n"/>
      <c r="D157" s="67" t="n"/>
      <c r="E157" s="67" t="n"/>
      <c r="F157" s="67" t="n"/>
      <c r="G157" s="67" t="n"/>
      <c r="H157" s="67" t="n"/>
    </row>
    <row r="158">
      <c r="B158" s="67" t="n"/>
      <c r="C158" s="67" t="n"/>
      <c r="D158" s="67" t="n"/>
      <c r="E158" s="67" t="n"/>
      <c r="F158" s="67" t="n"/>
      <c r="G158" s="67" t="n"/>
      <c r="H158" s="67" t="n"/>
    </row>
    <row r="159">
      <c r="B159" s="67" t="n"/>
      <c r="C159" s="67" t="n"/>
      <c r="D159" s="67" t="n"/>
      <c r="E159" s="67" t="n"/>
      <c r="F159" s="67" t="n"/>
      <c r="G159" s="67" t="n"/>
      <c r="H159" s="67" t="n"/>
    </row>
    <row r="160">
      <c r="B160" s="67" t="n"/>
      <c r="C160" s="67" t="n"/>
      <c r="D160" s="67" t="n"/>
      <c r="E160" s="67" t="n"/>
      <c r="F160" s="67" t="n"/>
      <c r="G160" s="67" t="n"/>
      <c r="H160" s="67" t="n"/>
    </row>
    <row r="161">
      <c r="B161" s="67" t="n"/>
      <c r="C161" s="67" t="n"/>
      <c r="D161" s="67" t="n"/>
      <c r="E161" s="67" t="n"/>
      <c r="F161" s="67" t="n"/>
      <c r="G161" s="67" t="n"/>
      <c r="H161" s="67" t="n"/>
    </row>
    <row r="162">
      <c r="B162" s="67" t="n"/>
      <c r="C162" s="67" t="n"/>
      <c r="D162" s="67" t="n"/>
      <c r="E162" s="67" t="n"/>
      <c r="F162" s="67" t="n"/>
      <c r="G162" s="67" t="n"/>
      <c r="H162" s="67" t="n"/>
    </row>
    <row r="163">
      <c r="B163" s="67" t="n"/>
      <c r="C163" s="67" t="n"/>
      <c r="D163" s="67" t="n"/>
      <c r="E163" s="67" t="n"/>
      <c r="F163" s="67" t="n"/>
      <c r="G163" s="67" t="n"/>
      <c r="H163" s="67" t="n"/>
    </row>
    <row r="164">
      <c r="B164" s="67" t="n"/>
      <c r="C164" s="67" t="n"/>
      <c r="D164" s="67" t="n"/>
      <c r="E164" s="67" t="n"/>
      <c r="F164" s="67" t="n"/>
      <c r="G164" s="67" t="n"/>
      <c r="H164" s="67" t="n"/>
    </row>
    <row r="165">
      <c r="B165" s="67" t="n"/>
      <c r="C165" s="67" t="n"/>
      <c r="D165" s="67" t="n"/>
      <c r="E165" s="67" t="n"/>
      <c r="F165" s="67" t="n"/>
      <c r="G165" s="67" t="n"/>
      <c r="H165" s="67" t="n"/>
    </row>
    <row r="166">
      <c r="B166" s="67" t="n"/>
      <c r="C166" s="67" t="n"/>
      <c r="D166" s="67" t="n"/>
      <c r="E166" s="67" t="n"/>
      <c r="F166" s="67" t="n"/>
      <c r="G166" s="67" t="n"/>
      <c r="H166" s="67" t="n"/>
    </row>
    <row r="167">
      <c r="B167" s="67" t="n"/>
      <c r="C167" s="67" t="n"/>
      <c r="D167" s="67" t="n"/>
      <c r="E167" s="67" t="n"/>
      <c r="F167" s="67" t="n"/>
      <c r="G167" s="67" t="n"/>
      <c r="H167" s="67" t="n"/>
    </row>
    <row r="168">
      <c r="B168" s="67" t="n"/>
      <c r="C168" s="67" t="n"/>
      <c r="D168" s="67" t="n"/>
      <c r="E168" s="67" t="n"/>
      <c r="F168" s="67" t="n"/>
      <c r="G168" s="67" t="n"/>
      <c r="H168" s="67" t="n"/>
    </row>
    <row r="169">
      <c r="B169" s="67" t="n"/>
      <c r="C169" s="67" t="n"/>
      <c r="D169" s="67" t="n"/>
      <c r="E169" s="67" t="n"/>
      <c r="F169" s="67" t="n"/>
      <c r="G169" s="67" t="n"/>
      <c r="H169" s="67" t="n"/>
    </row>
    <row r="170">
      <c r="B170" s="67" t="n"/>
      <c r="C170" s="67" t="n"/>
      <c r="D170" s="67" t="n"/>
      <c r="E170" s="67" t="n"/>
      <c r="F170" s="67" t="n"/>
      <c r="G170" s="67" t="n"/>
      <c r="H170" s="67" t="n"/>
    </row>
    <row r="171">
      <c r="B171" s="67" t="n"/>
      <c r="C171" s="67" t="n"/>
      <c r="D171" s="67" t="n"/>
      <c r="E171" s="67" t="n"/>
      <c r="F171" s="67" t="n"/>
      <c r="G171" s="67" t="n"/>
      <c r="H171" s="67" t="n"/>
    </row>
    <row r="172">
      <c r="B172" s="67" t="n"/>
      <c r="C172" s="67" t="n"/>
      <c r="D172" s="67" t="n"/>
      <c r="E172" s="67" t="n"/>
      <c r="F172" s="67" t="n"/>
      <c r="G172" s="67" t="n"/>
      <c r="H172" s="67" t="n"/>
    </row>
    <row r="173">
      <c r="B173" s="67" t="n"/>
      <c r="C173" s="67" t="n"/>
      <c r="D173" s="67" t="n"/>
      <c r="E173" s="67" t="n"/>
      <c r="F173" s="67" t="n"/>
      <c r="G173" s="67" t="n"/>
      <c r="H173" s="67" t="n"/>
    </row>
    <row r="174">
      <c r="B174" s="67" t="n"/>
      <c r="C174" s="67" t="n"/>
      <c r="D174" s="67" t="n"/>
      <c r="E174" s="67" t="n"/>
      <c r="F174" s="67" t="n"/>
      <c r="G174" s="67" t="n"/>
      <c r="H174" s="67" t="n"/>
    </row>
    <row r="175">
      <c r="B175" s="67" t="n"/>
      <c r="C175" s="67" t="n"/>
      <c r="D175" s="67" t="n"/>
      <c r="E175" s="67" t="n"/>
      <c r="F175" s="67" t="n"/>
      <c r="G175" s="67" t="n"/>
      <c r="H175" s="67" t="n"/>
    </row>
    <row r="176">
      <c r="B176" s="67" t="n"/>
      <c r="C176" s="67" t="n"/>
      <c r="D176" s="67" t="n"/>
      <c r="E176" s="67" t="n"/>
      <c r="F176" s="67" t="n"/>
      <c r="G176" s="67" t="n"/>
      <c r="H176" s="67" t="n"/>
    </row>
    <row r="177">
      <c r="B177" s="67" t="n"/>
      <c r="C177" s="67" t="n"/>
      <c r="D177" s="67" t="n"/>
      <c r="E177" s="67" t="n"/>
      <c r="F177" s="67" t="n"/>
      <c r="G177" s="67" t="n"/>
      <c r="H177" s="67" t="n"/>
    </row>
    <row r="178">
      <c r="B178" s="67" t="n"/>
      <c r="C178" s="67" t="n"/>
      <c r="D178" s="67" t="n"/>
      <c r="E178" s="67" t="n"/>
      <c r="F178" s="67" t="n"/>
      <c r="G178" s="67" t="n"/>
      <c r="H178" s="67" t="n"/>
    </row>
    <row r="179">
      <c r="B179" s="67" t="n"/>
      <c r="C179" s="67" t="n"/>
      <c r="D179" s="67" t="n"/>
      <c r="E179" s="67" t="n"/>
      <c r="F179" s="67" t="n"/>
      <c r="G179" s="67" t="n"/>
      <c r="H179" s="67" t="n"/>
    </row>
    <row r="180">
      <c r="B180" s="67" t="n"/>
      <c r="C180" s="67" t="n"/>
      <c r="D180" s="67" t="n"/>
      <c r="E180" s="67" t="n"/>
      <c r="F180" s="67" t="n"/>
      <c r="G180" s="67" t="n"/>
      <c r="H180" s="67" t="n"/>
    </row>
    <row r="181">
      <c r="B181" s="67" t="n"/>
      <c r="C181" s="67" t="n"/>
      <c r="D181" s="67" t="n"/>
      <c r="E181" s="67" t="n"/>
      <c r="F181" s="67" t="n"/>
      <c r="G181" s="67" t="n"/>
      <c r="H181" s="67" t="n"/>
    </row>
    <row r="182">
      <c r="B182" s="67" t="n"/>
      <c r="C182" s="67" t="n"/>
      <c r="D182" s="67" t="n"/>
      <c r="E182" s="67" t="n"/>
      <c r="F182" s="67" t="n"/>
      <c r="G182" s="67" t="n"/>
      <c r="H182" s="67" t="n"/>
    </row>
    <row r="183">
      <c r="B183" s="67" t="n"/>
      <c r="C183" s="67" t="n"/>
      <c r="D183" s="67" t="n"/>
      <c r="E183" s="67" t="n"/>
      <c r="F183" s="67" t="n"/>
      <c r="G183" s="67" t="n"/>
      <c r="H183" s="67" t="n"/>
    </row>
    <row r="184">
      <c r="B184" s="67" t="n"/>
      <c r="C184" s="67" t="n"/>
      <c r="D184" s="67" t="n"/>
      <c r="E184" s="67" t="n"/>
      <c r="F184" s="67" t="n"/>
      <c r="G184" s="67" t="n"/>
      <c r="H184" s="67" t="n"/>
    </row>
    <row r="185">
      <c r="B185" s="67" t="n"/>
      <c r="C185" s="67" t="n"/>
      <c r="D185" s="67" t="n"/>
      <c r="E185" s="67" t="n"/>
      <c r="F185" s="67" t="n"/>
      <c r="G185" s="67" t="n"/>
      <c r="H185" s="67" t="n"/>
    </row>
    <row r="186">
      <c r="B186" s="67" t="n"/>
      <c r="C186" s="67" t="n"/>
      <c r="D186" s="67" t="n"/>
      <c r="E186" s="67" t="n"/>
      <c r="F186" s="67" t="n"/>
      <c r="G186" s="67" t="n"/>
      <c r="H186" s="67" t="n"/>
    </row>
    <row r="187">
      <c r="B187" s="67" t="n"/>
      <c r="C187" s="67" t="n"/>
      <c r="D187" s="67" t="n"/>
      <c r="E187" s="67" t="n"/>
      <c r="F187" s="67" t="n"/>
      <c r="G187" s="67" t="n"/>
      <c r="H187" s="67" t="n"/>
    </row>
    <row r="188">
      <c r="B188" s="67" t="n"/>
      <c r="C188" s="67" t="n"/>
      <c r="D188" s="67" t="n"/>
      <c r="E188" s="67" t="n"/>
      <c r="F188" s="67" t="n"/>
      <c r="G188" s="67" t="n"/>
      <c r="H188" s="67" t="n"/>
    </row>
    <row r="189">
      <c r="B189" s="67" t="n"/>
      <c r="C189" s="67" t="n"/>
      <c r="D189" s="67" t="n"/>
      <c r="E189" s="67" t="n"/>
      <c r="F189" s="67" t="n"/>
      <c r="G189" s="67" t="n"/>
      <c r="H189" s="67" t="n"/>
    </row>
    <row r="190">
      <c r="B190" s="67" t="n"/>
      <c r="C190" s="67" t="n"/>
      <c r="D190" s="67" t="n"/>
      <c r="E190" s="67" t="n"/>
      <c r="F190" s="67" t="n"/>
      <c r="G190" s="67" t="n"/>
      <c r="H190" s="67" t="n"/>
    </row>
    <row r="191">
      <c r="B191" s="67" t="n"/>
      <c r="C191" s="67" t="n"/>
      <c r="D191" s="67" t="n"/>
      <c r="E191" s="67" t="n"/>
      <c r="F191" s="67" t="n"/>
      <c r="G191" s="67" t="n"/>
      <c r="H191" s="67" t="n"/>
    </row>
    <row r="192">
      <c r="B192" s="67" t="n"/>
      <c r="C192" s="67" t="n"/>
      <c r="D192" s="67" t="n"/>
      <c r="E192" s="67" t="n"/>
      <c r="F192" s="67" t="n"/>
      <c r="G192" s="67" t="n"/>
      <c r="H192" s="67" t="n"/>
    </row>
    <row r="193">
      <c r="B193" s="67" t="n"/>
      <c r="C193" s="67" t="n"/>
      <c r="D193" s="67" t="n"/>
      <c r="E193" s="67" t="n"/>
      <c r="F193" s="67" t="n"/>
      <c r="G193" s="67" t="n"/>
      <c r="H193" s="67" t="n"/>
    </row>
    <row r="194">
      <c r="B194" s="67" t="n"/>
      <c r="C194" s="67" t="n"/>
      <c r="D194" s="67" t="n"/>
      <c r="E194" s="67" t="n"/>
      <c r="F194" s="67" t="n"/>
      <c r="G194" s="67" t="n"/>
      <c r="H194" s="67" t="n"/>
    </row>
    <row r="195">
      <c r="B195" s="67" t="n"/>
      <c r="C195" s="67" t="n"/>
      <c r="D195" s="67" t="n"/>
      <c r="E195" s="67" t="n"/>
      <c r="F195" s="67" t="n"/>
      <c r="G195" s="67" t="n"/>
      <c r="H195" s="67" t="n"/>
    </row>
    <row r="196">
      <c r="B196" s="67" t="n"/>
      <c r="C196" s="67" t="n"/>
      <c r="D196" s="67" t="n"/>
      <c r="E196" s="67" t="n"/>
      <c r="F196" s="67" t="n"/>
      <c r="G196" s="67" t="n"/>
      <c r="H196" s="67" t="n"/>
    </row>
    <row r="197">
      <c r="B197" s="67" t="n"/>
      <c r="C197" s="67" t="n"/>
      <c r="D197" s="67" t="n"/>
      <c r="E197" s="67" t="n"/>
      <c r="F197" s="67" t="n"/>
      <c r="G197" s="67" t="n"/>
      <c r="H197" s="67" t="n"/>
    </row>
    <row r="198">
      <c r="B198" s="67" t="n"/>
      <c r="C198" s="67" t="n"/>
      <c r="D198" s="67" t="n"/>
      <c r="E198" s="67" t="n"/>
      <c r="F198" s="67" t="n"/>
      <c r="G198" s="67" t="n"/>
      <c r="H198" s="67" t="n"/>
    </row>
    <row r="199">
      <c r="B199" s="67" t="n"/>
      <c r="C199" s="67" t="n"/>
      <c r="D199" s="67" t="n"/>
      <c r="E199" s="67" t="n"/>
      <c r="F199" s="67" t="n"/>
      <c r="G199" s="67" t="n"/>
      <c r="H199" s="67" t="n"/>
    </row>
    <row r="200">
      <c r="B200" s="67" t="n"/>
      <c r="C200" s="67" t="n"/>
      <c r="D200" s="67" t="n"/>
      <c r="E200" s="67" t="n"/>
      <c r="F200" s="67" t="n"/>
      <c r="G200" s="67" t="n"/>
      <c r="H200" s="67" t="n"/>
    </row>
    <row r="201">
      <c r="B201" s="67" t="n"/>
      <c r="C201" s="67" t="n"/>
      <c r="D201" s="67" t="n"/>
      <c r="E201" s="67" t="n"/>
      <c r="F201" s="67" t="n"/>
      <c r="G201" s="67" t="n"/>
      <c r="H201" s="67" t="n"/>
    </row>
    <row r="202">
      <c r="B202" s="67" t="n"/>
      <c r="C202" s="67" t="n"/>
      <c r="D202" s="67" t="n"/>
      <c r="E202" s="67" t="n"/>
      <c r="F202" s="67" t="n"/>
      <c r="G202" s="67" t="n"/>
      <c r="H202" s="67" t="n"/>
    </row>
    <row r="203">
      <c r="B203" s="67" t="n"/>
      <c r="C203" s="67" t="n"/>
      <c r="D203" s="67" t="n"/>
      <c r="E203" s="67" t="n"/>
      <c r="F203" s="67" t="n"/>
      <c r="G203" s="67" t="n"/>
      <c r="H203" s="67" t="n"/>
    </row>
    <row r="204">
      <c r="B204" s="67" t="n"/>
      <c r="C204" s="67" t="n"/>
      <c r="D204" s="67" t="n"/>
      <c r="E204" s="67" t="n"/>
      <c r="F204" s="67" t="n"/>
      <c r="G204" s="67" t="n"/>
      <c r="H204" s="67" t="n"/>
    </row>
    <row r="205">
      <c r="B205" s="67" t="n"/>
      <c r="C205" s="67" t="n"/>
      <c r="D205" s="67" t="n"/>
      <c r="E205" s="67" t="n"/>
      <c r="F205" s="67" t="n"/>
      <c r="G205" s="67" t="n"/>
      <c r="H205" s="67" t="n"/>
    </row>
    <row r="206">
      <c r="B206" s="67" t="n"/>
      <c r="C206" s="67" t="n"/>
      <c r="D206" s="67" t="n"/>
      <c r="E206" s="67" t="n"/>
      <c r="F206" s="67" t="n"/>
      <c r="G206" s="67" t="n"/>
      <c r="H206" s="67" t="n"/>
    </row>
    <row r="207">
      <c r="B207" s="67" t="n"/>
      <c r="C207" s="67" t="n"/>
      <c r="D207" s="67" t="n"/>
      <c r="E207" s="67" t="n"/>
      <c r="F207" s="67" t="n"/>
      <c r="G207" s="67" t="n"/>
      <c r="H207" s="67" t="n"/>
    </row>
    <row r="208">
      <c r="B208" s="67" t="n"/>
      <c r="C208" s="67" t="n"/>
      <c r="D208" s="67" t="n"/>
      <c r="E208" s="67" t="n"/>
      <c r="F208" s="67" t="n"/>
      <c r="G208" s="67" t="n"/>
      <c r="H208" s="67" t="n"/>
    </row>
    <row r="209">
      <c r="B209" s="67" t="n"/>
      <c r="C209" s="67" t="n"/>
      <c r="D209" s="67" t="n"/>
      <c r="E209" s="67" t="n"/>
      <c r="F209" s="67" t="n"/>
      <c r="G209" s="67" t="n"/>
      <c r="H209" s="67" t="n"/>
    </row>
    <row r="210">
      <c r="B210" s="67" t="n"/>
      <c r="C210" s="67" t="n"/>
      <c r="D210" s="67" t="n"/>
      <c r="E210" s="67" t="n"/>
      <c r="F210" s="67" t="n"/>
      <c r="G210" s="67" t="n"/>
      <c r="H210" s="67" t="n"/>
    </row>
    <row r="211">
      <c r="B211" s="67" t="n"/>
      <c r="C211" s="67" t="n"/>
      <c r="D211" s="67" t="n"/>
      <c r="E211" s="67" t="n"/>
      <c r="F211" s="67" t="n"/>
      <c r="G211" s="67" t="n"/>
      <c r="H211" s="67" t="n"/>
    </row>
    <row r="212">
      <c r="B212" s="67" t="n"/>
      <c r="C212" s="67" t="n"/>
      <c r="D212" s="67" t="n"/>
      <c r="E212" s="67" t="n"/>
      <c r="F212" s="67" t="n"/>
      <c r="G212" s="67" t="n"/>
      <c r="H212" s="67" t="n"/>
    </row>
    <row r="213">
      <c r="B213" s="67" t="n"/>
      <c r="C213" s="67" t="n"/>
      <c r="D213" s="67" t="n"/>
      <c r="E213" s="67" t="n"/>
      <c r="F213" s="67" t="n"/>
      <c r="G213" s="67" t="n"/>
      <c r="H213" s="67" t="n"/>
    </row>
    <row r="214">
      <c r="B214" s="67" t="n"/>
      <c r="C214" s="67" t="n"/>
      <c r="D214" s="67" t="n"/>
      <c r="E214" s="67" t="n"/>
      <c r="F214" s="67" t="n"/>
      <c r="G214" s="67" t="n"/>
      <c r="H214" s="67" t="n"/>
    </row>
    <row r="215">
      <c r="B215" s="67" t="n"/>
      <c r="C215" s="67" t="n"/>
      <c r="D215" s="67" t="n"/>
      <c r="E215" s="67" t="n"/>
      <c r="F215" s="67" t="n"/>
      <c r="G215" s="67" t="n"/>
      <c r="H215" s="67" t="n"/>
    </row>
    <row r="216">
      <c r="B216" s="67" t="n"/>
      <c r="C216" s="67" t="n"/>
      <c r="D216" s="67" t="n"/>
      <c r="E216" s="67" t="n"/>
      <c r="F216" s="67" t="n"/>
      <c r="G216" s="67" t="n"/>
      <c r="H216" s="67" t="n"/>
    </row>
    <row r="217">
      <c r="B217" s="67" t="n"/>
      <c r="C217" s="67" t="n"/>
      <c r="D217" s="67" t="n"/>
      <c r="E217" s="67" t="n"/>
      <c r="F217" s="67" t="n"/>
      <c r="G217" s="67" t="n"/>
      <c r="H217" s="67" t="n"/>
    </row>
    <row r="218">
      <c r="B218" s="67" t="n"/>
      <c r="C218" s="67" t="n"/>
      <c r="D218" s="67" t="n"/>
      <c r="E218" s="67" t="n"/>
      <c r="F218" s="67" t="n"/>
      <c r="G218" s="67" t="n"/>
      <c r="H218" s="67" t="n"/>
    </row>
    <row r="219">
      <c r="B219" s="67" t="n"/>
      <c r="C219" s="67" t="n"/>
      <c r="D219" s="67" t="n"/>
      <c r="E219" s="67" t="n"/>
      <c r="F219" s="67" t="n"/>
      <c r="G219" s="67" t="n"/>
      <c r="H219" s="67" t="n"/>
    </row>
    <row r="220">
      <c r="B220" s="67" t="n"/>
      <c r="C220" s="67" t="n"/>
      <c r="D220" s="67" t="n"/>
      <c r="E220" s="67" t="n"/>
      <c r="F220" s="67" t="n"/>
      <c r="G220" s="67" t="n"/>
      <c r="H220" s="67"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20:B220">
    <cfRule type="expression" priority="2" dxfId="6">
      <formula>AND(LEN($B20&amp;$C20&amp;$D20&amp;$E20&amp;$F20&amp;$G20&amp;$H20&amp;$I20)&gt;0,B20="")</formula>
    </cfRule>
  </conditionalFormatting>
  <conditionalFormatting sqref="C20:C220">
    <cfRule type="expression" priority="3" dxfId="6">
      <formula>AND(LEN($B20&amp;$C20&amp;$D20&amp;$E20&amp;$F20&amp;$G20&amp;$H20&amp;$I20)&gt;0,C20="")</formula>
    </cfRule>
  </conditionalFormatting>
  <conditionalFormatting sqref="D20:D220">
    <cfRule type="expression" priority="4" dxfId="6">
      <formula>AND(LEN($B20&amp;$C20&amp;$D20&amp;$E20&amp;$F20&amp;$G20&amp;$H20&amp;$I20)&gt;0,D20="")</formula>
    </cfRule>
  </conditionalFormatting>
  <conditionalFormatting sqref="F20:F220">
    <cfRule type="expression" priority="5" dxfId="6">
      <formula>AND(LEN($B20&amp;$C20&amp;$D20&amp;$E20&amp;$F20&amp;$G20&amp;$H20&amp;$I20)&gt;0,F20="")</formula>
    </cfRule>
  </conditionalFormatting>
  <dataValidations count="1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I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ist_type" error="At most 40 characters." promptTitle="list_type" prompt="Yes. Legacy name of the list (for example MARKET_SEGMENT, BUSINESS_ORIGIN, CUSTOMER_SEGMENT, REGION, AREA, DEPARTMENT, ACCOUNT_TYPE, ID_TYPE, NATIONALITY) Allowed: Legacy list names; one code map set LOV:&lt;list&gt; or MIS:&lt;field&gt; per list" type="textLength" operator="lessThanOrEqual">
      <formula1>40</formula1>
    </dataValidation>
    <dataValidation sqref="C20:C220" showDropDown="0" showInputMessage="1" showErrorMessage="1" allowBlank="1" errorTitle="code" error="At most 40 characters." promptTitle="code" prompt="Yes. Legacy value code Allowed: Free entry, up to 40 characters" type="textLength" operator="lessThanOrEqual">
      <formula1>40</formula1>
    </dataValidation>
    <dataValidation sqref="D20:D220" showDropDown="0" showInputMessage="1" showErrorMessage="1" allowBlank="1" errorTitle="description" error="At most 200 characters." promptTitle="description" prompt="Yes. Legacy value description Allowed: Free entry, up to 200 characters" type="textLength" operator="lessThanOrEqual">
      <formula1>200</formula1>
    </dataValidation>
    <dataValidation sqref="E20:E220" showDropDown="0" showInputMessage="1" showErrorMessage="1" allowBlank="1" errorTitle="parent_code" error="At most 40 characters." promptTitle="parent_code" prompt="No. Code of the parent value for hierarchical lists (area under region) Allowed: Codes of the same file" type="textLength" operator="lessThanOrEqual">
      <formula1>40</formula1>
    </dataValidation>
    <dataValidation sqref="F20:F220" showDropDown="0" showInputMessage="1" showErrorMessage="1" allowBlank="1" errorTitle="active_flag" error="Choose a value of the list Yes or no (sheet Reference lists)." promptTitle="active_flag" prompt="Yes. Value in use in legacy Allowed: Y or N" type="list" errorStyle="stop">
      <formula1>=LIST_YES_NO</formula1>
    </dataValidation>
    <dataValidation sqref="G20:G220" showDropDown="0" showInputMessage="1" showErrorMessage="0" allowBlank="1" promptTitle="effective_from" prompt="No. First day the value is valid"/>
    <dataValidation sqref="H20:H220" showDropDown="0" showInputMessage="1" showErrorMessage="0" allowBlank="1" promptTitle="effective_to" prompt="No. Last day the value is valid"/>
    <dataValidation sqref="I20:I220" showDropDown="0" showInputMessage="1" showErrorMessage="1" allowBlank="1" errorTitle="used_count" error="Enter a whole number." promptTitle="used_count" prompt="No. Number of legacy records that use the value (helps the mapping) Allowed: A whole number" type="whole" operator="greaterThanOrEqual">
      <formula1>-1E+15</formula1>
    </dataValidation>
  </dataValidations>
  <hyperlinks>
    <hyperlink ref="A2" location="'Load templates'!A1"/>
    <hyperlink ref="I2" location="'Comments log'!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tabColor rgb="00004EA8"/>
    <outlinePr summaryBelow="0" summaryRight="1"/>
    <pageSetUpPr fitToPage="1"/>
  </sheetPr>
  <dimension ref="A1:G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0" customWidth="1" min="3" max="3"/>
    <col width="26" customWidth="1" min="4" max="4"/>
    <col width="13" customWidth="1" min="5" max="5"/>
    <col width="16" customWidth="1" min="6" max="6"/>
    <col width="12" customWidth="1" min="7" max="7"/>
  </cols>
  <sheetData>
    <row r="1" ht="26" customHeight="1">
      <c r="A1" s="44" t="inlineStr">
        <is>
          <t>R02 Branches and invoicing branches</t>
        </is>
      </c>
      <c r="G1" s="45" t="inlineStr">
        <is>
          <t>Step 2 of 29</t>
        </is>
      </c>
    </row>
    <row r="2">
      <c r="A2" s="46" t="inlineStr">
        <is>
          <t>← Back to Load templates</t>
        </is>
      </c>
      <c r="B2" s="47" t="inlineStr">
        <is>
          <t>Step 2 of 29. Fill in one row per record below the column headers; the guide above each column says what to enter.</t>
        </is>
      </c>
      <c r="G2" s="48" t="inlineStr">
        <is>
          <t>Ask a question →</t>
        </is>
      </c>
    </row>
    <row r="3" outlineLevel="1" ht="28" customHeight="1">
      <c r="A3" s="49" t="inlineStr">
        <is>
          <t>Purpose</t>
        </is>
      </c>
      <c r="B3" s="50" t="inlineStr">
        <is>
          <t>One row per record of Branches and invoicing branches as extracted from EBIX. Key branch_code. Sent as the file R02_template.csv (CSV, header row as below) with its control file (row count, count of distinct keys).</t>
        </is>
      </c>
    </row>
    <row r="4" outlineLevel="1" ht="15.5" customHeight="1">
      <c r="A4" s="49" t="inlineStr">
        <is>
          <t>Provided by</t>
        </is>
      </c>
      <c r="B4" s="50" t="inlineStr">
        <is>
          <t>Comptrollership data steward (to name); approved by Head, Comptrollership; extracted by BDOI IT</t>
        </is>
      </c>
    </row>
    <row r="5" outlineLevel="1" ht="15.5" customHeight="1">
      <c r="A5" s="49" t="inlineStr">
        <is>
          <t>Due</t>
        </is>
      </c>
      <c r="B5" s="51" t="inlineStr">
        <is>
          <t>M3 (29 Jan 2027)</t>
        </is>
      </c>
    </row>
    <row r="6" outlineLevel="1" ht="28" customHeight="1">
      <c r="A6" s="49" t="inlineStr">
        <is>
          <t>How it is loaded</t>
        </is>
      </c>
      <c r="B6" s="50" t="inlineStr">
        <is>
          <t>Data migration object R02 (Migrate), layout R02 version 1, through the Migration Console; lands in: Branches (check only, code map BRANCH)</t>
        </is>
      </c>
    </row>
    <row r="7" outlineLevel="1" ht="15.5" customHeight="1">
      <c r="A7" s="49" t="inlineStr">
        <is>
          <t>Source</t>
        </is>
      </c>
      <c r="B7" s="50" t="inlineStr">
        <is>
          <t>EBIX</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SUMPRODUCT(((ROW($B$20:$B$220)&gt;20)+($B$20&lt;&gt;"MKT01")&gt;0)*(LEN($B$20:$B$220&amp;$C$20:$C$220&amp;$D$20:$D$220&amp;$E$20:$E$220&amp;$F$20:$F$220)&gt;0))</f>
        <v/>
      </c>
      <c r="D9" s="54" t="inlineStr">
        <is>
          <t>Mandatory cells missing</t>
        </is>
      </c>
      <c r="E9" s="55">
        <f>SUMPRODUCT(((ROW($B$20:$B$220)&gt;20)+($B$20&lt;&gt;"MKT01")&gt;0)*(LEN($B$20:$B$220&amp;$C$20:$C$220&amp;$D$20:$D$220&amp;$E$20:$E$220&amp;$F$20:$F$220)&gt;0)*(($B$20:$B$220="")+($C$20:$C$220="")+($D$20:$D$220="")+($F$20:$F$220="")))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row>
    <row r="12" ht="30" customHeight="1">
      <c r="A12" s="59" t="inlineStr">
        <is>
          <t>BU review</t>
        </is>
      </c>
      <c r="B12" s="60" t="n"/>
      <c r="C12" s="60" t="n"/>
      <c r="D12" s="60" t="n"/>
      <c r="E12" s="60" t="n"/>
      <c r="F12" s="60" t="n"/>
    </row>
    <row r="13" ht="30" customHeight="1">
      <c r="A13" s="59" t="inlineStr">
        <is>
          <t>BU comment</t>
        </is>
      </c>
      <c r="B13" s="60" t="n"/>
      <c r="C13" s="60" t="n"/>
      <c r="D13" s="60" t="n"/>
      <c r="E13" s="60" t="n"/>
      <c r="F13" s="60" t="n"/>
    </row>
    <row r="14" ht="17" customHeight="1">
      <c r="A14" s="59" t="inlineStr">
        <is>
          <t>Check when loaded</t>
        </is>
      </c>
      <c r="B14" s="61" t="inlineStr">
        <is>
          <t>Unique</t>
        </is>
      </c>
      <c r="C14" s="61" t="inlineStr">
        <is>
          <t>Not blank</t>
        </is>
      </c>
      <c r="D14" s="61" t="inlineStr">
        <is>
          <t>Y or N</t>
        </is>
      </c>
      <c r="E14" s="61" t="inlineStr">
        <is>
          <t>-</t>
        </is>
      </c>
      <c r="F14" s="61" t="inlineStr">
        <is>
          <t>Y or N</t>
        </is>
      </c>
    </row>
    <row r="15" ht="17" customHeight="1">
      <c r="A15" s="59" t="inlineStr">
        <is>
          <t>Mandatory</t>
        </is>
      </c>
      <c r="B15" s="62" t="inlineStr">
        <is>
          <t>Yes</t>
        </is>
      </c>
      <c r="C15" s="62" t="inlineStr">
        <is>
          <t>Yes</t>
        </is>
      </c>
      <c r="D15" s="62" t="inlineStr">
        <is>
          <t>Yes</t>
        </is>
      </c>
      <c r="E15" s="61" t="inlineStr">
        <is>
          <t>No</t>
        </is>
      </c>
      <c r="F15" s="62" t="inlineStr">
        <is>
          <t>Yes</t>
        </is>
      </c>
    </row>
    <row r="16" ht="30" customHeight="1">
      <c r="A16" s="59" t="inlineStr">
        <is>
          <t>Format</t>
        </is>
      </c>
      <c r="B16" s="61" t="inlineStr">
        <is>
          <t>Code, up to 20; As stored in legacy</t>
        </is>
      </c>
      <c r="C16" s="61" t="inlineStr">
        <is>
          <t>Text, up to 120; Free text</t>
        </is>
      </c>
      <c r="D16" s="61" t="inlineStr">
        <is>
          <t>Flag, up to 1; Y or N</t>
        </is>
      </c>
      <c r="E16" s="61" t="inlineStr">
        <is>
          <t>Text, up to 80; Free text</t>
        </is>
      </c>
      <c r="F16" s="61" t="inlineStr">
        <is>
          <t>Flag, up to 1; Y or N</t>
        </is>
      </c>
    </row>
    <row r="17" ht="43" customHeight="1">
      <c r="A17" s="59" t="inlineStr">
        <is>
          <t>Allowed values</t>
        </is>
      </c>
      <c r="B17" s="61" t="inlineStr">
        <is>
          <t>Free entry, up to 20 characters</t>
        </is>
      </c>
      <c r="C17" s="61" t="inlineStr">
        <is>
          <t>Free entry, up to 120 characters</t>
        </is>
      </c>
      <c r="D17" s="61" t="inlineStr">
        <is>
          <t>Y or N</t>
        </is>
      </c>
      <c r="E17" s="61" t="inlineStr">
        <is>
          <t>Free entry, up to 80 characters</t>
        </is>
      </c>
      <c r="F17" s="61" t="inlineStr">
        <is>
          <t>Y or N</t>
        </is>
      </c>
    </row>
    <row r="18" ht="30" customHeight="1">
      <c r="A18" s="59" t="inlineStr">
        <is>
          <t>What to enter</t>
        </is>
      </c>
      <c r="B18" s="61" t="inlineStr">
        <is>
          <t>Legacy branch code</t>
        </is>
      </c>
      <c r="C18" s="61" t="inlineStr">
        <is>
          <t>Branch name</t>
        </is>
      </c>
      <c r="D18" s="61" t="inlineStr">
        <is>
          <t>Branch issues invoices and receipts</t>
        </is>
      </c>
      <c r="E18" s="61" t="inlineStr">
        <is>
          <t>City of the branch</t>
        </is>
      </c>
      <c r="F18" s="61" t="inlineStr">
        <is>
          <t>Branch active in legacy</t>
        </is>
      </c>
    </row>
    <row r="19" ht="30" customHeight="1">
      <c r="A19" s="63" t="inlineStr">
        <is>
          <t>Row</t>
        </is>
      </c>
      <c r="B19" s="24" t="inlineStr">
        <is>
          <t>branch_code *</t>
        </is>
      </c>
      <c r="C19" s="24" t="inlineStr">
        <is>
          <t>branch_name *</t>
        </is>
      </c>
      <c r="D19" s="24" t="inlineStr">
        <is>
          <t>invoicing_branch_flag *</t>
        </is>
      </c>
      <c r="E19" s="24" t="inlineStr">
        <is>
          <t>city</t>
        </is>
      </c>
      <c r="F19" s="24" t="inlineStr">
        <is>
          <t>active_flag *</t>
        </is>
      </c>
    </row>
    <row r="20" ht="18" customHeight="1">
      <c r="A20" s="64" t="inlineStr">
        <is>
          <t>Example – overwrite or delete</t>
        </is>
      </c>
      <c r="B20" s="65" t="inlineStr">
        <is>
          <t>MKT01</t>
        </is>
      </c>
      <c r="C20" s="65" t="inlineStr">
        <is>
          <t>Makati Head Office</t>
        </is>
      </c>
      <c r="D20" s="65" t="inlineStr">
        <is>
          <t>Y</t>
        </is>
      </c>
      <c r="E20" s="65" t="inlineStr">
        <is>
          <t>Makati City</t>
        </is>
      </c>
      <c r="F20" s="65" t="inlineStr">
        <is>
          <t>Y</t>
        </is>
      </c>
    </row>
    <row r="21">
      <c r="B21" s="67" t="n"/>
      <c r="C21" s="67" t="n"/>
      <c r="D21" s="67" t="n"/>
      <c r="E21" s="67" t="n"/>
      <c r="F21" s="67" t="n"/>
    </row>
    <row r="22">
      <c r="B22" s="67" t="n"/>
      <c r="C22" s="67" t="n"/>
      <c r="D22" s="67" t="n"/>
      <c r="E22" s="67" t="n"/>
      <c r="F22" s="67" t="n"/>
    </row>
    <row r="23">
      <c r="B23" s="67" t="n"/>
      <c r="C23" s="67" t="n"/>
      <c r="D23" s="67" t="n"/>
      <c r="E23" s="67" t="n"/>
      <c r="F23" s="67" t="n"/>
    </row>
    <row r="24">
      <c r="B24" s="67" t="n"/>
      <c r="C24" s="67" t="n"/>
      <c r="D24" s="67" t="n"/>
      <c r="E24" s="67" t="n"/>
      <c r="F24" s="67" t="n"/>
    </row>
    <row r="25">
      <c r="B25" s="67" t="n"/>
      <c r="C25" s="67" t="n"/>
      <c r="D25" s="67" t="n"/>
      <c r="E25" s="67" t="n"/>
      <c r="F25" s="67" t="n"/>
    </row>
    <row r="26">
      <c r="B26" s="67" t="n"/>
      <c r="C26" s="67" t="n"/>
      <c r="D26" s="67" t="n"/>
      <c r="E26" s="67" t="n"/>
      <c r="F26" s="67" t="n"/>
    </row>
    <row r="27">
      <c r="B27" s="67" t="n"/>
      <c r="C27" s="67" t="n"/>
      <c r="D27" s="67" t="n"/>
      <c r="E27" s="67" t="n"/>
      <c r="F27" s="67" t="n"/>
    </row>
    <row r="28">
      <c r="B28" s="67" t="n"/>
      <c r="C28" s="67" t="n"/>
      <c r="D28" s="67" t="n"/>
      <c r="E28" s="67" t="n"/>
      <c r="F28" s="67" t="n"/>
    </row>
    <row r="29">
      <c r="B29" s="67" t="n"/>
      <c r="C29" s="67" t="n"/>
      <c r="D29" s="67" t="n"/>
      <c r="E29" s="67" t="n"/>
      <c r="F29" s="67" t="n"/>
    </row>
    <row r="30">
      <c r="B30" s="67" t="n"/>
      <c r="C30" s="67" t="n"/>
      <c r="D30" s="67" t="n"/>
      <c r="E30" s="67" t="n"/>
      <c r="F30" s="67" t="n"/>
    </row>
    <row r="31">
      <c r="B31" s="67" t="n"/>
      <c r="C31" s="67" t="n"/>
      <c r="D31" s="67" t="n"/>
      <c r="E31" s="67" t="n"/>
      <c r="F31" s="67" t="n"/>
    </row>
    <row r="32">
      <c r="B32" s="67" t="n"/>
      <c r="C32" s="67" t="n"/>
      <c r="D32" s="67" t="n"/>
      <c r="E32" s="67" t="n"/>
      <c r="F32" s="67" t="n"/>
    </row>
    <row r="33">
      <c r="B33" s="67" t="n"/>
      <c r="C33" s="67" t="n"/>
      <c r="D33" s="67" t="n"/>
      <c r="E33" s="67" t="n"/>
      <c r="F33" s="67" t="n"/>
    </row>
    <row r="34">
      <c r="B34" s="67" t="n"/>
      <c r="C34" s="67" t="n"/>
      <c r="D34" s="67" t="n"/>
      <c r="E34" s="67" t="n"/>
      <c r="F34" s="67" t="n"/>
    </row>
    <row r="35">
      <c r="B35" s="67" t="n"/>
      <c r="C35" s="67" t="n"/>
      <c r="D35" s="67" t="n"/>
      <c r="E35" s="67" t="n"/>
      <c r="F35" s="67" t="n"/>
    </row>
    <row r="36">
      <c r="B36" s="67" t="n"/>
      <c r="C36" s="67" t="n"/>
      <c r="D36" s="67" t="n"/>
      <c r="E36" s="67" t="n"/>
      <c r="F36" s="67" t="n"/>
    </row>
    <row r="37">
      <c r="B37" s="67" t="n"/>
      <c r="C37" s="67" t="n"/>
      <c r="D37" s="67" t="n"/>
      <c r="E37" s="67" t="n"/>
      <c r="F37" s="67" t="n"/>
    </row>
    <row r="38">
      <c r="B38" s="67" t="n"/>
      <c r="C38" s="67" t="n"/>
      <c r="D38" s="67" t="n"/>
      <c r="E38" s="67" t="n"/>
      <c r="F38" s="67" t="n"/>
    </row>
    <row r="39">
      <c r="B39" s="67" t="n"/>
      <c r="C39" s="67" t="n"/>
      <c r="D39" s="67" t="n"/>
      <c r="E39" s="67" t="n"/>
      <c r="F39" s="67" t="n"/>
    </row>
    <row r="40">
      <c r="B40" s="67" t="n"/>
      <c r="C40" s="67" t="n"/>
      <c r="D40" s="67" t="n"/>
      <c r="E40" s="67" t="n"/>
      <c r="F40" s="67" t="n"/>
    </row>
    <row r="41">
      <c r="B41" s="67" t="n"/>
      <c r="C41" s="67" t="n"/>
      <c r="D41" s="67" t="n"/>
      <c r="E41" s="67" t="n"/>
      <c r="F41" s="67" t="n"/>
    </row>
    <row r="42">
      <c r="B42" s="67" t="n"/>
      <c r="C42" s="67" t="n"/>
      <c r="D42" s="67" t="n"/>
      <c r="E42" s="67" t="n"/>
      <c r="F42" s="67" t="n"/>
    </row>
    <row r="43">
      <c r="B43" s="67" t="n"/>
      <c r="C43" s="67" t="n"/>
      <c r="D43" s="67" t="n"/>
      <c r="E43" s="67" t="n"/>
      <c r="F43" s="67" t="n"/>
    </row>
    <row r="44">
      <c r="B44" s="67" t="n"/>
      <c r="C44" s="67" t="n"/>
      <c r="D44" s="67" t="n"/>
      <c r="E44" s="67" t="n"/>
      <c r="F44" s="67" t="n"/>
    </row>
    <row r="45">
      <c r="B45" s="67" t="n"/>
      <c r="C45" s="67" t="n"/>
      <c r="D45" s="67" t="n"/>
      <c r="E45" s="67" t="n"/>
      <c r="F45" s="67" t="n"/>
    </row>
    <row r="46">
      <c r="B46" s="67" t="n"/>
      <c r="C46" s="67" t="n"/>
      <c r="D46" s="67" t="n"/>
      <c r="E46" s="67" t="n"/>
      <c r="F46" s="67" t="n"/>
    </row>
    <row r="47">
      <c r="B47" s="67" t="n"/>
      <c r="C47" s="67" t="n"/>
      <c r="D47" s="67" t="n"/>
      <c r="E47" s="67" t="n"/>
      <c r="F47" s="67" t="n"/>
    </row>
    <row r="48">
      <c r="B48" s="67" t="n"/>
      <c r="C48" s="67" t="n"/>
      <c r="D48" s="67" t="n"/>
      <c r="E48" s="67" t="n"/>
      <c r="F48" s="67" t="n"/>
    </row>
    <row r="49">
      <c r="B49" s="67" t="n"/>
      <c r="C49" s="67" t="n"/>
      <c r="D49" s="67" t="n"/>
      <c r="E49" s="67" t="n"/>
      <c r="F49" s="67" t="n"/>
    </row>
    <row r="50">
      <c r="B50" s="67" t="n"/>
      <c r="C50" s="67" t="n"/>
      <c r="D50" s="67" t="n"/>
      <c r="E50" s="67" t="n"/>
      <c r="F50" s="67" t="n"/>
    </row>
    <row r="51">
      <c r="B51" s="67" t="n"/>
      <c r="C51" s="67" t="n"/>
      <c r="D51" s="67" t="n"/>
      <c r="E51" s="67" t="n"/>
      <c r="F51" s="67" t="n"/>
    </row>
    <row r="52">
      <c r="B52" s="67" t="n"/>
      <c r="C52" s="67" t="n"/>
      <c r="D52" s="67" t="n"/>
      <c r="E52" s="67" t="n"/>
      <c r="F52" s="67" t="n"/>
    </row>
    <row r="53">
      <c r="B53" s="67" t="n"/>
      <c r="C53" s="67" t="n"/>
      <c r="D53" s="67" t="n"/>
      <c r="E53" s="67" t="n"/>
      <c r="F53" s="67" t="n"/>
    </row>
    <row r="54">
      <c r="B54" s="67" t="n"/>
      <c r="C54" s="67" t="n"/>
      <c r="D54" s="67" t="n"/>
      <c r="E54" s="67" t="n"/>
      <c r="F54" s="67" t="n"/>
    </row>
    <row r="55">
      <c r="B55" s="67" t="n"/>
      <c r="C55" s="67" t="n"/>
      <c r="D55" s="67" t="n"/>
      <c r="E55" s="67" t="n"/>
      <c r="F55" s="67" t="n"/>
    </row>
    <row r="56">
      <c r="B56" s="67" t="n"/>
      <c r="C56" s="67" t="n"/>
      <c r="D56" s="67" t="n"/>
      <c r="E56" s="67" t="n"/>
      <c r="F56" s="67" t="n"/>
    </row>
    <row r="57">
      <c r="B57" s="67" t="n"/>
      <c r="C57" s="67" t="n"/>
      <c r="D57" s="67" t="n"/>
      <c r="E57" s="67" t="n"/>
      <c r="F57" s="67" t="n"/>
    </row>
    <row r="58">
      <c r="B58" s="67" t="n"/>
      <c r="C58" s="67" t="n"/>
      <c r="D58" s="67" t="n"/>
      <c r="E58" s="67" t="n"/>
      <c r="F58" s="67" t="n"/>
    </row>
    <row r="59">
      <c r="B59" s="67" t="n"/>
      <c r="C59" s="67" t="n"/>
      <c r="D59" s="67" t="n"/>
      <c r="E59" s="67" t="n"/>
      <c r="F59" s="67" t="n"/>
    </row>
    <row r="60">
      <c r="B60" s="67" t="n"/>
      <c r="C60" s="67" t="n"/>
      <c r="D60" s="67" t="n"/>
      <c r="E60" s="67" t="n"/>
      <c r="F60" s="67" t="n"/>
    </row>
    <row r="61">
      <c r="B61" s="67" t="n"/>
      <c r="C61" s="67" t="n"/>
      <c r="D61" s="67" t="n"/>
      <c r="E61" s="67" t="n"/>
      <c r="F61" s="67" t="n"/>
    </row>
    <row r="62">
      <c r="B62" s="67" t="n"/>
      <c r="C62" s="67" t="n"/>
      <c r="D62" s="67" t="n"/>
      <c r="E62" s="67" t="n"/>
      <c r="F62" s="67" t="n"/>
    </row>
    <row r="63">
      <c r="B63" s="67" t="n"/>
      <c r="C63" s="67" t="n"/>
      <c r="D63" s="67" t="n"/>
      <c r="E63" s="67" t="n"/>
      <c r="F63" s="67" t="n"/>
    </row>
    <row r="64">
      <c r="B64" s="67" t="n"/>
      <c r="C64" s="67" t="n"/>
      <c r="D64" s="67" t="n"/>
      <c r="E64" s="67" t="n"/>
      <c r="F64" s="67" t="n"/>
    </row>
    <row r="65">
      <c r="B65" s="67" t="n"/>
      <c r="C65" s="67" t="n"/>
      <c r="D65" s="67" t="n"/>
      <c r="E65" s="67" t="n"/>
      <c r="F65" s="67" t="n"/>
    </row>
    <row r="66">
      <c r="B66" s="67" t="n"/>
      <c r="C66" s="67" t="n"/>
      <c r="D66" s="67" t="n"/>
      <c r="E66" s="67" t="n"/>
      <c r="F66" s="67" t="n"/>
    </row>
    <row r="67">
      <c r="B67" s="67" t="n"/>
      <c r="C67" s="67" t="n"/>
      <c r="D67" s="67" t="n"/>
      <c r="E67" s="67" t="n"/>
      <c r="F67" s="67" t="n"/>
    </row>
    <row r="68">
      <c r="B68" s="67" t="n"/>
      <c r="C68" s="67" t="n"/>
      <c r="D68" s="67" t="n"/>
      <c r="E68" s="67" t="n"/>
      <c r="F68" s="67" t="n"/>
    </row>
    <row r="69">
      <c r="B69" s="67" t="n"/>
      <c r="C69" s="67" t="n"/>
      <c r="D69" s="67" t="n"/>
      <c r="E69" s="67" t="n"/>
      <c r="F69" s="67" t="n"/>
    </row>
    <row r="70">
      <c r="B70" s="67" t="n"/>
      <c r="C70" s="67" t="n"/>
      <c r="D70" s="67" t="n"/>
      <c r="E70" s="67" t="n"/>
      <c r="F70" s="67" t="n"/>
    </row>
    <row r="71">
      <c r="B71" s="67" t="n"/>
      <c r="C71" s="67" t="n"/>
      <c r="D71" s="67" t="n"/>
      <c r="E71" s="67" t="n"/>
      <c r="F71" s="67" t="n"/>
    </row>
    <row r="72">
      <c r="B72" s="67" t="n"/>
      <c r="C72" s="67" t="n"/>
      <c r="D72" s="67" t="n"/>
      <c r="E72" s="67" t="n"/>
      <c r="F72" s="67" t="n"/>
    </row>
    <row r="73">
      <c r="B73" s="67" t="n"/>
      <c r="C73" s="67" t="n"/>
      <c r="D73" s="67" t="n"/>
      <c r="E73" s="67" t="n"/>
      <c r="F73" s="67" t="n"/>
    </row>
    <row r="74">
      <c r="B74" s="67" t="n"/>
      <c r="C74" s="67" t="n"/>
      <c r="D74" s="67" t="n"/>
      <c r="E74" s="67" t="n"/>
      <c r="F74" s="67" t="n"/>
    </row>
    <row r="75">
      <c r="B75" s="67" t="n"/>
      <c r="C75" s="67" t="n"/>
      <c r="D75" s="67" t="n"/>
      <c r="E75" s="67" t="n"/>
      <c r="F75" s="67" t="n"/>
    </row>
    <row r="76">
      <c r="B76" s="67" t="n"/>
      <c r="C76" s="67" t="n"/>
      <c r="D76" s="67" t="n"/>
      <c r="E76" s="67" t="n"/>
      <c r="F76" s="67" t="n"/>
    </row>
    <row r="77">
      <c r="B77" s="67" t="n"/>
      <c r="C77" s="67" t="n"/>
      <c r="D77" s="67" t="n"/>
      <c r="E77" s="67" t="n"/>
      <c r="F77" s="67" t="n"/>
    </row>
    <row r="78">
      <c r="B78" s="67" t="n"/>
      <c r="C78" s="67" t="n"/>
      <c r="D78" s="67" t="n"/>
      <c r="E78" s="67" t="n"/>
      <c r="F78" s="67" t="n"/>
    </row>
    <row r="79">
      <c r="B79" s="67" t="n"/>
      <c r="C79" s="67" t="n"/>
      <c r="D79" s="67" t="n"/>
      <c r="E79" s="67" t="n"/>
      <c r="F79" s="67" t="n"/>
    </row>
    <row r="80">
      <c r="B80" s="67" t="n"/>
      <c r="C80" s="67" t="n"/>
      <c r="D80" s="67" t="n"/>
      <c r="E80" s="67" t="n"/>
      <c r="F80" s="67" t="n"/>
    </row>
    <row r="81">
      <c r="B81" s="67" t="n"/>
      <c r="C81" s="67" t="n"/>
      <c r="D81" s="67" t="n"/>
      <c r="E81" s="67" t="n"/>
      <c r="F81" s="67" t="n"/>
    </row>
    <row r="82">
      <c r="B82" s="67" t="n"/>
      <c r="C82" s="67" t="n"/>
      <c r="D82" s="67" t="n"/>
      <c r="E82" s="67" t="n"/>
      <c r="F82" s="67" t="n"/>
    </row>
    <row r="83">
      <c r="B83" s="67" t="n"/>
      <c r="C83" s="67" t="n"/>
      <c r="D83" s="67" t="n"/>
      <c r="E83" s="67" t="n"/>
      <c r="F83" s="67" t="n"/>
    </row>
    <row r="84">
      <c r="B84" s="67" t="n"/>
      <c r="C84" s="67" t="n"/>
      <c r="D84" s="67" t="n"/>
      <c r="E84" s="67" t="n"/>
      <c r="F84" s="67" t="n"/>
    </row>
    <row r="85">
      <c r="B85" s="67" t="n"/>
      <c r="C85" s="67" t="n"/>
      <c r="D85" s="67" t="n"/>
      <c r="E85" s="67" t="n"/>
      <c r="F85" s="67" t="n"/>
    </row>
    <row r="86">
      <c r="B86" s="67" t="n"/>
      <c r="C86" s="67" t="n"/>
      <c r="D86" s="67" t="n"/>
      <c r="E86" s="67" t="n"/>
      <c r="F86" s="67" t="n"/>
    </row>
    <row r="87">
      <c r="B87" s="67" t="n"/>
      <c r="C87" s="67" t="n"/>
      <c r="D87" s="67" t="n"/>
      <c r="E87" s="67" t="n"/>
      <c r="F87" s="67" t="n"/>
    </row>
    <row r="88">
      <c r="B88" s="67" t="n"/>
      <c r="C88" s="67" t="n"/>
      <c r="D88" s="67" t="n"/>
      <c r="E88" s="67" t="n"/>
      <c r="F88" s="67" t="n"/>
    </row>
    <row r="89">
      <c r="B89" s="67" t="n"/>
      <c r="C89" s="67" t="n"/>
      <c r="D89" s="67" t="n"/>
      <c r="E89" s="67" t="n"/>
      <c r="F89" s="67" t="n"/>
    </row>
    <row r="90">
      <c r="B90" s="67" t="n"/>
      <c r="C90" s="67" t="n"/>
      <c r="D90" s="67" t="n"/>
      <c r="E90" s="67" t="n"/>
      <c r="F90" s="67" t="n"/>
    </row>
    <row r="91">
      <c r="B91" s="67" t="n"/>
      <c r="C91" s="67" t="n"/>
      <c r="D91" s="67" t="n"/>
      <c r="E91" s="67" t="n"/>
      <c r="F91" s="67" t="n"/>
    </row>
    <row r="92">
      <c r="B92" s="67" t="n"/>
      <c r="C92" s="67" t="n"/>
      <c r="D92" s="67" t="n"/>
      <c r="E92" s="67" t="n"/>
      <c r="F92" s="67" t="n"/>
    </row>
    <row r="93">
      <c r="B93" s="67" t="n"/>
      <c r="C93" s="67" t="n"/>
      <c r="D93" s="67" t="n"/>
      <c r="E93" s="67" t="n"/>
      <c r="F93" s="67" t="n"/>
    </row>
    <row r="94">
      <c r="B94" s="67" t="n"/>
      <c r="C94" s="67" t="n"/>
      <c r="D94" s="67" t="n"/>
      <c r="E94" s="67" t="n"/>
      <c r="F94" s="67" t="n"/>
    </row>
    <row r="95">
      <c r="B95" s="67" t="n"/>
      <c r="C95" s="67" t="n"/>
      <c r="D95" s="67" t="n"/>
      <c r="E95" s="67" t="n"/>
      <c r="F95" s="67" t="n"/>
    </row>
    <row r="96">
      <c r="B96" s="67" t="n"/>
      <c r="C96" s="67" t="n"/>
      <c r="D96" s="67" t="n"/>
      <c r="E96" s="67" t="n"/>
      <c r="F96" s="67" t="n"/>
    </row>
    <row r="97">
      <c r="B97" s="67" t="n"/>
      <c r="C97" s="67" t="n"/>
      <c r="D97" s="67" t="n"/>
      <c r="E97" s="67" t="n"/>
      <c r="F97" s="67" t="n"/>
    </row>
    <row r="98">
      <c r="B98" s="67" t="n"/>
      <c r="C98" s="67" t="n"/>
      <c r="D98" s="67" t="n"/>
      <c r="E98" s="67" t="n"/>
      <c r="F98" s="67" t="n"/>
    </row>
    <row r="99">
      <c r="B99" s="67" t="n"/>
      <c r="C99" s="67" t="n"/>
      <c r="D99" s="67" t="n"/>
      <c r="E99" s="67" t="n"/>
      <c r="F99" s="67" t="n"/>
    </row>
    <row r="100">
      <c r="B100" s="67" t="n"/>
      <c r="C100" s="67" t="n"/>
      <c r="D100" s="67" t="n"/>
      <c r="E100" s="67" t="n"/>
      <c r="F100" s="67" t="n"/>
    </row>
    <row r="101">
      <c r="B101" s="67" t="n"/>
      <c r="C101" s="67" t="n"/>
      <c r="D101" s="67" t="n"/>
      <c r="E101" s="67" t="n"/>
      <c r="F101" s="67" t="n"/>
    </row>
    <row r="102">
      <c r="B102" s="67" t="n"/>
      <c r="C102" s="67" t="n"/>
      <c r="D102" s="67" t="n"/>
      <c r="E102" s="67" t="n"/>
      <c r="F102" s="67" t="n"/>
    </row>
    <row r="103">
      <c r="B103" s="67" t="n"/>
      <c r="C103" s="67" t="n"/>
      <c r="D103" s="67" t="n"/>
      <c r="E103" s="67" t="n"/>
      <c r="F103" s="67" t="n"/>
    </row>
    <row r="104">
      <c r="B104" s="67" t="n"/>
      <c r="C104" s="67" t="n"/>
      <c r="D104" s="67" t="n"/>
      <c r="E104" s="67" t="n"/>
      <c r="F104" s="67" t="n"/>
    </row>
    <row r="105">
      <c r="B105" s="67" t="n"/>
      <c r="C105" s="67" t="n"/>
      <c r="D105" s="67" t="n"/>
      <c r="E105" s="67" t="n"/>
      <c r="F105" s="67" t="n"/>
    </row>
    <row r="106">
      <c r="B106" s="67" t="n"/>
      <c r="C106" s="67" t="n"/>
      <c r="D106" s="67" t="n"/>
      <c r="E106" s="67" t="n"/>
      <c r="F106" s="67" t="n"/>
    </row>
    <row r="107">
      <c r="B107" s="67" t="n"/>
      <c r="C107" s="67" t="n"/>
      <c r="D107" s="67" t="n"/>
      <c r="E107" s="67" t="n"/>
      <c r="F107" s="67" t="n"/>
    </row>
    <row r="108">
      <c r="B108" s="67" t="n"/>
      <c r="C108" s="67" t="n"/>
      <c r="D108" s="67" t="n"/>
      <c r="E108" s="67" t="n"/>
      <c r="F108" s="67" t="n"/>
    </row>
    <row r="109">
      <c r="B109" s="67" t="n"/>
      <c r="C109" s="67" t="n"/>
      <c r="D109" s="67" t="n"/>
      <c r="E109" s="67" t="n"/>
      <c r="F109" s="67" t="n"/>
    </row>
    <row r="110">
      <c r="B110" s="67" t="n"/>
      <c r="C110" s="67" t="n"/>
      <c r="D110" s="67" t="n"/>
      <c r="E110" s="67" t="n"/>
      <c r="F110" s="67" t="n"/>
    </row>
    <row r="111">
      <c r="B111" s="67" t="n"/>
      <c r="C111" s="67" t="n"/>
      <c r="D111" s="67" t="n"/>
      <c r="E111" s="67" t="n"/>
      <c r="F111" s="67" t="n"/>
    </row>
    <row r="112">
      <c r="B112" s="67" t="n"/>
      <c r="C112" s="67" t="n"/>
      <c r="D112" s="67" t="n"/>
      <c r="E112" s="67" t="n"/>
      <c r="F112" s="67" t="n"/>
    </row>
    <row r="113">
      <c r="B113" s="67" t="n"/>
      <c r="C113" s="67" t="n"/>
      <c r="D113" s="67" t="n"/>
      <c r="E113" s="67" t="n"/>
      <c r="F113" s="67" t="n"/>
    </row>
    <row r="114">
      <c r="B114" s="67" t="n"/>
      <c r="C114" s="67" t="n"/>
      <c r="D114" s="67" t="n"/>
      <c r="E114" s="67" t="n"/>
      <c r="F114" s="67" t="n"/>
    </row>
    <row r="115">
      <c r="B115" s="67" t="n"/>
      <c r="C115" s="67" t="n"/>
      <c r="D115" s="67" t="n"/>
      <c r="E115" s="67" t="n"/>
      <c r="F115" s="67" t="n"/>
    </row>
    <row r="116">
      <c r="B116" s="67" t="n"/>
      <c r="C116" s="67" t="n"/>
      <c r="D116" s="67" t="n"/>
      <c r="E116" s="67" t="n"/>
      <c r="F116" s="67" t="n"/>
    </row>
    <row r="117">
      <c r="B117" s="67" t="n"/>
      <c r="C117" s="67" t="n"/>
      <c r="D117" s="67" t="n"/>
      <c r="E117" s="67" t="n"/>
      <c r="F117" s="67" t="n"/>
    </row>
    <row r="118">
      <c r="B118" s="67" t="n"/>
      <c r="C118" s="67" t="n"/>
      <c r="D118" s="67" t="n"/>
      <c r="E118" s="67" t="n"/>
      <c r="F118" s="67" t="n"/>
    </row>
    <row r="119">
      <c r="B119" s="67" t="n"/>
      <c r="C119" s="67" t="n"/>
      <c r="D119" s="67" t="n"/>
      <c r="E119" s="67" t="n"/>
      <c r="F119" s="67" t="n"/>
    </row>
    <row r="120">
      <c r="B120" s="67" t="n"/>
      <c r="C120" s="67" t="n"/>
      <c r="D120" s="67" t="n"/>
      <c r="E120" s="67" t="n"/>
      <c r="F120" s="67" t="n"/>
    </row>
    <row r="121">
      <c r="B121" s="67" t="n"/>
      <c r="C121" s="67" t="n"/>
      <c r="D121" s="67" t="n"/>
      <c r="E121" s="67" t="n"/>
      <c r="F121" s="67" t="n"/>
    </row>
    <row r="122">
      <c r="B122" s="67" t="n"/>
      <c r="C122" s="67" t="n"/>
      <c r="D122" s="67" t="n"/>
      <c r="E122" s="67" t="n"/>
      <c r="F122" s="67" t="n"/>
    </row>
    <row r="123">
      <c r="B123" s="67" t="n"/>
      <c r="C123" s="67" t="n"/>
      <c r="D123" s="67" t="n"/>
      <c r="E123" s="67" t="n"/>
      <c r="F123" s="67" t="n"/>
    </row>
    <row r="124">
      <c r="B124" s="67" t="n"/>
      <c r="C124" s="67" t="n"/>
      <c r="D124" s="67" t="n"/>
      <c r="E124" s="67" t="n"/>
      <c r="F124" s="67" t="n"/>
    </row>
    <row r="125">
      <c r="B125" s="67" t="n"/>
      <c r="C125" s="67" t="n"/>
      <c r="D125" s="67" t="n"/>
      <c r="E125" s="67" t="n"/>
      <c r="F125" s="67" t="n"/>
    </row>
    <row r="126">
      <c r="B126" s="67" t="n"/>
      <c r="C126" s="67" t="n"/>
      <c r="D126" s="67" t="n"/>
      <c r="E126" s="67" t="n"/>
      <c r="F126" s="67" t="n"/>
    </row>
    <row r="127">
      <c r="B127" s="67" t="n"/>
      <c r="C127" s="67" t="n"/>
      <c r="D127" s="67" t="n"/>
      <c r="E127" s="67" t="n"/>
      <c r="F127" s="67" t="n"/>
    </row>
    <row r="128">
      <c r="B128" s="67" t="n"/>
      <c r="C128" s="67" t="n"/>
      <c r="D128" s="67" t="n"/>
      <c r="E128" s="67" t="n"/>
      <c r="F128" s="67" t="n"/>
    </row>
    <row r="129">
      <c r="B129" s="67" t="n"/>
      <c r="C129" s="67" t="n"/>
      <c r="D129" s="67" t="n"/>
      <c r="E129" s="67" t="n"/>
      <c r="F129" s="67" t="n"/>
    </row>
    <row r="130">
      <c r="B130" s="67" t="n"/>
      <c r="C130" s="67" t="n"/>
      <c r="D130" s="67" t="n"/>
      <c r="E130" s="67" t="n"/>
      <c r="F130" s="67" t="n"/>
    </row>
    <row r="131">
      <c r="B131" s="67" t="n"/>
      <c r="C131" s="67" t="n"/>
      <c r="D131" s="67" t="n"/>
      <c r="E131" s="67" t="n"/>
      <c r="F131" s="67" t="n"/>
    </row>
    <row r="132">
      <c r="B132" s="67" t="n"/>
      <c r="C132" s="67" t="n"/>
      <c r="D132" s="67" t="n"/>
      <c r="E132" s="67" t="n"/>
      <c r="F132" s="67" t="n"/>
    </row>
    <row r="133">
      <c r="B133" s="67" t="n"/>
      <c r="C133" s="67" t="n"/>
      <c r="D133" s="67" t="n"/>
      <c r="E133" s="67" t="n"/>
      <c r="F133" s="67" t="n"/>
    </row>
    <row r="134">
      <c r="B134" s="67" t="n"/>
      <c r="C134" s="67" t="n"/>
      <c r="D134" s="67" t="n"/>
      <c r="E134" s="67" t="n"/>
      <c r="F134" s="67" t="n"/>
    </row>
    <row r="135">
      <c r="B135" s="67" t="n"/>
      <c r="C135" s="67" t="n"/>
      <c r="D135" s="67" t="n"/>
      <c r="E135" s="67" t="n"/>
      <c r="F135" s="67" t="n"/>
    </row>
    <row r="136">
      <c r="B136" s="67" t="n"/>
      <c r="C136" s="67" t="n"/>
      <c r="D136" s="67" t="n"/>
      <c r="E136" s="67" t="n"/>
      <c r="F136" s="67" t="n"/>
    </row>
    <row r="137">
      <c r="B137" s="67" t="n"/>
      <c r="C137" s="67" t="n"/>
      <c r="D137" s="67" t="n"/>
      <c r="E137" s="67" t="n"/>
      <c r="F137" s="67" t="n"/>
    </row>
    <row r="138">
      <c r="B138" s="67" t="n"/>
      <c r="C138" s="67" t="n"/>
      <c r="D138" s="67" t="n"/>
      <c r="E138" s="67" t="n"/>
      <c r="F138" s="67" t="n"/>
    </row>
    <row r="139">
      <c r="B139" s="67" t="n"/>
      <c r="C139" s="67" t="n"/>
      <c r="D139" s="67" t="n"/>
      <c r="E139" s="67" t="n"/>
      <c r="F139" s="67" t="n"/>
    </row>
    <row r="140">
      <c r="B140" s="67" t="n"/>
      <c r="C140" s="67" t="n"/>
      <c r="D140" s="67" t="n"/>
      <c r="E140" s="67" t="n"/>
      <c r="F140" s="67" t="n"/>
    </row>
    <row r="141">
      <c r="B141" s="67" t="n"/>
      <c r="C141" s="67" t="n"/>
      <c r="D141" s="67" t="n"/>
      <c r="E141" s="67" t="n"/>
      <c r="F141" s="67" t="n"/>
    </row>
    <row r="142">
      <c r="B142" s="67" t="n"/>
      <c r="C142" s="67" t="n"/>
      <c r="D142" s="67" t="n"/>
      <c r="E142" s="67" t="n"/>
      <c r="F142" s="67" t="n"/>
    </row>
    <row r="143">
      <c r="B143" s="67" t="n"/>
      <c r="C143" s="67" t="n"/>
      <c r="D143" s="67" t="n"/>
      <c r="E143" s="67" t="n"/>
      <c r="F143" s="67" t="n"/>
    </row>
    <row r="144">
      <c r="B144" s="67" t="n"/>
      <c r="C144" s="67" t="n"/>
      <c r="D144" s="67" t="n"/>
      <c r="E144" s="67" t="n"/>
      <c r="F144" s="67" t="n"/>
    </row>
    <row r="145">
      <c r="B145" s="67" t="n"/>
      <c r="C145" s="67" t="n"/>
      <c r="D145" s="67" t="n"/>
      <c r="E145" s="67" t="n"/>
      <c r="F145" s="67" t="n"/>
    </row>
    <row r="146">
      <c r="B146" s="67" t="n"/>
      <c r="C146" s="67" t="n"/>
      <c r="D146" s="67" t="n"/>
      <c r="E146" s="67" t="n"/>
      <c r="F146" s="67" t="n"/>
    </row>
    <row r="147">
      <c r="B147" s="67" t="n"/>
      <c r="C147" s="67" t="n"/>
      <c r="D147" s="67" t="n"/>
      <c r="E147" s="67" t="n"/>
      <c r="F147" s="67" t="n"/>
    </row>
    <row r="148">
      <c r="B148" s="67" t="n"/>
      <c r="C148" s="67" t="n"/>
      <c r="D148" s="67" t="n"/>
      <c r="E148" s="67" t="n"/>
      <c r="F148" s="67" t="n"/>
    </row>
    <row r="149">
      <c r="B149" s="67" t="n"/>
      <c r="C149" s="67" t="n"/>
      <c r="D149" s="67" t="n"/>
      <c r="E149" s="67" t="n"/>
      <c r="F149" s="67" t="n"/>
    </row>
    <row r="150">
      <c r="B150" s="67" t="n"/>
      <c r="C150" s="67" t="n"/>
      <c r="D150" s="67" t="n"/>
      <c r="E150" s="67" t="n"/>
      <c r="F150" s="67" t="n"/>
    </row>
    <row r="151">
      <c r="B151" s="67" t="n"/>
      <c r="C151" s="67" t="n"/>
      <c r="D151" s="67" t="n"/>
      <c r="E151" s="67" t="n"/>
      <c r="F151" s="67" t="n"/>
    </row>
    <row r="152">
      <c r="B152" s="67" t="n"/>
      <c r="C152" s="67" t="n"/>
      <c r="D152" s="67" t="n"/>
      <c r="E152" s="67" t="n"/>
      <c r="F152" s="67" t="n"/>
    </row>
    <row r="153">
      <c r="B153" s="67" t="n"/>
      <c r="C153" s="67" t="n"/>
      <c r="D153" s="67" t="n"/>
      <c r="E153" s="67" t="n"/>
      <c r="F153" s="67" t="n"/>
    </row>
    <row r="154">
      <c r="B154" s="67" t="n"/>
      <c r="C154" s="67" t="n"/>
      <c r="D154" s="67" t="n"/>
      <c r="E154" s="67" t="n"/>
      <c r="F154" s="67" t="n"/>
    </row>
    <row r="155">
      <c r="B155" s="67" t="n"/>
      <c r="C155" s="67" t="n"/>
      <c r="D155" s="67" t="n"/>
      <c r="E155" s="67" t="n"/>
      <c r="F155" s="67" t="n"/>
    </row>
    <row r="156">
      <c r="B156" s="67" t="n"/>
      <c r="C156" s="67" t="n"/>
      <c r="D156" s="67" t="n"/>
      <c r="E156" s="67" t="n"/>
      <c r="F156" s="67" t="n"/>
    </row>
    <row r="157">
      <c r="B157" s="67" t="n"/>
      <c r="C157" s="67" t="n"/>
      <c r="D157" s="67" t="n"/>
      <c r="E157" s="67" t="n"/>
      <c r="F157" s="67" t="n"/>
    </row>
    <row r="158">
      <c r="B158" s="67" t="n"/>
      <c r="C158" s="67" t="n"/>
      <c r="D158" s="67" t="n"/>
      <c r="E158" s="67" t="n"/>
      <c r="F158" s="67" t="n"/>
    </row>
    <row r="159">
      <c r="B159" s="67" t="n"/>
      <c r="C159" s="67" t="n"/>
      <c r="D159" s="67" t="n"/>
      <c r="E159" s="67" t="n"/>
      <c r="F159" s="67" t="n"/>
    </row>
    <row r="160">
      <c r="B160" s="67" t="n"/>
      <c r="C160" s="67" t="n"/>
      <c r="D160" s="67" t="n"/>
      <c r="E160" s="67" t="n"/>
      <c r="F160" s="67" t="n"/>
    </row>
    <row r="161">
      <c r="B161" s="67" t="n"/>
      <c r="C161" s="67" t="n"/>
      <c r="D161" s="67" t="n"/>
      <c r="E161" s="67" t="n"/>
      <c r="F161" s="67" t="n"/>
    </row>
    <row r="162">
      <c r="B162" s="67" t="n"/>
      <c r="C162" s="67" t="n"/>
      <c r="D162" s="67" t="n"/>
      <c r="E162" s="67" t="n"/>
      <c r="F162" s="67" t="n"/>
    </row>
    <row r="163">
      <c r="B163" s="67" t="n"/>
      <c r="C163" s="67" t="n"/>
      <c r="D163" s="67" t="n"/>
      <c r="E163" s="67" t="n"/>
      <c r="F163" s="67" t="n"/>
    </row>
    <row r="164">
      <c r="B164" s="67" t="n"/>
      <c r="C164" s="67" t="n"/>
      <c r="D164" s="67" t="n"/>
      <c r="E164" s="67" t="n"/>
      <c r="F164" s="67" t="n"/>
    </row>
    <row r="165">
      <c r="B165" s="67" t="n"/>
      <c r="C165" s="67" t="n"/>
      <c r="D165" s="67" t="n"/>
      <c r="E165" s="67" t="n"/>
      <c r="F165" s="67" t="n"/>
    </row>
    <row r="166">
      <c r="B166" s="67" t="n"/>
      <c r="C166" s="67" t="n"/>
      <c r="D166" s="67" t="n"/>
      <c r="E166" s="67" t="n"/>
      <c r="F166" s="67" t="n"/>
    </row>
    <row r="167">
      <c r="B167" s="67" t="n"/>
      <c r="C167" s="67" t="n"/>
      <c r="D167" s="67" t="n"/>
      <c r="E167" s="67" t="n"/>
      <c r="F167" s="67" t="n"/>
    </row>
    <row r="168">
      <c r="B168" s="67" t="n"/>
      <c r="C168" s="67" t="n"/>
      <c r="D168" s="67" t="n"/>
      <c r="E168" s="67" t="n"/>
      <c r="F168" s="67" t="n"/>
    </row>
    <row r="169">
      <c r="B169" s="67" t="n"/>
      <c r="C169" s="67" t="n"/>
      <c r="D169" s="67" t="n"/>
      <c r="E169" s="67" t="n"/>
      <c r="F169" s="67" t="n"/>
    </row>
    <row r="170">
      <c r="B170" s="67" t="n"/>
      <c r="C170" s="67" t="n"/>
      <c r="D170" s="67" t="n"/>
      <c r="E170" s="67" t="n"/>
      <c r="F170" s="67" t="n"/>
    </row>
    <row r="171">
      <c r="B171" s="67" t="n"/>
      <c r="C171" s="67" t="n"/>
      <c r="D171" s="67" t="n"/>
      <c r="E171" s="67" t="n"/>
      <c r="F171" s="67" t="n"/>
    </row>
    <row r="172">
      <c r="B172" s="67" t="n"/>
      <c r="C172" s="67" t="n"/>
      <c r="D172" s="67" t="n"/>
      <c r="E172" s="67" t="n"/>
      <c r="F172" s="67" t="n"/>
    </row>
    <row r="173">
      <c r="B173" s="67" t="n"/>
      <c r="C173" s="67" t="n"/>
      <c r="D173" s="67" t="n"/>
      <c r="E173" s="67" t="n"/>
      <c r="F173" s="67" t="n"/>
    </row>
    <row r="174">
      <c r="B174" s="67" t="n"/>
      <c r="C174" s="67" t="n"/>
      <c r="D174" s="67" t="n"/>
      <c r="E174" s="67" t="n"/>
      <c r="F174" s="67" t="n"/>
    </row>
    <row r="175">
      <c r="B175" s="67" t="n"/>
      <c r="C175" s="67" t="n"/>
      <c r="D175" s="67" t="n"/>
      <c r="E175" s="67" t="n"/>
      <c r="F175" s="67" t="n"/>
    </row>
    <row r="176">
      <c r="B176" s="67" t="n"/>
      <c r="C176" s="67" t="n"/>
      <c r="D176" s="67" t="n"/>
      <c r="E176" s="67" t="n"/>
      <c r="F176" s="67" t="n"/>
    </row>
    <row r="177">
      <c r="B177" s="67" t="n"/>
      <c r="C177" s="67" t="n"/>
      <c r="D177" s="67" t="n"/>
      <c r="E177" s="67" t="n"/>
      <c r="F177" s="67" t="n"/>
    </row>
    <row r="178">
      <c r="B178" s="67" t="n"/>
      <c r="C178" s="67" t="n"/>
      <c r="D178" s="67" t="n"/>
      <c r="E178" s="67" t="n"/>
      <c r="F178" s="67" t="n"/>
    </row>
    <row r="179">
      <c r="B179" s="67" t="n"/>
      <c r="C179" s="67" t="n"/>
      <c r="D179" s="67" t="n"/>
      <c r="E179" s="67" t="n"/>
      <c r="F179" s="67" t="n"/>
    </row>
    <row r="180">
      <c r="B180" s="67" t="n"/>
      <c r="C180" s="67" t="n"/>
      <c r="D180" s="67" t="n"/>
      <c r="E180" s="67" t="n"/>
      <c r="F180" s="67" t="n"/>
    </row>
    <row r="181">
      <c r="B181" s="67" t="n"/>
      <c r="C181" s="67" t="n"/>
      <c r="D181" s="67" t="n"/>
      <c r="E181" s="67" t="n"/>
      <c r="F181" s="67" t="n"/>
    </row>
    <row r="182">
      <c r="B182" s="67" t="n"/>
      <c r="C182" s="67" t="n"/>
      <c r="D182" s="67" t="n"/>
      <c r="E182" s="67" t="n"/>
      <c r="F182" s="67" t="n"/>
    </row>
    <row r="183">
      <c r="B183" s="67" t="n"/>
      <c r="C183" s="67" t="n"/>
      <c r="D183" s="67" t="n"/>
      <c r="E183" s="67" t="n"/>
      <c r="F183" s="67" t="n"/>
    </row>
    <row r="184">
      <c r="B184" s="67" t="n"/>
      <c r="C184" s="67" t="n"/>
      <c r="D184" s="67" t="n"/>
      <c r="E184" s="67" t="n"/>
      <c r="F184" s="67" t="n"/>
    </row>
    <row r="185">
      <c r="B185" s="67" t="n"/>
      <c r="C185" s="67" t="n"/>
      <c r="D185" s="67" t="n"/>
      <c r="E185" s="67" t="n"/>
      <c r="F185" s="67" t="n"/>
    </row>
    <row r="186">
      <c r="B186" s="67" t="n"/>
      <c r="C186" s="67" t="n"/>
      <c r="D186" s="67" t="n"/>
      <c r="E186" s="67" t="n"/>
      <c r="F186" s="67" t="n"/>
    </row>
    <row r="187">
      <c r="B187" s="67" t="n"/>
      <c r="C187" s="67" t="n"/>
      <c r="D187" s="67" t="n"/>
      <c r="E187" s="67" t="n"/>
      <c r="F187" s="67" t="n"/>
    </row>
    <row r="188">
      <c r="B188" s="67" t="n"/>
      <c r="C188" s="67" t="n"/>
      <c r="D188" s="67" t="n"/>
      <c r="E188" s="67" t="n"/>
      <c r="F188" s="67" t="n"/>
    </row>
    <row r="189">
      <c r="B189" s="67" t="n"/>
      <c r="C189" s="67" t="n"/>
      <c r="D189" s="67" t="n"/>
      <c r="E189" s="67" t="n"/>
      <c r="F189" s="67" t="n"/>
    </row>
    <row r="190">
      <c r="B190" s="67" t="n"/>
      <c r="C190" s="67" t="n"/>
      <c r="D190" s="67" t="n"/>
      <c r="E190" s="67" t="n"/>
      <c r="F190" s="67" t="n"/>
    </row>
    <row r="191">
      <c r="B191" s="67" t="n"/>
      <c r="C191" s="67" t="n"/>
      <c r="D191" s="67" t="n"/>
      <c r="E191" s="67" t="n"/>
      <c r="F191" s="67" t="n"/>
    </row>
    <row r="192">
      <c r="B192" s="67" t="n"/>
      <c r="C192" s="67" t="n"/>
      <c r="D192" s="67" t="n"/>
      <c r="E192" s="67" t="n"/>
      <c r="F192" s="67" t="n"/>
    </row>
    <row r="193">
      <c r="B193" s="67" t="n"/>
      <c r="C193" s="67" t="n"/>
      <c r="D193" s="67" t="n"/>
      <c r="E193" s="67" t="n"/>
      <c r="F193" s="67" t="n"/>
    </row>
    <row r="194">
      <c r="B194" s="67" t="n"/>
      <c r="C194" s="67" t="n"/>
      <c r="D194" s="67" t="n"/>
      <c r="E194" s="67" t="n"/>
      <c r="F194" s="67" t="n"/>
    </row>
    <row r="195">
      <c r="B195" s="67" t="n"/>
      <c r="C195" s="67" t="n"/>
      <c r="D195" s="67" t="n"/>
      <c r="E195" s="67" t="n"/>
      <c r="F195" s="67" t="n"/>
    </row>
    <row r="196">
      <c r="B196" s="67" t="n"/>
      <c r="C196" s="67" t="n"/>
      <c r="D196" s="67" t="n"/>
      <c r="E196" s="67" t="n"/>
      <c r="F196" s="67" t="n"/>
    </row>
    <row r="197">
      <c r="B197" s="67" t="n"/>
      <c r="C197" s="67" t="n"/>
      <c r="D197" s="67" t="n"/>
      <c r="E197" s="67" t="n"/>
      <c r="F197" s="67" t="n"/>
    </row>
    <row r="198">
      <c r="B198" s="67" t="n"/>
      <c r="C198" s="67" t="n"/>
      <c r="D198" s="67" t="n"/>
      <c r="E198" s="67" t="n"/>
      <c r="F198" s="67" t="n"/>
    </row>
    <row r="199">
      <c r="B199" s="67" t="n"/>
      <c r="C199" s="67" t="n"/>
      <c r="D199" s="67" t="n"/>
      <c r="E199" s="67" t="n"/>
      <c r="F199" s="67" t="n"/>
    </row>
    <row r="200">
      <c r="B200" s="67" t="n"/>
      <c r="C200" s="67" t="n"/>
      <c r="D200" s="67" t="n"/>
      <c r="E200" s="67" t="n"/>
      <c r="F200" s="67" t="n"/>
    </row>
    <row r="201">
      <c r="B201" s="67" t="n"/>
      <c r="C201" s="67" t="n"/>
      <c r="D201" s="67" t="n"/>
      <c r="E201" s="67" t="n"/>
      <c r="F201" s="67" t="n"/>
    </row>
    <row r="202">
      <c r="B202" s="67" t="n"/>
      <c r="C202" s="67" t="n"/>
      <c r="D202" s="67" t="n"/>
      <c r="E202" s="67" t="n"/>
      <c r="F202" s="67" t="n"/>
    </row>
    <row r="203">
      <c r="B203" s="67" t="n"/>
      <c r="C203" s="67" t="n"/>
      <c r="D203" s="67" t="n"/>
      <c r="E203" s="67" t="n"/>
      <c r="F203" s="67" t="n"/>
    </row>
    <row r="204">
      <c r="B204" s="67" t="n"/>
      <c r="C204" s="67" t="n"/>
      <c r="D204" s="67" t="n"/>
      <c r="E204" s="67" t="n"/>
      <c r="F204" s="67" t="n"/>
    </row>
    <row r="205">
      <c r="B205" s="67" t="n"/>
      <c r="C205" s="67" t="n"/>
      <c r="D205" s="67" t="n"/>
      <c r="E205" s="67" t="n"/>
      <c r="F205" s="67" t="n"/>
    </row>
    <row r="206">
      <c r="B206" s="67" t="n"/>
      <c r="C206" s="67" t="n"/>
      <c r="D206" s="67" t="n"/>
      <c r="E206" s="67" t="n"/>
      <c r="F206" s="67" t="n"/>
    </row>
    <row r="207">
      <c r="B207" s="67" t="n"/>
      <c r="C207" s="67" t="n"/>
      <c r="D207" s="67" t="n"/>
      <c r="E207" s="67" t="n"/>
      <c r="F207" s="67" t="n"/>
    </row>
    <row r="208">
      <c r="B208" s="67" t="n"/>
      <c r="C208" s="67" t="n"/>
      <c r="D208" s="67" t="n"/>
      <c r="E208" s="67" t="n"/>
      <c r="F208" s="67" t="n"/>
    </row>
    <row r="209">
      <c r="B209" s="67" t="n"/>
      <c r="C209" s="67" t="n"/>
      <c r="D209" s="67" t="n"/>
      <c r="E209" s="67" t="n"/>
      <c r="F209" s="67" t="n"/>
    </row>
    <row r="210">
      <c r="B210" s="67" t="n"/>
      <c r="C210" s="67" t="n"/>
      <c r="D210" s="67" t="n"/>
      <c r="E210" s="67" t="n"/>
      <c r="F210" s="67" t="n"/>
    </row>
    <row r="211">
      <c r="B211" s="67" t="n"/>
      <c r="C211" s="67" t="n"/>
      <c r="D211" s="67" t="n"/>
      <c r="E211" s="67" t="n"/>
      <c r="F211" s="67" t="n"/>
    </row>
    <row r="212">
      <c r="B212" s="67" t="n"/>
      <c r="C212" s="67" t="n"/>
      <c r="D212" s="67" t="n"/>
      <c r="E212" s="67" t="n"/>
      <c r="F212" s="67" t="n"/>
    </row>
    <row r="213">
      <c r="B213" s="67" t="n"/>
      <c r="C213" s="67" t="n"/>
      <c r="D213" s="67" t="n"/>
      <c r="E213" s="67" t="n"/>
      <c r="F213" s="67" t="n"/>
    </row>
    <row r="214">
      <c r="B214" s="67" t="n"/>
      <c r="C214" s="67" t="n"/>
      <c r="D214" s="67" t="n"/>
      <c r="E214" s="67" t="n"/>
      <c r="F214" s="67" t="n"/>
    </row>
    <row r="215">
      <c r="B215" s="67" t="n"/>
      <c r="C215" s="67" t="n"/>
      <c r="D215" s="67" t="n"/>
      <c r="E215" s="67" t="n"/>
      <c r="F215" s="67" t="n"/>
    </row>
    <row r="216">
      <c r="B216" s="67" t="n"/>
      <c r="C216" s="67" t="n"/>
      <c r="D216" s="67" t="n"/>
      <c r="E216" s="67" t="n"/>
      <c r="F216" s="67" t="n"/>
    </row>
    <row r="217">
      <c r="B217" s="67" t="n"/>
      <c r="C217" s="67" t="n"/>
      <c r="D217" s="67" t="n"/>
      <c r="E217" s="67" t="n"/>
      <c r="F217" s="67" t="n"/>
    </row>
    <row r="218">
      <c r="B218" s="67" t="n"/>
      <c r="C218" s="67" t="n"/>
      <c r="D218" s="67" t="n"/>
      <c r="E218" s="67" t="n"/>
      <c r="F218" s="67" t="n"/>
    </row>
    <row r="219">
      <c r="B219" s="67" t="n"/>
      <c r="C219" s="67" t="n"/>
      <c r="D219" s="67" t="n"/>
      <c r="E219" s="67" t="n"/>
      <c r="F219" s="67" t="n"/>
    </row>
    <row r="220">
      <c r="B220" s="67" t="n"/>
      <c r="C220" s="67" t="n"/>
      <c r="D220" s="67" t="n"/>
      <c r="E220" s="67" t="n"/>
      <c r="F220" s="67"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20:B220">
    <cfRule type="expression" priority="2" dxfId="6">
      <formula>AND(LEN($B20&amp;$C20&amp;$D20&amp;$E20&amp;$F20)&gt;0,B20="")</formula>
    </cfRule>
  </conditionalFormatting>
  <conditionalFormatting sqref="C20:C220">
    <cfRule type="expression" priority="3" dxfId="6">
      <formula>AND(LEN($B20&amp;$C20&amp;$D20&amp;$E20&amp;$F20)&gt;0,C20="")</formula>
    </cfRule>
  </conditionalFormatting>
  <conditionalFormatting sqref="D20:D220">
    <cfRule type="expression" priority="4" dxfId="6">
      <formula>AND(LEN($B20&amp;$C20&amp;$D20&amp;$E20&amp;$F20)&gt;0,D20="")</formula>
    </cfRule>
  </conditionalFormatting>
  <conditionalFormatting sqref="F20:F220">
    <cfRule type="expression" priority="5" dxfId="6">
      <formula>AND(LEN($B20&amp;$C20&amp;$D20&amp;$E20&amp;$F20)&gt;0,F20="")</formula>
    </cfRule>
  </conditionalFormatting>
  <dataValidations count="7">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F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branch_code" error="At most 20 characters." promptTitle="branch_code" prompt="Yes. Legacy branch code Allowed: Free entry, up to 20 characters" type="textLength" operator="lessThanOrEqual">
      <formula1>20</formula1>
    </dataValidation>
    <dataValidation sqref="C20:C220" showDropDown="0" showInputMessage="1" showErrorMessage="1" allowBlank="1" errorTitle="branch_name" error="At most 120 characters." promptTitle="branch_name" prompt="Yes. Branch name Allowed: Free entry, up to 120 characters" type="textLength" operator="lessThanOrEqual">
      <formula1>120</formula1>
    </dataValidation>
    <dataValidation sqref="D20:D220" showDropDown="0" showInputMessage="1" showErrorMessage="1" allowBlank="1" errorTitle="invoicing_branch_flag" error="Choose a value of the list Yes or no (sheet Reference lists)." promptTitle="invoicing_branch_flag" prompt="Yes. Branch issues invoices and receipts Allowed: Y or N" type="list" errorStyle="stop">
      <formula1>=LIST_YES_NO</formula1>
    </dataValidation>
    <dataValidation sqref="E20:E220" showDropDown="0" showInputMessage="1" showErrorMessage="1" allowBlank="1" errorTitle="city" error="At most 80 characters." promptTitle="city" prompt="No. City of the branch Allowed: Free entry, up to 80 characters" type="textLength" operator="lessThanOrEqual">
      <formula1>80</formula1>
    </dataValidation>
    <dataValidation sqref="F20:F220" showDropDown="0" showInputMessage="1" showErrorMessage="1" allowBlank="1" errorTitle="active_flag" error="Choose a value of the list Yes or no (sheet Reference lists)." promptTitle="active_flag" prompt="Yes. Branch active in legacy Allowed: Y or N" type="list" errorStyle="stop">
      <formula1>=LIST_YES_NO</formula1>
    </dataValidation>
  </dataValidations>
  <hyperlinks>
    <hyperlink ref="A2" location="'Load templates'!A1"/>
    <hyperlink ref="G2" location="'Comments log'!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tabColor rgb="00004EA8"/>
    <outlinePr summaryBelow="0" summaryRight="1"/>
    <pageSetUpPr fitToPage="1"/>
  </sheetPr>
  <dimension ref="A1:L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90909090909091" customWidth="1" min="3" max="3"/>
    <col width="15" customWidth="1" min="4" max="4"/>
    <col width="21" customWidth="1" min="5" max="5"/>
    <col width="22" customWidth="1" min="6" max="6"/>
    <col width="16" customWidth="1" min="7" max="7"/>
    <col width="15.90909090909091" customWidth="1" min="8" max="8"/>
    <col width="15.90909090909091" customWidth="1" min="9" max="9"/>
    <col width="13" customWidth="1" min="10" max="10"/>
    <col width="16" customWidth="1" min="11" max="11"/>
    <col width="16" customWidth="1" min="12" max="12"/>
  </cols>
  <sheetData>
    <row r="1" ht="26" customHeight="1">
      <c r="A1" s="44" t="inlineStr">
        <is>
          <t>R03 Sales organisation (units and account officers)</t>
        </is>
      </c>
      <c r="L1" s="45" t="inlineStr">
        <is>
          <t>Step 3 of 29</t>
        </is>
      </c>
    </row>
    <row r="2">
      <c r="A2" s="46" t="inlineStr">
        <is>
          <t>← Back to Load templates</t>
        </is>
      </c>
      <c r="B2" s="47" t="inlineStr">
        <is>
          <t>Step 3 of 29. Fill in one row per record below the column headers; the guide above each column says what to enter.</t>
        </is>
      </c>
      <c r="L2" s="48" t="inlineStr">
        <is>
          <t>Ask a question →</t>
        </is>
      </c>
    </row>
    <row r="3" outlineLevel="1" ht="28" customHeight="1">
      <c r="A3" s="49" t="inlineStr">
        <is>
          <t>Purpose</t>
        </is>
      </c>
      <c r="B3" s="50" t="inlineStr">
        <is>
          <t>One row per record of Sales organisation (regions, departments, teams, unit heads, account officers) as extracted from QPS, EBIX. Key record_type, unit_code, ao_user_id. Sent as the file R03_template.csv (CSV, header row as below) with its control file (row count, row count).</t>
        </is>
      </c>
    </row>
    <row r="4" outlineLevel="1" ht="15.5" customHeight="1">
      <c r="A4" s="49" t="inlineStr">
        <is>
          <t>Provided by</t>
        </is>
      </c>
      <c r="B4" s="50" t="inlineStr">
        <is>
          <t>Marketing data steward (to name); approved by Heads, Retail and Corporate Marketing; extracted by BDOI IT</t>
        </is>
      </c>
    </row>
    <row r="5" outlineLevel="1" ht="15.5" customHeight="1">
      <c r="A5" s="49" t="inlineStr">
        <is>
          <t>Due</t>
        </is>
      </c>
      <c r="B5" s="51" t="inlineStr">
        <is>
          <t>M3 (29 Jan 2027)</t>
        </is>
      </c>
    </row>
    <row r="6" outlineLevel="1" ht="15.5" customHeight="1">
      <c r="A6" s="49" t="inlineStr">
        <is>
          <t>How it is loaded</t>
        </is>
      </c>
      <c r="B6" s="50" t="inlineStr">
        <is>
          <t>Data migration object R03 (Migrate), layout R03 version 1, through the Migration Console; lands in: Sales organisation: sales units and account officers</t>
        </is>
      </c>
    </row>
    <row r="7" outlineLevel="1" ht="15.5" customHeight="1">
      <c r="A7" s="49" t="inlineStr">
        <is>
          <t>Source</t>
        </is>
      </c>
      <c r="B7" s="50" t="inlineStr">
        <is>
          <t>QPS, EBIX</t>
        </is>
      </c>
    </row>
    <row r="8" outlineLevel="1" ht="26" customHeight="1">
      <c r="A8" s="49" t="inlineStr">
        <is>
          <t>Depends on</t>
        </is>
      </c>
      <c r="B8" s="68" t="inlineStr">
        <is>
          <t>R02 Branches and invoicing branches →</t>
        </is>
      </c>
    </row>
    <row r="9" ht="26" customHeight="1">
      <c r="A9" s="53" t="inlineStr">
        <is>
          <t>Progress</t>
        </is>
      </c>
      <c r="B9" s="54" t="inlineStr">
        <is>
          <t>Rows entered</t>
        </is>
      </c>
      <c r="C9" s="55">
        <f>SUMPRODUCT(((ROW($B$20:$B$220)&gt;20)+($B$20&lt;&gt;"TEAM")&gt;0)*(LEN($B$20:$B$220&amp;$C$20:$C$220&amp;$D$20:$D$220&amp;$E$20:$E$220&amp;$F$20:$F$220&amp;$G$20:$G$220&amp;$H$20:$H$220&amp;$I$20:$I$220&amp;$J$20:$J$220&amp;$K$20:$K$220&amp;$L$20:$L$220)&gt;0))</f>
        <v/>
      </c>
      <c r="D9" s="54" t="inlineStr">
        <is>
          <t>Mandatory cells missing</t>
        </is>
      </c>
      <c r="E9" s="55">
        <f>SUMPRODUCT(((ROW($B$20:$B$220)&gt;20)+($B$20&lt;&gt;"TEAM")&gt;0)*(LEN($B$20:$B$220&amp;$C$20:$C$220&amp;$D$20:$D$220&amp;$E$20:$E$220&amp;$F$20:$F$220&amp;$G$20:$G$220&amp;$H$20:$H$220&amp;$I$20:$I$220&amp;$J$20:$J$220&amp;$K$20:$K$220&amp;$L$20:$L$220)&gt;0)*(($B$20:$B$220="")+($C$20:$C$220="")+($L$20:$L$220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row>
    <row r="12" ht="30" customHeight="1">
      <c r="A12" s="59" t="inlineStr">
        <is>
          <t>BU review</t>
        </is>
      </c>
      <c r="B12" s="60" t="n"/>
      <c r="C12" s="60" t="n"/>
      <c r="D12" s="60" t="n"/>
      <c r="E12" s="60" t="n"/>
      <c r="F12" s="60" t="n"/>
      <c r="G12" s="60" t="n"/>
      <c r="H12" s="60" t="n"/>
      <c r="I12" s="60" t="n"/>
      <c r="J12" s="60" t="n"/>
      <c r="K12" s="60" t="n"/>
      <c r="L12" s="60" t="n"/>
    </row>
    <row r="13" ht="30" customHeight="1">
      <c r="A13" s="59" t="inlineStr">
        <is>
          <t>BU comment</t>
        </is>
      </c>
      <c r="B13" s="60" t="n"/>
      <c r="C13" s="60" t="n"/>
      <c r="D13" s="60" t="n"/>
      <c r="E13" s="60" t="n"/>
      <c r="F13" s="60" t="n"/>
      <c r="G13" s="60" t="n"/>
      <c r="H13" s="60" t="n"/>
      <c r="I13" s="60" t="n"/>
      <c r="J13" s="60" t="n"/>
      <c r="K13" s="60" t="n"/>
      <c r="L13" s="60" t="n"/>
    </row>
    <row r="14" ht="43" customHeight="1">
      <c r="A14" s="59" t="inlineStr">
        <is>
          <t>Check when loaded</t>
        </is>
      </c>
      <c r="B14" s="61" t="inlineStr">
        <is>
          <t>In the list</t>
        </is>
      </c>
      <c r="C14" s="61" t="inlineStr">
        <is>
          <t>Exists as a TEAM row for AO rows</t>
        </is>
      </c>
      <c r="D14" s="61" t="inlineStr">
        <is>
          <t>Mandatory for REGION, DEPARTMENT, TEAM</t>
        </is>
      </c>
      <c r="E14" s="61" t="inlineStr">
        <is>
          <t>Mandatory for DEPARTMENT and TEAM; parent exists</t>
        </is>
      </c>
      <c r="F14" s="61" t="inlineStr">
        <is>
          <t>Mapped in USER</t>
        </is>
      </c>
      <c r="G14" s="61" t="inlineStr">
        <is>
          <t>Mapped</t>
        </is>
      </c>
      <c r="H14" s="61" t="inlineStr">
        <is>
          <t>Mandatory for AO rows; mapped in USER</t>
        </is>
      </c>
      <c r="I14" s="61" t="inlineStr">
        <is>
          <t>Unique</t>
        </is>
      </c>
      <c r="J14" s="61" t="inlineStr">
        <is>
          <t>Mandatory for AO rows</t>
        </is>
      </c>
      <c r="K14" s="61" t="inlineStr">
        <is>
          <t>Mapped</t>
        </is>
      </c>
      <c r="L14" s="61" t="inlineStr">
        <is>
          <t>Y or N</t>
        </is>
      </c>
    </row>
    <row r="15" ht="43" customHeight="1">
      <c r="A15" s="59" t="inlineStr">
        <is>
          <t>Mandatory</t>
        </is>
      </c>
      <c r="B15" s="62" t="inlineStr">
        <is>
          <t>Yes</t>
        </is>
      </c>
      <c r="C15" s="62" t="inlineStr">
        <is>
          <t>Yes</t>
        </is>
      </c>
      <c r="D15" s="61" t="inlineStr">
        <is>
          <t>Conditional: Mandatory for REGION, DEPARTMENT, TEAM</t>
        </is>
      </c>
      <c r="E15" s="61" t="inlineStr">
        <is>
          <t>Conditional: Mandatory for DEPARTMENT and TEAM; parent exists</t>
        </is>
      </c>
      <c r="F15" s="61" t="inlineStr">
        <is>
          <t>No</t>
        </is>
      </c>
      <c r="G15" s="61" t="inlineStr">
        <is>
          <t>No</t>
        </is>
      </c>
      <c r="H15" s="61" t="inlineStr">
        <is>
          <t>Conditional: Mandatory for AO rows; mapped in USER</t>
        </is>
      </c>
      <c r="I15" s="61" t="inlineStr">
        <is>
          <t>No</t>
        </is>
      </c>
      <c r="J15" s="61" t="inlineStr">
        <is>
          <t>Conditional: Mandatory for AO rows</t>
        </is>
      </c>
      <c r="K15" s="61" t="inlineStr">
        <is>
          <t>No</t>
        </is>
      </c>
      <c r="L15" s="62" t="inlineStr">
        <is>
          <t>Yes</t>
        </is>
      </c>
    </row>
    <row r="16" ht="30" customHeight="1">
      <c r="A16" s="59" t="inlineStr">
        <is>
          <t>Format</t>
        </is>
      </c>
      <c r="B16" s="61" t="inlineStr">
        <is>
          <t>Code, up to 12; Upper case</t>
        </is>
      </c>
      <c r="C16" s="61" t="inlineStr">
        <is>
          <t>Code, up to 20; As stored in legacy</t>
        </is>
      </c>
      <c r="D16" s="61" t="inlineStr">
        <is>
          <t>Text, up to 120; Free text</t>
        </is>
      </c>
      <c r="E16" s="61" t="inlineStr">
        <is>
          <t>Code, up to 20; As stored in legacy</t>
        </is>
      </c>
      <c r="F16" s="61" t="inlineStr">
        <is>
          <t>Code, up to 50; As stored in legacy</t>
        </is>
      </c>
      <c r="G16" s="61" t="inlineStr">
        <is>
          <t>Code, up to 20; As stored in legacy</t>
        </is>
      </c>
      <c r="H16" s="61" t="inlineStr">
        <is>
          <t>Code, up to 50; As stored in legacy</t>
        </is>
      </c>
      <c r="I16" s="61" t="inlineStr">
        <is>
          <t>Code, up to 20; As stored in legacy</t>
        </is>
      </c>
      <c r="J16" s="61" t="inlineStr">
        <is>
          <t>Text, up to 120; Free text</t>
        </is>
      </c>
      <c r="K16" s="61" t="inlineStr">
        <is>
          <t>Code, up to 20; As stored in legacy</t>
        </is>
      </c>
      <c r="L16" s="61" t="inlineStr">
        <is>
          <t>Flag, up to 1; Y or N</t>
        </is>
      </c>
    </row>
    <row r="17" ht="56" customHeight="1">
      <c r="A17" s="59" t="inlineStr">
        <is>
          <t>Allowed values</t>
        </is>
      </c>
      <c r="B17" s="69" t="inlineStr">
        <is>
          <t>REGION, DEPARTMENT, TEAM, AO (list R03 record_type)</t>
        </is>
      </c>
      <c r="C17" s="61" t="inlineStr">
        <is>
          <t>Free entry, up to 20 characters</t>
        </is>
      </c>
      <c r="D17" s="61" t="inlineStr">
        <is>
          <t>Free entry, up to 120 characters</t>
        </is>
      </c>
      <c r="E17" s="61" t="inlineStr">
        <is>
          <t>unit_code values of the file</t>
        </is>
      </c>
      <c r="F17" s="69" t="inlineStr">
        <is>
          <t>The legacy code; mapped by the code map USER (sheet Code maps)</t>
        </is>
      </c>
      <c r="G17" s="69" t="inlineStr">
        <is>
          <t>The legacy code; mapped by the code map COST_CENTER (sheet Code maps)</t>
        </is>
      </c>
      <c r="H17" s="69" t="inlineStr">
        <is>
          <t>The legacy code; mapped by the code map USER (sheet Code maps)</t>
        </is>
      </c>
      <c r="I17" s="69" t="inlineStr">
        <is>
          <t>The legacy code; mapped by the code map AO (sheet Code maps)</t>
        </is>
      </c>
      <c r="J17" s="61" t="inlineStr">
        <is>
          <t>Free entry, up to 120 characters</t>
        </is>
      </c>
      <c r="K17" s="69" t="inlineStr">
        <is>
          <t>The legacy code; mapped by the code map BRANCH (sheet Code maps)</t>
        </is>
      </c>
      <c r="L17" s="61" t="inlineStr">
        <is>
          <t>Y or N</t>
        </is>
      </c>
    </row>
    <row r="18" ht="56" customHeight="1">
      <c r="A18" s="59" t="inlineStr">
        <is>
          <t>What to enter</t>
        </is>
      </c>
      <c r="B18" s="61" t="inlineStr">
        <is>
          <t>Kind of row</t>
        </is>
      </c>
      <c r="C18" s="61" t="inlineStr">
        <is>
          <t>Legacy code of the unit (for an AO row, the team of the AO)</t>
        </is>
      </c>
      <c r="D18" s="61" t="inlineStr">
        <is>
          <t>Unit name</t>
        </is>
      </c>
      <c r="E18" s="61" t="inlineStr">
        <is>
          <t>Code of the parent unit (department of a team, region of a department)</t>
        </is>
      </c>
      <c r="F18" s="61" t="inlineStr">
        <is>
          <t>Legacy user ID of the unit head</t>
        </is>
      </c>
      <c r="G18" s="61" t="inlineStr">
        <is>
          <t>Cost centre of the unit</t>
        </is>
      </c>
      <c r="H18" s="61" t="inlineStr">
        <is>
          <t>Legacy user ID of the account officer</t>
        </is>
      </c>
      <c r="I18" s="61" t="inlineStr">
        <is>
          <t>Legacy AO code if different from the user ID</t>
        </is>
      </c>
      <c r="J18" s="61" t="inlineStr">
        <is>
          <t>AO full name</t>
        </is>
      </c>
      <c r="K18" s="61" t="inlineStr">
        <is>
          <t>Branch of the unit or AO</t>
        </is>
      </c>
      <c r="L18" s="61" t="inlineStr">
        <is>
          <t>Unit or AO active</t>
        </is>
      </c>
    </row>
    <row r="19" ht="30" customHeight="1">
      <c r="A19" s="63" t="inlineStr">
        <is>
          <t>Row</t>
        </is>
      </c>
      <c r="B19" s="24" t="inlineStr">
        <is>
          <t>record_type *</t>
        </is>
      </c>
      <c r="C19" s="24" t="inlineStr">
        <is>
          <t>unit_code *</t>
        </is>
      </c>
      <c r="D19" s="24" t="inlineStr">
        <is>
          <t>unit_name</t>
        </is>
      </c>
      <c r="E19" s="24" t="inlineStr">
        <is>
          <t>parent_unit_code</t>
        </is>
      </c>
      <c r="F19" s="24" t="inlineStr">
        <is>
          <t>unit_head_user_id</t>
        </is>
      </c>
      <c r="G19" s="24" t="inlineStr">
        <is>
          <t>cost_center</t>
        </is>
      </c>
      <c r="H19" s="24" t="inlineStr">
        <is>
          <t>ao_user_id</t>
        </is>
      </c>
      <c r="I19" s="24" t="inlineStr">
        <is>
          <t>ao_code</t>
        </is>
      </c>
      <c r="J19" s="24" t="inlineStr">
        <is>
          <t>ao_name</t>
        </is>
      </c>
      <c r="K19" s="24" t="inlineStr">
        <is>
          <t>branch_code</t>
        </is>
      </c>
      <c r="L19" s="24" t="inlineStr">
        <is>
          <t>active_flag *</t>
        </is>
      </c>
    </row>
    <row r="20" ht="18" customHeight="1">
      <c r="A20" s="64" t="inlineStr">
        <is>
          <t>Example – overwrite or delete</t>
        </is>
      </c>
      <c r="B20" s="65" t="inlineStr">
        <is>
          <t>TEAM</t>
        </is>
      </c>
      <c r="C20" s="65" t="inlineStr">
        <is>
          <t>T-RET-07</t>
        </is>
      </c>
      <c r="D20" s="65" t="inlineStr">
        <is>
          <t>Retail Team 7</t>
        </is>
      </c>
      <c r="E20" s="65" t="inlineStr">
        <is>
          <t>D-RET</t>
        </is>
      </c>
      <c r="F20" s="65" t="inlineStr">
        <is>
          <t>jdelacruz</t>
        </is>
      </c>
      <c r="G20" s="65" t="inlineStr">
        <is>
          <t>4100</t>
        </is>
      </c>
      <c r="H20" s="65" t="inlineStr">
        <is>
          <t>mreyes</t>
        </is>
      </c>
      <c r="I20" s="65" t="inlineStr">
        <is>
          <t>AO0457</t>
        </is>
      </c>
      <c r="J20" s="65" t="inlineStr">
        <is>
          <t>Maria Reyes</t>
        </is>
      </c>
      <c r="K20" s="65" t="inlineStr">
        <is>
          <t>MKT01</t>
        </is>
      </c>
      <c r="L20" s="65" t="inlineStr">
        <is>
          <t>Y</t>
        </is>
      </c>
    </row>
    <row r="21">
      <c r="B21" s="67" t="n"/>
      <c r="C21" s="67" t="n"/>
      <c r="D21" s="67" t="n"/>
      <c r="E21" s="67" t="n"/>
      <c r="F21" s="67" t="n"/>
      <c r="G21" s="67" t="n"/>
      <c r="H21" s="67" t="n"/>
      <c r="I21" s="67" t="n"/>
      <c r="J21" s="67" t="n"/>
      <c r="K21" s="67" t="n"/>
      <c r="L21" s="67" t="n"/>
    </row>
    <row r="22">
      <c r="B22" s="67" t="n"/>
      <c r="C22" s="67" t="n"/>
      <c r="D22" s="67" t="n"/>
      <c r="E22" s="67" t="n"/>
      <c r="F22" s="67" t="n"/>
      <c r="G22" s="67" t="n"/>
      <c r="H22" s="67" t="n"/>
      <c r="I22" s="67" t="n"/>
      <c r="J22" s="67" t="n"/>
      <c r="K22" s="67" t="n"/>
      <c r="L22" s="67" t="n"/>
    </row>
    <row r="23">
      <c r="B23" s="67" t="n"/>
      <c r="C23" s="67" t="n"/>
      <c r="D23" s="67" t="n"/>
      <c r="E23" s="67" t="n"/>
      <c r="F23" s="67" t="n"/>
      <c r="G23" s="67" t="n"/>
      <c r="H23" s="67" t="n"/>
      <c r="I23" s="67" t="n"/>
      <c r="J23" s="67" t="n"/>
      <c r="K23" s="67" t="n"/>
      <c r="L23" s="67" t="n"/>
    </row>
    <row r="24">
      <c r="B24" s="67" t="n"/>
      <c r="C24" s="67" t="n"/>
      <c r="D24" s="67" t="n"/>
      <c r="E24" s="67" t="n"/>
      <c r="F24" s="67" t="n"/>
      <c r="G24" s="67" t="n"/>
      <c r="H24" s="67" t="n"/>
      <c r="I24" s="67" t="n"/>
      <c r="J24" s="67" t="n"/>
      <c r="K24" s="67" t="n"/>
      <c r="L24" s="67" t="n"/>
    </row>
    <row r="25">
      <c r="B25" s="67" t="n"/>
      <c r="C25" s="67" t="n"/>
      <c r="D25" s="67" t="n"/>
      <c r="E25" s="67" t="n"/>
      <c r="F25" s="67" t="n"/>
      <c r="G25" s="67" t="n"/>
      <c r="H25" s="67" t="n"/>
      <c r="I25" s="67" t="n"/>
      <c r="J25" s="67" t="n"/>
      <c r="K25" s="67" t="n"/>
      <c r="L25" s="67" t="n"/>
    </row>
    <row r="26">
      <c r="B26" s="67" t="n"/>
      <c r="C26" s="67" t="n"/>
      <c r="D26" s="67" t="n"/>
      <c r="E26" s="67" t="n"/>
      <c r="F26" s="67" t="n"/>
      <c r="G26" s="67" t="n"/>
      <c r="H26" s="67" t="n"/>
      <c r="I26" s="67" t="n"/>
      <c r="J26" s="67" t="n"/>
      <c r="K26" s="67" t="n"/>
      <c r="L26" s="67" t="n"/>
    </row>
    <row r="27">
      <c r="B27" s="67" t="n"/>
      <c r="C27" s="67" t="n"/>
      <c r="D27" s="67" t="n"/>
      <c r="E27" s="67" t="n"/>
      <c r="F27" s="67" t="n"/>
      <c r="G27" s="67" t="n"/>
      <c r="H27" s="67" t="n"/>
      <c r="I27" s="67" t="n"/>
      <c r="J27" s="67" t="n"/>
      <c r="K27" s="67" t="n"/>
      <c r="L27" s="67" t="n"/>
    </row>
    <row r="28">
      <c r="B28" s="67" t="n"/>
      <c r="C28" s="67" t="n"/>
      <c r="D28" s="67" t="n"/>
      <c r="E28" s="67" t="n"/>
      <c r="F28" s="67" t="n"/>
      <c r="G28" s="67" t="n"/>
      <c r="H28" s="67" t="n"/>
      <c r="I28" s="67" t="n"/>
      <c r="J28" s="67" t="n"/>
      <c r="K28" s="67" t="n"/>
      <c r="L28" s="67" t="n"/>
    </row>
    <row r="29">
      <c r="B29" s="67" t="n"/>
      <c r="C29" s="67" t="n"/>
      <c r="D29" s="67" t="n"/>
      <c r="E29" s="67" t="n"/>
      <c r="F29" s="67" t="n"/>
      <c r="G29" s="67" t="n"/>
      <c r="H29" s="67" t="n"/>
      <c r="I29" s="67" t="n"/>
      <c r="J29" s="67" t="n"/>
      <c r="K29" s="67" t="n"/>
      <c r="L29" s="67" t="n"/>
    </row>
    <row r="30">
      <c r="B30" s="67" t="n"/>
      <c r="C30" s="67" t="n"/>
      <c r="D30" s="67" t="n"/>
      <c r="E30" s="67" t="n"/>
      <c r="F30" s="67" t="n"/>
      <c r="G30" s="67" t="n"/>
      <c r="H30" s="67" t="n"/>
      <c r="I30" s="67" t="n"/>
      <c r="J30" s="67" t="n"/>
      <c r="K30" s="67" t="n"/>
      <c r="L30" s="67" t="n"/>
    </row>
    <row r="31">
      <c r="B31" s="67" t="n"/>
      <c r="C31" s="67" t="n"/>
      <c r="D31" s="67" t="n"/>
      <c r="E31" s="67" t="n"/>
      <c r="F31" s="67" t="n"/>
      <c r="G31" s="67" t="n"/>
      <c r="H31" s="67" t="n"/>
      <c r="I31" s="67" t="n"/>
      <c r="J31" s="67" t="n"/>
      <c r="K31" s="67" t="n"/>
      <c r="L31" s="67" t="n"/>
    </row>
    <row r="32">
      <c r="B32" s="67" t="n"/>
      <c r="C32" s="67" t="n"/>
      <c r="D32" s="67" t="n"/>
      <c r="E32" s="67" t="n"/>
      <c r="F32" s="67" t="n"/>
      <c r="G32" s="67" t="n"/>
      <c r="H32" s="67" t="n"/>
      <c r="I32" s="67" t="n"/>
      <c r="J32" s="67" t="n"/>
      <c r="K32" s="67" t="n"/>
      <c r="L32" s="67" t="n"/>
    </row>
    <row r="33">
      <c r="B33" s="67" t="n"/>
      <c r="C33" s="67" t="n"/>
      <c r="D33" s="67" t="n"/>
      <c r="E33" s="67" t="n"/>
      <c r="F33" s="67" t="n"/>
      <c r="G33" s="67" t="n"/>
      <c r="H33" s="67" t="n"/>
      <c r="I33" s="67" t="n"/>
      <c r="J33" s="67" t="n"/>
      <c r="K33" s="67" t="n"/>
      <c r="L33" s="67" t="n"/>
    </row>
    <row r="34">
      <c r="B34" s="67" t="n"/>
      <c r="C34" s="67" t="n"/>
      <c r="D34" s="67" t="n"/>
      <c r="E34" s="67" t="n"/>
      <c r="F34" s="67" t="n"/>
      <c r="G34" s="67" t="n"/>
      <c r="H34" s="67" t="n"/>
      <c r="I34" s="67" t="n"/>
      <c r="J34" s="67" t="n"/>
      <c r="K34" s="67" t="n"/>
      <c r="L34" s="67" t="n"/>
    </row>
    <row r="35">
      <c r="B35" s="67" t="n"/>
      <c r="C35" s="67" t="n"/>
      <c r="D35" s="67" t="n"/>
      <c r="E35" s="67" t="n"/>
      <c r="F35" s="67" t="n"/>
      <c r="G35" s="67" t="n"/>
      <c r="H35" s="67" t="n"/>
      <c r="I35" s="67" t="n"/>
      <c r="J35" s="67" t="n"/>
      <c r="K35" s="67" t="n"/>
      <c r="L35" s="67" t="n"/>
    </row>
    <row r="36">
      <c r="B36" s="67" t="n"/>
      <c r="C36" s="67" t="n"/>
      <c r="D36" s="67" t="n"/>
      <c r="E36" s="67" t="n"/>
      <c r="F36" s="67" t="n"/>
      <c r="G36" s="67" t="n"/>
      <c r="H36" s="67" t="n"/>
      <c r="I36" s="67" t="n"/>
      <c r="J36" s="67" t="n"/>
      <c r="K36" s="67" t="n"/>
      <c r="L36" s="67" t="n"/>
    </row>
    <row r="37">
      <c r="B37" s="67" t="n"/>
      <c r="C37" s="67" t="n"/>
      <c r="D37" s="67" t="n"/>
      <c r="E37" s="67" t="n"/>
      <c r="F37" s="67" t="n"/>
      <c r="G37" s="67" t="n"/>
      <c r="H37" s="67" t="n"/>
      <c r="I37" s="67" t="n"/>
      <c r="J37" s="67" t="n"/>
      <c r="K37" s="67" t="n"/>
      <c r="L37" s="67" t="n"/>
    </row>
    <row r="38">
      <c r="B38" s="67" t="n"/>
      <c r="C38" s="67" t="n"/>
      <c r="D38" s="67" t="n"/>
      <c r="E38" s="67" t="n"/>
      <c r="F38" s="67" t="n"/>
      <c r="G38" s="67" t="n"/>
      <c r="H38" s="67" t="n"/>
      <c r="I38" s="67" t="n"/>
      <c r="J38" s="67" t="n"/>
      <c r="K38" s="67" t="n"/>
      <c r="L38" s="67" t="n"/>
    </row>
    <row r="39">
      <c r="B39" s="67" t="n"/>
      <c r="C39" s="67" t="n"/>
      <c r="D39" s="67" t="n"/>
      <c r="E39" s="67" t="n"/>
      <c r="F39" s="67" t="n"/>
      <c r="G39" s="67" t="n"/>
      <c r="H39" s="67" t="n"/>
      <c r="I39" s="67" t="n"/>
      <c r="J39" s="67" t="n"/>
      <c r="K39" s="67" t="n"/>
      <c r="L39" s="67" t="n"/>
    </row>
    <row r="40">
      <c r="B40" s="67" t="n"/>
      <c r="C40" s="67" t="n"/>
      <c r="D40" s="67" t="n"/>
      <c r="E40" s="67" t="n"/>
      <c r="F40" s="67" t="n"/>
      <c r="G40" s="67" t="n"/>
      <c r="H40" s="67" t="n"/>
      <c r="I40" s="67" t="n"/>
      <c r="J40" s="67" t="n"/>
      <c r="K40" s="67" t="n"/>
      <c r="L40" s="67" t="n"/>
    </row>
    <row r="41">
      <c r="B41" s="67" t="n"/>
      <c r="C41" s="67" t="n"/>
      <c r="D41" s="67" t="n"/>
      <c r="E41" s="67" t="n"/>
      <c r="F41" s="67" t="n"/>
      <c r="G41" s="67" t="n"/>
      <c r="H41" s="67" t="n"/>
      <c r="I41" s="67" t="n"/>
      <c r="J41" s="67" t="n"/>
      <c r="K41" s="67" t="n"/>
      <c r="L41" s="67" t="n"/>
    </row>
    <row r="42">
      <c r="B42" s="67" t="n"/>
      <c r="C42" s="67" t="n"/>
      <c r="D42" s="67" t="n"/>
      <c r="E42" s="67" t="n"/>
      <c r="F42" s="67" t="n"/>
      <c r="G42" s="67" t="n"/>
      <c r="H42" s="67" t="n"/>
      <c r="I42" s="67" t="n"/>
      <c r="J42" s="67" t="n"/>
      <c r="K42" s="67" t="n"/>
      <c r="L42" s="67" t="n"/>
    </row>
    <row r="43">
      <c r="B43" s="67" t="n"/>
      <c r="C43" s="67" t="n"/>
      <c r="D43" s="67" t="n"/>
      <c r="E43" s="67" t="n"/>
      <c r="F43" s="67" t="n"/>
      <c r="G43" s="67" t="n"/>
      <c r="H43" s="67" t="n"/>
      <c r="I43" s="67" t="n"/>
      <c r="J43" s="67" t="n"/>
      <c r="K43" s="67" t="n"/>
      <c r="L43" s="67" t="n"/>
    </row>
    <row r="44">
      <c r="B44" s="67" t="n"/>
      <c r="C44" s="67" t="n"/>
      <c r="D44" s="67" t="n"/>
      <c r="E44" s="67" t="n"/>
      <c r="F44" s="67" t="n"/>
      <c r="G44" s="67" t="n"/>
      <c r="H44" s="67" t="n"/>
      <c r="I44" s="67" t="n"/>
      <c r="J44" s="67" t="n"/>
      <c r="K44" s="67" t="n"/>
      <c r="L44" s="67" t="n"/>
    </row>
    <row r="45">
      <c r="B45" s="67" t="n"/>
      <c r="C45" s="67" t="n"/>
      <c r="D45" s="67" t="n"/>
      <c r="E45" s="67" t="n"/>
      <c r="F45" s="67" t="n"/>
      <c r="G45" s="67" t="n"/>
      <c r="H45" s="67" t="n"/>
      <c r="I45" s="67" t="n"/>
      <c r="J45" s="67" t="n"/>
      <c r="K45" s="67" t="n"/>
      <c r="L45" s="67" t="n"/>
    </row>
    <row r="46">
      <c r="B46" s="67" t="n"/>
      <c r="C46" s="67" t="n"/>
      <c r="D46" s="67" t="n"/>
      <c r="E46" s="67" t="n"/>
      <c r="F46" s="67" t="n"/>
      <c r="G46" s="67" t="n"/>
      <c r="H46" s="67" t="n"/>
      <c r="I46" s="67" t="n"/>
      <c r="J46" s="67" t="n"/>
      <c r="K46" s="67" t="n"/>
      <c r="L46" s="67" t="n"/>
    </row>
    <row r="47">
      <c r="B47" s="67" t="n"/>
      <c r="C47" s="67" t="n"/>
      <c r="D47" s="67" t="n"/>
      <c r="E47" s="67" t="n"/>
      <c r="F47" s="67" t="n"/>
      <c r="G47" s="67" t="n"/>
      <c r="H47" s="67" t="n"/>
      <c r="I47" s="67" t="n"/>
      <c r="J47" s="67" t="n"/>
      <c r="K47" s="67" t="n"/>
      <c r="L47" s="67" t="n"/>
    </row>
    <row r="48">
      <c r="B48" s="67" t="n"/>
      <c r="C48" s="67" t="n"/>
      <c r="D48" s="67" t="n"/>
      <c r="E48" s="67" t="n"/>
      <c r="F48" s="67" t="n"/>
      <c r="G48" s="67" t="n"/>
      <c r="H48" s="67" t="n"/>
      <c r="I48" s="67" t="n"/>
      <c r="J48" s="67" t="n"/>
      <c r="K48" s="67" t="n"/>
      <c r="L48" s="67" t="n"/>
    </row>
    <row r="49">
      <c r="B49" s="67" t="n"/>
      <c r="C49" s="67" t="n"/>
      <c r="D49" s="67" t="n"/>
      <c r="E49" s="67" t="n"/>
      <c r="F49" s="67" t="n"/>
      <c r="G49" s="67" t="n"/>
      <c r="H49" s="67" t="n"/>
      <c r="I49" s="67" t="n"/>
      <c r="J49" s="67" t="n"/>
      <c r="K49" s="67" t="n"/>
      <c r="L49" s="67" t="n"/>
    </row>
    <row r="50">
      <c r="B50" s="67" t="n"/>
      <c r="C50" s="67" t="n"/>
      <c r="D50" s="67" t="n"/>
      <c r="E50" s="67" t="n"/>
      <c r="F50" s="67" t="n"/>
      <c r="G50" s="67" t="n"/>
      <c r="H50" s="67" t="n"/>
      <c r="I50" s="67" t="n"/>
      <c r="J50" s="67" t="n"/>
      <c r="K50" s="67" t="n"/>
      <c r="L50" s="67" t="n"/>
    </row>
    <row r="51">
      <c r="B51" s="67" t="n"/>
      <c r="C51" s="67" t="n"/>
      <c r="D51" s="67" t="n"/>
      <c r="E51" s="67" t="n"/>
      <c r="F51" s="67" t="n"/>
      <c r="G51" s="67" t="n"/>
      <c r="H51" s="67" t="n"/>
      <c r="I51" s="67" t="n"/>
      <c r="J51" s="67" t="n"/>
      <c r="K51" s="67" t="n"/>
      <c r="L51" s="67" t="n"/>
    </row>
    <row r="52">
      <c r="B52" s="67" t="n"/>
      <c r="C52" s="67" t="n"/>
      <c r="D52" s="67" t="n"/>
      <c r="E52" s="67" t="n"/>
      <c r="F52" s="67" t="n"/>
      <c r="G52" s="67" t="n"/>
      <c r="H52" s="67" t="n"/>
      <c r="I52" s="67" t="n"/>
      <c r="J52" s="67" t="n"/>
      <c r="K52" s="67" t="n"/>
      <c r="L52" s="67" t="n"/>
    </row>
    <row r="53">
      <c r="B53" s="67" t="n"/>
      <c r="C53" s="67" t="n"/>
      <c r="D53" s="67" t="n"/>
      <c r="E53" s="67" t="n"/>
      <c r="F53" s="67" t="n"/>
      <c r="G53" s="67" t="n"/>
      <c r="H53" s="67" t="n"/>
      <c r="I53" s="67" t="n"/>
      <c r="J53" s="67" t="n"/>
      <c r="K53" s="67" t="n"/>
      <c r="L53" s="67" t="n"/>
    </row>
    <row r="54">
      <c r="B54" s="67" t="n"/>
      <c r="C54" s="67" t="n"/>
      <c r="D54" s="67" t="n"/>
      <c r="E54" s="67" t="n"/>
      <c r="F54" s="67" t="n"/>
      <c r="G54" s="67" t="n"/>
      <c r="H54" s="67" t="n"/>
      <c r="I54" s="67" t="n"/>
      <c r="J54" s="67" t="n"/>
      <c r="K54" s="67" t="n"/>
      <c r="L54" s="67" t="n"/>
    </row>
    <row r="55">
      <c r="B55" s="67" t="n"/>
      <c r="C55" s="67" t="n"/>
      <c r="D55" s="67" t="n"/>
      <c r="E55" s="67" t="n"/>
      <c r="F55" s="67" t="n"/>
      <c r="G55" s="67" t="n"/>
      <c r="H55" s="67" t="n"/>
      <c r="I55" s="67" t="n"/>
      <c r="J55" s="67" t="n"/>
      <c r="K55" s="67" t="n"/>
      <c r="L55" s="67" t="n"/>
    </row>
    <row r="56">
      <c r="B56" s="67" t="n"/>
      <c r="C56" s="67" t="n"/>
      <c r="D56" s="67" t="n"/>
      <c r="E56" s="67" t="n"/>
      <c r="F56" s="67" t="n"/>
      <c r="G56" s="67" t="n"/>
      <c r="H56" s="67" t="n"/>
      <c r="I56" s="67" t="n"/>
      <c r="J56" s="67" t="n"/>
      <c r="K56" s="67" t="n"/>
      <c r="L56" s="67" t="n"/>
    </row>
    <row r="57">
      <c r="B57" s="67" t="n"/>
      <c r="C57" s="67" t="n"/>
      <c r="D57" s="67" t="n"/>
      <c r="E57" s="67" t="n"/>
      <c r="F57" s="67" t="n"/>
      <c r="G57" s="67" t="n"/>
      <c r="H57" s="67" t="n"/>
      <c r="I57" s="67" t="n"/>
      <c r="J57" s="67" t="n"/>
      <c r="K57" s="67" t="n"/>
      <c r="L57" s="67" t="n"/>
    </row>
    <row r="58">
      <c r="B58" s="67" t="n"/>
      <c r="C58" s="67" t="n"/>
      <c r="D58" s="67" t="n"/>
      <c r="E58" s="67" t="n"/>
      <c r="F58" s="67" t="n"/>
      <c r="G58" s="67" t="n"/>
      <c r="H58" s="67" t="n"/>
      <c r="I58" s="67" t="n"/>
      <c r="J58" s="67" t="n"/>
      <c r="K58" s="67" t="n"/>
      <c r="L58" s="67" t="n"/>
    </row>
    <row r="59">
      <c r="B59" s="67" t="n"/>
      <c r="C59" s="67" t="n"/>
      <c r="D59" s="67" t="n"/>
      <c r="E59" s="67" t="n"/>
      <c r="F59" s="67" t="n"/>
      <c r="G59" s="67" t="n"/>
      <c r="H59" s="67" t="n"/>
      <c r="I59" s="67" t="n"/>
      <c r="J59" s="67" t="n"/>
      <c r="K59" s="67" t="n"/>
      <c r="L59" s="67" t="n"/>
    </row>
    <row r="60">
      <c r="B60" s="67" t="n"/>
      <c r="C60" s="67" t="n"/>
      <c r="D60" s="67" t="n"/>
      <c r="E60" s="67" t="n"/>
      <c r="F60" s="67" t="n"/>
      <c r="G60" s="67" t="n"/>
      <c r="H60" s="67" t="n"/>
      <c r="I60" s="67" t="n"/>
      <c r="J60" s="67" t="n"/>
      <c r="K60" s="67" t="n"/>
      <c r="L60" s="67" t="n"/>
    </row>
    <row r="61">
      <c r="B61" s="67" t="n"/>
      <c r="C61" s="67" t="n"/>
      <c r="D61" s="67" t="n"/>
      <c r="E61" s="67" t="n"/>
      <c r="F61" s="67" t="n"/>
      <c r="G61" s="67" t="n"/>
      <c r="H61" s="67" t="n"/>
      <c r="I61" s="67" t="n"/>
      <c r="J61" s="67" t="n"/>
      <c r="K61" s="67" t="n"/>
      <c r="L61" s="67" t="n"/>
    </row>
    <row r="62">
      <c r="B62" s="67" t="n"/>
      <c r="C62" s="67" t="n"/>
      <c r="D62" s="67" t="n"/>
      <c r="E62" s="67" t="n"/>
      <c r="F62" s="67" t="n"/>
      <c r="G62" s="67" t="n"/>
      <c r="H62" s="67" t="n"/>
      <c r="I62" s="67" t="n"/>
      <c r="J62" s="67" t="n"/>
      <c r="K62" s="67" t="n"/>
      <c r="L62" s="67" t="n"/>
    </row>
    <row r="63">
      <c r="B63" s="67" t="n"/>
      <c r="C63" s="67" t="n"/>
      <c r="D63" s="67" t="n"/>
      <c r="E63" s="67" t="n"/>
      <c r="F63" s="67" t="n"/>
      <c r="G63" s="67" t="n"/>
      <c r="H63" s="67" t="n"/>
      <c r="I63" s="67" t="n"/>
      <c r="J63" s="67" t="n"/>
      <c r="K63" s="67" t="n"/>
      <c r="L63" s="67" t="n"/>
    </row>
    <row r="64">
      <c r="B64" s="67" t="n"/>
      <c r="C64" s="67" t="n"/>
      <c r="D64" s="67" t="n"/>
      <c r="E64" s="67" t="n"/>
      <c r="F64" s="67" t="n"/>
      <c r="G64" s="67" t="n"/>
      <c r="H64" s="67" t="n"/>
      <c r="I64" s="67" t="n"/>
      <c r="J64" s="67" t="n"/>
      <c r="K64" s="67" t="n"/>
      <c r="L64" s="67" t="n"/>
    </row>
    <row r="65">
      <c r="B65" s="67" t="n"/>
      <c r="C65" s="67" t="n"/>
      <c r="D65" s="67" t="n"/>
      <c r="E65" s="67" t="n"/>
      <c r="F65" s="67" t="n"/>
      <c r="G65" s="67" t="n"/>
      <c r="H65" s="67" t="n"/>
      <c r="I65" s="67" t="n"/>
      <c r="J65" s="67" t="n"/>
      <c r="K65" s="67" t="n"/>
      <c r="L65" s="67" t="n"/>
    </row>
    <row r="66">
      <c r="B66" s="67" t="n"/>
      <c r="C66" s="67" t="n"/>
      <c r="D66" s="67" t="n"/>
      <c r="E66" s="67" t="n"/>
      <c r="F66" s="67" t="n"/>
      <c r="G66" s="67" t="n"/>
      <c r="H66" s="67" t="n"/>
      <c r="I66" s="67" t="n"/>
      <c r="J66" s="67" t="n"/>
      <c r="K66" s="67" t="n"/>
      <c r="L66" s="67" t="n"/>
    </row>
    <row r="67">
      <c r="B67" s="67" t="n"/>
      <c r="C67" s="67" t="n"/>
      <c r="D67" s="67" t="n"/>
      <c r="E67" s="67" t="n"/>
      <c r="F67" s="67" t="n"/>
      <c r="G67" s="67" t="n"/>
      <c r="H67" s="67" t="n"/>
      <c r="I67" s="67" t="n"/>
      <c r="J67" s="67" t="n"/>
      <c r="K67" s="67" t="n"/>
      <c r="L67" s="67" t="n"/>
    </row>
    <row r="68">
      <c r="B68" s="67" t="n"/>
      <c r="C68" s="67" t="n"/>
      <c r="D68" s="67" t="n"/>
      <c r="E68" s="67" t="n"/>
      <c r="F68" s="67" t="n"/>
      <c r="G68" s="67" t="n"/>
      <c r="H68" s="67" t="n"/>
      <c r="I68" s="67" t="n"/>
      <c r="J68" s="67" t="n"/>
      <c r="K68" s="67" t="n"/>
      <c r="L68" s="67" t="n"/>
    </row>
    <row r="69">
      <c r="B69" s="67" t="n"/>
      <c r="C69" s="67" t="n"/>
      <c r="D69" s="67" t="n"/>
      <c r="E69" s="67" t="n"/>
      <c r="F69" s="67" t="n"/>
      <c r="G69" s="67" t="n"/>
      <c r="H69" s="67" t="n"/>
      <c r="I69" s="67" t="n"/>
      <c r="J69" s="67" t="n"/>
      <c r="K69" s="67" t="n"/>
      <c r="L69" s="67" t="n"/>
    </row>
    <row r="70">
      <c r="B70" s="67" t="n"/>
      <c r="C70" s="67" t="n"/>
      <c r="D70" s="67" t="n"/>
      <c r="E70" s="67" t="n"/>
      <c r="F70" s="67" t="n"/>
      <c r="G70" s="67" t="n"/>
      <c r="H70" s="67" t="n"/>
      <c r="I70" s="67" t="n"/>
      <c r="J70" s="67" t="n"/>
      <c r="K70" s="67" t="n"/>
      <c r="L70" s="67" t="n"/>
    </row>
    <row r="71">
      <c r="B71" s="67" t="n"/>
      <c r="C71" s="67" t="n"/>
      <c r="D71" s="67" t="n"/>
      <c r="E71" s="67" t="n"/>
      <c r="F71" s="67" t="n"/>
      <c r="G71" s="67" t="n"/>
      <c r="H71" s="67" t="n"/>
      <c r="I71" s="67" t="n"/>
      <c r="J71" s="67" t="n"/>
      <c r="K71" s="67" t="n"/>
      <c r="L71" s="67" t="n"/>
    </row>
    <row r="72">
      <c r="B72" s="67" t="n"/>
      <c r="C72" s="67" t="n"/>
      <c r="D72" s="67" t="n"/>
      <c r="E72" s="67" t="n"/>
      <c r="F72" s="67" t="n"/>
      <c r="G72" s="67" t="n"/>
      <c r="H72" s="67" t="n"/>
      <c r="I72" s="67" t="n"/>
      <c r="J72" s="67" t="n"/>
      <c r="K72" s="67" t="n"/>
      <c r="L72" s="67" t="n"/>
    </row>
    <row r="73">
      <c r="B73" s="67" t="n"/>
      <c r="C73" s="67" t="n"/>
      <c r="D73" s="67" t="n"/>
      <c r="E73" s="67" t="n"/>
      <c r="F73" s="67" t="n"/>
      <c r="G73" s="67" t="n"/>
      <c r="H73" s="67" t="n"/>
      <c r="I73" s="67" t="n"/>
      <c r="J73" s="67" t="n"/>
      <c r="K73" s="67" t="n"/>
      <c r="L73" s="67" t="n"/>
    </row>
    <row r="74">
      <c r="B74" s="67" t="n"/>
      <c r="C74" s="67" t="n"/>
      <c r="D74" s="67" t="n"/>
      <c r="E74" s="67" t="n"/>
      <c r="F74" s="67" t="n"/>
      <c r="G74" s="67" t="n"/>
      <c r="H74" s="67" t="n"/>
      <c r="I74" s="67" t="n"/>
      <c r="J74" s="67" t="n"/>
      <c r="K74" s="67" t="n"/>
      <c r="L74" s="67" t="n"/>
    </row>
    <row r="75">
      <c r="B75" s="67" t="n"/>
      <c r="C75" s="67" t="n"/>
      <c r="D75" s="67" t="n"/>
      <c r="E75" s="67" t="n"/>
      <c r="F75" s="67" t="n"/>
      <c r="G75" s="67" t="n"/>
      <c r="H75" s="67" t="n"/>
      <c r="I75" s="67" t="n"/>
      <c r="J75" s="67" t="n"/>
      <c r="K75" s="67" t="n"/>
      <c r="L75" s="67" t="n"/>
    </row>
    <row r="76">
      <c r="B76" s="67" t="n"/>
      <c r="C76" s="67" t="n"/>
      <c r="D76" s="67" t="n"/>
      <c r="E76" s="67" t="n"/>
      <c r="F76" s="67" t="n"/>
      <c r="G76" s="67" t="n"/>
      <c r="H76" s="67" t="n"/>
      <c r="I76" s="67" t="n"/>
      <c r="J76" s="67" t="n"/>
      <c r="K76" s="67" t="n"/>
      <c r="L76" s="67" t="n"/>
    </row>
    <row r="77">
      <c r="B77" s="67" t="n"/>
      <c r="C77" s="67" t="n"/>
      <c r="D77" s="67" t="n"/>
      <c r="E77" s="67" t="n"/>
      <c r="F77" s="67" t="n"/>
      <c r="G77" s="67" t="n"/>
      <c r="H77" s="67" t="n"/>
      <c r="I77" s="67" t="n"/>
      <c r="J77" s="67" t="n"/>
      <c r="K77" s="67" t="n"/>
      <c r="L77" s="67" t="n"/>
    </row>
    <row r="78">
      <c r="B78" s="67" t="n"/>
      <c r="C78" s="67" t="n"/>
      <c r="D78" s="67" t="n"/>
      <c r="E78" s="67" t="n"/>
      <c r="F78" s="67" t="n"/>
      <c r="G78" s="67" t="n"/>
      <c r="H78" s="67" t="n"/>
      <c r="I78" s="67" t="n"/>
      <c r="J78" s="67" t="n"/>
      <c r="K78" s="67" t="n"/>
      <c r="L78" s="67" t="n"/>
    </row>
    <row r="79">
      <c r="B79" s="67" t="n"/>
      <c r="C79" s="67" t="n"/>
      <c r="D79" s="67" t="n"/>
      <c r="E79" s="67" t="n"/>
      <c r="F79" s="67" t="n"/>
      <c r="G79" s="67" t="n"/>
      <c r="H79" s="67" t="n"/>
      <c r="I79" s="67" t="n"/>
      <c r="J79" s="67" t="n"/>
      <c r="K79" s="67" t="n"/>
      <c r="L79" s="67" t="n"/>
    </row>
    <row r="80">
      <c r="B80" s="67" t="n"/>
      <c r="C80" s="67" t="n"/>
      <c r="D80" s="67" t="n"/>
      <c r="E80" s="67" t="n"/>
      <c r="F80" s="67" t="n"/>
      <c r="G80" s="67" t="n"/>
      <c r="H80" s="67" t="n"/>
      <c r="I80" s="67" t="n"/>
      <c r="J80" s="67" t="n"/>
      <c r="K80" s="67" t="n"/>
      <c r="L80" s="67" t="n"/>
    </row>
    <row r="81">
      <c r="B81" s="67" t="n"/>
      <c r="C81" s="67" t="n"/>
      <c r="D81" s="67" t="n"/>
      <c r="E81" s="67" t="n"/>
      <c r="F81" s="67" t="n"/>
      <c r="G81" s="67" t="n"/>
      <c r="H81" s="67" t="n"/>
      <c r="I81" s="67" t="n"/>
      <c r="J81" s="67" t="n"/>
      <c r="K81" s="67" t="n"/>
      <c r="L81" s="67" t="n"/>
    </row>
    <row r="82">
      <c r="B82" s="67" t="n"/>
      <c r="C82" s="67" t="n"/>
      <c r="D82" s="67" t="n"/>
      <c r="E82" s="67" t="n"/>
      <c r="F82" s="67" t="n"/>
      <c r="G82" s="67" t="n"/>
      <c r="H82" s="67" t="n"/>
      <c r="I82" s="67" t="n"/>
      <c r="J82" s="67" t="n"/>
      <c r="K82" s="67" t="n"/>
      <c r="L82" s="67" t="n"/>
    </row>
    <row r="83">
      <c r="B83" s="67" t="n"/>
      <c r="C83" s="67" t="n"/>
      <c r="D83" s="67" t="n"/>
      <c r="E83" s="67" t="n"/>
      <c r="F83" s="67" t="n"/>
      <c r="G83" s="67" t="n"/>
      <c r="H83" s="67" t="n"/>
      <c r="I83" s="67" t="n"/>
      <c r="J83" s="67" t="n"/>
      <c r="K83" s="67" t="n"/>
      <c r="L83" s="67" t="n"/>
    </row>
    <row r="84">
      <c r="B84" s="67" t="n"/>
      <c r="C84" s="67" t="n"/>
      <c r="D84" s="67" t="n"/>
      <c r="E84" s="67" t="n"/>
      <c r="F84" s="67" t="n"/>
      <c r="G84" s="67" t="n"/>
      <c r="H84" s="67" t="n"/>
      <c r="I84" s="67" t="n"/>
      <c r="J84" s="67" t="n"/>
      <c r="K84" s="67" t="n"/>
      <c r="L84" s="67" t="n"/>
    </row>
    <row r="85">
      <c r="B85" s="67" t="n"/>
      <c r="C85" s="67" t="n"/>
      <c r="D85" s="67" t="n"/>
      <c r="E85" s="67" t="n"/>
      <c r="F85" s="67" t="n"/>
      <c r="G85" s="67" t="n"/>
      <c r="H85" s="67" t="n"/>
      <c r="I85" s="67" t="n"/>
      <c r="J85" s="67" t="n"/>
      <c r="K85" s="67" t="n"/>
      <c r="L85" s="67" t="n"/>
    </row>
    <row r="86">
      <c r="B86" s="67" t="n"/>
      <c r="C86" s="67" t="n"/>
      <c r="D86" s="67" t="n"/>
      <c r="E86" s="67" t="n"/>
      <c r="F86" s="67" t="n"/>
      <c r="G86" s="67" t="n"/>
      <c r="H86" s="67" t="n"/>
      <c r="I86" s="67" t="n"/>
      <c r="J86" s="67" t="n"/>
      <c r="K86" s="67" t="n"/>
      <c r="L86" s="67" t="n"/>
    </row>
    <row r="87">
      <c r="B87" s="67" t="n"/>
      <c r="C87" s="67" t="n"/>
      <c r="D87" s="67" t="n"/>
      <c r="E87" s="67" t="n"/>
      <c r="F87" s="67" t="n"/>
      <c r="G87" s="67" t="n"/>
      <c r="H87" s="67" t="n"/>
      <c r="I87" s="67" t="n"/>
      <c r="J87" s="67" t="n"/>
      <c r="K87" s="67" t="n"/>
      <c r="L87" s="67" t="n"/>
    </row>
    <row r="88">
      <c r="B88" s="67" t="n"/>
      <c r="C88" s="67" t="n"/>
      <c r="D88" s="67" t="n"/>
      <c r="E88" s="67" t="n"/>
      <c r="F88" s="67" t="n"/>
      <c r="G88" s="67" t="n"/>
      <c r="H88" s="67" t="n"/>
      <c r="I88" s="67" t="n"/>
      <c r="J88" s="67" t="n"/>
      <c r="K88" s="67" t="n"/>
      <c r="L88" s="67" t="n"/>
    </row>
    <row r="89">
      <c r="B89" s="67" t="n"/>
      <c r="C89" s="67" t="n"/>
      <c r="D89" s="67" t="n"/>
      <c r="E89" s="67" t="n"/>
      <c r="F89" s="67" t="n"/>
      <c r="G89" s="67" t="n"/>
      <c r="H89" s="67" t="n"/>
      <c r="I89" s="67" t="n"/>
      <c r="J89" s="67" t="n"/>
      <c r="K89" s="67" t="n"/>
      <c r="L89" s="67" t="n"/>
    </row>
    <row r="90">
      <c r="B90" s="67" t="n"/>
      <c r="C90" s="67" t="n"/>
      <c r="D90" s="67" t="n"/>
      <c r="E90" s="67" t="n"/>
      <c r="F90" s="67" t="n"/>
      <c r="G90" s="67" t="n"/>
      <c r="H90" s="67" t="n"/>
      <c r="I90" s="67" t="n"/>
      <c r="J90" s="67" t="n"/>
      <c r="K90" s="67" t="n"/>
      <c r="L90" s="67" t="n"/>
    </row>
    <row r="91">
      <c r="B91" s="67" t="n"/>
      <c r="C91" s="67" t="n"/>
      <c r="D91" s="67" t="n"/>
      <c r="E91" s="67" t="n"/>
      <c r="F91" s="67" t="n"/>
      <c r="G91" s="67" t="n"/>
      <c r="H91" s="67" t="n"/>
      <c r="I91" s="67" t="n"/>
      <c r="J91" s="67" t="n"/>
      <c r="K91" s="67" t="n"/>
      <c r="L91" s="67" t="n"/>
    </row>
    <row r="92">
      <c r="B92" s="67" t="n"/>
      <c r="C92" s="67" t="n"/>
      <c r="D92" s="67" t="n"/>
      <c r="E92" s="67" t="n"/>
      <c r="F92" s="67" t="n"/>
      <c r="G92" s="67" t="n"/>
      <c r="H92" s="67" t="n"/>
      <c r="I92" s="67" t="n"/>
      <c r="J92" s="67" t="n"/>
      <c r="K92" s="67" t="n"/>
      <c r="L92" s="67" t="n"/>
    </row>
    <row r="93">
      <c r="B93" s="67" t="n"/>
      <c r="C93" s="67" t="n"/>
      <c r="D93" s="67" t="n"/>
      <c r="E93" s="67" t="n"/>
      <c r="F93" s="67" t="n"/>
      <c r="G93" s="67" t="n"/>
      <c r="H93" s="67" t="n"/>
      <c r="I93" s="67" t="n"/>
      <c r="J93" s="67" t="n"/>
      <c r="K93" s="67" t="n"/>
      <c r="L93" s="67" t="n"/>
    </row>
    <row r="94">
      <c r="B94" s="67" t="n"/>
      <c r="C94" s="67" t="n"/>
      <c r="D94" s="67" t="n"/>
      <c r="E94" s="67" t="n"/>
      <c r="F94" s="67" t="n"/>
      <c r="G94" s="67" t="n"/>
      <c r="H94" s="67" t="n"/>
      <c r="I94" s="67" t="n"/>
      <c r="J94" s="67" t="n"/>
      <c r="K94" s="67" t="n"/>
      <c r="L94" s="67" t="n"/>
    </row>
    <row r="95">
      <c r="B95" s="67" t="n"/>
      <c r="C95" s="67" t="n"/>
      <c r="D95" s="67" t="n"/>
      <c r="E95" s="67" t="n"/>
      <c r="F95" s="67" t="n"/>
      <c r="G95" s="67" t="n"/>
      <c r="H95" s="67" t="n"/>
      <c r="I95" s="67" t="n"/>
      <c r="J95" s="67" t="n"/>
      <c r="K95" s="67" t="n"/>
      <c r="L95" s="67" t="n"/>
    </row>
    <row r="96">
      <c r="B96" s="67" t="n"/>
      <c r="C96" s="67" t="n"/>
      <c r="D96" s="67" t="n"/>
      <c r="E96" s="67" t="n"/>
      <c r="F96" s="67" t="n"/>
      <c r="G96" s="67" t="n"/>
      <c r="H96" s="67" t="n"/>
      <c r="I96" s="67" t="n"/>
      <c r="J96" s="67" t="n"/>
      <c r="K96" s="67" t="n"/>
      <c r="L96" s="67" t="n"/>
    </row>
    <row r="97">
      <c r="B97" s="67" t="n"/>
      <c r="C97" s="67" t="n"/>
      <c r="D97" s="67" t="n"/>
      <c r="E97" s="67" t="n"/>
      <c r="F97" s="67" t="n"/>
      <c r="G97" s="67" t="n"/>
      <c r="H97" s="67" t="n"/>
      <c r="I97" s="67" t="n"/>
      <c r="J97" s="67" t="n"/>
      <c r="K97" s="67" t="n"/>
      <c r="L97" s="67" t="n"/>
    </row>
    <row r="98">
      <c r="B98" s="67" t="n"/>
      <c r="C98" s="67" t="n"/>
      <c r="D98" s="67" t="n"/>
      <c r="E98" s="67" t="n"/>
      <c r="F98" s="67" t="n"/>
      <c r="G98" s="67" t="n"/>
      <c r="H98" s="67" t="n"/>
      <c r="I98" s="67" t="n"/>
      <c r="J98" s="67" t="n"/>
      <c r="K98" s="67" t="n"/>
      <c r="L98" s="67" t="n"/>
    </row>
    <row r="99">
      <c r="B99" s="67" t="n"/>
      <c r="C99" s="67" t="n"/>
      <c r="D99" s="67" t="n"/>
      <c r="E99" s="67" t="n"/>
      <c r="F99" s="67" t="n"/>
      <c r="G99" s="67" t="n"/>
      <c r="H99" s="67" t="n"/>
      <c r="I99" s="67" t="n"/>
      <c r="J99" s="67" t="n"/>
      <c r="K99" s="67" t="n"/>
      <c r="L99" s="67" t="n"/>
    </row>
    <row r="100">
      <c r="B100" s="67" t="n"/>
      <c r="C100" s="67" t="n"/>
      <c r="D100" s="67" t="n"/>
      <c r="E100" s="67" t="n"/>
      <c r="F100" s="67" t="n"/>
      <c r="G100" s="67" t="n"/>
      <c r="H100" s="67" t="n"/>
      <c r="I100" s="67" t="n"/>
      <c r="J100" s="67" t="n"/>
      <c r="K100" s="67" t="n"/>
      <c r="L100" s="67" t="n"/>
    </row>
    <row r="101">
      <c r="B101" s="67" t="n"/>
      <c r="C101" s="67" t="n"/>
      <c r="D101" s="67" t="n"/>
      <c r="E101" s="67" t="n"/>
      <c r="F101" s="67" t="n"/>
      <c r="G101" s="67" t="n"/>
      <c r="H101" s="67" t="n"/>
      <c r="I101" s="67" t="n"/>
      <c r="J101" s="67" t="n"/>
      <c r="K101" s="67" t="n"/>
      <c r="L101" s="67" t="n"/>
    </row>
    <row r="102">
      <c r="B102" s="67" t="n"/>
      <c r="C102" s="67" t="n"/>
      <c r="D102" s="67" t="n"/>
      <c r="E102" s="67" t="n"/>
      <c r="F102" s="67" t="n"/>
      <c r="G102" s="67" t="n"/>
      <c r="H102" s="67" t="n"/>
      <c r="I102" s="67" t="n"/>
      <c r="J102" s="67" t="n"/>
      <c r="K102" s="67" t="n"/>
      <c r="L102" s="67" t="n"/>
    </row>
    <row r="103">
      <c r="B103" s="67" t="n"/>
      <c r="C103" s="67" t="n"/>
      <c r="D103" s="67" t="n"/>
      <c r="E103" s="67" t="n"/>
      <c r="F103" s="67" t="n"/>
      <c r="G103" s="67" t="n"/>
      <c r="H103" s="67" t="n"/>
      <c r="I103" s="67" t="n"/>
      <c r="J103" s="67" t="n"/>
      <c r="K103" s="67" t="n"/>
      <c r="L103" s="67" t="n"/>
    </row>
    <row r="104">
      <c r="B104" s="67" t="n"/>
      <c r="C104" s="67" t="n"/>
      <c r="D104" s="67" t="n"/>
      <c r="E104" s="67" t="n"/>
      <c r="F104" s="67" t="n"/>
      <c r="G104" s="67" t="n"/>
      <c r="H104" s="67" t="n"/>
      <c r="I104" s="67" t="n"/>
      <c r="J104" s="67" t="n"/>
      <c r="K104" s="67" t="n"/>
      <c r="L104" s="67" t="n"/>
    </row>
    <row r="105">
      <c r="B105" s="67" t="n"/>
      <c r="C105" s="67" t="n"/>
      <c r="D105" s="67" t="n"/>
      <c r="E105" s="67" t="n"/>
      <c r="F105" s="67" t="n"/>
      <c r="G105" s="67" t="n"/>
      <c r="H105" s="67" t="n"/>
      <c r="I105" s="67" t="n"/>
      <c r="J105" s="67" t="n"/>
      <c r="K105" s="67" t="n"/>
      <c r="L105" s="67" t="n"/>
    </row>
    <row r="106">
      <c r="B106" s="67" t="n"/>
      <c r="C106" s="67" t="n"/>
      <c r="D106" s="67" t="n"/>
      <c r="E106" s="67" t="n"/>
      <c r="F106" s="67" t="n"/>
      <c r="G106" s="67" t="n"/>
      <c r="H106" s="67" t="n"/>
      <c r="I106" s="67" t="n"/>
      <c r="J106" s="67" t="n"/>
      <c r="K106" s="67" t="n"/>
      <c r="L106" s="67" t="n"/>
    </row>
    <row r="107">
      <c r="B107" s="67" t="n"/>
      <c r="C107" s="67" t="n"/>
      <c r="D107" s="67" t="n"/>
      <c r="E107" s="67" t="n"/>
      <c r="F107" s="67" t="n"/>
      <c r="G107" s="67" t="n"/>
      <c r="H107" s="67" t="n"/>
      <c r="I107" s="67" t="n"/>
      <c r="J107" s="67" t="n"/>
      <c r="K107" s="67" t="n"/>
      <c r="L107" s="67" t="n"/>
    </row>
    <row r="108">
      <c r="B108" s="67" t="n"/>
      <c r="C108" s="67" t="n"/>
      <c r="D108" s="67" t="n"/>
      <c r="E108" s="67" t="n"/>
      <c r="F108" s="67" t="n"/>
      <c r="G108" s="67" t="n"/>
      <c r="H108" s="67" t="n"/>
      <c r="I108" s="67" t="n"/>
      <c r="J108" s="67" t="n"/>
      <c r="K108" s="67" t="n"/>
      <c r="L108" s="67" t="n"/>
    </row>
    <row r="109">
      <c r="B109" s="67" t="n"/>
      <c r="C109" s="67" t="n"/>
      <c r="D109" s="67" t="n"/>
      <c r="E109" s="67" t="n"/>
      <c r="F109" s="67" t="n"/>
      <c r="G109" s="67" t="n"/>
      <c r="H109" s="67" t="n"/>
      <c r="I109" s="67" t="n"/>
      <c r="J109" s="67" t="n"/>
      <c r="K109" s="67" t="n"/>
      <c r="L109" s="67" t="n"/>
    </row>
    <row r="110">
      <c r="B110" s="67" t="n"/>
      <c r="C110" s="67" t="n"/>
      <c r="D110" s="67" t="n"/>
      <c r="E110" s="67" t="n"/>
      <c r="F110" s="67" t="n"/>
      <c r="G110" s="67" t="n"/>
      <c r="H110" s="67" t="n"/>
      <c r="I110" s="67" t="n"/>
      <c r="J110" s="67" t="n"/>
      <c r="K110" s="67" t="n"/>
      <c r="L110" s="67" t="n"/>
    </row>
    <row r="111">
      <c r="B111" s="67" t="n"/>
      <c r="C111" s="67" t="n"/>
      <c r="D111" s="67" t="n"/>
      <c r="E111" s="67" t="n"/>
      <c r="F111" s="67" t="n"/>
      <c r="G111" s="67" t="n"/>
      <c r="H111" s="67" t="n"/>
      <c r="I111" s="67" t="n"/>
      <c r="J111" s="67" t="n"/>
      <c r="K111" s="67" t="n"/>
      <c r="L111" s="67" t="n"/>
    </row>
    <row r="112">
      <c r="B112" s="67" t="n"/>
      <c r="C112" s="67" t="n"/>
      <c r="D112" s="67" t="n"/>
      <c r="E112" s="67" t="n"/>
      <c r="F112" s="67" t="n"/>
      <c r="G112" s="67" t="n"/>
      <c r="H112" s="67" t="n"/>
      <c r="I112" s="67" t="n"/>
      <c r="J112" s="67" t="n"/>
      <c r="K112" s="67" t="n"/>
      <c r="L112" s="67" t="n"/>
    </row>
    <row r="113">
      <c r="B113" s="67" t="n"/>
      <c r="C113" s="67" t="n"/>
      <c r="D113" s="67" t="n"/>
      <c r="E113" s="67" t="n"/>
      <c r="F113" s="67" t="n"/>
      <c r="G113" s="67" t="n"/>
      <c r="H113" s="67" t="n"/>
      <c r="I113" s="67" t="n"/>
      <c r="J113" s="67" t="n"/>
      <c r="K113" s="67" t="n"/>
      <c r="L113" s="67" t="n"/>
    </row>
    <row r="114">
      <c r="B114" s="67" t="n"/>
      <c r="C114" s="67" t="n"/>
      <c r="D114" s="67" t="n"/>
      <c r="E114" s="67" t="n"/>
      <c r="F114" s="67" t="n"/>
      <c r="G114" s="67" t="n"/>
      <c r="H114" s="67" t="n"/>
      <c r="I114" s="67" t="n"/>
      <c r="J114" s="67" t="n"/>
      <c r="K114" s="67" t="n"/>
      <c r="L114" s="67" t="n"/>
    </row>
    <row r="115">
      <c r="B115" s="67" t="n"/>
      <c r="C115" s="67" t="n"/>
      <c r="D115" s="67" t="n"/>
      <c r="E115" s="67" t="n"/>
      <c r="F115" s="67" t="n"/>
      <c r="G115" s="67" t="n"/>
      <c r="H115" s="67" t="n"/>
      <c r="I115" s="67" t="n"/>
      <c r="J115" s="67" t="n"/>
      <c r="K115" s="67" t="n"/>
      <c r="L115" s="67" t="n"/>
    </row>
    <row r="116">
      <c r="B116" s="67" t="n"/>
      <c r="C116" s="67" t="n"/>
      <c r="D116" s="67" t="n"/>
      <c r="E116" s="67" t="n"/>
      <c r="F116" s="67" t="n"/>
      <c r="G116" s="67" t="n"/>
      <c r="H116" s="67" t="n"/>
      <c r="I116" s="67" t="n"/>
      <c r="J116" s="67" t="n"/>
      <c r="K116" s="67" t="n"/>
      <c r="L116" s="67" t="n"/>
    </row>
    <row r="117">
      <c r="B117" s="67" t="n"/>
      <c r="C117" s="67" t="n"/>
      <c r="D117" s="67" t="n"/>
      <c r="E117" s="67" t="n"/>
      <c r="F117" s="67" t="n"/>
      <c r="G117" s="67" t="n"/>
      <c r="H117" s="67" t="n"/>
      <c r="I117" s="67" t="n"/>
      <c r="J117" s="67" t="n"/>
      <c r="K117" s="67" t="n"/>
      <c r="L117" s="67" t="n"/>
    </row>
    <row r="118">
      <c r="B118" s="67" t="n"/>
      <c r="C118" s="67" t="n"/>
      <c r="D118" s="67" t="n"/>
      <c r="E118" s="67" t="n"/>
      <c r="F118" s="67" t="n"/>
      <c r="G118" s="67" t="n"/>
      <c r="H118" s="67" t="n"/>
      <c r="I118" s="67" t="n"/>
      <c r="J118" s="67" t="n"/>
      <c r="K118" s="67" t="n"/>
      <c r="L118" s="67" t="n"/>
    </row>
    <row r="119">
      <c r="B119" s="67" t="n"/>
      <c r="C119" s="67" t="n"/>
      <c r="D119" s="67" t="n"/>
      <c r="E119" s="67" t="n"/>
      <c r="F119" s="67" t="n"/>
      <c r="G119" s="67" t="n"/>
      <c r="H119" s="67" t="n"/>
      <c r="I119" s="67" t="n"/>
      <c r="J119" s="67" t="n"/>
      <c r="K119" s="67" t="n"/>
      <c r="L119" s="67" t="n"/>
    </row>
    <row r="120">
      <c r="B120" s="67" t="n"/>
      <c r="C120" s="67" t="n"/>
      <c r="D120" s="67" t="n"/>
      <c r="E120" s="67" t="n"/>
      <c r="F120" s="67" t="n"/>
      <c r="G120" s="67" t="n"/>
      <c r="H120" s="67" t="n"/>
      <c r="I120" s="67" t="n"/>
      <c r="J120" s="67" t="n"/>
      <c r="K120" s="67" t="n"/>
      <c r="L120" s="67" t="n"/>
    </row>
    <row r="121">
      <c r="B121" s="67" t="n"/>
      <c r="C121" s="67" t="n"/>
      <c r="D121" s="67" t="n"/>
      <c r="E121" s="67" t="n"/>
      <c r="F121" s="67" t="n"/>
      <c r="G121" s="67" t="n"/>
      <c r="H121" s="67" t="n"/>
      <c r="I121" s="67" t="n"/>
      <c r="J121" s="67" t="n"/>
      <c r="K121" s="67" t="n"/>
      <c r="L121" s="67" t="n"/>
    </row>
    <row r="122">
      <c r="B122" s="67" t="n"/>
      <c r="C122" s="67" t="n"/>
      <c r="D122" s="67" t="n"/>
      <c r="E122" s="67" t="n"/>
      <c r="F122" s="67" t="n"/>
      <c r="G122" s="67" t="n"/>
      <c r="H122" s="67" t="n"/>
      <c r="I122" s="67" t="n"/>
      <c r="J122" s="67" t="n"/>
      <c r="K122" s="67" t="n"/>
      <c r="L122" s="67" t="n"/>
    </row>
    <row r="123">
      <c r="B123" s="67" t="n"/>
      <c r="C123" s="67" t="n"/>
      <c r="D123" s="67" t="n"/>
      <c r="E123" s="67" t="n"/>
      <c r="F123" s="67" t="n"/>
      <c r="G123" s="67" t="n"/>
      <c r="H123" s="67" t="n"/>
      <c r="I123" s="67" t="n"/>
      <c r="J123" s="67" t="n"/>
      <c r="K123" s="67" t="n"/>
      <c r="L123" s="67" t="n"/>
    </row>
    <row r="124">
      <c r="B124" s="67" t="n"/>
      <c r="C124" s="67" t="n"/>
      <c r="D124" s="67" t="n"/>
      <c r="E124" s="67" t="n"/>
      <c r="F124" s="67" t="n"/>
      <c r="G124" s="67" t="n"/>
      <c r="H124" s="67" t="n"/>
      <c r="I124" s="67" t="n"/>
      <c r="J124" s="67" t="n"/>
      <c r="K124" s="67" t="n"/>
      <c r="L124" s="67" t="n"/>
    </row>
    <row r="125">
      <c r="B125" s="67" t="n"/>
      <c r="C125" s="67" t="n"/>
      <c r="D125" s="67" t="n"/>
      <c r="E125" s="67" t="n"/>
      <c r="F125" s="67" t="n"/>
      <c r="G125" s="67" t="n"/>
      <c r="H125" s="67" t="n"/>
      <c r="I125" s="67" t="n"/>
      <c r="J125" s="67" t="n"/>
      <c r="K125" s="67" t="n"/>
      <c r="L125" s="67" t="n"/>
    </row>
    <row r="126">
      <c r="B126" s="67" t="n"/>
      <c r="C126" s="67" t="n"/>
      <c r="D126" s="67" t="n"/>
      <c r="E126" s="67" t="n"/>
      <c r="F126" s="67" t="n"/>
      <c r="G126" s="67" t="n"/>
      <c r="H126" s="67" t="n"/>
      <c r="I126" s="67" t="n"/>
      <c r="J126" s="67" t="n"/>
      <c r="K126" s="67" t="n"/>
      <c r="L126" s="67" t="n"/>
    </row>
    <row r="127">
      <c r="B127" s="67" t="n"/>
      <c r="C127" s="67" t="n"/>
      <c r="D127" s="67" t="n"/>
      <c r="E127" s="67" t="n"/>
      <c r="F127" s="67" t="n"/>
      <c r="G127" s="67" t="n"/>
      <c r="H127" s="67" t="n"/>
      <c r="I127" s="67" t="n"/>
      <c r="J127" s="67" t="n"/>
      <c r="K127" s="67" t="n"/>
      <c r="L127" s="67" t="n"/>
    </row>
    <row r="128">
      <c r="B128" s="67" t="n"/>
      <c r="C128" s="67" t="n"/>
      <c r="D128" s="67" t="n"/>
      <c r="E128" s="67" t="n"/>
      <c r="F128" s="67" t="n"/>
      <c r="G128" s="67" t="n"/>
      <c r="H128" s="67" t="n"/>
      <c r="I128" s="67" t="n"/>
      <c r="J128" s="67" t="n"/>
      <c r="K128" s="67" t="n"/>
      <c r="L128" s="67" t="n"/>
    </row>
    <row r="129">
      <c r="B129" s="67" t="n"/>
      <c r="C129" s="67" t="n"/>
      <c r="D129" s="67" t="n"/>
      <c r="E129" s="67" t="n"/>
      <c r="F129" s="67" t="n"/>
      <c r="G129" s="67" t="n"/>
      <c r="H129" s="67" t="n"/>
      <c r="I129" s="67" t="n"/>
      <c r="J129" s="67" t="n"/>
      <c r="K129" s="67" t="n"/>
      <c r="L129" s="67" t="n"/>
    </row>
    <row r="130">
      <c r="B130" s="67" t="n"/>
      <c r="C130" s="67" t="n"/>
      <c r="D130" s="67" t="n"/>
      <c r="E130" s="67" t="n"/>
      <c r="F130" s="67" t="n"/>
      <c r="G130" s="67" t="n"/>
      <c r="H130" s="67" t="n"/>
      <c r="I130" s="67" t="n"/>
      <c r="J130" s="67" t="n"/>
      <c r="K130" s="67" t="n"/>
      <c r="L130" s="67" t="n"/>
    </row>
    <row r="131">
      <c r="B131" s="67" t="n"/>
      <c r="C131" s="67" t="n"/>
      <c r="D131" s="67" t="n"/>
      <c r="E131" s="67" t="n"/>
      <c r="F131" s="67" t="n"/>
      <c r="G131" s="67" t="n"/>
      <c r="H131" s="67" t="n"/>
      <c r="I131" s="67" t="n"/>
      <c r="J131" s="67" t="n"/>
      <c r="K131" s="67" t="n"/>
      <c r="L131" s="67" t="n"/>
    </row>
    <row r="132">
      <c r="B132" s="67" t="n"/>
      <c r="C132" s="67" t="n"/>
      <c r="D132" s="67" t="n"/>
      <c r="E132" s="67" t="n"/>
      <c r="F132" s="67" t="n"/>
      <c r="G132" s="67" t="n"/>
      <c r="H132" s="67" t="n"/>
      <c r="I132" s="67" t="n"/>
      <c r="J132" s="67" t="n"/>
      <c r="K132" s="67" t="n"/>
      <c r="L132" s="67" t="n"/>
    </row>
    <row r="133">
      <c r="B133" s="67" t="n"/>
      <c r="C133" s="67" t="n"/>
      <c r="D133" s="67" t="n"/>
      <c r="E133" s="67" t="n"/>
      <c r="F133" s="67" t="n"/>
      <c r="G133" s="67" t="n"/>
      <c r="H133" s="67" t="n"/>
      <c r="I133" s="67" t="n"/>
      <c r="J133" s="67" t="n"/>
      <c r="K133" s="67" t="n"/>
      <c r="L133" s="67" t="n"/>
    </row>
    <row r="134">
      <c r="B134" s="67" t="n"/>
      <c r="C134" s="67" t="n"/>
      <c r="D134" s="67" t="n"/>
      <c r="E134" s="67" t="n"/>
      <c r="F134" s="67" t="n"/>
      <c r="G134" s="67" t="n"/>
      <c r="H134" s="67" t="n"/>
      <c r="I134" s="67" t="n"/>
      <c r="J134" s="67" t="n"/>
      <c r="K134" s="67" t="n"/>
      <c r="L134" s="67" t="n"/>
    </row>
    <row r="135">
      <c r="B135" s="67" t="n"/>
      <c r="C135" s="67" t="n"/>
      <c r="D135" s="67" t="n"/>
      <c r="E135" s="67" t="n"/>
      <c r="F135" s="67" t="n"/>
      <c r="G135" s="67" t="n"/>
      <c r="H135" s="67" t="n"/>
      <c r="I135" s="67" t="n"/>
      <c r="J135" s="67" t="n"/>
      <c r="K135" s="67" t="n"/>
      <c r="L135" s="67" t="n"/>
    </row>
    <row r="136">
      <c r="B136" s="67" t="n"/>
      <c r="C136" s="67" t="n"/>
      <c r="D136" s="67" t="n"/>
      <c r="E136" s="67" t="n"/>
      <c r="F136" s="67" t="n"/>
      <c r="G136" s="67" t="n"/>
      <c r="H136" s="67" t="n"/>
      <c r="I136" s="67" t="n"/>
      <c r="J136" s="67" t="n"/>
      <c r="K136" s="67" t="n"/>
      <c r="L136" s="67" t="n"/>
    </row>
    <row r="137">
      <c r="B137" s="67" t="n"/>
      <c r="C137" s="67" t="n"/>
      <c r="D137" s="67" t="n"/>
      <c r="E137" s="67" t="n"/>
      <c r="F137" s="67" t="n"/>
      <c r="G137" s="67" t="n"/>
      <c r="H137" s="67" t="n"/>
      <c r="I137" s="67" t="n"/>
      <c r="J137" s="67" t="n"/>
      <c r="K137" s="67" t="n"/>
      <c r="L137" s="67" t="n"/>
    </row>
    <row r="138">
      <c r="B138" s="67" t="n"/>
      <c r="C138" s="67" t="n"/>
      <c r="D138" s="67" t="n"/>
      <c r="E138" s="67" t="n"/>
      <c r="F138" s="67" t="n"/>
      <c r="G138" s="67" t="n"/>
      <c r="H138" s="67" t="n"/>
      <c r="I138" s="67" t="n"/>
      <c r="J138" s="67" t="n"/>
      <c r="K138" s="67" t="n"/>
      <c r="L138" s="67" t="n"/>
    </row>
    <row r="139">
      <c r="B139" s="67" t="n"/>
      <c r="C139" s="67" t="n"/>
      <c r="D139" s="67" t="n"/>
      <c r="E139" s="67" t="n"/>
      <c r="F139" s="67" t="n"/>
      <c r="G139" s="67" t="n"/>
      <c r="H139" s="67" t="n"/>
      <c r="I139" s="67" t="n"/>
      <c r="J139" s="67" t="n"/>
      <c r="K139" s="67" t="n"/>
      <c r="L139" s="67" t="n"/>
    </row>
    <row r="140">
      <c r="B140" s="67" t="n"/>
      <c r="C140" s="67" t="n"/>
      <c r="D140" s="67" t="n"/>
      <c r="E140" s="67" t="n"/>
      <c r="F140" s="67" t="n"/>
      <c r="G140" s="67" t="n"/>
      <c r="H140" s="67" t="n"/>
      <c r="I140" s="67" t="n"/>
      <c r="J140" s="67" t="n"/>
      <c r="K140" s="67" t="n"/>
      <c r="L140" s="67" t="n"/>
    </row>
    <row r="141">
      <c r="B141" s="67" t="n"/>
      <c r="C141" s="67" t="n"/>
      <c r="D141" s="67" t="n"/>
      <c r="E141" s="67" t="n"/>
      <c r="F141" s="67" t="n"/>
      <c r="G141" s="67" t="n"/>
      <c r="H141" s="67" t="n"/>
      <c r="I141" s="67" t="n"/>
      <c r="J141" s="67" t="n"/>
      <c r="K141" s="67" t="n"/>
      <c r="L141" s="67" t="n"/>
    </row>
    <row r="142">
      <c r="B142" s="67" t="n"/>
      <c r="C142" s="67" t="n"/>
      <c r="D142" s="67" t="n"/>
      <c r="E142" s="67" t="n"/>
      <c r="F142" s="67" t="n"/>
      <c r="G142" s="67" t="n"/>
      <c r="H142" s="67" t="n"/>
      <c r="I142" s="67" t="n"/>
      <c r="J142" s="67" t="n"/>
      <c r="K142" s="67" t="n"/>
      <c r="L142" s="67" t="n"/>
    </row>
    <row r="143">
      <c r="B143" s="67" t="n"/>
      <c r="C143" s="67" t="n"/>
      <c r="D143" s="67" t="n"/>
      <c r="E143" s="67" t="n"/>
      <c r="F143" s="67" t="n"/>
      <c r="G143" s="67" t="n"/>
      <c r="H143" s="67" t="n"/>
      <c r="I143" s="67" t="n"/>
      <c r="J143" s="67" t="n"/>
      <c r="K143" s="67" t="n"/>
      <c r="L143" s="67" t="n"/>
    </row>
    <row r="144">
      <c r="B144" s="67" t="n"/>
      <c r="C144" s="67" t="n"/>
      <c r="D144" s="67" t="n"/>
      <c r="E144" s="67" t="n"/>
      <c r="F144" s="67" t="n"/>
      <c r="G144" s="67" t="n"/>
      <c r="H144" s="67" t="n"/>
      <c r="I144" s="67" t="n"/>
      <c r="J144" s="67" t="n"/>
      <c r="K144" s="67" t="n"/>
      <c r="L144" s="67" t="n"/>
    </row>
    <row r="145">
      <c r="B145" s="67" t="n"/>
      <c r="C145" s="67" t="n"/>
      <c r="D145" s="67" t="n"/>
      <c r="E145" s="67" t="n"/>
      <c r="F145" s="67" t="n"/>
      <c r="G145" s="67" t="n"/>
      <c r="H145" s="67" t="n"/>
      <c r="I145" s="67" t="n"/>
      <c r="J145" s="67" t="n"/>
      <c r="K145" s="67" t="n"/>
      <c r="L145" s="67" t="n"/>
    </row>
    <row r="146">
      <c r="B146" s="67" t="n"/>
      <c r="C146" s="67" t="n"/>
      <c r="D146" s="67" t="n"/>
      <c r="E146" s="67" t="n"/>
      <c r="F146" s="67" t="n"/>
      <c r="G146" s="67" t="n"/>
      <c r="H146" s="67" t="n"/>
      <c r="I146" s="67" t="n"/>
      <c r="J146" s="67" t="n"/>
      <c r="K146" s="67" t="n"/>
      <c r="L146" s="67" t="n"/>
    </row>
    <row r="147">
      <c r="B147" s="67" t="n"/>
      <c r="C147" s="67" t="n"/>
      <c r="D147" s="67" t="n"/>
      <c r="E147" s="67" t="n"/>
      <c r="F147" s="67" t="n"/>
      <c r="G147" s="67" t="n"/>
      <c r="H147" s="67" t="n"/>
      <c r="I147" s="67" t="n"/>
      <c r="J147" s="67" t="n"/>
      <c r="K147" s="67" t="n"/>
      <c r="L147" s="67" t="n"/>
    </row>
    <row r="148">
      <c r="B148" s="67" t="n"/>
      <c r="C148" s="67" t="n"/>
      <c r="D148" s="67" t="n"/>
      <c r="E148" s="67" t="n"/>
      <c r="F148" s="67" t="n"/>
      <c r="G148" s="67" t="n"/>
      <c r="H148" s="67" t="n"/>
      <c r="I148" s="67" t="n"/>
      <c r="J148" s="67" t="n"/>
      <c r="K148" s="67" t="n"/>
      <c r="L148" s="67" t="n"/>
    </row>
    <row r="149">
      <c r="B149" s="67" t="n"/>
      <c r="C149" s="67" t="n"/>
      <c r="D149" s="67" t="n"/>
      <c r="E149" s="67" t="n"/>
      <c r="F149" s="67" t="n"/>
      <c r="G149" s="67" t="n"/>
      <c r="H149" s="67" t="n"/>
      <c r="I149" s="67" t="n"/>
      <c r="J149" s="67" t="n"/>
      <c r="K149" s="67" t="n"/>
      <c r="L149" s="67" t="n"/>
    </row>
    <row r="150">
      <c r="B150" s="67" t="n"/>
      <c r="C150" s="67" t="n"/>
      <c r="D150" s="67" t="n"/>
      <c r="E150" s="67" t="n"/>
      <c r="F150" s="67" t="n"/>
      <c r="G150" s="67" t="n"/>
      <c r="H150" s="67" t="n"/>
      <c r="I150" s="67" t="n"/>
      <c r="J150" s="67" t="n"/>
      <c r="K150" s="67" t="n"/>
      <c r="L150" s="67" t="n"/>
    </row>
    <row r="151">
      <c r="B151" s="67" t="n"/>
      <c r="C151" s="67" t="n"/>
      <c r="D151" s="67" t="n"/>
      <c r="E151" s="67" t="n"/>
      <c r="F151" s="67" t="n"/>
      <c r="G151" s="67" t="n"/>
      <c r="H151" s="67" t="n"/>
      <c r="I151" s="67" t="n"/>
      <c r="J151" s="67" t="n"/>
      <c r="K151" s="67" t="n"/>
      <c r="L151" s="67" t="n"/>
    </row>
    <row r="152">
      <c r="B152" s="67" t="n"/>
      <c r="C152" s="67" t="n"/>
      <c r="D152" s="67" t="n"/>
      <c r="E152" s="67" t="n"/>
      <c r="F152" s="67" t="n"/>
      <c r="G152" s="67" t="n"/>
      <c r="H152" s="67" t="n"/>
      <c r="I152" s="67" t="n"/>
      <c r="J152" s="67" t="n"/>
      <c r="K152" s="67" t="n"/>
      <c r="L152" s="67" t="n"/>
    </row>
    <row r="153">
      <c r="B153" s="67" t="n"/>
      <c r="C153" s="67" t="n"/>
      <c r="D153" s="67" t="n"/>
      <c r="E153" s="67" t="n"/>
      <c r="F153" s="67" t="n"/>
      <c r="G153" s="67" t="n"/>
      <c r="H153" s="67" t="n"/>
      <c r="I153" s="67" t="n"/>
      <c r="J153" s="67" t="n"/>
      <c r="K153" s="67" t="n"/>
      <c r="L153" s="67" t="n"/>
    </row>
    <row r="154">
      <c r="B154" s="67" t="n"/>
      <c r="C154" s="67" t="n"/>
      <c r="D154" s="67" t="n"/>
      <c r="E154" s="67" t="n"/>
      <c r="F154" s="67" t="n"/>
      <c r="G154" s="67" t="n"/>
      <c r="H154" s="67" t="n"/>
      <c r="I154" s="67" t="n"/>
      <c r="J154" s="67" t="n"/>
      <c r="K154" s="67" t="n"/>
      <c r="L154" s="67" t="n"/>
    </row>
    <row r="155">
      <c r="B155" s="67" t="n"/>
      <c r="C155" s="67" t="n"/>
      <c r="D155" s="67" t="n"/>
      <c r="E155" s="67" t="n"/>
      <c r="F155" s="67" t="n"/>
      <c r="G155" s="67" t="n"/>
      <c r="H155" s="67" t="n"/>
      <c r="I155" s="67" t="n"/>
      <c r="J155" s="67" t="n"/>
      <c r="K155" s="67" t="n"/>
      <c r="L155" s="67" t="n"/>
    </row>
    <row r="156">
      <c r="B156" s="67" t="n"/>
      <c r="C156" s="67" t="n"/>
      <c r="D156" s="67" t="n"/>
      <c r="E156" s="67" t="n"/>
      <c r="F156" s="67" t="n"/>
      <c r="G156" s="67" t="n"/>
      <c r="H156" s="67" t="n"/>
      <c r="I156" s="67" t="n"/>
      <c r="J156" s="67" t="n"/>
      <c r="K156" s="67" t="n"/>
      <c r="L156" s="67" t="n"/>
    </row>
    <row r="157">
      <c r="B157" s="67" t="n"/>
      <c r="C157" s="67" t="n"/>
      <c r="D157" s="67" t="n"/>
      <c r="E157" s="67" t="n"/>
      <c r="F157" s="67" t="n"/>
      <c r="G157" s="67" t="n"/>
      <c r="H157" s="67" t="n"/>
      <c r="I157" s="67" t="n"/>
      <c r="J157" s="67" t="n"/>
      <c r="K157" s="67" t="n"/>
      <c r="L157" s="67" t="n"/>
    </row>
    <row r="158">
      <c r="B158" s="67" t="n"/>
      <c r="C158" s="67" t="n"/>
      <c r="D158" s="67" t="n"/>
      <c r="E158" s="67" t="n"/>
      <c r="F158" s="67" t="n"/>
      <c r="G158" s="67" t="n"/>
      <c r="H158" s="67" t="n"/>
      <c r="I158" s="67" t="n"/>
      <c r="J158" s="67" t="n"/>
      <c r="K158" s="67" t="n"/>
      <c r="L158" s="67" t="n"/>
    </row>
    <row r="159">
      <c r="B159" s="67" t="n"/>
      <c r="C159" s="67" t="n"/>
      <c r="D159" s="67" t="n"/>
      <c r="E159" s="67" t="n"/>
      <c r="F159" s="67" t="n"/>
      <c r="G159" s="67" t="n"/>
      <c r="H159" s="67" t="n"/>
      <c r="I159" s="67" t="n"/>
      <c r="J159" s="67" t="n"/>
      <c r="K159" s="67" t="n"/>
      <c r="L159" s="67" t="n"/>
    </row>
    <row r="160">
      <c r="B160" s="67" t="n"/>
      <c r="C160" s="67" t="n"/>
      <c r="D160" s="67" t="n"/>
      <c r="E160" s="67" t="n"/>
      <c r="F160" s="67" t="n"/>
      <c r="G160" s="67" t="n"/>
      <c r="H160" s="67" t="n"/>
      <c r="I160" s="67" t="n"/>
      <c r="J160" s="67" t="n"/>
      <c r="K160" s="67" t="n"/>
      <c r="L160" s="67" t="n"/>
    </row>
    <row r="161">
      <c r="B161" s="67" t="n"/>
      <c r="C161" s="67" t="n"/>
      <c r="D161" s="67" t="n"/>
      <c r="E161" s="67" t="n"/>
      <c r="F161" s="67" t="n"/>
      <c r="G161" s="67" t="n"/>
      <c r="H161" s="67" t="n"/>
      <c r="I161" s="67" t="n"/>
      <c r="J161" s="67" t="n"/>
      <c r="K161" s="67" t="n"/>
      <c r="L161" s="67" t="n"/>
    </row>
    <row r="162">
      <c r="B162" s="67" t="n"/>
      <c r="C162" s="67" t="n"/>
      <c r="D162" s="67" t="n"/>
      <c r="E162" s="67" t="n"/>
      <c r="F162" s="67" t="n"/>
      <c r="G162" s="67" t="n"/>
      <c r="H162" s="67" t="n"/>
      <c r="I162" s="67" t="n"/>
      <c r="J162" s="67" t="n"/>
      <c r="K162" s="67" t="n"/>
      <c r="L162" s="67" t="n"/>
    </row>
    <row r="163">
      <c r="B163" s="67" t="n"/>
      <c r="C163" s="67" t="n"/>
      <c r="D163" s="67" t="n"/>
      <c r="E163" s="67" t="n"/>
      <c r="F163" s="67" t="n"/>
      <c r="G163" s="67" t="n"/>
      <c r="H163" s="67" t="n"/>
      <c r="I163" s="67" t="n"/>
      <c r="J163" s="67" t="n"/>
      <c r="K163" s="67" t="n"/>
      <c r="L163" s="67" t="n"/>
    </row>
    <row r="164">
      <c r="B164" s="67" t="n"/>
      <c r="C164" s="67" t="n"/>
      <c r="D164" s="67" t="n"/>
      <c r="E164" s="67" t="n"/>
      <c r="F164" s="67" t="n"/>
      <c r="G164" s="67" t="n"/>
      <c r="H164" s="67" t="n"/>
      <c r="I164" s="67" t="n"/>
      <c r="J164" s="67" t="n"/>
      <c r="K164" s="67" t="n"/>
      <c r="L164" s="67" t="n"/>
    </row>
    <row r="165">
      <c r="B165" s="67" t="n"/>
      <c r="C165" s="67" t="n"/>
      <c r="D165" s="67" t="n"/>
      <c r="E165" s="67" t="n"/>
      <c r="F165" s="67" t="n"/>
      <c r="G165" s="67" t="n"/>
      <c r="H165" s="67" t="n"/>
      <c r="I165" s="67" t="n"/>
      <c r="J165" s="67" t="n"/>
      <c r="K165" s="67" t="n"/>
      <c r="L165" s="67" t="n"/>
    </row>
    <row r="166">
      <c r="B166" s="67" t="n"/>
      <c r="C166" s="67" t="n"/>
      <c r="D166" s="67" t="n"/>
      <c r="E166" s="67" t="n"/>
      <c r="F166" s="67" t="n"/>
      <c r="G166" s="67" t="n"/>
      <c r="H166" s="67" t="n"/>
      <c r="I166" s="67" t="n"/>
      <c r="J166" s="67" t="n"/>
      <c r="K166" s="67" t="n"/>
      <c r="L166" s="67" t="n"/>
    </row>
    <row r="167">
      <c r="B167" s="67" t="n"/>
      <c r="C167" s="67" t="n"/>
      <c r="D167" s="67" t="n"/>
      <c r="E167" s="67" t="n"/>
      <c r="F167" s="67" t="n"/>
      <c r="G167" s="67" t="n"/>
      <c r="H167" s="67" t="n"/>
      <c r="I167" s="67" t="n"/>
      <c r="J167" s="67" t="n"/>
      <c r="K167" s="67" t="n"/>
      <c r="L167" s="67" t="n"/>
    </row>
    <row r="168">
      <c r="B168" s="67" t="n"/>
      <c r="C168" s="67" t="n"/>
      <c r="D168" s="67" t="n"/>
      <c r="E168" s="67" t="n"/>
      <c r="F168" s="67" t="n"/>
      <c r="G168" s="67" t="n"/>
      <c r="H168" s="67" t="n"/>
      <c r="I168" s="67" t="n"/>
      <c r="J168" s="67" t="n"/>
      <c r="K168" s="67" t="n"/>
      <c r="L168" s="67" t="n"/>
    </row>
    <row r="169">
      <c r="B169" s="67" t="n"/>
      <c r="C169" s="67" t="n"/>
      <c r="D169" s="67" t="n"/>
      <c r="E169" s="67" t="n"/>
      <c r="F169" s="67" t="n"/>
      <c r="G169" s="67" t="n"/>
      <c r="H169" s="67" t="n"/>
      <c r="I169" s="67" t="n"/>
      <c r="J169" s="67" t="n"/>
      <c r="K169" s="67" t="n"/>
      <c r="L169" s="67" t="n"/>
    </row>
    <row r="170">
      <c r="B170" s="67" t="n"/>
      <c r="C170" s="67" t="n"/>
      <c r="D170" s="67" t="n"/>
      <c r="E170" s="67" t="n"/>
      <c r="F170" s="67" t="n"/>
      <c r="G170" s="67" t="n"/>
      <c r="H170" s="67" t="n"/>
      <c r="I170" s="67" t="n"/>
      <c r="J170" s="67" t="n"/>
      <c r="K170" s="67" t="n"/>
      <c r="L170" s="67" t="n"/>
    </row>
    <row r="171">
      <c r="B171" s="67" t="n"/>
      <c r="C171" s="67" t="n"/>
      <c r="D171" s="67" t="n"/>
      <c r="E171" s="67" t="n"/>
      <c r="F171" s="67" t="n"/>
      <c r="G171" s="67" t="n"/>
      <c r="H171" s="67" t="n"/>
      <c r="I171" s="67" t="n"/>
      <c r="J171" s="67" t="n"/>
      <c r="K171" s="67" t="n"/>
      <c r="L171" s="67" t="n"/>
    </row>
    <row r="172">
      <c r="B172" s="67" t="n"/>
      <c r="C172" s="67" t="n"/>
      <c r="D172" s="67" t="n"/>
      <c r="E172" s="67" t="n"/>
      <c r="F172" s="67" t="n"/>
      <c r="G172" s="67" t="n"/>
      <c r="H172" s="67" t="n"/>
      <c r="I172" s="67" t="n"/>
      <c r="J172" s="67" t="n"/>
      <c r="K172" s="67" t="n"/>
      <c r="L172" s="67" t="n"/>
    </row>
    <row r="173">
      <c r="B173" s="67" t="n"/>
      <c r="C173" s="67" t="n"/>
      <c r="D173" s="67" t="n"/>
      <c r="E173" s="67" t="n"/>
      <c r="F173" s="67" t="n"/>
      <c r="G173" s="67" t="n"/>
      <c r="H173" s="67" t="n"/>
      <c r="I173" s="67" t="n"/>
      <c r="J173" s="67" t="n"/>
      <c r="K173" s="67" t="n"/>
      <c r="L173" s="67" t="n"/>
    </row>
    <row r="174">
      <c r="B174" s="67" t="n"/>
      <c r="C174" s="67" t="n"/>
      <c r="D174" s="67" t="n"/>
      <c r="E174" s="67" t="n"/>
      <c r="F174" s="67" t="n"/>
      <c r="G174" s="67" t="n"/>
      <c r="H174" s="67" t="n"/>
      <c r="I174" s="67" t="n"/>
      <c r="J174" s="67" t="n"/>
      <c r="K174" s="67" t="n"/>
      <c r="L174" s="67" t="n"/>
    </row>
    <row r="175">
      <c r="B175" s="67" t="n"/>
      <c r="C175" s="67" t="n"/>
      <c r="D175" s="67" t="n"/>
      <c r="E175" s="67" t="n"/>
      <c r="F175" s="67" t="n"/>
      <c r="G175" s="67" t="n"/>
      <c r="H175" s="67" t="n"/>
      <c r="I175" s="67" t="n"/>
      <c r="J175" s="67" t="n"/>
      <c r="K175" s="67" t="n"/>
      <c r="L175" s="67" t="n"/>
    </row>
    <row r="176">
      <c r="B176" s="67" t="n"/>
      <c r="C176" s="67" t="n"/>
      <c r="D176" s="67" t="n"/>
      <c r="E176" s="67" t="n"/>
      <c r="F176" s="67" t="n"/>
      <c r="G176" s="67" t="n"/>
      <c r="H176" s="67" t="n"/>
      <c r="I176" s="67" t="n"/>
      <c r="J176" s="67" t="n"/>
      <c r="K176" s="67" t="n"/>
      <c r="L176" s="67" t="n"/>
    </row>
    <row r="177">
      <c r="B177" s="67" t="n"/>
      <c r="C177" s="67" t="n"/>
      <c r="D177" s="67" t="n"/>
      <c r="E177" s="67" t="n"/>
      <c r="F177" s="67" t="n"/>
      <c r="G177" s="67" t="n"/>
      <c r="H177" s="67" t="n"/>
      <c r="I177" s="67" t="n"/>
      <c r="J177" s="67" t="n"/>
      <c r="K177" s="67" t="n"/>
      <c r="L177" s="67" t="n"/>
    </row>
    <row r="178">
      <c r="B178" s="67" t="n"/>
      <c r="C178" s="67" t="n"/>
      <c r="D178" s="67" t="n"/>
      <c r="E178" s="67" t="n"/>
      <c r="F178" s="67" t="n"/>
      <c r="G178" s="67" t="n"/>
      <c r="H178" s="67" t="n"/>
      <c r="I178" s="67" t="n"/>
      <c r="J178" s="67" t="n"/>
      <c r="K178" s="67" t="n"/>
      <c r="L178" s="67" t="n"/>
    </row>
    <row r="179">
      <c r="B179" s="67" t="n"/>
      <c r="C179" s="67" t="n"/>
      <c r="D179" s="67" t="n"/>
      <c r="E179" s="67" t="n"/>
      <c r="F179" s="67" t="n"/>
      <c r="G179" s="67" t="n"/>
      <c r="H179" s="67" t="n"/>
      <c r="I179" s="67" t="n"/>
      <c r="J179" s="67" t="n"/>
      <c r="K179" s="67" t="n"/>
      <c r="L179" s="67" t="n"/>
    </row>
    <row r="180">
      <c r="B180" s="67" t="n"/>
      <c r="C180" s="67" t="n"/>
      <c r="D180" s="67" t="n"/>
      <c r="E180" s="67" t="n"/>
      <c r="F180" s="67" t="n"/>
      <c r="G180" s="67" t="n"/>
      <c r="H180" s="67" t="n"/>
      <c r="I180" s="67" t="n"/>
      <c r="J180" s="67" t="n"/>
      <c r="K180" s="67" t="n"/>
      <c r="L180" s="67" t="n"/>
    </row>
    <row r="181">
      <c r="B181" s="67" t="n"/>
      <c r="C181" s="67" t="n"/>
      <c r="D181" s="67" t="n"/>
      <c r="E181" s="67" t="n"/>
      <c r="F181" s="67" t="n"/>
      <c r="G181" s="67" t="n"/>
      <c r="H181" s="67" t="n"/>
      <c r="I181" s="67" t="n"/>
      <c r="J181" s="67" t="n"/>
      <c r="K181" s="67" t="n"/>
      <c r="L181" s="67" t="n"/>
    </row>
    <row r="182">
      <c r="B182" s="67" t="n"/>
      <c r="C182" s="67" t="n"/>
      <c r="D182" s="67" t="n"/>
      <c r="E182" s="67" t="n"/>
      <c r="F182" s="67" t="n"/>
      <c r="G182" s="67" t="n"/>
      <c r="H182" s="67" t="n"/>
      <c r="I182" s="67" t="n"/>
      <c r="J182" s="67" t="n"/>
      <c r="K182" s="67" t="n"/>
      <c r="L182" s="67" t="n"/>
    </row>
    <row r="183">
      <c r="B183" s="67" t="n"/>
      <c r="C183" s="67" t="n"/>
      <c r="D183" s="67" t="n"/>
      <c r="E183" s="67" t="n"/>
      <c r="F183" s="67" t="n"/>
      <c r="G183" s="67" t="n"/>
      <c r="H183" s="67" t="n"/>
      <c r="I183" s="67" t="n"/>
      <c r="J183" s="67" t="n"/>
      <c r="K183" s="67" t="n"/>
      <c r="L183" s="67" t="n"/>
    </row>
    <row r="184">
      <c r="B184" s="67" t="n"/>
      <c r="C184" s="67" t="n"/>
      <c r="D184" s="67" t="n"/>
      <c r="E184" s="67" t="n"/>
      <c r="F184" s="67" t="n"/>
      <c r="G184" s="67" t="n"/>
      <c r="H184" s="67" t="n"/>
      <c r="I184" s="67" t="n"/>
      <c r="J184" s="67" t="n"/>
      <c r="K184" s="67" t="n"/>
      <c r="L184" s="67" t="n"/>
    </row>
    <row r="185">
      <c r="B185" s="67" t="n"/>
      <c r="C185" s="67" t="n"/>
      <c r="D185" s="67" t="n"/>
      <c r="E185" s="67" t="n"/>
      <c r="F185" s="67" t="n"/>
      <c r="G185" s="67" t="n"/>
      <c r="H185" s="67" t="n"/>
      <c r="I185" s="67" t="n"/>
      <c r="J185" s="67" t="n"/>
      <c r="K185" s="67" t="n"/>
      <c r="L185" s="67" t="n"/>
    </row>
    <row r="186">
      <c r="B186" s="67" t="n"/>
      <c r="C186" s="67" t="n"/>
      <c r="D186" s="67" t="n"/>
      <c r="E186" s="67" t="n"/>
      <c r="F186" s="67" t="n"/>
      <c r="G186" s="67" t="n"/>
      <c r="H186" s="67" t="n"/>
      <c r="I186" s="67" t="n"/>
      <c r="J186" s="67" t="n"/>
      <c r="K186" s="67" t="n"/>
      <c r="L186" s="67" t="n"/>
    </row>
    <row r="187">
      <c r="B187" s="67" t="n"/>
      <c r="C187" s="67" t="n"/>
      <c r="D187" s="67" t="n"/>
      <c r="E187" s="67" t="n"/>
      <c r="F187" s="67" t="n"/>
      <c r="G187" s="67" t="n"/>
      <c r="H187" s="67" t="n"/>
      <c r="I187" s="67" t="n"/>
      <c r="J187" s="67" t="n"/>
      <c r="K187" s="67" t="n"/>
      <c r="L187" s="67" t="n"/>
    </row>
    <row r="188">
      <c r="B188" s="67" t="n"/>
      <c r="C188" s="67" t="n"/>
      <c r="D188" s="67" t="n"/>
      <c r="E188" s="67" t="n"/>
      <c r="F188" s="67" t="n"/>
      <c r="G188" s="67" t="n"/>
      <c r="H188" s="67" t="n"/>
      <c r="I188" s="67" t="n"/>
      <c r="J188" s="67" t="n"/>
      <c r="K188" s="67" t="n"/>
      <c r="L188" s="67" t="n"/>
    </row>
    <row r="189">
      <c r="B189" s="67" t="n"/>
      <c r="C189" s="67" t="n"/>
      <c r="D189" s="67" t="n"/>
      <c r="E189" s="67" t="n"/>
      <c r="F189" s="67" t="n"/>
      <c r="G189" s="67" t="n"/>
      <c r="H189" s="67" t="n"/>
      <c r="I189" s="67" t="n"/>
      <c r="J189" s="67" t="n"/>
      <c r="K189" s="67" t="n"/>
      <c r="L189" s="67" t="n"/>
    </row>
    <row r="190">
      <c r="B190" s="67" t="n"/>
      <c r="C190" s="67" t="n"/>
      <c r="D190" s="67" t="n"/>
      <c r="E190" s="67" t="n"/>
      <c r="F190" s="67" t="n"/>
      <c r="G190" s="67" t="n"/>
      <c r="H190" s="67" t="n"/>
      <c r="I190" s="67" t="n"/>
      <c r="J190" s="67" t="n"/>
      <c r="K190" s="67" t="n"/>
      <c r="L190" s="67" t="n"/>
    </row>
    <row r="191">
      <c r="B191" s="67" t="n"/>
      <c r="C191" s="67" t="n"/>
      <c r="D191" s="67" t="n"/>
      <c r="E191" s="67" t="n"/>
      <c r="F191" s="67" t="n"/>
      <c r="G191" s="67" t="n"/>
      <c r="H191" s="67" t="n"/>
      <c r="I191" s="67" t="n"/>
      <c r="J191" s="67" t="n"/>
      <c r="K191" s="67" t="n"/>
      <c r="L191" s="67" t="n"/>
    </row>
    <row r="192">
      <c r="B192" s="67" t="n"/>
      <c r="C192" s="67" t="n"/>
      <c r="D192" s="67" t="n"/>
      <c r="E192" s="67" t="n"/>
      <c r="F192" s="67" t="n"/>
      <c r="G192" s="67" t="n"/>
      <c r="H192" s="67" t="n"/>
      <c r="I192" s="67" t="n"/>
      <c r="J192" s="67" t="n"/>
      <c r="K192" s="67" t="n"/>
      <c r="L192" s="67" t="n"/>
    </row>
    <row r="193">
      <c r="B193" s="67" t="n"/>
      <c r="C193" s="67" t="n"/>
      <c r="D193" s="67" t="n"/>
      <c r="E193" s="67" t="n"/>
      <c r="F193" s="67" t="n"/>
      <c r="G193" s="67" t="n"/>
      <c r="H193" s="67" t="n"/>
      <c r="I193" s="67" t="n"/>
      <c r="J193" s="67" t="n"/>
      <c r="K193" s="67" t="n"/>
      <c r="L193" s="67" t="n"/>
    </row>
    <row r="194">
      <c r="B194" s="67" t="n"/>
      <c r="C194" s="67" t="n"/>
      <c r="D194" s="67" t="n"/>
      <c r="E194" s="67" t="n"/>
      <c r="F194" s="67" t="n"/>
      <c r="G194" s="67" t="n"/>
      <c r="H194" s="67" t="n"/>
      <c r="I194" s="67" t="n"/>
      <c r="J194" s="67" t="n"/>
      <c r="K194" s="67" t="n"/>
      <c r="L194" s="67" t="n"/>
    </row>
    <row r="195">
      <c r="B195" s="67" t="n"/>
      <c r="C195" s="67" t="n"/>
      <c r="D195" s="67" t="n"/>
      <c r="E195" s="67" t="n"/>
      <c r="F195" s="67" t="n"/>
      <c r="G195" s="67" t="n"/>
      <c r="H195" s="67" t="n"/>
      <c r="I195" s="67" t="n"/>
      <c r="J195" s="67" t="n"/>
      <c r="K195" s="67" t="n"/>
      <c r="L195" s="67" t="n"/>
    </row>
    <row r="196">
      <c r="B196" s="67" t="n"/>
      <c r="C196" s="67" t="n"/>
      <c r="D196" s="67" t="n"/>
      <c r="E196" s="67" t="n"/>
      <c r="F196" s="67" t="n"/>
      <c r="G196" s="67" t="n"/>
      <c r="H196" s="67" t="n"/>
      <c r="I196" s="67" t="n"/>
      <c r="J196" s="67" t="n"/>
      <c r="K196" s="67" t="n"/>
      <c r="L196" s="67" t="n"/>
    </row>
    <row r="197">
      <c r="B197" s="67" t="n"/>
      <c r="C197" s="67" t="n"/>
      <c r="D197" s="67" t="n"/>
      <c r="E197" s="67" t="n"/>
      <c r="F197" s="67" t="n"/>
      <c r="G197" s="67" t="n"/>
      <c r="H197" s="67" t="n"/>
      <c r="I197" s="67" t="n"/>
      <c r="J197" s="67" t="n"/>
      <c r="K197" s="67" t="n"/>
      <c r="L197" s="67" t="n"/>
    </row>
    <row r="198">
      <c r="B198" s="67" t="n"/>
      <c r="C198" s="67" t="n"/>
      <c r="D198" s="67" t="n"/>
      <c r="E198" s="67" t="n"/>
      <c r="F198" s="67" t="n"/>
      <c r="G198" s="67" t="n"/>
      <c r="H198" s="67" t="n"/>
      <c r="I198" s="67" t="n"/>
      <c r="J198" s="67" t="n"/>
      <c r="K198" s="67" t="n"/>
      <c r="L198" s="67" t="n"/>
    </row>
    <row r="199">
      <c r="B199" s="67" t="n"/>
      <c r="C199" s="67" t="n"/>
      <c r="D199" s="67" t="n"/>
      <c r="E199" s="67" t="n"/>
      <c r="F199" s="67" t="n"/>
      <c r="G199" s="67" t="n"/>
      <c r="H199" s="67" t="n"/>
      <c r="I199" s="67" t="n"/>
      <c r="J199" s="67" t="n"/>
      <c r="K199" s="67" t="n"/>
      <c r="L199" s="67" t="n"/>
    </row>
    <row r="200">
      <c r="B200" s="67" t="n"/>
      <c r="C200" s="67" t="n"/>
      <c r="D200" s="67" t="n"/>
      <c r="E200" s="67" t="n"/>
      <c r="F200" s="67" t="n"/>
      <c r="G200" s="67" t="n"/>
      <c r="H200" s="67" t="n"/>
      <c r="I200" s="67" t="n"/>
      <c r="J200" s="67" t="n"/>
      <c r="K200" s="67" t="n"/>
      <c r="L200" s="67" t="n"/>
    </row>
    <row r="201">
      <c r="B201" s="67" t="n"/>
      <c r="C201" s="67" t="n"/>
      <c r="D201" s="67" t="n"/>
      <c r="E201" s="67" t="n"/>
      <c r="F201" s="67" t="n"/>
      <c r="G201" s="67" t="n"/>
      <c r="H201" s="67" t="n"/>
      <c r="I201" s="67" t="n"/>
      <c r="J201" s="67" t="n"/>
      <c r="K201" s="67" t="n"/>
      <c r="L201" s="67" t="n"/>
    </row>
    <row r="202">
      <c r="B202" s="67" t="n"/>
      <c r="C202" s="67" t="n"/>
      <c r="D202" s="67" t="n"/>
      <c r="E202" s="67" t="n"/>
      <c r="F202" s="67" t="n"/>
      <c r="G202" s="67" t="n"/>
      <c r="H202" s="67" t="n"/>
      <c r="I202" s="67" t="n"/>
      <c r="J202" s="67" t="n"/>
      <c r="K202" s="67" t="n"/>
      <c r="L202" s="67" t="n"/>
    </row>
    <row r="203">
      <c r="B203" s="67" t="n"/>
      <c r="C203" s="67" t="n"/>
      <c r="D203" s="67" t="n"/>
      <c r="E203" s="67" t="n"/>
      <c r="F203" s="67" t="n"/>
      <c r="G203" s="67" t="n"/>
      <c r="H203" s="67" t="n"/>
      <c r="I203" s="67" t="n"/>
      <c r="J203" s="67" t="n"/>
      <c r="K203" s="67" t="n"/>
      <c r="L203" s="67" t="n"/>
    </row>
    <row r="204">
      <c r="B204" s="67" t="n"/>
      <c r="C204" s="67" t="n"/>
      <c r="D204" s="67" t="n"/>
      <c r="E204" s="67" t="n"/>
      <c r="F204" s="67" t="n"/>
      <c r="G204" s="67" t="n"/>
      <c r="H204" s="67" t="n"/>
      <c r="I204" s="67" t="n"/>
      <c r="J204" s="67" t="n"/>
      <c r="K204" s="67" t="n"/>
      <c r="L204" s="67" t="n"/>
    </row>
    <row r="205">
      <c r="B205" s="67" t="n"/>
      <c r="C205" s="67" t="n"/>
      <c r="D205" s="67" t="n"/>
      <c r="E205" s="67" t="n"/>
      <c r="F205" s="67" t="n"/>
      <c r="G205" s="67" t="n"/>
      <c r="H205" s="67" t="n"/>
      <c r="I205" s="67" t="n"/>
      <c r="J205" s="67" t="n"/>
      <c r="K205" s="67" t="n"/>
      <c r="L205" s="67" t="n"/>
    </row>
    <row r="206">
      <c r="B206" s="67" t="n"/>
      <c r="C206" s="67" t="n"/>
      <c r="D206" s="67" t="n"/>
      <c r="E206" s="67" t="n"/>
      <c r="F206" s="67" t="n"/>
      <c r="G206" s="67" t="n"/>
      <c r="H206" s="67" t="n"/>
      <c r="I206" s="67" t="n"/>
      <c r="J206" s="67" t="n"/>
      <c r="K206" s="67" t="n"/>
      <c r="L206" s="67" t="n"/>
    </row>
    <row r="207">
      <c r="B207" s="67" t="n"/>
      <c r="C207" s="67" t="n"/>
      <c r="D207" s="67" t="n"/>
      <c r="E207" s="67" t="n"/>
      <c r="F207" s="67" t="n"/>
      <c r="G207" s="67" t="n"/>
      <c r="H207" s="67" t="n"/>
      <c r="I207" s="67" t="n"/>
      <c r="J207" s="67" t="n"/>
      <c r="K207" s="67" t="n"/>
      <c r="L207" s="67" t="n"/>
    </row>
    <row r="208">
      <c r="B208" s="67" t="n"/>
      <c r="C208" s="67" t="n"/>
      <c r="D208" s="67" t="n"/>
      <c r="E208" s="67" t="n"/>
      <c r="F208" s="67" t="n"/>
      <c r="G208" s="67" t="n"/>
      <c r="H208" s="67" t="n"/>
      <c r="I208" s="67" t="n"/>
      <c r="J208" s="67" t="n"/>
      <c r="K208" s="67" t="n"/>
      <c r="L208" s="67" t="n"/>
    </row>
    <row r="209">
      <c r="B209" s="67" t="n"/>
      <c r="C209" s="67" t="n"/>
      <c r="D209" s="67" t="n"/>
      <c r="E209" s="67" t="n"/>
      <c r="F209" s="67" t="n"/>
      <c r="G209" s="67" t="n"/>
      <c r="H209" s="67" t="n"/>
      <c r="I209" s="67" t="n"/>
      <c r="J209" s="67" t="n"/>
      <c r="K209" s="67" t="n"/>
      <c r="L209" s="67" t="n"/>
    </row>
    <row r="210">
      <c r="B210" s="67" t="n"/>
      <c r="C210" s="67" t="n"/>
      <c r="D210" s="67" t="n"/>
      <c r="E210" s="67" t="n"/>
      <c r="F210" s="67" t="n"/>
      <c r="G210" s="67" t="n"/>
      <c r="H210" s="67" t="n"/>
      <c r="I210" s="67" t="n"/>
      <c r="J210" s="67" t="n"/>
      <c r="K210" s="67" t="n"/>
      <c r="L210" s="67" t="n"/>
    </row>
    <row r="211">
      <c r="B211" s="67" t="n"/>
      <c r="C211" s="67" t="n"/>
      <c r="D211" s="67" t="n"/>
      <c r="E211" s="67" t="n"/>
      <c r="F211" s="67" t="n"/>
      <c r="G211" s="67" t="n"/>
      <c r="H211" s="67" t="n"/>
      <c r="I211" s="67" t="n"/>
      <c r="J211" s="67" t="n"/>
      <c r="K211" s="67" t="n"/>
      <c r="L211" s="67" t="n"/>
    </row>
    <row r="212">
      <c r="B212" s="67" t="n"/>
      <c r="C212" s="67" t="n"/>
      <c r="D212" s="67" t="n"/>
      <c r="E212" s="67" t="n"/>
      <c r="F212" s="67" t="n"/>
      <c r="G212" s="67" t="n"/>
      <c r="H212" s="67" t="n"/>
      <c r="I212" s="67" t="n"/>
      <c r="J212" s="67" t="n"/>
      <c r="K212" s="67" t="n"/>
      <c r="L212" s="67" t="n"/>
    </row>
    <row r="213">
      <c r="B213" s="67" t="n"/>
      <c r="C213" s="67" t="n"/>
      <c r="D213" s="67" t="n"/>
      <c r="E213" s="67" t="n"/>
      <c r="F213" s="67" t="n"/>
      <c r="G213" s="67" t="n"/>
      <c r="H213" s="67" t="n"/>
      <c r="I213" s="67" t="n"/>
      <c r="J213" s="67" t="n"/>
      <c r="K213" s="67" t="n"/>
      <c r="L213" s="67" t="n"/>
    </row>
    <row r="214">
      <c r="B214" s="67" t="n"/>
      <c r="C214" s="67" t="n"/>
      <c r="D214" s="67" t="n"/>
      <c r="E214" s="67" t="n"/>
      <c r="F214" s="67" t="n"/>
      <c r="G214" s="67" t="n"/>
      <c r="H214" s="67" t="n"/>
      <c r="I214" s="67" t="n"/>
      <c r="J214" s="67" t="n"/>
      <c r="K214" s="67" t="n"/>
      <c r="L214" s="67" t="n"/>
    </row>
    <row r="215">
      <c r="B215" s="67" t="n"/>
      <c r="C215" s="67" t="n"/>
      <c r="D215" s="67" t="n"/>
      <c r="E215" s="67" t="n"/>
      <c r="F215" s="67" t="n"/>
      <c r="G215" s="67" t="n"/>
      <c r="H215" s="67" t="n"/>
      <c r="I215" s="67" t="n"/>
      <c r="J215" s="67" t="n"/>
      <c r="K215" s="67" t="n"/>
      <c r="L215" s="67" t="n"/>
    </row>
    <row r="216">
      <c r="B216" s="67" t="n"/>
      <c r="C216" s="67" t="n"/>
      <c r="D216" s="67" t="n"/>
      <c r="E216" s="67" t="n"/>
      <c r="F216" s="67" t="n"/>
      <c r="G216" s="67" t="n"/>
      <c r="H216" s="67" t="n"/>
      <c r="I216" s="67" t="n"/>
      <c r="J216" s="67" t="n"/>
      <c r="K216" s="67" t="n"/>
      <c r="L216" s="67" t="n"/>
    </row>
    <row r="217">
      <c r="B217" s="67" t="n"/>
      <c r="C217" s="67" t="n"/>
      <c r="D217" s="67" t="n"/>
      <c r="E217" s="67" t="n"/>
      <c r="F217" s="67" t="n"/>
      <c r="G217" s="67" t="n"/>
      <c r="H217" s="67" t="n"/>
      <c r="I217" s="67" t="n"/>
      <c r="J217" s="67" t="n"/>
      <c r="K217" s="67" t="n"/>
      <c r="L217" s="67" t="n"/>
    </row>
    <row r="218">
      <c r="B218" s="67" t="n"/>
      <c r="C218" s="67" t="n"/>
      <c r="D218" s="67" t="n"/>
      <c r="E218" s="67" t="n"/>
      <c r="F218" s="67" t="n"/>
      <c r="G218" s="67" t="n"/>
      <c r="H218" s="67" t="n"/>
      <c r="I218" s="67" t="n"/>
      <c r="J218" s="67" t="n"/>
      <c r="K218" s="67" t="n"/>
      <c r="L218" s="67" t="n"/>
    </row>
    <row r="219">
      <c r="B219" s="67" t="n"/>
      <c r="C219" s="67" t="n"/>
      <c r="D219" s="67" t="n"/>
      <c r="E219" s="67" t="n"/>
      <c r="F219" s="67" t="n"/>
      <c r="G219" s="67" t="n"/>
      <c r="H219" s="67" t="n"/>
      <c r="I219" s="67" t="n"/>
      <c r="J219" s="67" t="n"/>
      <c r="K219" s="67" t="n"/>
      <c r="L219" s="67" t="n"/>
    </row>
    <row r="220">
      <c r="B220" s="67" t="n"/>
      <c r="C220" s="67" t="n"/>
      <c r="D220" s="67" t="n"/>
      <c r="E220" s="67" t="n"/>
      <c r="F220" s="67" t="n"/>
      <c r="G220" s="67" t="n"/>
      <c r="H220" s="67" t="n"/>
      <c r="I220" s="67" t="n"/>
      <c r="J220" s="67" t="n"/>
      <c r="K220" s="67" t="n"/>
      <c r="L220" s="67" t="n"/>
    </row>
  </sheetData>
  <mergeCells count="7">
    <mergeCell ref="B4:L4"/>
    <mergeCell ref="B6:L6"/>
    <mergeCell ref="B7:L7"/>
    <mergeCell ref="B10:C10"/>
    <mergeCell ref="B3:L3"/>
    <mergeCell ref="B5:L5"/>
    <mergeCell ref="B8:L8"/>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AND(LEN($B20&amp;$C20&amp;$D20&amp;$E20&amp;$F20&amp;$G20&amp;$H20&amp;$I20&amp;$J20&amp;$K20&amp;$L20)&gt;0,B20="")</formula>
    </cfRule>
  </conditionalFormatting>
  <conditionalFormatting sqref="C20:C220">
    <cfRule type="expression" priority="3" dxfId="6">
      <formula>AND(LEN($B20&amp;$C20&amp;$D20&amp;$E20&amp;$F20&amp;$G20&amp;$H20&amp;$I20&amp;$J20&amp;$K20&amp;$L20)&gt;0,C20="")</formula>
    </cfRule>
  </conditionalFormatting>
  <conditionalFormatting sqref="L20:L220">
    <cfRule type="expression" priority="4" dxfId="6">
      <formula>AND(LEN($B20&amp;$C20&amp;$D20&amp;$E20&amp;$F20&amp;$G20&amp;$H20&amp;$I20&amp;$J20&amp;$K20&amp;$L20)&gt;0,L20="")</formula>
    </cfRule>
  </conditionalFormatting>
  <dataValidations count="13">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L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record_type" error="Choose a value of the list R03 record_type (sheet Reference lists)." promptTitle="record_type" prompt="Yes. Kind of row Allowed: REGION, DEPARTMENT, TEAM, AO (list R03 record_type)" type="list" errorStyle="stop">
      <formula1>=LIST_R03_RECORD_TYPE</formula1>
    </dataValidation>
    <dataValidation sqref="C20:C220" showDropDown="0" showInputMessage="1" showErrorMessage="1" allowBlank="1" errorTitle="unit_code" error="At most 20 characters." promptTitle="unit_code" prompt="Yes. Legacy code of the unit (for an AO row, the team of the AO) Allowed: Free entry, up to 20 characters" type="textLength" operator="lessThanOrEqual">
      <formula1>20</formula1>
    </dataValidation>
    <dataValidation sqref="D20:D220" showDropDown="0" showInputMessage="1" showErrorMessage="1" allowBlank="1" errorTitle="unit_name" error="At most 120 characters." promptTitle="unit_name" prompt="Conditional: Mandatory for REGION, DEPARTMENT, TEAM. Unit name Allowed: Free entry, up to 120 characters" type="textLength" operator="lessThanOrEqual">
      <formula1>120</formula1>
    </dataValidation>
    <dataValidation sqref="E20:E220" showDropDown="0" showInputMessage="1" showErrorMessage="1" allowBlank="1" errorTitle="parent_unit_code" error="At most 20 characters." promptTitle="parent_unit_code" prompt="Conditional: Mandatory for DEPARTMENT and TEAM; parent exists. Code of the parent unit (department of a team, region of a department) Allowed: unit_code values of the file" type="textLength" operator="lessThanOrEqual">
      <formula1>20</formula1>
    </dataValidation>
    <dataValidation sqref="F20:F220" showDropDown="0" showInputMessage="1" showErrorMessage="1" allowBlank="1" errorTitle="unit_head_user_id" error="At most 50 characters." promptTitle="unit_head_user_id" prompt="No. Legacy user ID of the unit head Allowed: The legacy code; mapped by the code map USER (sheet Code maps)" type="textLength" operator="lessThanOrEqual">
      <formula1>50</formula1>
    </dataValidation>
    <dataValidation sqref="G20:G220" showDropDown="0" showInputMessage="1" showErrorMessage="1" allowBlank="1" errorTitle="cost_center" error="At most 20 characters." promptTitle="cost_center" prompt="No. Cost centre of the unit Allowed: The legacy code; mapped by the code map COST_CENTER (sheet Code maps)" type="textLength" operator="lessThanOrEqual">
      <formula1>20</formula1>
    </dataValidation>
    <dataValidation sqref="H20:H220" showDropDown="0" showInputMessage="1" showErrorMessage="1" allowBlank="1" errorTitle="ao_user_id" error="At most 50 characters." promptTitle="ao_user_id" prompt="Conditional: Mandatory for AO rows; mapped in USER. Legacy user ID of the account officer Allowed: The legacy code; mapped by the code map USER (sheet Code maps)" type="textLength" operator="lessThanOrEqual">
      <formula1>50</formula1>
    </dataValidation>
    <dataValidation sqref="I20:I220" showDropDown="0" showInputMessage="1" showErrorMessage="1" allowBlank="1" errorTitle="ao_code" error="At most 20 characters." promptTitle="ao_code" prompt="No. Legacy AO code if different from the user ID Allowed: The legacy code; mapped by the code map AO (sheet Code maps)" type="textLength" operator="lessThanOrEqual">
      <formula1>20</formula1>
    </dataValidation>
    <dataValidation sqref="J20:J220" showDropDown="0" showInputMessage="1" showErrorMessage="1" allowBlank="1" errorTitle="ao_name" error="At most 120 characters." promptTitle="ao_name" prompt="Conditional: Mandatory for AO rows. AO full name Allowed: Free entry, up to 120 characters" type="textLength" operator="lessThanOrEqual">
      <formula1>120</formula1>
    </dataValidation>
    <dataValidation sqref="K20:K220" showDropDown="0" showInputMessage="1" showErrorMessage="1" allowBlank="1" errorTitle="branch_code" error="At most 20 characters." promptTitle="branch_code" prompt="No. Branch of the unit or AO Allowed: The legacy code; mapped by the code map BRANCH (sheet Code maps)" type="textLength" operator="lessThanOrEqual">
      <formula1>20</formula1>
    </dataValidation>
    <dataValidation sqref="L20:L220" showDropDown="0" showInputMessage="1" showErrorMessage="1" allowBlank="1" errorTitle="active_flag" error="Choose a value of the list Yes or no (sheet Reference lists)." promptTitle="active_flag" prompt="Yes. Unit or AO active Allowed: Y or N" type="list" errorStyle="stop">
      <formula1>=LIST_YES_NO</formula1>
    </dataValidation>
  </dataValidations>
  <hyperlinks>
    <hyperlink ref="A2" location="'Load templates'!A1"/>
    <hyperlink ref="L2" location="'Comments log'!A1"/>
    <hyperlink ref="B8" location="'R02 Branches and invoicing bran'!A1"/>
    <hyperlink ref="B17" location="'Reference lists'!A10"/>
    <hyperlink ref="F17" location="'Code maps'!A1"/>
    <hyperlink ref="G17" location="'Code maps'!A1"/>
    <hyperlink ref="H17" location="'Code maps'!A1"/>
    <hyperlink ref="I17" location="'Code maps'!A1"/>
    <hyperlink ref="K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tabColor rgb="00004EA8"/>
    <outlinePr summaryBelow="0" summaryRight="1"/>
    <pageSetUpPr fitToPage="1"/>
  </sheetPr>
  <dimension ref="A1:K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29" customWidth="1" min="3" max="3"/>
    <col width="15" customWidth="1" min="4" max="4"/>
    <col width="17" customWidth="1" min="5" max="5"/>
    <col width="33" customWidth="1" min="6" max="6"/>
    <col width="21" customWidth="1" min="7" max="7"/>
    <col width="21" customWidth="1" min="8" max="8"/>
    <col width="27" customWidth="1" min="9" max="9"/>
    <col width="24" customWidth="1" min="10" max="10"/>
    <col width="15.90909090909091" customWidth="1" min="11" max="11"/>
  </cols>
  <sheetData>
    <row r="1" ht="26" customHeight="1">
      <c r="A1" s="44" t="inlineStr">
        <is>
          <t>R04 Insurers</t>
        </is>
      </c>
      <c r="K1" s="45" t="inlineStr">
        <is>
          <t>Step 4 of 29</t>
        </is>
      </c>
    </row>
    <row r="2">
      <c r="A2" s="46" t="inlineStr">
        <is>
          <t>← Back to Load templates</t>
        </is>
      </c>
      <c r="B2" s="47" t="inlineStr">
        <is>
          <t>Step 4 of 29. Fill in one row per record below the column headers; the guide above each column says what to enter.</t>
        </is>
      </c>
      <c r="K2" s="48" t="inlineStr">
        <is>
          <t>Ask a question →</t>
        </is>
      </c>
    </row>
    <row r="3" outlineLevel="1" ht="15.5" customHeight="1">
      <c r="A3" s="49" t="inlineStr">
        <is>
          <t>Purpose</t>
        </is>
      </c>
      <c r="B3" s="50" t="inlineStr">
        <is>
          <t>One row per record of Insurers and insurer branches as extracted from QPS, EBIX. Key insurer_code. Sent as the file R04_template.csv (CSV, header row as below) with its control file (row count, count of distinct keys).</t>
        </is>
      </c>
    </row>
    <row r="4" outlineLevel="1" ht="15.5" customHeight="1">
      <c r="A4" s="49" t="inlineStr">
        <is>
          <t>Provided by</t>
        </is>
      </c>
      <c r="B4" s="50" t="inlineStr">
        <is>
          <t>Operations data steward (to name); approved by Head, Operations; extracted by BDOI IT</t>
        </is>
      </c>
    </row>
    <row r="5" outlineLevel="1" ht="15.5" customHeight="1">
      <c r="A5" s="49" t="inlineStr">
        <is>
          <t>Due</t>
        </is>
      </c>
      <c r="B5" s="51" t="inlineStr">
        <is>
          <t>M3 (29 Jan 2027)</t>
        </is>
      </c>
    </row>
    <row r="6" outlineLevel="1" ht="15.5" customHeight="1">
      <c r="A6" s="49" t="inlineStr">
        <is>
          <t>How it is loaded</t>
        </is>
      </c>
      <c r="B6" s="50" t="inlineStr">
        <is>
          <t>Data migration object R04 (Migrate), layout R04 version 1, through the Migration Console; lands in: Insurers and insurer branches (insurer and party records)</t>
        </is>
      </c>
    </row>
    <row r="7" outlineLevel="1" ht="15.5" customHeight="1">
      <c r="A7" s="49" t="inlineStr">
        <is>
          <t>Source</t>
        </is>
      </c>
      <c r="B7" s="50" t="inlineStr">
        <is>
          <t>QPS, EBIX</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SUMPRODUCT(((ROW($B$20:$B$220)&gt;20)+($B$20&lt;&gt;"MAL")&gt;0)*(LEN($B$20:$B$220&amp;$C$20:$C$220&amp;$D$20:$D$220&amp;$E$20:$E$220&amp;$F$20:$F$220&amp;$G$20:$G$220&amp;$H$20:$H$220&amp;$I$20:$I$220&amp;$J$20:$J$220&amp;$K$20:$K$220)&gt;0))</f>
        <v/>
      </c>
      <c r="D9" s="54" t="inlineStr">
        <is>
          <t>Mandatory cells missing</t>
        </is>
      </c>
      <c r="E9" s="55">
        <f>SUMPRODUCT(((ROW($B$20:$B$220)&gt;20)+($B$20&lt;&gt;"MAL")&gt;0)*(LEN($B$20:$B$220&amp;$C$20:$C$220&amp;$D$20:$D$220&amp;$E$20:$E$220&amp;$F$20:$F$220&amp;$G$20:$G$220&amp;$H$20:$H$220&amp;$I$20:$I$220&amp;$J$20:$J$220&amp;$K$20:$K$220)&gt;0)*(($B$20:$B$220="")+($C$20:$C$220="")+($K$20:$K$220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row>
    <row r="12" ht="30" customHeight="1">
      <c r="A12" s="59" t="inlineStr">
        <is>
          <t>BU review</t>
        </is>
      </c>
      <c r="B12" s="60" t="n"/>
      <c r="C12" s="60" t="n"/>
      <c r="D12" s="60" t="n"/>
      <c r="E12" s="60" t="n"/>
      <c r="F12" s="60" t="n"/>
      <c r="G12" s="60" t="n"/>
      <c r="H12" s="60" t="n"/>
      <c r="I12" s="60" t="n"/>
      <c r="J12" s="60" t="n"/>
      <c r="K12" s="60" t="n"/>
    </row>
    <row r="13" ht="30" customHeight="1">
      <c r="A13" s="59" t="inlineStr">
        <is>
          <t>BU comment</t>
        </is>
      </c>
      <c r="B13" s="60" t="n"/>
      <c r="C13" s="60" t="n"/>
      <c r="D13" s="60" t="n"/>
      <c r="E13" s="60" t="n"/>
      <c r="F13" s="60" t="n"/>
      <c r="G13" s="60" t="n"/>
      <c r="H13" s="60" t="n"/>
      <c r="I13" s="60" t="n"/>
      <c r="J13" s="60" t="n"/>
      <c r="K13" s="60" t="n"/>
    </row>
    <row r="14" ht="17" customHeight="1">
      <c r="A14" s="59" t="inlineStr">
        <is>
          <t>Check when loaded</t>
        </is>
      </c>
      <c r="B14" s="61" t="inlineStr">
        <is>
          <t>Unique</t>
        </is>
      </c>
      <c r="C14" s="61" t="inlineStr">
        <is>
          <t>Not blank</t>
        </is>
      </c>
      <c r="D14" s="61" t="inlineStr">
        <is>
          <t>-</t>
        </is>
      </c>
      <c r="E14" s="61" t="inlineStr">
        <is>
          <t>9 to 12 digits</t>
        </is>
      </c>
      <c r="F14" s="61" t="inlineStr">
        <is>
          <t>-</t>
        </is>
      </c>
      <c r="G14" s="61" t="inlineStr">
        <is>
          <t>-</t>
        </is>
      </c>
      <c r="H14" s="61" t="inlineStr">
        <is>
          <t>Valid date</t>
        </is>
      </c>
      <c r="I14" s="61" t="inlineStr">
        <is>
          <t>Valid e-mail addresses</t>
        </is>
      </c>
      <c r="J14" s="61" t="inlineStr">
        <is>
          <t>0 to 365</t>
        </is>
      </c>
      <c r="K14" s="61" t="inlineStr">
        <is>
          <t>Mapped</t>
        </is>
      </c>
    </row>
    <row r="15" ht="17" customHeight="1">
      <c r="A15" s="59" t="inlineStr">
        <is>
          <t>Mandatory</t>
        </is>
      </c>
      <c r="B15" s="62" t="inlineStr">
        <is>
          <t>Yes</t>
        </is>
      </c>
      <c r="C15" s="62" t="inlineStr">
        <is>
          <t>Yes</t>
        </is>
      </c>
      <c r="D15" s="61" t="inlineStr">
        <is>
          <t>No</t>
        </is>
      </c>
      <c r="E15" s="61" t="inlineStr">
        <is>
          <t>No</t>
        </is>
      </c>
      <c r="F15" s="61" t="inlineStr">
        <is>
          <t>No</t>
        </is>
      </c>
      <c r="G15" s="61" t="inlineStr">
        <is>
          <t>No</t>
        </is>
      </c>
      <c r="H15" s="61" t="inlineStr">
        <is>
          <t>No</t>
        </is>
      </c>
      <c r="I15" s="61" t="inlineStr">
        <is>
          <t>No</t>
        </is>
      </c>
      <c r="J15" s="61" t="inlineStr">
        <is>
          <t>No</t>
        </is>
      </c>
      <c r="K15" s="62" t="inlineStr">
        <is>
          <t>Yes</t>
        </is>
      </c>
    </row>
    <row r="16" ht="30" customHeight="1">
      <c r="A16" s="59" t="inlineStr">
        <is>
          <t>Format</t>
        </is>
      </c>
      <c r="B16" s="61" t="inlineStr">
        <is>
          <t>Code, up to 30; As stored in legacy</t>
        </is>
      </c>
      <c r="C16" s="61" t="inlineStr">
        <is>
          <t>Text, up to 200; Free text</t>
        </is>
      </c>
      <c r="D16" s="61" t="inlineStr">
        <is>
          <t>Text, up to 40; Free text</t>
        </is>
      </c>
      <c r="E16" s="61" t="inlineStr">
        <is>
          <t>Text, up to 20; 000-000-000-000</t>
        </is>
      </c>
      <c r="F16" s="61" t="inlineStr">
        <is>
          <t>Text, up to 300; Free text</t>
        </is>
      </c>
      <c r="G16" s="61" t="inlineStr">
        <is>
          <t>Text, up to 40; Free text</t>
        </is>
      </c>
      <c r="H16" s="61" t="inlineStr">
        <is>
          <t>Date, up to 10; yyyy-MM-dd</t>
        </is>
      </c>
      <c r="I16" s="61" t="inlineStr">
        <is>
          <t>Text, up to 500; name@domain;name@domain</t>
        </is>
      </c>
      <c r="J16" s="61" t="inlineStr">
        <is>
          <t>Integer, up to 3; Digits</t>
        </is>
      </c>
      <c r="K16" s="61" t="inlineStr">
        <is>
          <t>Code, up to 20; As stored in legacy</t>
        </is>
      </c>
    </row>
    <row r="17" ht="56" customHeight="1">
      <c r="A17" s="59" t="inlineStr">
        <is>
          <t>Allowed values</t>
        </is>
      </c>
      <c r="B17" s="61" t="inlineStr">
        <is>
          <t>Free entry, up to 30 characters</t>
        </is>
      </c>
      <c r="C17" s="61" t="inlineStr">
        <is>
          <t>Free entry, up to 200 characters</t>
        </is>
      </c>
      <c r="D17" s="61" t="inlineStr">
        <is>
          <t>Free entry, up to 40 characters</t>
        </is>
      </c>
      <c r="E17" s="61" t="inlineStr">
        <is>
          <t>Free entry, up to 20 characters</t>
        </is>
      </c>
      <c r="F17" s="61" t="inlineStr">
        <is>
          <t>Free entry, up to 300 characters</t>
        </is>
      </c>
      <c r="G17" s="61" t="inlineStr">
        <is>
          <t>Free entry, up to 40 characters</t>
        </is>
      </c>
      <c r="H17" s="61" t="inlineStr">
        <is>
          <t>Free entry</t>
        </is>
      </c>
      <c r="I17" s="61" t="inlineStr">
        <is>
          <t>Free entry, up to 500 characters</t>
        </is>
      </c>
      <c r="J17" s="61" t="inlineStr">
        <is>
          <t>A whole number</t>
        </is>
      </c>
      <c r="K17" s="69" t="inlineStr">
        <is>
          <t>The legacy code; mapped by the code map STATUS:INSURER (sheet Code maps)</t>
        </is>
      </c>
    </row>
    <row r="18" ht="30" customHeight="1">
      <c r="A18" s="59" t="inlineStr">
        <is>
          <t>What to enter</t>
        </is>
      </c>
      <c r="B18" s="61" t="inlineStr">
        <is>
          <t>Legacy insurer code</t>
        </is>
      </c>
      <c r="C18" s="61" t="inlineStr">
        <is>
          <t>Registered name</t>
        </is>
      </c>
      <c r="D18" s="61" t="inlineStr">
        <is>
          <t>Short name</t>
        </is>
      </c>
      <c r="E18" s="61" t="inlineStr">
        <is>
          <t>Tax identification number</t>
        </is>
      </c>
      <c r="F18" s="61" t="inlineStr">
        <is>
          <t>Registered address</t>
        </is>
      </c>
      <c r="G18" s="61" t="inlineStr">
        <is>
          <t>Insurance Commission accreditation number</t>
        </is>
      </c>
      <c r="H18" s="61" t="inlineStr">
        <is>
          <t>End of accreditation</t>
        </is>
      </c>
      <c r="I18" s="61" t="inlineStr">
        <is>
          <t>E-mail address(es) for placement, separated by semicolons</t>
        </is>
      </c>
      <c r="J18" s="61" t="inlineStr">
        <is>
          <t>Credit term in days</t>
        </is>
      </c>
      <c r="K18" s="61" t="inlineStr">
        <is>
          <t>Insurer status in legacy</t>
        </is>
      </c>
    </row>
    <row r="19" ht="30" customHeight="1">
      <c r="A19" s="63" t="inlineStr">
        <is>
          <t>Row</t>
        </is>
      </c>
      <c r="B19" s="24" t="inlineStr">
        <is>
          <t>insurer_code *</t>
        </is>
      </c>
      <c r="C19" s="24" t="inlineStr">
        <is>
          <t>insurer_name *</t>
        </is>
      </c>
      <c r="D19" s="24" t="inlineStr">
        <is>
          <t>short_name</t>
        </is>
      </c>
      <c r="E19" s="24" t="inlineStr">
        <is>
          <t>tin</t>
        </is>
      </c>
      <c r="F19" s="24" t="inlineStr">
        <is>
          <t>address</t>
        </is>
      </c>
      <c r="G19" s="24" t="inlineStr">
        <is>
          <t>accreditation_no</t>
        </is>
      </c>
      <c r="H19" s="24" t="inlineStr">
        <is>
          <t>accredited_until</t>
        </is>
      </c>
      <c r="I19" s="24" t="inlineStr">
        <is>
          <t>placement_email</t>
        </is>
      </c>
      <c r="J19" s="24" t="inlineStr">
        <is>
          <t>default_credit_days</t>
        </is>
      </c>
      <c r="K19" s="24" t="inlineStr">
        <is>
          <t>status *</t>
        </is>
      </c>
    </row>
    <row r="20" ht="18" customHeight="1">
      <c r="A20" s="64" t="inlineStr">
        <is>
          <t>Example – overwrite or delete</t>
        </is>
      </c>
      <c r="B20" s="65" t="inlineStr">
        <is>
          <t>MAL</t>
        </is>
      </c>
      <c r="C20" s="65" t="inlineStr">
        <is>
          <t>Malayan Insurance Co., Inc.</t>
        </is>
      </c>
      <c r="D20" s="65" t="inlineStr">
        <is>
          <t>Malayan</t>
        </is>
      </c>
      <c r="E20" s="65" t="inlineStr">
        <is>
          <t>000-123-456-000</t>
        </is>
      </c>
      <c r="F20" s="65" t="inlineStr">
        <is>
          <t>500 Quintin Paredes St., Manila</t>
        </is>
      </c>
      <c r="G20" s="65" t="inlineStr">
        <is>
          <t>IC-2025-0123</t>
        </is>
      </c>
      <c r="H20" s="65" t="inlineStr">
        <is>
          <t>2028-06-30</t>
        </is>
      </c>
      <c r="I20" s="65" t="inlineStr">
        <is>
          <t>placement@insurer.example</t>
        </is>
      </c>
      <c r="J20" s="66" t="n">
        <v>60</v>
      </c>
      <c r="K20" s="65" t="inlineStr">
        <is>
          <t>ACTIVE</t>
        </is>
      </c>
    </row>
    <row r="21">
      <c r="B21" s="67" t="n"/>
      <c r="C21" s="67" t="n"/>
      <c r="D21" s="67" t="n"/>
      <c r="E21" s="67" t="n"/>
      <c r="F21" s="67" t="n"/>
      <c r="G21" s="67" t="n"/>
      <c r="H21" s="67" t="n"/>
      <c r="I21" s="67" t="n"/>
      <c r="K21" s="67" t="n"/>
    </row>
    <row r="22">
      <c r="B22" s="67" t="n"/>
      <c r="C22" s="67" t="n"/>
      <c r="D22" s="67" t="n"/>
      <c r="E22" s="67" t="n"/>
      <c r="F22" s="67" t="n"/>
      <c r="G22" s="67" t="n"/>
      <c r="H22" s="67" t="n"/>
      <c r="I22" s="67" t="n"/>
      <c r="K22" s="67" t="n"/>
    </row>
    <row r="23">
      <c r="B23" s="67" t="n"/>
      <c r="C23" s="67" t="n"/>
      <c r="D23" s="67" t="n"/>
      <c r="E23" s="67" t="n"/>
      <c r="F23" s="67" t="n"/>
      <c r="G23" s="67" t="n"/>
      <c r="H23" s="67" t="n"/>
      <c r="I23" s="67" t="n"/>
      <c r="K23" s="67" t="n"/>
    </row>
    <row r="24">
      <c r="B24" s="67" t="n"/>
      <c r="C24" s="67" t="n"/>
      <c r="D24" s="67" t="n"/>
      <c r="E24" s="67" t="n"/>
      <c r="F24" s="67" t="n"/>
      <c r="G24" s="67" t="n"/>
      <c r="H24" s="67" t="n"/>
      <c r="I24" s="67" t="n"/>
      <c r="K24" s="67" t="n"/>
    </row>
    <row r="25">
      <c r="B25" s="67" t="n"/>
      <c r="C25" s="67" t="n"/>
      <c r="D25" s="67" t="n"/>
      <c r="E25" s="67" t="n"/>
      <c r="F25" s="67" t="n"/>
      <c r="G25" s="67" t="n"/>
      <c r="H25" s="67" t="n"/>
      <c r="I25" s="67" t="n"/>
      <c r="K25" s="67" t="n"/>
    </row>
    <row r="26">
      <c r="B26" s="67" t="n"/>
      <c r="C26" s="67" t="n"/>
      <c r="D26" s="67" t="n"/>
      <c r="E26" s="67" t="n"/>
      <c r="F26" s="67" t="n"/>
      <c r="G26" s="67" t="n"/>
      <c r="H26" s="67" t="n"/>
      <c r="I26" s="67" t="n"/>
      <c r="K26" s="67" t="n"/>
    </row>
    <row r="27">
      <c r="B27" s="67" t="n"/>
      <c r="C27" s="67" t="n"/>
      <c r="D27" s="67" t="n"/>
      <c r="E27" s="67" t="n"/>
      <c r="F27" s="67" t="n"/>
      <c r="G27" s="67" t="n"/>
      <c r="H27" s="67" t="n"/>
      <c r="I27" s="67" t="n"/>
      <c r="K27" s="67" t="n"/>
    </row>
    <row r="28">
      <c r="B28" s="67" t="n"/>
      <c r="C28" s="67" t="n"/>
      <c r="D28" s="67" t="n"/>
      <c r="E28" s="67" t="n"/>
      <c r="F28" s="67" t="n"/>
      <c r="G28" s="67" t="n"/>
      <c r="H28" s="67" t="n"/>
      <c r="I28" s="67" t="n"/>
      <c r="K28" s="67" t="n"/>
    </row>
    <row r="29">
      <c r="B29" s="67" t="n"/>
      <c r="C29" s="67" t="n"/>
      <c r="D29" s="67" t="n"/>
      <c r="E29" s="67" t="n"/>
      <c r="F29" s="67" t="n"/>
      <c r="G29" s="67" t="n"/>
      <c r="H29" s="67" t="n"/>
      <c r="I29" s="67" t="n"/>
      <c r="K29" s="67" t="n"/>
    </row>
    <row r="30">
      <c r="B30" s="67" t="n"/>
      <c r="C30" s="67" t="n"/>
      <c r="D30" s="67" t="n"/>
      <c r="E30" s="67" t="n"/>
      <c r="F30" s="67" t="n"/>
      <c r="G30" s="67" t="n"/>
      <c r="H30" s="67" t="n"/>
      <c r="I30" s="67" t="n"/>
      <c r="K30" s="67" t="n"/>
    </row>
    <row r="31">
      <c r="B31" s="67" t="n"/>
      <c r="C31" s="67" t="n"/>
      <c r="D31" s="67" t="n"/>
      <c r="E31" s="67" t="n"/>
      <c r="F31" s="67" t="n"/>
      <c r="G31" s="67" t="n"/>
      <c r="H31" s="67" t="n"/>
      <c r="I31" s="67" t="n"/>
      <c r="K31" s="67" t="n"/>
    </row>
    <row r="32">
      <c r="B32" s="67" t="n"/>
      <c r="C32" s="67" t="n"/>
      <c r="D32" s="67" t="n"/>
      <c r="E32" s="67" t="n"/>
      <c r="F32" s="67" t="n"/>
      <c r="G32" s="67" t="n"/>
      <c r="H32" s="67" t="n"/>
      <c r="I32" s="67" t="n"/>
      <c r="K32" s="67" t="n"/>
    </row>
    <row r="33">
      <c r="B33" s="67" t="n"/>
      <c r="C33" s="67" t="n"/>
      <c r="D33" s="67" t="n"/>
      <c r="E33" s="67" t="n"/>
      <c r="F33" s="67" t="n"/>
      <c r="G33" s="67" t="n"/>
      <c r="H33" s="67" t="n"/>
      <c r="I33" s="67" t="n"/>
      <c r="K33" s="67" t="n"/>
    </row>
    <row r="34">
      <c r="B34" s="67" t="n"/>
      <c r="C34" s="67" t="n"/>
      <c r="D34" s="67" t="n"/>
      <c r="E34" s="67" t="n"/>
      <c r="F34" s="67" t="n"/>
      <c r="G34" s="67" t="n"/>
      <c r="H34" s="67" t="n"/>
      <c r="I34" s="67" t="n"/>
      <c r="K34" s="67" t="n"/>
    </row>
    <row r="35">
      <c r="B35" s="67" t="n"/>
      <c r="C35" s="67" t="n"/>
      <c r="D35" s="67" t="n"/>
      <c r="E35" s="67" t="n"/>
      <c r="F35" s="67" t="n"/>
      <c r="G35" s="67" t="n"/>
      <c r="H35" s="67" t="n"/>
      <c r="I35" s="67" t="n"/>
      <c r="K35" s="67" t="n"/>
    </row>
    <row r="36">
      <c r="B36" s="67" t="n"/>
      <c r="C36" s="67" t="n"/>
      <c r="D36" s="67" t="n"/>
      <c r="E36" s="67" t="n"/>
      <c r="F36" s="67" t="n"/>
      <c r="G36" s="67" t="n"/>
      <c r="H36" s="67" t="n"/>
      <c r="I36" s="67" t="n"/>
      <c r="K36" s="67" t="n"/>
    </row>
    <row r="37">
      <c r="B37" s="67" t="n"/>
      <c r="C37" s="67" t="n"/>
      <c r="D37" s="67" t="n"/>
      <c r="E37" s="67" t="n"/>
      <c r="F37" s="67" t="n"/>
      <c r="G37" s="67" t="n"/>
      <c r="H37" s="67" t="n"/>
      <c r="I37" s="67" t="n"/>
      <c r="K37" s="67" t="n"/>
    </row>
    <row r="38">
      <c r="B38" s="67" t="n"/>
      <c r="C38" s="67" t="n"/>
      <c r="D38" s="67" t="n"/>
      <c r="E38" s="67" t="n"/>
      <c r="F38" s="67" t="n"/>
      <c r="G38" s="67" t="n"/>
      <c r="H38" s="67" t="n"/>
      <c r="I38" s="67" t="n"/>
      <c r="K38" s="67" t="n"/>
    </row>
    <row r="39">
      <c r="B39" s="67" t="n"/>
      <c r="C39" s="67" t="n"/>
      <c r="D39" s="67" t="n"/>
      <c r="E39" s="67" t="n"/>
      <c r="F39" s="67" t="n"/>
      <c r="G39" s="67" t="n"/>
      <c r="H39" s="67" t="n"/>
      <c r="I39" s="67" t="n"/>
      <c r="K39" s="67" t="n"/>
    </row>
    <row r="40">
      <c r="B40" s="67" t="n"/>
      <c r="C40" s="67" t="n"/>
      <c r="D40" s="67" t="n"/>
      <c r="E40" s="67" t="n"/>
      <c r="F40" s="67" t="n"/>
      <c r="G40" s="67" t="n"/>
      <c r="H40" s="67" t="n"/>
      <c r="I40" s="67" t="n"/>
      <c r="K40" s="67" t="n"/>
    </row>
    <row r="41">
      <c r="B41" s="67" t="n"/>
      <c r="C41" s="67" t="n"/>
      <c r="D41" s="67" t="n"/>
      <c r="E41" s="67" t="n"/>
      <c r="F41" s="67" t="n"/>
      <c r="G41" s="67" t="n"/>
      <c r="H41" s="67" t="n"/>
      <c r="I41" s="67" t="n"/>
      <c r="K41" s="67" t="n"/>
    </row>
    <row r="42">
      <c r="B42" s="67" t="n"/>
      <c r="C42" s="67" t="n"/>
      <c r="D42" s="67" t="n"/>
      <c r="E42" s="67" t="n"/>
      <c r="F42" s="67" t="n"/>
      <c r="G42" s="67" t="n"/>
      <c r="H42" s="67" t="n"/>
      <c r="I42" s="67" t="n"/>
      <c r="K42" s="67" t="n"/>
    </row>
    <row r="43">
      <c r="B43" s="67" t="n"/>
      <c r="C43" s="67" t="n"/>
      <c r="D43" s="67" t="n"/>
      <c r="E43" s="67" t="n"/>
      <c r="F43" s="67" t="n"/>
      <c r="G43" s="67" t="n"/>
      <c r="H43" s="67" t="n"/>
      <c r="I43" s="67" t="n"/>
      <c r="K43" s="67" t="n"/>
    </row>
    <row r="44">
      <c r="B44" s="67" t="n"/>
      <c r="C44" s="67" t="n"/>
      <c r="D44" s="67" t="n"/>
      <c r="E44" s="67" t="n"/>
      <c r="F44" s="67" t="n"/>
      <c r="G44" s="67" t="n"/>
      <c r="H44" s="67" t="n"/>
      <c r="I44" s="67" t="n"/>
      <c r="K44" s="67" t="n"/>
    </row>
    <row r="45">
      <c r="B45" s="67" t="n"/>
      <c r="C45" s="67" t="n"/>
      <c r="D45" s="67" t="n"/>
      <c r="E45" s="67" t="n"/>
      <c r="F45" s="67" t="n"/>
      <c r="G45" s="67" t="n"/>
      <c r="H45" s="67" t="n"/>
      <c r="I45" s="67" t="n"/>
      <c r="K45" s="67" t="n"/>
    </row>
    <row r="46">
      <c r="B46" s="67" t="n"/>
      <c r="C46" s="67" t="n"/>
      <c r="D46" s="67" t="n"/>
      <c r="E46" s="67" t="n"/>
      <c r="F46" s="67" t="n"/>
      <c r="G46" s="67" t="n"/>
      <c r="H46" s="67" t="n"/>
      <c r="I46" s="67" t="n"/>
      <c r="K46" s="67" t="n"/>
    </row>
    <row r="47">
      <c r="B47" s="67" t="n"/>
      <c r="C47" s="67" t="n"/>
      <c r="D47" s="67" t="n"/>
      <c r="E47" s="67" t="n"/>
      <c r="F47" s="67" t="n"/>
      <c r="G47" s="67" t="n"/>
      <c r="H47" s="67" t="n"/>
      <c r="I47" s="67" t="n"/>
      <c r="K47" s="67" t="n"/>
    </row>
    <row r="48">
      <c r="B48" s="67" t="n"/>
      <c r="C48" s="67" t="n"/>
      <c r="D48" s="67" t="n"/>
      <c r="E48" s="67" t="n"/>
      <c r="F48" s="67" t="n"/>
      <c r="G48" s="67" t="n"/>
      <c r="H48" s="67" t="n"/>
      <c r="I48" s="67" t="n"/>
      <c r="K48" s="67" t="n"/>
    </row>
    <row r="49">
      <c r="B49" s="67" t="n"/>
      <c r="C49" s="67" t="n"/>
      <c r="D49" s="67" t="n"/>
      <c r="E49" s="67" t="n"/>
      <c r="F49" s="67" t="n"/>
      <c r="G49" s="67" t="n"/>
      <c r="H49" s="67" t="n"/>
      <c r="I49" s="67" t="n"/>
      <c r="K49" s="67" t="n"/>
    </row>
    <row r="50">
      <c r="B50" s="67" t="n"/>
      <c r="C50" s="67" t="n"/>
      <c r="D50" s="67" t="n"/>
      <c r="E50" s="67" t="n"/>
      <c r="F50" s="67" t="n"/>
      <c r="G50" s="67" t="n"/>
      <c r="H50" s="67" t="n"/>
      <c r="I50" s="67" t="n"/>
      <c r="K50" s="67" t="n"/>
    </row>
    <row r="51">
      <c r="B51" s="67" t="n"/>
      <c r="C51" s="67" t="n"/>
      <c r="D51" s="67" t="n"/>
      <c r="E51" s="67" t="n"/>
      <c r="F51" s="67" t="n"/>
      <c r="G51" s="67" t="n"/>
      <c r="H51" s="67" t="n"/>
      <c r="I51" s="67" t="n"/>
      <c r="K51" s="67" t="n"/>
    </row>
    <row r="52">
      <c r="B52" s="67" t="n"/>
      <c r="C52" s="67" t="n"/>
      <c r="D52" s="67" t="n"/>
      <c r="E52" s="67" t="n"/>
      <c r="F52" s="67" t="n"/>
      <c r="G52" s="67" t="n"/>
      <c r="H52" s="67" t="n"/>
      <c r="I52" s="67" t="n"/>
      <c r="K52" s="67" t="n"/>
    </row>
    <row r="53">
      <c r="B53" s="67" t="n"/>
      <c r="C53" s="67" t="n"/>
      <c r="D53" s="67" t="n"/>
      <c r="E53" s="67" t="n"/>
      <c r="F53" s="67" t="n"/>
      <c r="G53" s="67" t="n"/>
      <c r="H53" s="67" t="n"/>
      <c r="I53" s="67" t="n"/>
      <c r="K53" s="67" t="n"/>
    </row>
    <row r="54">
      <c r="B54" s="67" t="n"/>
      <c r="C54" s="67" t="n"/>
      <c r="D54" s="67" t="n"/>
      <c r="E54" s="67" t="n"/>
      <c r="F54" s="67" t="n"/>
      <c r="G54" s="67" t="n"/>
      <c r="H54" s="67" t="n"/>
      <c r="I54" s="67" t="n"/>
      <c r="K54" s="67" t="n"/>
    </row>
    <row r="55">
      <c r="B55" s="67" t="n"/>
      <c r="C55" s="67" t="n"/>
      <c r="D55" s="67" t="n"/>
      <c r="E55" s="67" t="n"/>
      <c r="F55" s="67" t="n"/>
      <c r="G55" s="67" t="n"/>
      <c r="H55" s="67" t="n"/>
      <c r="I55" s="67" t="n"/>
      <c r="K55" s="67" t="n"/>
    </row>
    <row r="56">
      <c r="B56" s="67" t="n"/>
      <c r="C56" s="67" t="n"/>
      <c r="D56" s="67" t="n"/>
      <c r="E56" s="67" t="n"/>
      <c r="F56" s="67" t="n"/>
      <c r="G56" s="67" t="n"/>
      <c r="H56" s="67" t="n"/>
      <c r="I56" s="67" t="n"/>
      <c r="K56" s="67" t="n"/>
    </row>
    <row r="57">
      <c r="B57" s="67" t="n"/>
      <c r="C57" s="67" t="n"/>
      <c r="D57" s="67" t="n"/>
      <c r="E57" s="67" t="n"/>
      <c r="F57" s="67" t="n"/>
      <c r="G57" s="67" t="n"/>
      <c r="H57" s="67" t="n"/>
      <c r="I57" s="67" t="n"/>
      <c r="K57" s="67" t="n"/>
    </row>
    <row r="58">
      <c r="B58" s="67" t="n"/>
      <c r="C58" s="67" t="n"/>
      <c r="D58" s="67" t="n"/>
      <c r="E58" s="67" t="n"/>
      <c r="F58" s="67" t="n"/>
      <c r="G58" s="67" t="n"/>
      <c r="H58" s="67" t="n"/>
      <c r="I58" s="67" t="n"/>
      <c r="K58" s="67" t="n"/>
    </row>
    <row r="59">
      <c r="B59" s="67" t="n"/>
      <c r="C59" s="67" t="n"/>
      <c r="D59" s="67" t="n"/>
      <c r="E59" s="67" t="n"/>
      <c r="F59" s="67" t="n"/>
      <c r="G59" s="67" t="n"/>
      <c r="H59" s="67" t="n"/>
      <c r="I59" s="67" t="n"/>
      <c r="K59" s="67" t="n"/>
    </row>
    <row r="60">
      <c r="B60" s="67" t="n"/>
      <c r="C60" s="67" t="n"/>
      <c r="D60" s="67" t="n"/>
      <c r="E60" s="67" t="n"/>
      <c r="F60" s="67" t="n"/>
      <c r="G60" s="67" t="n"/>
      <c r="H60" s="67" t="n"/>
      <c r="I60" s="67" t="n"/>
      <c r="K60" s="67" t="n"/>
    </row>
    <row r="61">
      <c r="B61" s="67" t="n"/>
      <c r="C61" s="67" t="n"/>
      <c r="D61" s="67" t="n"/>
      <c r="E61" s="67" t="n"/>
      <c r="F61" s="67" t="n"/>
      <c r="G61" s="67" t="n"/>
      <c r="H61" s="67" t="n"/>
      <c r="I61" s="67" t="n"/>
      <c r="K61" s="67" t="n"/>
    </row>
    <row r="62">
      <c r="B62" s="67" t="n"/>
      <c r="C62" s="67" t="n"/>
      <c r="D62" s="67" t="n"/>
      <c r="E62" s="67" t="n"/>
      <c r="F62" s="67" t="n"/>
      <c r="G62" s="67" t="n"/>
      <c r="H62" s="67" t="n"/>
      <c r="I62" s="67" t="n"/>
      <c r="K62" s="67" t="n"/>
    </row>
    <row r="63">
      <c r="B63" s="67" t="n"/>
      <c r="C63" s="67" t="n"/>
      <c r="D63" s="67" t="n"/>
      <c r="E63" s="67" t="n"/>
      <c r="F63" s="67" t="n"/>
      <c r="G63" s="67" t="n"/>
      <c r="H63" s="67" t="n"/>
      <c r="I63" s="67" t="n"/>
      <c r="K63" s="67" t="n"/>
    </row>
    <row r="64">
      <c r="B64" s="67" t="n"/>
      <c r="C64" s="67" t="n"/>
      <c r="D64" s="67" t="n"/>
      <c r="E64" s="67" t="n"/>
      <c r="F64" s="67" t="n"/>
      <c r="G64" s="67" t="n"/>
      <c r="H64" s="67" t="n"/>
      <c r="I64" s="67" t="n"/>
      <c r="K64" s="67" t="n"/>
    </row>
    <row r="65">
      <c r="B65" s="67" t="n"/>
      <c r="C65" s="67" t="n"/>
      <c r="D65" s="67" t="n"/>
      <c r="E65" s="67" t="n"/>
      <c r="F65" s="67" t="n"/>
      <c r="G65" s="67" t="n"/>
      <c r="H65" s="67" t="n"/>
      <c r="I65" s="67" t="n"/>
      <c r="K65" s="67" t="n"/>
    </row>
    <row r="66">
      <c r="B66" s="67" t="n"/>
      <c r="C66" s="67" t="n"/>
      <c r="D66" s="67" t="n"/>
      <c r="E66" s="67" t="n"/>
      <c r="F66" s="67" t="n"/>
      <c r="G66" s="67" t="n"/>
      <c r="H66" s="67" t="n"/>
      <c r="I66" s="67" t="n"/>
      <c r="K66" s="67" t="n"/>
    </row>
    <row r="67">
      <c r="B67" s="67" t="n"/>
      <c r="C67" s="67" t="n"/>
      <c r="D67" s="67" t="n"/>
      <c r="E67" s="67" t="n"/>
      <c r="F67" s="67" t="n"/>
      <c r="G67" s="67" t="n"/>
      <c r="H67" s="67" t="n"/>
      <c r="I67" s="67" t="n"/>
      <c r="K67" s="67" t="n"/>
    </row>
    <row r="68">
      <c r="B68" s="67" t="n"/>
      <c r="C68" s="67" t="n"/>
      <c r="D68" s="67" t="n"/>
      <c r="E68" s="67" t="n"/>
      <c r="F68" s="67" t="n"/>
      <c r="G68" s="67" t="n"/>
      <c r="H68" s="67" t="n"/>
      <c r="I68" s="67" t="n"/>
      <c r="K68" s="67" t="n"/>
    </row>
    <row r="69">
      <c r="B69" s="67" t="n"/>
      <c r="C69" s="67" t="n"/>
      <c r="D69" s="67" t="n"/>
      <c r="E69" s="67" t="n"/>
      <c r="F69" s="67" t="n"/>
      <c r="G69" s="67" t="n"/>
      <c r="H69" s="67" t="n"/>
      <c r="I69" s="67" t="n"/>
      <c r="K69" s="67" t="n"/>
    </row>
    <row r="70">
      <c r="B70" s="67" t="n"/>
      <c r="C70" s="67" t="n"/>
      <c r="D70" s="67" t="n"/>
      <c r="E70" s="67" t="n"/>
      <c r="F70" s="67" t="n"/>
      <c r="G70" s="67" t="n"/>
      <c r="H70" s="67" t="n"/>
      <c r="I70" s="67" t="n"/>
      <c r="K70" s="67" t="n"/>
    </row>
    <row r="71">
      <c r="B71" s="67" t="n"/>
      <c r="C71" s="67" t="n"/>
      <c r="D71" s="67" t="n"/>
      <c r="E71" s="67" t="n"/>
      <c r="F71" s="67" t="n"/>
      <c r="G71" s="67" t="n"/>
      <c r="H71" s="67" t="n"/>
      <c r="I71" s="67" t="n"/>
      <c r="K71" s="67" t="n"/>
    </row>
    <row r="72">
      <c r="B72" s="67" t="n"/>
      <c r="C72" s="67" t="n"/>
      <c r="D72" s="67" t="n"/>
      <c r="E72" s="67" t="n"/>
      <c r="F72" s="67" t="n"/>
      <c r="G72" s="67" t="n"/>
      <c r="H72" s="67" t="n"/>
      <c r="I72" s="67" t="n"/>
      <c r="K72" s="67" t="n"/>
    </row>
    <row r="73">
      <c r="B73" s="67" t="n"/>
      <c r="C73" s="67" t="n"/>
      <c r="D73" s="67" t="n"/>
      <c r="E73" s="67" t="n"/>
      <c r="F73" s="67" t="n"/>
      <c r="G73" s="67" t="n"/>
      <c r="H73" s="67" t="n"/>
      <c r="I73" s="67" t="n"/>
      <c r="K73" s="67" t="n"/>
    </row>
    <row r="74">
      <c r="B74" s="67" t="n"/>
      <c r="C74" s="67" t="n"/>
      <c r="D74" s="67" t="n"/>
      <c r="E74" s="67" t="n"/>
      <c r="F74" s="67" t="n"/>
      <c r="G74" s="67" t="n"/>
      <c r="H74" s="67" t="n"/>
      <c r="I74" s="67" t="n"/>
      <c r="K74" s="67" t="n"/>
    </row>
    <row r="75">
      <c r="B75" s="67" t="n"/>
      <c r="C75" s="67" t="n"/>
      <c r="D75" s="67" t="n"/>
      <c r="E75" s="67" t="n"/>
      <c r="F75" s="67" t="n"/>
      <c r="G75" s="67" t="n"/>
      <c r="H75" s="67" t="n"/>
      <c r="I75" s="67" t="n"/>
      <c r="K75" s="67" t="n"/>
    </row>
    <row r="76">
      <c r="B76" s="67" t="n"/>
      <c r="C76" s="67" t="n"/>
      <c r="D76" s="67" t="n"/>
      <c r="E76" s="67" t="n"/>
      <c r="F76" s="67" t="n"/>
      <c r="G76" s="67" t="n"/>
      <c r="H76" s="67" t="n"/>
      <c r="I76" s="67" t="n"/>
      <c r="K76" s="67" t="n"/>
    </row>
    <row r="77">
      <c r="B77" s="67" t="n"/>
      <c r="C77" s="67" t="n"/>
      <c r="D77" s="67" t="n"/>
      <c r="E77" s="67" t="n"/>
      <c r="F77" s="67" t="n"/>
      <c r="G77" s="67" t="n"/>
      <c r="H77" s="67" t="n"/>
      <c r="I77" s="67" t="n"/>
      <c r="K77" s="67" t="n"/>
    </row>
    <row r="78">
      <c r="B78" s="67" t="n"/>
      <c r="C78" s="67" t="n"/>
      <c r="D78" s="67" t="n"/>
      <c r="E78" s="67" t="n"/>
      <c r="F78" s="67" t="n"/>
      <c r="G78" s="67" t="n"/>
      <c r="H78" s="67" t="n"/>
      <c r="I78" s="67" t="n"/>
      <c r="K78" s="67" t="n"/>
    </row>
    <row r="79">
      <c r="B79" s="67" t="n"/>
      <c r="C79" s="67" t="n"/>
      <c r="D79" s="67" t="n"/>
      <c r="E79" s="67" t="n"/>
      <c r="F79" s="67" t="n"/>
      <c r="G79" s="67" t="n"/>
      <c r="H79" s="67" t="n"/>
      <c r="I79" s="67" t="n"/>
      <c r="K79" s="67" t="n"/>
    </row>
    <row r="80">
      <c r="B80" s="67" t="n"/>
      <c r="C80" s="67" t="n"/>
      <c r="D80" s="67" t="n"/>
      <c r="E80" s="67" t="n"/>
      <c r="F80" s="67" t="n"/>
      <c r="G80" s="67" t="n"/>
      <c r="H80" s="67" t="n"/>
      <c r="I80" s="67" t="n"/>
      <c r="K80" s="67" t="n"/>
    </row>
    <row r="81">
      <c r="B81" s="67" t="n"/>
      <c r="C81" s="67" t="n"/>
      <c r="D81" s="67" t="n"/>
      <c r="E81" s="67" t="n"/>
      <c r="F81" s="67" t="n"/>
      <c r="G81" s="67" t="n"/>
      <c r="H81" s="67" t="n"/>
      <c r="I81" s="67" t="n"/>
      <c r="K81" s="67" t="n"/>
    </row>
    <row r="82">
      <c r="B82" s="67" t="n"/>
      <c r="C82" s="67" t="n"/>
      <c r="D82" s="67" t="n"/>
      <c r="E82" s="67" t="n"/>
      <c r="F82" s="67" t="n"/>
      <c r="G82" s="67" t="n"/>
      <c r="H82" s="67" t="n"/>
      <c r="I82" s="67" t="n"/>
      <c r="K82" s="67" t="n"/>
    </row>
    <row r="83">
      <c r="B83" s="67" t="n"/>
      <c r="C83" s="67" t="n"/>
      <c r="D83" s="67" t="n"/>
      <c r="E83" s="67" t="n"/>
      <c r="F83" s="67" t="n"/>
      <c r="G83" s="67" t="n"/>
      <c r="H83" s="67" t="n"/>
      <c r="I83" s="67" t="n"/>
      <c r="K83" s="67" t="n"/>
    </row>
    <row r="84">
      <c r="B84" s="67" t="n"/>
      <c r="C84" s="67" t="n"/>
      <c r="D84" s="67" t="n"/>
      <c r="E84" s="67" t="n"/>
      <c r="F84" s="67" t="n"/>
      <c r="G84" s="67" t="n"/>
      <c r="H84" s="67" t="n"/>
      <c r="I84" s="67" t="n"/>
      <c r="K84" s="67" t="n"/>
    </row>
    <row r="85">
      <c r="B85" s="67" t="n"/>
      <c r="C85" s="67" t="n"/>
      <c r="D85" s="67" t="n"/>
      <c r="E85" s="67" t="n"/>
      <c r="F85" s="67" t="n"/>
      <c r="G85" s="67" t="n"/>
      <c r="H85" s="67" t="n"/>
      <c r="I85" s="67" t="n"/>
      <c r="K85" s="67" t="n"/>
    </row>
    <row r="86">
      <c r="B86" s="67" t="n"/>
      <c r="C86" s="67" t="n"/>
      <c r="D86" s="67" t="n"/>
      <c r="E86" s="67" t="n"/>
      <c r="F86" s="67" t="n"/>
      <c r="G86" s="67" t="n"/>
      <c r="H86" s="67" t="n"/>
      <c r="I86" s="67" t="n"/>
      <c r="K86" s="67" t="n"/>
    </row>
    <row r="87">
      <c r="B87" s="67" t="n"/>
      <c r="C87" s="67" t="n"/>
      <c r="D87" s="67" t="n"/>
      <c r="E87" s="67" t="n"/>
      <c r="F87" s="67" t="n"/>
      <c r="G87" s="67" t="n"/>
      <c r="H87" s="67" t="n"/>
      <c r="I87" s="67" t="n"/>
      <c r="K87" s="67" t="n"/>
    </row>
    <row r="88">
      <c r="B88" s="67" t="n"/>
      <c r="C88" s="67" t="n"/>
      <c r="D88" s="67" t="n"/>
      <c r="E88" s="67" t="n"/>
      <c r="F88" s="67" t="n"/>
      <c r="G88" s="67" t="n"/>
      <c r="H88" s="67" t="n"/>
      <c r="I88" s="67" t="n"/>
      <c r="K88" s="67" t="n"/>
    </row>
    <row r="89">
      <c r="B89" s="67" t="n"/>
      <c r="C89" s="67" t="n"/>
      <c r="D89" s="67" t="n"/>
      <c r="E89" s="67" t="n"/>
      <c r="F89" s="67" t="n"/>
      <c r="G89" s="67" t="n"/>
      <c r="H89" s="67" t="n"/>
      <c r="I89" s="67" t="n"/>
      <c r="K89" s="67" t="n"/>
    </row>
    <row r="90">
      <c r="B90" s="67" t="n"/>
      <c r="C90" s="67" t="n"/>
      <c r="D90" s="67" t="n"/>
      <c r="E90" s="67" t="n"/>
      <c r="F90" s="67" t="n"/>
      <c r="G90" s="67" t="n"/>
      <c r="H90" s="67" t="n"/>
      <c r="I90" s="67" t="n"/>
      <c r="K90" s="67" t="n"/>
    </row>
    <row r="91">
      <c r="B91" s="67" t="n"/>
      <c r="C91" s="67" t="n"/>
      <c r="D91" s="67" t="n"/>
      <c r="E91" s="67" t="n"/>
      <c r="F91" s="67" t="n"/>
      <c r="G91" s="67" t="n"/>
      <c r="H91" s="67" t="n"/>
      <c r="I91" s="67" t="n"/>
      <c r="K91" s="67" t="n"/>
    </row>
    <row r="92">
      <c r="B92" s="67" t="n"/>
      <c r="C92" s="67" t="n"/>
      <c r="D92" s="67" t="n"/>
      <c r="E92" s="67" t="n"/>
      <c r="F92" s="67" t="n"/>
      <c r="G92" s="67" t="n"/>
      <c r="H92" s="67" t="n"/>
      <c r="I92" s="67" t="n"/>
      <c r="K92" s="67" t="n"/>
    </row>
    <row r="93">
      <c r="B93" s="67" t="n"/>
      <c r="C93" s="67" t="n"/>
      <c r="D93" s="67" t="n"/>
      <c r="E93" s="67" t="n"/>
      <c r="F93" s="67" t="n"/>
      <c r="G93" s="67" t="n"/>
      <c r="H93" s="67" t="n"/>
      <c r="I93" s="67" t="n"/>
      <c r="K93" s="67" t="n"/>
    </row>
    <row r="94">
      <c r="B94" s="67" t="n"/>
      <c r="C94" s="67" t="n"/>
      <c r="D94" s="67" t="n"/>
      <c r="E94" s="67" t="n"/>
      <c r="F94" s="67" t="n"/>
      <c r="G94" s="67" t="n"/>
      <c r="H94" s="67" t="n"/>
      <c r="I94" s="67" t="n"/>
      <c r="K94" s="67" t="n"/>
    </row>
    <row r="95">
      <c r="B95" s="67" t="n"/>
      <c r="C95" s="67" t="n"/>
      <c r="D95" s="67" t="n"/>
      <c r="E95" s="67" t="n"/>
      <c r="F95" s="67" t="n"/>
      <c r="G95" s="67" t="n"/>
      <c r="H95" s="67" t="n"/>
      <c r="I95" s="67" t="n"/>
      <c r="K95" s="67" t="n"/>
    </row>
    <row r="96">
      <c r="B96" s="67" t="n"/>
      <c r="C96" s="67" t="n"/>
      <c r="D96" s="67" t="n"/>
      <c r="E96" s="67" t="n"/>
      <c r="F96" s="67" t="n"/>
      <c r="G96" s="67" t="n"/>
      <c r="H96" s="67" t="n"/>
      <c r="I96" s="67" t="n"/>
      <c r="K96" s="67" t="n"/>
    </row>
    <row r="97">
      <c r="B97" s="67" t="n"/>
      <c r="C97" s="67" t="n"/>
      <c r="D97" s="67" t="n"/>
      <c r="E97" s="67" t="n"/>
      <c r="F97" s="67" t="n"/>
      <c r="G97" s="67" t="n"/>
      <c r="H97" s="67" t="n"/>
      <c r="I97" s="67" t="n"/>
      <c r="K97" s="67" t="n"/>
    </row>
    <row r="98">
      <c r="B98" s="67" t="n"/>
      <c r="C98" s="67" t="n"/>
      <c r="D98" s="67" t="n"/>
      <c r="E98" s="67" t="n"/>
      <c r="F98" s="67" t="n"/>
      <c r="G98" s="67" t="n"/>
      <c r="H98" s="67" t="n"/>
      <c r="I98" s="67" t="n"/>
      <c r="K98" s="67" t="n"/>
    </row>
    <row r="99">
      <c r="B99" s="67" t="n"/>
      <c r="C99" s="67" t="n"/>
      <c r="D99" s="67" t="n"/>
      <c r="E99" s="67" t="n"/>
      <c r="F99" s="67" t="n"/>
      <c r="G99" s="67" t="n"/>
      <c r="H99" s="67" t="n"/>
      <c r="I99" s="67" t="n"/>
      <c r="K99" s="67" t="n"/>
    </row>
    <row r="100">
      <c r="B100" s="67" t="n"/>
      <c r="C100" s="67" t="n"/>
      <c r="D100" s="67" t="n"/>
      <c r="E100" s="67" t="n"/>
      <c r="F100" s="67" t="n"/>
      <c r="G100" s="67" t="n"/>
      <c r="H100" s="67" t="n"/>
      <c r="I100" s="67" t="n"/>
      <c r="K100" s="67" t="n"/>
    </row>
    <row r="101">
      <c r="B101" s="67" t="n"/>
      <c r="C101" s="67" t="n"/>
      <c r="D101" s="67" t="n"/>
      <c r="E101" s="67" t="n"/>
      <c r="F101" s="67" t="n"/>
      <c r="G101" s="67" t="n"/>
      <c r="H101" s="67" t="n"/>
      <c r="I101" s="67" t="n"/>
      <c r="K101" s="67" t="n"/>
    </row>
    <row r="102">
      <c r="B102" s="67" t="n"/>
      <c r="C102" s="67" t="n"/>
      <c r="D102" s="67" t="n"/>
      <c r="E102" s="67" t="n"/>
      <c r="F102" s="67" t="n"/>
      <c r="G102" s="67" t="n"/>
      <c r="H102" s="67" t="n"/>
      <c r="I102" s="67" t="n"/>
      <c r="K102" s="67" t="n"/>
    </row>
    <row r="103">
      <c r="B103" s="67" t="n"/>
      <c r="C103" s="67" t="n"/>
      <c r="D103" s="67" t="n"/>
      <c r="E103" s="67" t="n"/>
      <c r="F103" s="67" t="n"/>
      <c r="G103" s="67" t="n"/>
      <c r="H103" s="67" t="n"/>
      <c r="I103" s="67" t="n"/>
      <c r="K103" s="67" t="n"/>
    </row>
    <row r="104">
      <c r="B104" s="67" t="n"/>
      <c r="C104" s="67" t="n"/>
      <c r="D104" s="67" t="n"/>
      <c r="E104" s="67" t="n"/>
      <c r="F104" s="67" t="n"/>
      <c r="G104" s="67" t="n"/>
      <c r="H104" s="67" t="n"/>
      <c r="I104" s="67" t="n"/>
      <c r="K104" s="67" t="n"/>
    </row>
    <row r="105">
      <c r="B105" s="67" t="n"/>
      <c r="C105" s="67" t="n"/>
      <c r="D105" s="67" t="n"/>
      <c r="E105" s="67" t="n"/>
      <c r="F105" s="67" t="n"/>
      <c r="G105" s="67" t="n"/>
      <c r="H105" s="67" t="n"/>
      <c r="I105" s="67" t="n"/>
      <c r="K105" s="67" t="n"/>
    </row>
    <row r="106">
      <c r="B106" s="67" t="n"/>
      <c r="C106" s="67" t="n"/>
      <c r="D106" s="67" t="n"/>
      <c r="E106" s="67" t="n"/>
      <c r="F106" s="67" t="n"/>
      <c r="G106" s="67" t="n"/>
      <c r="H106" s="67" t="n"/>
      <c r="I106" s="67" t="n"/>
      <c r="K106" s="67" t="n"/>
    </row>
    <row r="107">
      <c r="B107" s="67" t="n"/>
      <c r="C107" s="67" t="n"/>
      <c r="D107" s="67" t="n"/>
      <c r="E107" s="67" t="n"/>
      <c r="F107" s="67" t="n"/>
      <c r="G107" s="67" t="n"/>
      <c r="H107" s="67" t="n"/>
      <c r="I107" s="67" t="n"/>
      <c r="K107" s="67" t="n"/>
    </row>
    <row r="108">
      <c r="B108" s="67" t="n"/>
      <c r="C108" s="67" t="n"/>
      <c r="D108" s="67" t="n"/>
      <c r="E108" s="67" t="n"/>
      <c r="F108" s="67" t="n"/>
      <c r="G108" s="67" t="n"/>
      <c r="H108" s="67" t="n"/>
      <c r="I108" s="67" t="n"/>
      <c r="K108" s="67" t="n"/>
    </row>
    <row r="109">
      <c r="B109" s="67" t="n"/>
      <c r="C109" s="67" t="n"/>
      <c r="D109" s="67" t="n"/>
      <c r="E109" s="67" t="n"/>
      <c r="F109" s="67" t="n"/>
      <c r="G109" s="67" t="n"/>
      <c r="H109" s="67" t="n"/>
      <c r="I109" s="67" t="n"/>
      <c r="K109" s="67" t="n"/>
    </row>
    <row r="110">
      <c r="B110" s="67" t="n"/>
      <c r="C110" s="67" t="n"/>
      <c r="D110" s="67" t="n"/>
      <c r="E110" s="67" t="n"/>
      <c r="F110" s="67" t="n"/>
      <c r="G110" s="67" t="n"/>
      <c r="H110" s="67" t="n"/>
      <c r="I110" s="67" t="n"/>
      <c r="K110" s="67" t="n"/>
    </row>
    <row r="111">
      <c r="B111" s="67" t="n"/>
      <c r="C111" s="67" t="n"/>
      <c r="D111" s="67" t="n"/>
      <c r="E111" s="67" t="n"/>
      <c r="F111" s="67" t="n"/>
      <c r="G111" s="67" t="n"/>
      <c r="H111" s="67" t="n"/>
      <c r="I111" s="67" t="n"/>
      <c r="K111" s="67" t="n"/>
    </row>
    <row r="112">
      <c r="B112" s="67" t="n"/>
      <c r="C112" s="67" t="n"/>
      <c r="D112" s="67" t="n"/>
      <c r="E112" s="67" t="n"/>
      <c r="F112" s="67" t="n"/>
      <c r="G112" s="67" t="n"/>
      <c r="H112" s="67" t="n"/>
      <c r="I112" s="67" t="n"/>
      <c r="K112" s="67" t="n"/>
    </row>
    <row r="113">
      <c r="B113" s="67" t="n"/>
      <c r="C113" s="67" t="n"/>
      <c r="D113" s="67" t="n"/>
      <c r="E113" s="67" t="n"/>
      <c r="F113" s="67" t="n"/>
      <c r="G113" s="67" t="n"/>
      <c r="H113" s="67" t="n"/>
      <c r="I113" s="67" t="n"/>
      <c r="K113" s="67" t="n"/>
    </row>
    <row r="114">
      <c r="B114" s="67" t="n"/>
      <c r="C114" s="67" t="n"/>
      <c r="D114" s="67" t="n"/>
      <c r="E114" s="67" t="n"/>
      <c r="F114" s="67" t="n"/>
      <c r="G114" s="67" t="n"/>
      <c r="H114" s="67" t="n"/>
      <c r="I114" s="67" t="n"/>
      <c r="K114" s="67" t="n"/>
    </row>
    <row r="115">
      <c r="B115" s="67" t="n"/>
      <c r="C115" s="67" t="n"/>
      <c r="D115" s="67" t="n"/>
      <c r="E115" s="67" t="n"/>
      <c r="F115" s="67" t="n"/>
      <c r="G115" s="67" t="n"/>
      <c r="H115" s="67" t="n"/>
      <c r="I115" s="67" t="n"/>
      <c r="K115" s="67" t="n"/>
    </row>
    <row r="116">
      <c r="B116" s="67" t="n"/>
      <c r="C116" s="67" t="n"/>
      <c r="D116" s="67" t="n"/>
      <c r="E116" s="67" t="n"/>
      <c r="F116" s="67" t="n"/>
      <c r="G116" s="67" t="n"/>
      <c r="H116" s="67" t="n"/>
      <c r="I116" s="67" t="n"/>
      <c r="K116" s="67" t="n"/>
    </row>
    <row r="117">
      <c r="B117" s="67" t="n"/>
      <c r="C117" s="67" t="n"/>
      <c r="D117" s="67" t="n"/>
      <c r="E117" s="67" t="n"/>
      <c r="F117" s="67" t="n"/>
      <c r="G117" s="67" t="n"/>
      <c r="H117" s="67" t="n"/>
      <c r="I117" s="67" t="n"/>
      <c r="K117" s="67" t="n"/>
    </row>
    <row r="118">
      <c r="B118" s="67" t="n"/>
      <c r="C118" s="67" t="n"/>
      <c r="D118" s="67" t="n"/>
      <c r="E118" s="67" t="n"/>
      <c r="F118" s="67" t="n"/>
      <c r="G118" s="67" t="n"/>
      <c r="H118" s="67" t="n"/>
      <c r="I118" s="67" t="n"/>
      <c r="K118" s="67" t="n"/>
    </row>
    <row r="119">
      <c r="B119" s="67" t="n"/>
      <c r="C119" s="67" t="n"/>
      <c r="D119" s="67" t="n"/>
      <c r="E119" s="67" t="n"/>
      <c r="F119" s="67" t="n"/>
      <c r="G119" s="67" t="n"/>
      <c r="H119" s="67" t="n"/>
      <c r="I119" s="67" t="n"/>
      <c r="K119" s="67" t="n"/>
    </row>
    <row r="120">
      <c r="B120" s="67" t="n"/>
      <c r="C120" s="67" t="n"/>
      <c r="D120" s="67" t="n"/>
      <c r="E120" s="67" t="n"/>
      <c r="F120" s="67" t="n"/>
      <c r="G120" s="67" t="n"/>
      <c r="H120" s="67" t="n"/>
      <c r="I120" s="67" t="n"/>
      <c r="K120" s="67" t="n"/>
    </row>
    <row r="121">
      <c r="B121" s="67" t="n"/>
      <c r="C121" s="67" t="n"/>
      <c r="D121" s="67" t="n"/>
      <c r="E121" s="67" t="n"/>
      <c r="F121" s="67" t="n"/>
      <c r="G121" s="67" t="n"/>
      <c r="H121" s="67" t="n"/>
      <c r="I121" s="67" t="n"/>
      <c r="K121" s="67" t="n"/>
    </row>
    <row r="122">
      <c r="B122" s="67" t="n"/>
      <c r="C122" s="67" t="n"/>
      <c r="D122" s="67" t="n"/>
      <c r="E122" s="67" t="n"/>
      <c r="F122" s="67" t="n"/>
      <c r="G122" s="67" t="n"/>
      <c r="H122" s="67" t="n"/>
      <c r="I122" s="67" t="n"/>
      <c r="K122" s="67" t="n"/>
    </row>
    <row r="123">
      <c r="B123" s="67" t="n"/>
      <c r="C123" s="67" t="n"/>
      <c r="D123" s="67" t="n"/>
      <c r="E123" s="67" t="n"/>
      <c r="F123" s="67" t="n"/>
      <c r="G123" s="67" t="n"/>
      <c r="H123" s="67" t="n"/>
      <c r="I123" s="67" t="n"/>
      <c r="K123" s="67" t="n"/>
    </row>
    <row r="124">
      <c r="B124" s="67" t="n"/>
      <c r="C124" s="67" t="n"/>
      <c r="D124" s="67" t="n"/>
      <c r="E124" s="67" t="n"/>
      <c r="F124" s="67" t="n"/>
      <c r="G124" s="67" t="n"/>
      <c r="H124" s="67" t="n"/>
      <c r="I124" s="67" t="n"/>
      <c r="K124" s="67" t="n"/>
    </row>
    <row r="125">
      <c r="B125" s="67" t="n"/>
      <c r="C125" s="67" t="n"/>
      <c r="D125" s="67" t="n"/>
      <c r="E125" s="67" t="n"/>
      <c r="F125" s="67" t="n"/>
      <c r="G125" s="67" t="n"/>
      <c r="H125" s="67" t="n"/>
      <c r="I125" s="67" t="n"/>
      <c r="K125" s="67" t="n"/>
    </row>
    <row r="126">
      <c r="B126" s="67" t="n"/>
      <c r="C126" s="67" t="n"/>
      <c r="D126" s="67" t="n"/>
      <c r="E126" s="67" t="n"/>
      <c r="F126" s="67" t="n"/>
      <c r="G126" s="67" t="n"/>
      <c r="H126" s="67" t="n"/>
      <c r="I126" s="67" t="n"/>
      <c r="K126" s="67" t="n"/>
    </row>
    <row r="127">
      <c r="B127" s="67" t="n"/>
      <c r="C127" s="67" t="n"/>
      <c r="D127" s="67" t="n"/>
      <c r="E127" s="67" t="n"/>
      <c r="F127" s="67" t="n"/>
      <c r="G127" s="67" t="n"/>
      <c r="H127" s="67" t="n"/>
      <c r="I127" s="67" t="n"/>
      <c r="K127" s="67" t="n"/>
    </row>
    <row r="128">
      <c r="B128" s="67" t="n"/>
      <c r="C128" s="67" t="n"/>
      <c r="D128" s="67" t="n"/>
      <c r="E128" s="67" t="n"/>
      <c r="F128" s="67" t="n"/>
      <c r="G128" s="67" t="n"/>
      <c r="H128" s="67" t="n"/>
      <c r="I128" s="67" t="n"/>
      <c r="K128" s="67" t="n"/>
    </row>
    <row r="129">
      <c r="B129" s="67" t="n"/>
      <c r="C129" s="67" t="n"/>
      <c r="D129" s="67" t="n"/>
      <c r="E129" s="67" t="n"/>
      <c r="F129" s="67" t="n"/>
      <c r="G129" s="67" t="n"/>
      <c r="H129" s="67" t="n"/>
      <c r="I129" s="67" t="n"/>
      <c r="K129" s="67" t="n"/>
    </row>
    <row r="130">
      <c r="B130" s="67" t="n"/>
      <c r="C130" s="67" t="n"/>
      <c r="D130" s="67" t="n"/>
      <c r="E130" s="67" t="n"/>
      <c r="F130" s="67" t="n"/>
      <c r="G130" s="67" t="n"/>
      <c r="H130" s="67" t="n"/>
      <c r="I130" s="67" t="n"/>
      <c r="K130" s="67" t="n"/>
    </row>
    <row r="131">
      <c r="B131" s="67" t="n"/>
      <c r="C131" s="67" t="n"/>
      <c r="D131" s="67" t="n"/>
      <c r="E131" s="67" t="n"/>
      <c r="F131" s="67" t="n"/>
      <c r="G131" s="67" t="n"/>
      <c r="H131" s="67" t="n"/>
      <c r="I131" s="67" t="n"/>
      <c r="K131" s="67" t="n"/>
    </row>
    <row r="132">
      <c r="B132" s="67" t="n"/>
      <c r="C132" s="67" t="n"/>
      <c r="D132" s="67" t="n"/>
      <c r="E132" s="67" t="n"/>
      <c r="F132" s="67" t="n"/>
      <c r="G132" s="67" t="n"/>
      <c r="H132" s="67" t="n"/>
      <c r="I132" s="67" t="n"/>
      <c r="K132" s="67" t="n"/>
    </row>
    <row r="133">
      <c r="B133" s="67" t="n"/>
      <c r="C133" s="67" t="n"/>
      <c r="D133" s="67" t="n"/>
      <c r="E133" s="67" t="n"/>
      <c r="F133" s="67" t="n"/>
      <c r="G133" s="67" t="n"/>
      <c r="H133" s="67" t="n"/>
      <c r="I133" s="67" t="n"/>
      <c r="K133" s="67" t="n"/>
    </row>
    <row r="134">
      <c r="B134" s="67" t="n"/>
      <c r="C134" s="67" t="n"/>
      <c r="D134" s="67" t="n"/>
      <c r="E134" s="67" t="n"/>
      <c r="F134" s="67" t="n"/>
      <c r="G134" s="67" t="n"/>
      <c r="H134" s="67" t="n"/>
      <c r="I134" s="67" t="n"/>
      <c r="K134" s="67" t="n"/>
    </row>
    <row r="135">
      <c r="B135" s="67" t="n"/>
      <c r="C135" s="67" t="n"/>
      <c r="D135" s="67" t="n"/>
      <c r="E135" s="67" t="n"/>
      <c r="F135" s="67" t="n"/>
      <c r="G135" s="67" t="n"/>
      <c r="H135" s="67" t="n"/>
      <c r="I135" s="67" t="n"/>
      <c r="K135" s="67" t="n"/>
    </row>
    <row r="136">
      <c r="B136" s="67" t="n"/>
      <c r="C136" s="67" t="n"/>
      <c r="D136" s="67" t="n"/>
      <c r="E136" s="67" t="n"/>
      <c r="F136" s="67" t="n"/>
      <c r="G136" s="67" t="n"/>
      <c r="H136" s="67" t="n"/>
      <c r="I136" s="67" t="n"/>
      <c r="K136" s="67" t="n"/>
    </row>
    <row r="137">
      <c r="B137" s="67" t="n"/>
      <c r="C137" s="67" t="n"/>
      <c r="D137" s="67" t="n"/>
      <c r="E137" s="67" t="n"/>
      <c r="F137" s="67" t="n"/>
      <c r="G137" s="67" t="n"/>
      <c r="H137" s="67" t="n"/>
      <c r="I137" s="67" t="n"/>
      <c r="K137" s="67" t="n"/>
    </row>
    <row r="138">
      <c r="B138" s="67" t="n"/>
      <c r="C138" s="67" t="n"/>
      <c r="D138" s="67" t="n"/>
      <c r="E138" s="67" t="n"/>
      <c r="F138" s="67" t="n"/>
      <c r="G138" s="67" t="n"/>
      <c r="H138" s="67" t="n"/>
      <c r="I138" s="67" t="n"/>
      <c r="K138" s="67" t="n"/>
    </row>
    <row r="139">
      <c r="B139" s="67" t="n"/>
      <c r="C139" s="67" t="n"/>
      <c r="D139" s="67" t="n"/>
      <c r="E139" s="67" t="n"/>
      <c r="F139" s="67" t="n"/>
      <c r="G139" s="67" t="n"/>
      <c r="H139" s="67" t="n"/>
      <c r="I139" s="67" t="n"/>
      <c r="K139" s="67" t="n"/>
    </row>
    <row r="140">
      <c r="B140" s="67" t="n"/>
      <c r="C140" s="67" t="n"/>
      <c r="D140" s="67" t="n"/>
      <c r="E140" s="67" t="n"/>
      <c r="F140" s="67" t="n"/>
      <c r="G140" s="67" t="n"/>
      <c r="H140" s="67" t="n"/>
      <c r="I140" s="67" t="n"/>
      <c r="K140" s="67" t="n"/>
    </row>
    <row r="141">
      <c r="B141" s="67" t="n"/>
      <c r="C141" s="67" t="n"/>
      <c r="D141" s="67" t="n"/>
      <c r="E141" s="67" t="n"/>
      <c r="F141" s="67" t="n"/>
      <c r="G141" s="67" t="n"/>
      <c r="H141" s="67" t="n"/>
      <c r="I141" s="67" t="n"/>
      <c r="K141" s="67" t="n"/>
    </row>
    <row r="142">
      <c r="B142" s="67" t="n"/>
      <c r="C142" s="67" t="n"/>
      <c r="D142" s="67" t="n"/>
      <c r="E142" s="67" t="n"/>
      <c r="F142" s="67" t="n"/>
      <c r="G142" s="67" t="n"/>
      <c r="H142" s="67" t="n"/>
      <c r="I142" s="67" t="n"/>
      <c r="K142" s="67" t="n"/>
    </row>
    <row r="143">
      <c r="B143" s="67" t="n"/>
      <c r="C143" s="67" t="n"/>
      <c r="D143" s="67" t="n"/>
      <c r="E143" s="67" t="n"/>
      <c r="F143" s="67" t="n"/>
      <c r="G143" s="67" t="n"/>
      <c r="H143" s="67" t="n"/>
      <c r="I143" s="67" t="n"/>
      <c r="K143" s="67" t="n"/>
    </row>
    <row r="144">
      <c r="B144" s="67" t="n"/>
      <c r="C144" s="67" t="n"/>
      <c r="D144" s="67" t="n"/>
      <c r="E144" s="67" t="n"/>
      <c r="F144" s="67" t="n"/>
      <c r="G144" s="67" t="n"/>
      <c r="H144" s="67" t="n"/>
      <c r="I144" s="67" t="n"/>
      <c r="K144" s="67" t="n"/>
    </row>
    <row r="145">
      <c r="B145" s="67" t="n"/>
      <c r="C145" s="67" t="n"/>
      <c r="D145" s="67" t="n"/>
      <c r="E145" s="67" t="n"/>
      <c r="F145" s="67" t="n"/>
      <c r="G145" s="67" t="n"/>
      <c r="H145" s="67" t="n"/>
      <c r="I145" s="67" t="n"/>
      <c r="K145" s="67" t="n"/>
    </row>
    <row r="146">
      <c r="B146" s="67" t="n"/>
      <c r="C146" s="67" t="n"/>
      <c r="D146" s="67" t="n"/>
      <c r="E146" s="67" t="n"/>
      <c r="F146" s="67" t="n"/>
      <c r="G146" s="67" t="n"/>
      <c r="H146" s="67" t="n"/>
      <c r="I146" s="67" t="n"/>
      <c r="K146" s="67" t="n"/>
    </row>
    <row r="147">
      <c r="B147" s="67" t="n"/>
      <c r="C147" s="67" t="n"/>
      <c r="D147" s="67" t="n"/>
      <c r="E147" s="67" t="n"/>
      <c r="F147" s="67" t="n"/>
      <c r="G147" s="67" t="n"/>
      <c r="H147" s="67" t="n"/>
      <c r="I147" s="67" t="n"/>
      <c r="K147" s="67" t="n"/>
    </row>
    <row r="148">
      <c r="B148" s="67" t="n"/>
      <c r="C148" s="67" t="n"/>
      <c r="D148" s="67" t="n"/>
      <c r="E148" s="67" t="n"/>
      <c r="F148" s="67" t="n"/>
      <c r="G148" s="67" t="n"/>
      <c r="H148" s="67" t="n"/>
      <c r="I148" s="67" t="n"/>
      <c r="K148" s="67" t="n"/>
    </row>
    <row r="149">
      <c r="B149" s="67" t="n"/>
      <c r="C149" s="67" t="n"/>
      <c r="D149" s="67" t="n"/>
      <c r="E149" s="67" t="n"/>
      <c r="F149" s="67" t="n"/>
      <c r="G149" s="67" t="n"/>
      <c r="H149" s="67" t="n"/>
      <c r="I149" s="67" t="n"/>
      <c r="K149" s="67" t="n"/>
    </row>
    <row r="150">
      <c r="B150" s="67" t="n"/>
      <c r="C150" s="67" t="n"/>
      <c r="D150" s="67" t="n"/>
      <c r="E150" s="67" t="n"/>
      <c r="F150" s="67" t="n"/>
      <c r="G150" s="67" t="n"/>
      <c r="H150" s="67" t="n"/>
      <c r="I150" s="67" t="n"/>
      <c r="K150" s="67" t="n"/>
    </row>
    <row r="151">
      <c r="B151" s="67" t="n"/>
      <c r="C151" s="67" t="n"/>
      <c r="D151" s="67" t="n"/>
      <c r="E151" s="67" t="n"/>
      <c r="F151" s="67" t="n"/>
      <c r="G151" s="67" t="n"/>
      <c r="H151" s="67" t="n"/>
      <c r="I151" s="67" t="n"/>
      <c r="K151" s="67" t="n"/>
    </row>
    <row r="152">
      <c r="B152" s="67" t="n"/>
      <c r="C152" s="67" t="n"/>
      <c r="D152" s="67" t="n"/>
      <c r="E152" s="67" t="n"/>
      <c r="F152" s="67" t="n"/>
      <c r="G152" s="67" t="n"/>
      <c r="H152" s="67" t="n"/>
      <c r="I152" s="67" t="n"/>
      <c r="K152" s="67" t="n"/>
    </row>
    <row r="153">
      <c r="B153" s="67" t="n"/>
      <c r="C153" s="67" t="n"/>
      <c r="D153" s="67" t="n"/>
      <c r="E153" s="67" t="n"/>
      <c r="F153" s="67" t="n"/>
      <c r="G153" s="67" t="n"/>
      <c r="H153" s="67" t="n"/>
      <c r="I153" s="67" t="n"/>
      <c r="K153" s="67" t="n"/>
    </row>
    <row r="154">
      <c r="B154" s="67" t="n"/>
      <c r="C154" s="67" t="n"/>
      <c r="D154" s="67" t="n"/>
      <c r="E154" s="67" t="n"/>
      <c r="F154" s="67" t="n"/>
      <c r="G154" s="67" t="n"/>
      <c r="H154" s="67" t="n"/>
      <c r="I154" s="67" t="n"/>
      <c r="K154" s="67" t="n"/>
    </row>
    <row r="155">
      <c r="B155" s="67" t="n"/>
      <c r="C155" s="67" t="n"/>
      <c r="D155" s="67" t="n"/>
      <c r="E155" s="67" t="n"/>
      <c r="F155" s="67" t="n"/>
      <c r="G155" s="67" t="n"/>
      <c r="H155" s="67" t="n"/>
      <c r="I155" s="67" t="n"/>
      <c r="K155" s="67" t="n"/>
    </row>
    <row r="156">
      <c r="B156" s="67" t="n"/>
      <c r="C156" s="67" t="n"/>
      <c r="D156" s="67" t="n"/>
      <c r="E156" s="67" t="n"/>
      <c r="F156" s="67" t="n"/>
      <c r="G156" s="67" t="n"/>
      <c r="H156" s="67" t="n"/>
      <c r="I156" s="67" t="n"/>
      <c r="K156" s="67" t="n"/>
    </row>
    <row r="157">
      <c r="B157" s="67" t="n"/>
      <c r="C157" s="67" t="n"/>
      <c r="D157" s="67" t="n"/>
      <c r="E157" s="67" t="n"/>
      <c r="F157" s="67" t="n"/>
      <c r="G157" s="67" t="n"/>
      <c r="H157" s="67" t="n"/>
      <c r="I157" s="67" t="n"/>
      <c r="K157" s="67" t="n"/>
    </row>
    <row r="158">
      <c r="B158" s="67" t="n"/>
      <c r="C158" s="67" t="n"/>
      <c r="D158" s="67" t="n"/>
      <c r="E158" s="67" t="n"/>
      <c r="F158" s="67" t="n"/>
      <c r="G158" s="67" t="n"/>
      <c r="H158" s="67" t="n"/>
      <c r="I158" s="67" t="n"/>
      <c r="K158" s="67" t="n"/>
    </row>
    <row r="159">
      <c r="B159" s="67" t="n"/>
      <c r="C159" s="67" t="n"/>
      <c r="D159" s="67" t="n"/>
      <c r="E159" s="67" t="n"/>
      <c r="F159" s="67" t="n"/>
      <c r="G159" s="67" t="n"/>
      <c r="H159" s="67" t="n"/>
      <c r="I159" s="67" t="n"/>
      <c r="K159" s="67" t="n"/>
    </row>
    <row r="160">
      <c r="B160" s="67" t="n"/>
      <c r="C160" s="67" t="n"/>
      <c r="D160" s="67" t="n"/>
      <c r="E160" s="67" t="n"/>
      <c r="F160" s="67" t="n"/>
      <c r="G160" s="67" t="n"/>
      <c r="H160" s="67" t="n"/>
      <c r="I160" s="67" t="n"/>
      <c r="K160" s="67" t="n"/>
    </row>
    <row r="161">
      <c r="B161" s="67" t="n"/>
      <c r="C161" s="67" t="n"/>
      <c r="D161" s="67" t="n"/>
      <c r="E161" s="67" t="n"/>
      <c r="F161" s="67" t="n"/>
      <c r="G161" s="67" t="n"/>
      <c r="H161" s="67" t="n"/>
      <c r="I161" s="67" t="n"/>
      <c r="K161" s="67" t="n"/>
    </row>
    <row r="162">
      <c r="B162" s="67" t="n"/>
      <c r="C162" s="67" t="n"/>
      <c r="D162" s="67" t="n"/>
      <c r="E162" s="67" t="n"/>
      <c r="F162" s="67" t="n"/>
      <c r="G162" s="67" t="n"/>
      <c r="H162" s="67" t="n"/>
      <c r="I162" s="67" t="n"/>
      <c r="K162" s="67" t="n"/>
    </row>
    <row r="163">
      <c r="B163" s="67" t="n"/>
      <c r="C163" s="67" t="n"/>
      <c r="D163" s="67" t="n"/>
      <c r="E163" s="67" t="n"/>
      <c r="F163" s="67" t="n"/>
      <c r="G163" s="67" t="n"/>
      <c r="H163" s="67" t="n"/>
      <c r="I163" s="67" t="n"/>
      <c r="K163" s="67" t="n"/>
    </row>
    <row r="164">
      <c r="B164" s="67" t="n"/>
      <c r="C164" s="67" t="n"/>
      <c r="D164" s="67" t="n"/>
      <c r="E164" s="67" t="n"/>
      <c r="F164" s="67" t="n"/>
      <c r="G164" s="67" t="n"/>
      <c r="H164" s="67" t="n"/>
      <c r="I164" s="67" t="n"/>
      <c r="K164" s="67" t="n"/>
    </row>
    <row r="165">
      <c r="B165" s="67" t="n"/>
      <c r="C165" s="67" t="n"/>
      <c r="D165" s="67" t="n"/>
      <c r="E165" s="67" t="n"/>
      <c r="F165" s="67" t="n"/>
      <c r="G165" s="67" t="n"/>
      <c r="H165" s="67" t="n"/>
      <c r="I165" s="67" t="n"/>
      <c r="K165" s="67" t="n"/>
    </row>
    <row r="166">
      <c r="B166" s="67" t="n"/>
      <c r="C166" s="67" t="n"/>
      <c r="D166" s="67" t="n"/>
      <c r="E166" s="67" t="n"/>
      <c r="F166" s="67" t="n"/>
      <c r="G166" s="67" t="n"/>
      <c r="H166" s="67" t="n"/>
      <c r="I166" s="67" t="n"/>
      <c r="K166" s="67" t="n"/>
    </row>
    <row r="167">
      <c r="B167" s="67" t="n"/>
      <c r="C167" s="67" t="n"/>
      <c r="D167" s="67" t="n"/>
      <c r="E167" s="67" t="n"/>
      <c r="F167" s="67" t="n"/>
      <c r="G167" s="67" t="n"/>
      <c r="H167" s="67" t="n"/>
      <c r="I167" s="67" t="n"/>
      <c r="K167" s="67" t="n"/>
    </row>
    <row r="168">
      <c r="B168" s="67" t="n"/>
      <c r="C168" s="67" t="n"/>
      <c r="D168" s="67" t="n"/>
      <c r="E168" s="67" t="n"/>
      <c r="F168" s="67" t="n"/>
      <c r="G168" s="67" t="n"/>
      <c r="H168" s="67" t="n"/>
      <c r="I168" s="67" t="n"/>
      <c r="K168" s="67" t="n"/>
    </row>
    <row r="169">
      <c r="B169" s="67" t="n"/>
      <c r="C169" s="67" t="n"/>
      <c r="D169" s="67" t="n"/>
      <c r="E169" s="67" t="n"/>
      <c r="F169" s="67" t="n"/>
      <c r="G169" s="67" t="n"/>
      <c r="H169" s="67" t="n"/>
      <c r="I169" s="67" t="n"/>
      <c r="K169" s="67" t="n"/>
    </row>
    <row r="170">
      <c r="B170" s="67" t="n"/>
      <c r="C170" s="67" t="n"/>
      <c r="D170" s="67" t="n"/>
      <c r="E170" s="67" t="n"/>
      <c r="F170" s="67" t="n"/>
      <c r="G170" s="67" t="n"/>
      <c r="H170" s="67" t="n"/>
      <c r="I170" s="67" t="n"/>
      <c r="K170" s="67" t="n"/>
    </row>
    <row r="171">
      <c r="B171" s="67" t="n"/>
      <c r="C171" s="67" t="n"/>
      <c r="D171" s="67" t="n"/>
      <c r="E171" s="67" t="n"/>
      <c r="F171" s="67" t="n"/>
      <c r="G171" s="67" t="n"/>
      <c r="H171" s="67" t="n"/>
      <c r="I171" s="67" t="n"/>
      <c r="K171" s="67" t="n"/>
    </row>
    <row r="172">
      <c r="B172" s="67" t="n"/>
      <c r="C172" s="67" t="n"/>
      <c r="D172" s="67" t="n"/>
      <c r="E172" s="67" t="n"/>
      <c r="F172" s="67" t="n"/>
      <c r="G172" s="67" t="n"/>
      <c r="H172" s="67" t="n"/>
      <c r="I172" s="67" t="n"/>
      <c r="K172" s="67" t="n"/>
    </row>
    <row r="173">
      <c r="B173" s="67" t="n"/>
      <c r="C173" s="67" t="n"/>
      <c r="D173" s="67" t="n"/>
      <c r="E173" s="67" t="n"/>
      <c r="F173" s="67" t="n"/>
      <c r="G173" s="67" t="n"/>
      <c r="H173" s="67" t="n"/>
      <c r="I173" s="67" t="n"/>
      <c r="K173" s="67" t="n"/>
    </row>
    <row r="174">
      <c r="B174" s="67" t="n"/>
      <c r="C174" s="67" t="n"/>
      <c r="D174" s="67" t="n"/>
      <c r="E174" s="67" t="n"/>
      <c r="F174" s="67" t="n"/>
      <c r="G174" s="67" t="n"/>
      <c r="H174" s="67" t="n"/>
      <c r="I174" s="67" t="n"/>
      <c r="K174" s="67" t="n"/>
    </row>
    <row r="175">
      <c r="B175" s="67" t="n"/>
      <c r="C175" s="67" t="n"/>
      <c r="D175" s="67" t="n"/>
      <c r="E175" s="67" t="n"/>
      <c r="F175" s="67" t="n"/>
      <c r="G175" s="67" t="n"/>
      <c r="H175" s="67" t="n"/>
      <c r="I175" s="67" t="n"/>
      <c r="K175" s="67" t="n"/>
    </row>
    <row r="176">
      <c r="B176" s="67" t="n"/>
      <c r="C176" s="67" t="n"/>
      <c r="D176" s="67" t="n"/>
      <c r="E176" s="67" t="n"/>
      <c r="F176" s="67" t="n"/>
      <c r="G176" s="67" t="n"/>
      <c r="H176" s="67" t="n"/>
      <c r="I176" s="67" t="n"/>
      <c r="K176" s="67" t="n"/>
    </row>
    <row r="177">
      <c r="B177" s="67" t="n"/>
      <c r="C177" s="67" t="n"/>
      <c r="D177" s="67" t="n"/>
      <c r="E177" s="67" t="n"/>
      <c r="F177" s="67" t="n"/>
      <c r="G177" s="67" t="n"/>
      <c r="H177" s="67" t="n"/>
      <c r="I177" s="67" t="n"/>
      <c r="K177" s="67" t="n"/>
    </row>
    <row r="178">
      <c r="B178" s="67" t="n"/>
      <c r="C178" s="67" t="n"/>
      <c r="D178" s="67" t="n"/>
      <c r="E178" s="67" t="n"/>
      <c r="F178" s="67" t="n"/>
      <c r="G178" s="67" t="n"/>
      <c r="H178" s="67" t="n"/>
      <c r="I178" s="67" t="n"/>
      <c r="K178" s="67" t="n"/>
    </row>
    <row r="179">
      <c r="B179" s="67" t="n"/>
      <c r="C179" s="67" t="n"/>
      <c r="D179" s="67" t="n"/>
      <c r="E179" s="67" t="n"/>
      <c r="F179" s="67" t="n"/>
      <c r="G179" s="67" t="n"/>
      <c r="H179" s="67" t="n"/>
      <c r="I179" s="67" t="n"/>
      <c r="K179" s="67" t="n"/>
    </row>
    <row r="180">
      <c r="B180" s="67" t="n"/>
      <c r="C180" s="67" t="n"/>
      <c r="D180" s="67" t="n"/>
      <c r="E180" s="67" t="n"/>
      <c r="F180" s="67" t="n"/>
      <c r="G180" s="67" t="n"/>
      <c r="H180" s="67" t="n"/>
      <c r="I180" s="67" t="n"/>
      <c r="K180" s="67" t="n"/>
    </row>
    <row r="181">
      <c r="B181" s="67" t="n"/>
      <c r="C181" s="67" t="n"/>
      <c r="D181" s="67" t="n"/>
      <c r="E181" s="67" t="n"/>
      <c r="F181" s="67" t="n"/>
      <c r="G181" s="67" t="n"/>
      <c r="H181" s="67" t="n"/>
      <c r="I181" s="67" t="n"/>
      <c r="K181" s="67" t="n"/>
    </row>
    <row r="182">
      <c r="B182" s="67" t="n"/>
      <c r="C182" s="67" t="n"/>
      <c r="D182" s="67" t="n"/>
      <c r="E182" s="67" t="n"/>
      <c r="F182" s="67" t="n"/>
      <c r="G182" s="67" t="n"/>
      <c r="H182" s="67" t="n"/>
      <c r="I182" s="67" t="n"/>
      <c r="K182" s="67" t="n"/>
    </row>
    <row r="183">
      <c r="B183" s="67" t="n"/>
      <c r="C183" s="67" t="n"/>
      <c r="D183" s="67" t="n"/>
      <c r="E183" s="67" t="n"/>
      <c r="F183" s="67" t="n"/>
      <c r="G183" s="67" t="n"/>
      <c r="H183" s="67" t="n"/>
      <c r="I183" s="67" t="n"/>
      <c r="K183" s="67" t="n"/>
    </row>
    <row r="184">
      <c r="B184" s="67" t="n"/>
      <c r="C184" s="67" t="n"/>
      <c r="D184" s="67" t="n"/>
      <c r="E184" s="67" t="n"/>
      <c r="F184" s="67" t="n"/>
      <c r="G184" s="67" t="n"/>
      <c r="H184" s="67" t="n"/>
      <c r="I184" s="67" t="n"/>
      <c r="K184" s="67" t="n"/>
    </row>
    <row r="185">
      <c r="B185" s="67" t="n"/>
      <c r="C185" s="67" t="n"/>
      <c r="D185" s="67" t="n"/>
      <c r="E185" s="67" t="n"/>
      <c r="F185" s="67" t="n"/>
      <c r="G185" s="67" t="n"/>
      <c r="H185" s="67" t="n"/>
      <c r="I185" s="67" t="n"/>
      <c r="K185" s="67" t="n"/>
    </row>
    <row r="186">
      <c r="B186" s="67" t="n"/>
      <c r="C186" s="67" t="n"/>
      <c r="D186" s="67" t="n"/>
      <c r="E186" s="67" t="n"/>
      <c r="F186" s="67" t="n"/>
      <c r="G186" s="67" t="n"/>
      <c r="H186" s="67" t="n"/>
      <c r="I186" s="67" t="n"/>
      <c r="K186" s="67" t="n"/>
    </row>
    <row r="187">
      <c r="B187" s="67" t="n"/>
      <c r="C187" s="67" t="n"/>
      <c r="D187" s="67" t="n"/>
      <c r="E187" s="67" t="n"/>
      <c r="F187" s="67" t="n"/>
      <c r="G187" s="67" t="n"/>
      <c r="H187" s="67" t="n"/>
      <c r="I187" s="67" t="n"/>
      <c r="K187" s="67" t="n"/>
    </row>
    <row r="188">
      <c r="B188" s="67" t="n"/>
      <c r="C188" s="67" t="n"/>
      <c r="D188" s="67" t="n"/>
      <c r="E188" s="67" t="n"/>
      <c r="F188" s="67" t="n"/>
      <c r="G188" s="67" t="n"/>
      <c r="H188" s="67" t="n"/>
      <c r="I188" s="67" t="n"/>
      <c r="K188" s="67" t="n"/>
    </row>
    <row r="189">
      <c r="B189" s="67" t="n"/>
      <c r="C189" s="67" t="n"/>
      <c r="D189" s="67" t="n"/>
      <c r="E189" s="67" t="n"/>
      <c r="F189" s="67" t="n"/>
      <c r="G189" s="67" t="n"/>
      <c r="H189" s="67" t="n"/>
      <c r="I189" s="67" t="n"/>
      <c r="K189" s="67" t="n"/>
    </row>
    <row r="190">
      <c r="B190" s="67" t="n"/>
      <c r="C190" s="67" t="n"/>
      <c r="D190" s="67" t="n"/>
      <c r="E190" s="67" t="n"/>
      <c r="F190" s="67" t="n"/>
      <c r="G190" s="67" t="n"/>
      <c r="H190" s="67" t="n"/>
      <c r="I190" s="67" t="n"/>
      <c r="K190" s="67" t="n"/>
    </row>
    <row r="191">
      <c r="B191" s="67" t="n"/>
      <c r="C191" s="67" t="n"/>
      <c r="D191" s="67" t="n"/>
      <c r="E191" s="67" t="n"/>
      <c r="F191" s="67" t="n"/>
      <c r="G191" s="67" t="n"/>
      <c r="H191" s="67" t="n"/>
      <c r="I191" s="67" t="n"/>
      <c r="K191" s="67" t="n"/>
    </row>
    <row r="192">
      <c r="B192" s="67" t="n"/>
      <c r="C192" s="67" t="n"/>
      <c r="D192" s="67" t="n"/>
      <c r="E192" s="67" t="n"/>
      <c r="F192" s="67" t="n"/>
      <c r="G192" s="67" t="n"/>
      <c r="H192" s="67" t="n"/>
      <c r="I192" s="67" t="n"/>
      <c r="K192" s="67" t="n"/>
    </row>
    <row r="193">
      <c r="B193" s="67" t="n"/>
      <c r="C193" s="67" t="n"/>
      <c r="D193" s="67" t="n"/>
      <c r="E193" s="67" t="n"/>
      <c r="F193" s="67" t="n"/>
      <c r="G193" s="67" t="n"/>
      <c r="H193" s="67" t="n"/>
      <c r="I193" s="67" t="n"/>
      <c r="K193" s="67" t="n"/>
    </row>
    <row r="194">
      <c r="B194" s="67" t="n"/>
      <c r="C194" s="67" t="n"/>
      <c r="D194" s="67" t="n"/>
      <c r="E194" s="67" t="n"/>
      <c r="F194" s="67" t="n"/>
      <c r="G194" s="67" t="n"/>
      <c r="H194" s="67" t="n"/>
      <c r="I194" s="67" t="n"/>
      <c r="K194" s="67" t="n"/>
    </row>
    <row r="195">
      <c r="B195" s="67" t="n"/>
      <c r="C195" s="67" t="n"/>
      <c r="D195" s="67" t="n"/>
      <c r="E195" s="67" t="n"/>
      <c r="F195" s="67" t="n"/>
      <c r="G195" s="67" t="n"/>
      <c r="H195" s="67" t="n"/>
      <c r="I195" s="67" t="n"/>
      <c r="K195" s="67" t="n"/>
    </row>
    <row r="196">
      <c r="B196" s="67" t="n"/>
      <c r="C196" s="67" t="n"/>
      <c r="D196" s="67" t="n"/>
      <c r="E196" s="67" t="n"/>
      <c r="F196" s="67" t="n"/>
      <c r="G196" s="67" t="n"/>
      <c r="H196" s="67" t="n"/>
      <c r="I196" s="67" t="n"/>
      <c r="K196" s="67" t="n"/>
    </row>
    <row r="197">
      <c r="B197" s="67" t="n"/>
      <c r="C197" s="67" t="n"/>
      <c r="D197" s="67" t="n"/>
      <c r="E197" s="67" t="n"/>
      <c r="F197" s="67" t="n"/>
      <c r="G197" s="67" t="n"/>
      <c r="H197" s="67" t="n"/>
      <c r="I197" s="67" t="n"/>
      <c r="K197" s="67" t="n"/>
    </row>
    <row r="198">
      <c r="B198" s="67" t="n"/>
      <c r="C198" s="67" t="n"/>
      <c r="D198" s="67" t="n"/>
      <c r="E198" s="67" t="n"/>
      <c r="F198" s="67" t="n"/>
      <c r="G198" s="67" t="n"/>
      <c r="H198" s="67" t="n"/>
      <c r="I198" s="67" t="n"/>
      <c r="K198" s="67" t="n"/>
    </row>
    <row r="199">
      <c r="B199" s="67" t="n"/>
      <c r="C199" s="67" t="n"/>
      <c r="D199" s="67" t="n"/>
      <c r="E199" s="67" t="n"/>
      <c r="F199" s="67" t="n"/>
      <c r="G199" s="67" t="n"/>
      <c r="H199" s="67" t="n"/>
      <c r="I199" s="67" t="n"/>
      <c r="K199" s="67" t="n"/>
    </row>
    <row r="200">
      <c r="B200" s="67" t="n"/>
      <c r="C200" s="67" t="n"/>
      <c r="D200" s="67" t="n"/>
      <c r="E200" s="67" t="n"/>
      <c r="F200" s="67" t="n"/>
      <c r="G200" s="67" t="n"/>
      <c r="H200" s="67" t="n"/>
      <c r="I200" s="67" t="n"/>
      <c r="K200" s="67" t="n"/>
    </row>
    <row r="201">
      <c r="B201" s="67" t="n"/>
      <c r="C201" s="67" t="n"/>
      <c r="D201" s="67" t="n"/>
      <c r="E201" s="67" t="n"/>
      <c r="F201" s="67" t="n"/>
      <c r="G201" s="67" t="n"/>
      <c r="H201" s="67" t="n"/>
      <c r="I201" s="67" t="n"/>
      <c r="K201" s="67" t="n"/>
    </row>
    <row r="202">
      <c r="B202" s="67" t="n"/>
      <c r="C202" s="67" t="n"/>
      <c r="D202" s="67" t="n"/>
      <c r="E202" s="67" t="n"/>
      <c r="F202" s="67" t="n"/>
      <c r="G202" s="67" t="n"/>
      <c r="H202" s="67" t="n"/>
      <c r="I202" s="67" t="n"/>
      <c r="K202" s="67" t="n"/>
    </row>
    <row r="203">
      <c r="B203" s="67" t="n"/>
      <c r="C203" s="67" t="n"/>
      <c r="D203" s="67" t="n"/>
      <c r="E203" s="67" t="n"/>
      <c r="F203" s="67" t="n"/>
      <c r="G203" s="67" t="n"/>
      <c r="H203" s="67" t="n"/>
      <c r="I203" s="67" t="n"/>
      <c r="K203" s="67" t="n"/>
    </row>
    <row r="204">
      <c r="B204" s="67" t="n"/>
      <c r="C204" s="67" t="n"/>
      <c r="D204" s="67" t="n"/>
      <c r="E204" s="67" t="n"/>
      <c r="F204" s="67" t="n"/>
      <c r="G204" s="67" t="n"/>
      <c r="H204" s="67" t="n"/>
      <c r="I204" s="67" t="n"/>
      <c r="K204" s="67" t="n"/>
    </row>
    <row r="205">
      <c r="B205" s="67" t="n"/>
      <c r="C205" s="67" t="n"/>
      <c r="D205" s="67" t="n"/>
      <c r="E205" s="67" t="n"/>
      <c r="F205" s="67" t="n"/>
      <c r="G205" s="67" t="n"/>
      <c r="H205" s="67" t="n"/>
      <c r="I205" s="67" t="n"/>
      <c r="K205" s="67" t="n"/>
    </row>
    <row r="206">
      <c r="B206" s="67" t="n"/>
      <c r="C206" s="67" t="n"/>
      <c r="D206" s="67" t="n"/>
      <c r="E206" s="67" t="n"/>
      <c r="F206" s="67" t="n"/>
      <c r="G206" s="67" t="n"/>
      <c r="H206" s="67" t="n"/>
      <c r="I206" s="67" t="n"/>
      <c r="K206" s="67" t="n"/>
    </row>
    <row r="207">
      <c r="B207" s="67" t="n"/>
      <c r="C207" s="67" t="n"/>
      <c r="D207" s="67" t="n"/>
      <c r="E207" s="67" t="n"/>
      <c r="F207" s="67" t="n"/>
      <c r="G207" s="67" t="n"/>
      <c r="H207" s="67" t="n"/>
      <c r="I207" s="67" t="n"/>
      <c r="K207" s="67" t="n"/>
    </row>
    <row r="208">
      <c r="B208" s="67" t="n"/>
      <c r="C208" s="67" t="n"/>
      <c r="D208" s="67" t="n"/>
      <c r="E208" s="67" t="n"/>
      <c r="F208" s="67" t="n"/>
      <c r="G208" s="67" t="n"/>
      <c r="H208" s="67" t="n"/>
      <c r="I208" s="67" t="n"/>
      <c r="K208" s="67" t="n"/>
    </row>
    <row r="209">
      <c r="B209" s="67" t="n"/>
      <c r="C209" s="67" t="n"/>
      <c r="D209" s="67" t="n"/>
      <c r="E209" s="67" t="n"/>
      <c r="F209" s="67" t="n"/>
      <c r="G209" s="67" t="n"/>
      <c r="H209" s="67" t="n"/>
      <c r="I209" s="67" t="n"/>
      <c r="K209" s="67" t="n"/>
    </row>
    <row r="210">
      <c r="B210" s="67" t="n"/>
      <c r="C210" s="67" t="n"/>
      <c r="D210" s="67" t="n"/>
      <c r="E210" s="67" t="n"/>
      <c r="F210" s="67" t="n"/>
      <c r="G210" s="67" t="n"/>
      <c r="H210" s="67" t="n"/>
      <c r="I210" s="67" t="n"/>
      <c r="K210" s="67" t="n"/>
    </row>
    <row r="211">
      <c r="B211" s="67" t="n"/>
      <c r="C211" s="67" t="n"/>
      <c r="D211" s="67" t="n"/>
      <c r="E211" s="67" t="n"/>
      <c r="F211" s="67" t="n"/>
      <c r="G211" s="67" t="n"/>
      <c r="H211" s="67" t="n"/>
      <c r="I211" s="67" t="n"/>
      <c r="K211" s="67" t="n"/>
    </row>
    <row r="212">
      <c r="B212" s="67" t="n"/>
      <c r="C212" s="67" t="n"/>
      <c r="D212" s="67" t="n"/>
      <c r="E212" s="67" t="n"/>
      <c r="F212" s="67" t="n"/>
      <c r="G212" s="67" t="n"/>
      <c r="H212" s="67" t="n"/>
      <c r="I212" s="67" t="n"/>
      <c r="K212" s="67" t="n"/>
    </row>
    <row r="213">
      <c r="B213" s="67" t="n"/>
      <c r="C213" s="67" t="n"/>
      <c r="D213" s="67" t="n"/>
      <c r="E213" s="67" t="n"/>
      <c r="F213" s="67" t="n"/>
      <c r="G213" s="67" t="n"/>
      <c r="H213" s="67" t="n"/>
      <c r="I213" s="67" t="n"/>
      <c r="K213" s="67" t="n"/>
    </row>
    <row r="214">
      <c r="B214" s="67" t="n"/>
      <c r="C214" s="67" t="n"/>
      <c r="D214" s="67" t="n"/>
      <c r="E214" s="67" t="n"/>
      <c r="F214" s="67" t="n"/>
      <c r="G214" s="67" t="n"/>
      <c r="H214" s="67" t="n"/>
      <c r="I214" s="67" t="n"/>
      <c r="K214" s="67" t="n"/>
    </row>
    <row r="215">
      <c r="B215" s="67" t="n"/>
      <c r="C215" s="67" t="n"/>
      <c r="D215" s="67" t="n"/>
      <c r="E215" s="67" t="n"/>
      <c r="F215" s="67" t="n"/>
      <c r="G215" s="67" t="n"/>
      <c r="H215" s="67" t="n"/>
      <c r="I215" s="67" t="n"/>
      <c r="K215" s="67" t="n"/>
    </row>
    <row r="216">
      <c r="B216" s="67" t="n"/>
      <c r="C216" s="67" t="n"/>
      <c r="D216" s="67" t="n"/>
      <c r="E216" s="67" t="n"/>
      <c r="F216" s="67" t="n"/>
      <c r="G216" s="67" t="n"/>
      <c r="H216" s="67" t="n"/>
      <c r="I216" s="67" t="n"/>
      <c r="K216" s="67" t="n"/>
    </row>
    <row r="217">
      <c r="B217" s="67" t="n"/>
      <c r="C217" s="67" t="n"/>
      <c r="D217" s="67" t="n"/>
      <c r="E217" s="67" t="n"/>
      <c r="F217" s="67" t="n"/>
      <c r="G217" s="67" t="n"/>
      <c r="H217" s="67" t="n"/>
      <c r="I217" s="67" t="n"/>
      <c r="K217" s="67" t="n"/>
    </row>
    <row r="218">
      <c r="B218" s="67" t="n"/>
      <c r="C218" s="67" t="n"/>
      <c r="D218" s="67" t="n"/>
      <c r="E218" s="67" t="n"/>
      <c r="F218" s="67" t="n"/>
      <c r="G218" s="67" t="n"/>
      <c r="H218" s="67" t="n"/>
      <c r="I218" s="67" t="n"/>
      <c r="K218" s="67" t="n"/>
    </row>
    <row r="219">
      <c r="B219" s="67" t="n"/>
      <c r="C219" s="67" t="n"/>
      <c r="D219" s="67" t="n"/>
      <c r="E219" s="67" t="n"/>
      <c r="F219" s="67" t="n"/>
      <c r="G219" s="67" t="n"/>
      <c r="H219" s="67" t="n"/>
      <c r="I219" s="67" t="n"/>
      <c r="K219" s="67" t="n"/>
    </row>
    <row r="220">
      <c r="B220" s="67" t="n"/>
      <c r="C220" s="67" t="n"/>
      <c r="D220" s="67" t="n"/>
      <c r="E220" s="67" t="n"/>
      <c r="F220" s="67" t="n"/>
      <c r="G220" s="67" t="n"/>
      <c r="H220" s="67" t="n"/>
      <c r="I220" s="67" t="n"/>
      <c r="K220" s="67" t="n"/>
    </row>
  </sheetData>
  <mergeCells count="7">
    <mergeCell ref="B8:K8"/>
    <mergeCell ref="B4:K4"/>
    <mergeCell ref="B10:C10"/>
    <mergeCell ref="B7:K7"/>
    <mergeCell ref="B6:K6"/>
    <mergeCell ref="B3:K3"/>
    <mergeCell ref="B5:K5"/>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AND(LEN($B20&amp;$C20&amp;$D20&amp;$E20&amp;$F20&amp;$G20&amp;$H20&amp;$I20&amp;$J20&amp;$K20)&gt;0,B20="")</formula>
    </cfRule>
  </conditionalFormatting>
  <conditionalFormatting sqref="C20:C220">
    <cfRule type="expression" priority="3" dxfId="6">
      <formula>AND(LEN($B20&amp;$C20&amp;$D20&amp;$E20&amp;$F20&amp;$G20&amp;$H20&amp;$I20&amp;$J20&amp;$K20)&gt;0,C20="")</formula>
    </cfRule>
  </conditionalFormatting>
  <conditionalFormatting sqref="K20:K220">
    <cfRule type="expression" priority="4" dxfId="6">
      <formula>AND(LEN($B20&amp;$C20&amp;$D20&amp;$E20&amp;$F20&amp;$G20&amp;$H20&amp;$I20&amp;$J20&amp;$K20)&gt;0,K20="")</formula>
    </cfRule>
  </conditionalFormatting>
  <dataValidations count="12">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K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insurer_code" error="At most 30 characters." promptTitle="insurer_code" prompt="Yes. Legacy insurer code Allowed: Free entry, up to 30 characters" type="textLength" operator="lessThanOrEqual">
      <formula1>30</formula1>
    </dataValidation>
    <dataValidation sqref="C20:C220" showDropDown="0" showInputMessage="1" showErrorMessage="1" allowBlank="1" errorTitle="insurer_name" error="At most 200 characters." promptTitle="insurer_name" prompt="Yes. Registered name Allowed: Free entry, up to 200 characters" type="textLength" operator="lessThanOrEqual">
      <formula1>200</formula1>
    </dataValidation>
    <dataValidation sqref="D20:D220" showDropDown="0" showInputMessage="1" showErrorMessage="1" allowBlank="1" errorTitle="short_name" error="At most 40 characters." promptTitle="short_name" prompt="No. Short name Allowed: Free entry, up to 40 characters" type="textLength" operator="lessThanOrEqual">
      <formula1>40</formula1>
    </dataValidation>
    <dataValidation sqref="E20:E220" showDropDown="0" showInputMessage="1" showErrorMessage="1" allowBlank="1" errorTitle="tin" error="At most 20 characters." promptTitle="tin" prompt="No. Tax identification number Allowed: Free entry, up to 20 characters" type="textLength" operator="lessThanOrEqual">
      <formula1>20</formula1>
    </dataValidation>
    <dataValidation sqref="F20:F220" showDropDown="0" showInputMessage="1" showErrorMessage="1" allowBlank="1" errorTitle="address" error="At most 300 characters." promptTitle="address" prompt="No. Registered address Allowed: Free entry, up to 300 characters" type="textLength" operator="lessThanOrEqual">
      <formula1>300</formula1>
    </dataValidation>
    <dataValidation sqref="G20:G220" showDropDown="0" showInputMessage="1" showErrorMessage="1" allowBlank="1" errorTitle="accreditation_no" error="At most 40 characters." promptTitle="accreditation_no" prompt="No. Insurance Commission accreditation number Allowed: Free entry, up to 40 characters" type="textLength" operator="lessThanOrEqual">
      <formula1>40</formula1>
    </dataValidation>
    <dataValidation sqref="H20:H220" showDropDown="0" showInputMessage="1" showErrorMessage="0" allowBlank="1" promptTitle="accredited_until" prompt="No. End of accreditation"/>
    <dataValidation sqref="I20:I220" showDropDown="0" showInputMessage="1" showErrorMessage="1" allowBlank="1" errorTitle="placement_email" error="At most 500 characters." promptTitle="placement_email" prompt="No. E-mail address(es) for placement, separated by semicolons Allowed: Free entry, up to 500 characters" type="textLength" operator="lessThanOrEqual">
      <formula1>500</formula1>
    </dataValidation>
    <dataValidation sqref="J20:J220" showDropDown="0" showInputMessage="1" showErrorMessage="1" allowBlank="1" errorTitle="default_credit_days" error="Enter a whole number." promptTitle="default_credit_days" prompt="No. Credit term in days Allowed: A whole number" type="whole" operator="greaterThanOrEqual">
      <formula1>-1E+15</formula1>
    </dataValidation>
    <dataValidation sqref="K20:K220" showDropDown="0" showInputMessage="1" showErrorMessage="1" allowBlank="1" errorTitle="status" error="At most 20 characters." promptTitle="status" prompt="Yes. Insurer status in legacy Allowed: The legacy code; mapped by the code map STATUS:INSURER (sheet Code maps)" type="textLength" operator="lessThanOrEqual">
      <formula1>20</formula1>
    </dataValidation>
  </dataValidations>
  <hyperlinks>
    <hyperlink ref="A2" location="'Load templates'!A1"/>
    <hyperlink ref="K2" location="'Comments log'!A1"/>
    <hyperlink ref="K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tabColor rgb="00004EA8"/>
    <outlinePr summaryBelow="0" summaryRight="1"/>
    <pageSetUpPr fitToPage="1"/>
  </sheetPr>
  <dimension ref="A1:H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6" customWidth="1" min="3" max="3"/>
    <col width="16" customWidth="1" min="4" max="4"/>
    <col width="12" customWidth="1" min="5" max="5"/>
    <col width="14.09090909090909" customWidth="1" min="6" max="6"/>
    <col width="22" customWidth="1" min="7" max="7"/>
    <col width="15.90909090909091" customWidth="1" min="8" max="8"/>
  </cols>
  <sheetData>
    <row r="1" ht="26" customHeight="1">
      <c r="A1" s="44" t="inlineStr">
        <is>
          <t>R04B Insurer branches</t>
        </is>
      </c>
      <c r="H1" s="45" t="inlineStr">
        <is>
          <t>Step 5 of 29</t>
        </is>
      </c>
    </row>
    <row r="2">
      <c r="A2" s="46" t="inlineStr">
        <is>
          <t>← Back to Load templates</t>
        </is>
      </c>
      <c r="B2" s="47" t="inlineStr">
        <is>
          <t>Step 5 of 29. Fill in one row per record below the column headers; the guide above each column says what to enter.</t>
        </is>
      </c>
      <c r="H2" s="48" t="inlineStr">
        <is>
          <t>Ask a question →</t>
        </is>
      </c>
    </row>
    <row r="3" outlineLevel="1" ht="28" customHeight="1">
      <c r="A3" s="49" t="inlineStr">
        <is>
          <t>Purpose</t>
        </is>
      </c>
      <c r="B3" s="50" t="inlineStr">
        <is>
          <t>One row per record of Insurers and insurer branches as extracted from QPS, EBIX. Key insurer_code, branch_code. Sent as the file R04B_template.csv (CSV, header row as below) with its control file (row count, count of distinct keys).</t>
        </is>
      </c>
    </row>
    <row r="4" outlineLevel="1" ht="15.5" customHeight="1">
      <c r="A4" s="49" t="inlineStr">
        <is>
          <t>Provided by</t>
        </is>
      </c>
      <c r="B4" s="50" t="inlineStr">
        <is>
          <t>Operations data steward (to name); approved by Head, Operations; extracted by BDOI IT</t>
        </is>
      </c>
    </row>
    <row r="5" outlineLevel="1" ht="15.5" customHeight="1">
      <c r="A5" s="49" t="inlineStr">
        <is>
          <t>Due</t>
        </is>
      </c>
      <c r="B5" s="51" t="inlineStr">
        <is>
          <t>M3 (29 Jan 2027)</t>
        </is>
      </c>
    </row>
    <row r="6" outlineLevel="1" ht="28" customHeight="1">
      <c r="A6" s="49" t="inlineStr">
        <is>
          <t>How it is loaded</t>
        </is>
      </c>
      <c r="B6" s="50" t="inlineStr">
        <is>
          <t>Data migration object R04 (Migrate), layout R04B version 1, through the Migration Console; lands in: Insurers and insurer branches (insurer and party records)</t>
        </is>
      </c>
    </row>
    <row r="7" outlineLevel="1" ht="15.5" customHeight="1">
      <c r="A7" s="49" t="inlineStr">
        <is>
          <t>Source</t>
        </is>
      </c>
      <c r="B7" s="50" t="inlineStr">
        <is>
          <t>QPS, EBIX</t>
        </is>
      </c>
    </row>
    <row r="8" outlineLevel="1" ht="15" customHeight="1">
      <c r="A8" s="49" t="inlineStr">
        <is>
          <t>Depends on</t>
        </is>
      </c>
      <c r="B8" s="68" t="inlineStr">
        <is>
          <t>R04 Insurers →</t>
        </is>
      </c>
    </row>
    <row r="9" ht="26" customHeight="1">
      <c r="A9" s="53" t="inlineStr">
        <is>
          <t>Progress</t>
        </is>
      </c>
      <c r="B9" s="54" t="inlineStr">
        <is>
          <t>Rows entered</t>
        </is>
      </c>
      <c r="C9" s="55">
        <f>SUMPRODUCT(((ROW($B$20:$B$220)&gt;20)+($B$20&lt;&gt;"MAL")&gt;0)*(LEN($B$20:$B$220&amp;$C$20:$C$220&amp;$D$20:$D$220&amp;$E$20:$E$220&amp;$F$20:$F$220&amp;$G$20:$G$220&amp;$H$20:$H$220)&gt;0))</f>
        <v/>
      </c>
      <c r="D9" s="54" t="inlineStr">
        <is>
          <t>Mandatory cells missing</t>
        </is>
      </c>
      <c r="E9" s="55">
        <f>SUMPRODUCT(((ROW($B$20:$B$220)&gt;20)+($B$20&lt;&gt;"MAL")&gt;0)*(LEN($B$20:$B$220&amp;$C$20:$C$220&amp;$D$20:$D$220&amp;$E$20:$E$220&amp;$F$20:$F$220&amp;$G$20:$G$220&amp;$H$20:$H$220)&gt;0)*(($B$20:$B$220="")+($C$20:$C$220="")+($D$20:$D$220="")+($H$20:$H$220="")))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row>
    <row r="12" ht="30" customHeight="1">
      <c r="A12" s="59" t="inlineStr">
        <is>
          <t>BU review</t>
        </is>
      </c>
      <c r="B12" s="60" t="n"/>
      <c r="C12" s="60" t="n"/>
      <c r="D12" s="60" t="n"/>
      <c r="E12" s="60" t="n"/>
      <c r="F12" s="60" t="n"/>
      <c r="G12" s="60" t="n"/>
      <c r="H12" s="60" t="n"/>
    </row>
    <row r="13" ht="30" customHeight="1">
      <c r="A13" s="59" t="inlineStr">
        <is>
          <t>BU comment</t>
        </is>
      </c>
      <c r="B13" s="60" t="n"/>
      <c r="C13" s="60" t="n"/>
      <c r="D13" s="60" t="n"/>
      <c r="E13" s="60" t="n"/>
      <c r="F13" s="60" t="n"/>
      <c r="G13" s="60" t="n"/>
      <c r="H13" s="60" t="n"/>
    </row>
    <row r="14" ht="17" customHeight="1">
      <c r="A14" s="59" t="inlineStr">
        <is>
          <t>Check when loaded</t>
        </is>
      </c>
      <c r="B14" s="61" t="inlineStr">
        <is>
          <t>Exists in R04</t>
        </is>
      </c>
      <c r="C14" s="61" t="inlineStr">
        <is>
          <t>Unique per insurer</t>
        </is>
      </c>
      <c r="D14" s="61" t="inlineStr">
        <is>
          <t>Not blank</t>
        </is>
      </c>
      <c r="E14" s="61" t="inlineStr">
        <is>
          <t>-</t>
        </is>
      </c>
      <c r="F14" s="61" t="inlineStr">
        <is>
          <t>0 to 5</t>
        </is>
      </c>
      <c r="G14" s="61" t="inlineStr">
        <is>
          <t>Valid e-mail</t>
        </is>
      </c>
      <c r="H14" s="61" t="inlineStr">
        <is>
          <t>Mapped</t>
        </is>
      </c>
    </row>
    <row r="15" ht="17" customHeight="1">
      <c r="A15" s="59" t="inlineStr">
        <is>
          <t>Mandatory</t>
        </is>
      </c>
      <c r="B15" s="62" t="inlineStr">
        <is>
          <t>Yes</t>
        </is>
      </c>
      <c r="C15" s="62" t="inlineStr">
        <is>
          <t>Yes</t>
        </is>
      </c>
      <c r="D15" s="62" t="inlineStr">
        <is>
          <t>Yes</t>
        </is>
      </c>
      <c r="E15" s="61" t="inlineStr">
        <is>
          <t>No</t>
        </is>
      </c>
      <c r="F15" s="61" t="inlineStr">
        <is>
          <t>No</t>
        </is>
      </c>
      <c r="G15" s="61" t="inlineStr">
        <is>
          <t>No</t>
        </is>
      </c>
      <c r="H15" s="62" t="inlineStr">
        <is>
          <t>Yes</t>
        </is>
      </c>
    </row>
    <row r="16" ht="30" customHeight="1">
      <c r="A16" s="59" t="inlineStr">
        <is>
          <t>Format</t>
        </is>
      </c>
      <c r="B16" s="61" t="inlineStr">
        <is>
          <t>Code, up to 30; As stored in legacy</t>
        </is>
      </c>
      <c r="C16" s="61" t="inlineStr">
        <is>
          <t>Code, up to 20; As stored in legacy</t>
        </is>
      </c>
      <c r="D16" s="61" t="inlineStr">
        <is>
          <t>Text, up to 120; Free text</t>
        </is>
      </c>
      <c r="E16" s="61" t="inlineStr">
        <is>
          <t>Text, up to 80; Free text</t>
        </is>
      </c>
      <c r="F16" s="61" t="inlineStr">
        <is>
          <t>Decimal, up to 9,4; Dot decimal</t>
        </is>
      </c>
      <c r="G16" s="61" t="inlineStr">
        <is>
          <t>Text, up to 120; name@domain</t>
        </is>
      </c>
      <c r="H16" s="61" t="inlineStr">
        <is>
          <t>Code, up to 20; As stored in legacy</t>
        </is>
      </c>
    </row>
    <row r="17" ht="56" customHeight="1">
      <c r="A17" s="59" t="inlineStr">
        <is>
          <t>Allowed values</t>
        </is>
      </c>
      <c r="B17" s="69" t="inlineStr">
        <is>
          <t>The legacy code; mapped by the code map INSURER (sheet Code maps)</t>
        </is>
      </c>
      <c r="C17" s="61" t="inlineStr">
        <is>
          <t>Free entry, up to 20 characters</t>
        </is>
      </c>
      <c r="D17" s="61" t="inlineStr">
        <is>
          <t>Free entry, up to 120 characters</t>
        </is>
      </c>
      <c r="E17" s="61" t="inlineStr">
        <is>
          <t>Free entry, up to 80 characters</t>
        </is>
      </c>
      <c r="F17" s="61" t="inlineStr">
        <is>
          <t>A number</t>
        </is>
      </c>
      <c r="G17" s="61" t="inlineStr">
        <is>
          <t>Free entry, up to 120 characters</t>
        </is>
      </c>
      <c r="H17" s="69" t="inlineStr">
        <is>
          <t>The legacy code; mapped by the code map STATUS:INSURER (sheet Code maps)</t>
        </is>
      </c>
    </row>
    <row r="18" ht="56" customHeight="1">
      <c r="A18" s="59" t="inlineStr">
        <is>
          <t>What to enter</t>
        </is>
      </c>
      <c r="B18" s="61" t="inlineStr">
        <is>
          <t>Legacy insurer code</t>
        </is>
      </c>
      <c r="C18" s="61" t="inlineStr">
        <is>
          <t>Legacy insurer branch code</t>
        </is>
      </c>
      <c r="D18" s="61" t="inlineStr">
        <is>
          <t>Branch name</t>
        </is>
      </c>
      <c r="E18" s="61" t="inlineStr">
        <is>
          <t>City</t>
        </is>
      </c>
      <c r="F18" s="61" t="inlineStr">
        <is>
          <t>Local government tax rate of the branch location, in percent</t>
        </is>
      </c>
      <c r="G18" s="61" t="inlineStr">
        <is>
          <t>Branch placement e-mail</t>
        </is>
      </c>
      <c r="H18" s="61" t="inlineStr">
        <is>
          <t>Branch status</t>
        </is>
      </c>
    </row>
    <row r="19" ht="30" customHeight="1">
      <c r="A19" s="63" t="inlineStr">
        <is>
          <t>Row</t>
        </is>
      </c>
      <c r="B19" s="24" t="inlineStr">
        <is>
          <t>insurer_code *</t>
        </is>
      </c>
      <c r="C19" s="24" t="inlineStr">
        <is>
          <t>branch_code *</t>
        </is>
      </c>
      <c r="D19" s="24" t="inlineStr">
        <is>
          <t>branch_name *</t>
        </is>
      </c>
      <c r="E19" s="24" t="inlineStr">
        <is>
          <t>city</t>
        </is>
      </c>
      <c r="F19" s="24" t="inlineStr">
        <is>
          <t>lgt_rate</t>
        </is>
      </c>
      <c r="G19" s="24" t="inlineStr">
        <is>
          <t>placement_email</t>
        </is>
      </c>
      <c r="H19" s="24" t="inlineStr">
        <is>
          <t>status *</t>
        </is>
      </c>
    </row>
    <row r="20" ht="18" customHeight="1">
      <c r="A20" s="64" t="inlineStr">
        <is>
          <t>Example – overwrite or delete</t>
        </is>
      </c>
      <c r="B20" s="65" t="inlineStr">
        <is>
          <t>MAL</t>
        </is>
      </c>
      <c r="C20" s="65" t="inlineStr">
        <is>
          <t>MAL-CEB</t>
        </is>
      </c>
      <c r="D20" s="65" t="inlineStr">
        <is>
          <t>Malayan Cebu</t>
        </is>
      </c>
      <c r="E20" s="65" t="inlineStr">
        <is>
          <t>Cebu City</t>
        </is>
      </c>
      <c r="F20" s="66" t="n">
        <v>0.75</v>
      </c>
      <c r="G20" s="65" t="inlineStr">
        <is>
          <t>cebu@insurer.example</t>
        </is>
      </c>
      <c r="H20" s="65" t="inlineStr">
        <is>
          <t>ACTIVE</t>
        </is>
      </c>
    </row>
    <row r="21">
      <c r="B21" s="67" t="n"/>
      <c r="C21" s="67" t="n"/>
      <c r="D21" s="67" t="n"/>
      <c r="E21" s="67" t="n"/>
      <c r="G21" s="67" t="n"/>
      <c r="H21" s="67" t="n"/>
    </row>
    <row r="22">
      <c r="B22" s="67" t="n"/>
      <c r="C22" s="67" t="n"/>
      <c r="D22" s="67" t="n"/>
      <c r="E22" s="67" t="n"/>
      <c r="G22" s="67" t="n"/>
      <c r="H22" s="67" t="n"/>
    </row>
    <row r="23">
      <c r="B23" s="67" t="n"/>
      <c r="C23" s="67" t="n"/>
      <c r="D23" s="67" t="n"/>
      <c r="E23" s="67" t="n"/>
      <c r="G23" s="67" t="n"/>
      <c r="H23" s="67" t="n"/>
    </row>
    <row r="24">
      <c r="B24" s="67" t="n"/>
      <c r="C24" s="67" t="n"/>
      <c r="D24" s="67" t="n"/>
      <c r="E24" s="67" t="n"/>
      <c r="G24" s="67" t="n"/>
      <c r="H24" s="67" t="n"/>
    </row>
    <row r="25">
      <c r="B25" s="67" t="n"/>
      <c r="C25" s="67" t="n"/>
      <c r="D25" s="67" t="n"/>
      <c r="E25" s="67" t="n"/>
      <c r="G25" s="67" t="n"/>
      <c r="H25" s="67" t="n"/>
    </row>
    <row r="26">
      <c r="B26" s="67" t="n"/>
      <c r="C26" s="67" t="n"/>
      <c r="D26" s="67" t="n"/>
      <c r="E26" s="67" t="n"/>
      <c r="G26" s="67" t="n"/>
      <c r="H26" s="67" t="n"/>
    </row>
    <row r="27">
      <c r="B27" s="67" t="n"/>
      <c r="C27" s="67" t="n"/>
      <c r="D27" s="67" t="n"/>
      <c r="E27" s="67" t="n"/>
      <c r="G27" s="67" t="n"/>
      <c r="H27" s="67" t="n"/>
    </row>
    <row r="28">
      <c r="B28" s="67" t="n"/>
      <c r="C28" s="67" t="n"/>
      <c r="D28" s="67" t="n"/>
      <c r="E28" s="67" t="n"/>
      <c r="G28" s="67" t="n"/>
      <c r="H28" s="67" t="n"/>
    </row>
    <row r="29">
      <c r="B29" s="67" t="n"/>
      <c r="C29" s="67" t="n"/>
      <c r="D29" s="67" t="n"/>
      <c r="E29" s="67" t="n"/>
      <c r="G29" s="67" t="n"/>
      <c r="H29" s="67" t="n"/>
    </row>
    <row r="30">
      <c r="B30" s="67" t="n"/>
      <c r="C30" s="67" t="n"/>
      <c r="D30" s="67" t="n"/>
      <c r="E30" s="67" t="n"/>
      <c r="G30" s="67" t="n"/>
      <c r="H30" s="67" t="n"/>
    </row>
    <row r="31">
      <c r="B31" s="67" t="n"/>
      <c r="C31" s="67" t="n"/>
      <c r="D31" s="67" t="n"/>
      <c r="E31" s="67" t="n"/>
      <c r="G31" s="67" t="n"/>
      <c r="H31" s="67" t="n"/>
    </row>
    <row r="32">
      <c r="B32" s="67" t="n"/>
      <c r="C32" s="67" t="n"/>
      <c r="D32" s="67" t="n"/>
      <c r="E32" s="67" t="n"/>
      <c r="G32" s="67" t="n"/>
      <c r="H32" s="67" t="n"/>
    </row>
    <row r="33">
      <c r="B33" s="67" t="n"/>
      <c r="C33" s="67" t="n"/>
      <c r="D33" s="67" t="n"/>
      <c r="E33" s="67" t="n"/>
      <c r="G33" s="67" t="n"/>
      <c r="H33" s="67" t="n"/>
    </row>
    <row r="34">
      <c r="B34" s="67" t="n"/>
      <c r="C34" s="67" t="n"/>
      <c r="D34" s="67" t="n"/>
      <c r="E34" s="67" t="n"/>
      <c r="G34" s="67" t="n"/>
      <c r="H34" s="67" t="n"/>
    </row>
    <row r="35">
      <c r="B35" s="67" t="n"/>
      <c r="C35" s="67" t="n"/>
      <c r="D35" s="67" t="n"/>
      <c r="E35" s="67" t="n"/>
      <c r="G35" s="67" t="n"/>
      <c r="H35" s="67" t="n"/>
    </row>
    <row r="36">
      <c r="B36" s="67" t="n"/>
      <c r="C36" s="67" t="n"/>
      <c r="D36" s="67" t="n"/>
      <c r="E36" s="67" t="n"/>
      <c r="G36" s="67" t="n"/>
      <c r="H36" s="67" t="n"/>
    </row>
    <row r="37">
      <c r="B37" s="67" t="n"/>
      <c r="C37" s="67" t="n"/>
      <c r="D37" s="67" t="n"/>
      <c r="E37" s="67" t="n"/>
      <c r="G37" s="67" t="n"/>
      <c r="H37" s="67" t="n"/>
    </row>
    <row r="38">
      <c r="B38" s="67" t="n"/>
      <c r="C38" s="67" t="n"/>
      <c r="D38" s="67" t="n"/>
      <c r="E38" s="67" t="n"/>
      <c r="G38" s="67" t="n"/>
      <c r="H38" s="67" t="n"/>
    </row>
    <row r="39">
      <c r="B39" s="67" t="n"/>
      <c r="C39" s="67" t="n"/>
      <c r="D39" s="67" t="n"/>
      <c r="E39" s="67" t="n"/>
      <c r="G39" s="67" t="n"/>
      <c r="H39" s="67" t="n"/>
    </row>
    <row r="40">
      <c r="B40" s="67" t="n"/>
      <c r="C40" s="67" t="n"/>
      <c r="D40" s="67" t="n"/>
      <c r="E40" s="67" t="n"/>
      <c r="G40" s="67" t="n"/>
      <c r="H40" s="67" t="n"/>
    </row>
    <row r="41">
      <c r="B41" s="67" t="n"/>
      <c r="C41" s="67" t="n"/>
      <c r="D41" s="67" t="n"/>
      <c r="E41" s="67" t="n"/>
      <c r="G41" s="67" t="n"/>
      <c r="H41" s="67" t="n"/>
    </row>
    <row r="42">
      <c r="B42" s="67" t="n"/>
      <c r="C42" s="67" t="n"/>
      <c r="D42" s="67" t="n"/>
      <c r="E42" s="67" t="n"/>
      <c r="G42" s="67" t="n"/>
      <c r="H42" s="67" t="n"/>
    </row>
    <row r="43">
      <c r="B43" s="67" t="n"/>
      <c r="C43" s="67" t="n"/>
      <c r="D43" s="67" t="n"/>
      <c r="E43" s="67" t="n"/>
      <c r="G43" s="67" t="n"/>
      <c r="H43" s="67" t="n"/>
    </row>
    <row r="44">
      <c r="B44" s="67" t="n"/>
      <c r="C44" s="67" t="n"/>
      <c r="D44" s="67" t="n"/>
      <c r="E44" s="67" t="n"/>
      <c r="G44" s="67" t="n"/>
      <c r="H44" s="67" t="n"/>
    </row>
    <row r="45">
      <c r="B45" s="67" t="n"/>
      <c r="C45" s="67" t="n"/>
      <c r="D45" s="67" t="n"/>
      <c r="E45" s="67" t="n"/>
      <c r="G45" s="67" t="n"/>
      <c r="H45" s="67" t="n"/>
    </row>
    <row r="46">
      <c r="B46" s="67" t="n"/>
      <c r="C46" s="67" t="n"/>
      <c r="D46" s="67" t="n"/>
      <c r="E46" s="67" t="n"/>
      <c r="G46" s="67" t="n"/>
      <c r="H46" s="67" t="n"/>
    </row>
    <row r="47">
      <c r="B47" s="67" t="n"/>
      <c r="C47" s="67" t="n"/>
      <c r="D47" s="67" t="n"/>
      <c r="E47" s="67" t="n"/>
      <c r="G47" s="67" t="n"/>
      <c r="H47" s="67" t="n"/>
    </row>
    <row r="48">
      <c r="B48" s="67" t="n"/>
      <c r="C48" s="67" t="n"/>
      <c r="D48" s="67" t="n"/>
      <c r="E48" s="67" t="n"/>
      <c r="G48" s="67" t="n"/>
      <c r="H48" s="67" t="n"/>
    </row>
    <row r="49">
      <c r="B49" s="67" t="n"/>
      <c r="C49" s="67" t="n"/>
      <c r="D49" s="67" t="n"/>
      <c r="E49" s="67" t="n"/>
      <c r="G49" s="67" t="n"/>
      <c r="H49" s="67" t="n"/>
    </row>
    <row r="50">
      <c r="B50" s="67" t="n"/>
      <c r="C50" s="67" t="n"/>
      <c r="D50" s="67" t="n"/>
      <c r="E50" s="67" t="n"/>
      <c r="G50" s="67" t="n"/>
      <c r="H50" s="67" t="n"/>
    </row>
    <row r="51">
      <c r="B51" s="67" t="n"/>
      <c r="C51" s="67" t="n"/>
      <c r="D51" s="67" t="n"/>
      <c r="E51" s="67" t="n"/>
      <c r="G51" s="67" t="n"/>
      <c r="H51" s="67" t="n"/>
    </row>
    <row r="52">
      <c r="B52" s="67" t="n"/>
      <c r="C52" s="67" t="n"/>
      <c r="D52" s="67" t="n"/>
      <c r="E52" s="67" t="n"/>
      <c r="G52" s="67" t="n"/>
      <c r="H52" s="67" t="n"/>
    </row>
    <row r="53">
      <c r="B53" s="67" t="n"/>
      <c r="C53" s="67" t="n"/>
      <c r="D53" s="67" t="n"/>
      <c r="E53" s="67" t="n"/>
      <c r="G53" s="67" t="n"/>
      <c r="H53" s="67" t="n"/>
    </row>
    <row r="54">
      <c r="B54" s="67" t="n"/>
      <c r="C54" s="67" t="n"/>
      <c r="D54" s="67" t="n"/>
      <c r="E54" s="67" t="n"/>
      <c r="G54" s="67" t="n"/>
      <c r="H54" s="67" t="n"/>
    </row>
    <row r="55">
      <c r="B55" s="67" t="n"/>
      <c r="C55" s="67" t="n"/>
      <c r="D55" s="67" t="n"/>
      <c r="E55" s="67" t="n"/>
      <c r="G55" s="67" t="n"/>
      <c r="H55" s="67" t="n"/>
    </row>
    <row r="56">
      <c r="B56" s="67" t="n"/>
      <c r="C56" s="67" t="n"/>
      <c r="D56" s="67" t="n"/>
      <c r="E56" s="67" t="n"/>
      <c r="G56" s="67" t="n"/>
      <c r="H56" s="67" t="n"/>
    </row>
    <row r="57">
      <c r="B57" s="67" t="n"/>
      <c r="C57" s="67" t="n"/>
      <c r="D57" s="67" t="n"/>
      <c r="E57" s="67" t="n"/>
      <c r="G57" s="67" t="n"/>
      <c r="H57" s="67" t="n"/>
    </row>
    <row r="58">
      <c r="B58" s="67" t="n"/>
      <c r="C58" s="67" t="n"/>
      <c r="D58" s="67" t="n"/>
      <c r="E58" s="67" t="n"/>
      <c r="G58" s="67" t="n"/>
      <c r="H58" s="67" t="n"/>
    </row>
    <row r="59">
      <c r="B59" s="67" t="n"/>
      <c r="C59" s="67" t="n"/>
      <c r="D59" s="67" t="n"/>
      <c r="E59" s="67" t="n"/>
      <c r="G59" s="67" t="n"/>
      <c r="H59" s="67" t="n"/>
    </row>
    <row r="60">
      <c r="B60" s="67" t="n"/>
      <c r="C60" s="67" t="n"/>
      <c r="D60" s="67" t="n"/>
      <c r="E60" s="67" t="n"/>
      <c r="G60" s="67" t="n"/>
      <c r="H60" s="67" t="n"/>
    </row>
    <row r="61">
      <c r="B61" s="67" t="n"/>
      <c r="C61" s="67" t="n"/>
      <c r="D61" s="67" t="n"/>
      <c r="E61" s="67" t="n"/>
      <c r="G61" s="67" t="n"/>
      <c r="H61" s="67" t="n"/>
    </row>
    <row r="62">
      <c r="B62" s="67" t="n"/>
      <c r="C62" s="67" t="n"/>
      <c r="D62" s="67" t="n"/>
      <c r="E62" s="67" t="n"/>
      <c r="G62" s="67" t="n"/>
      <c r="H62" s="67" t="n"/>
    </row>
    <row r="63">
      <c r="B63" s="67" t="n"/>
      <c r="C63" s="67" t="n"/>
      <c r="D63" s="67" t="n"/>
      <c r="E63" s="67" t="n"/>
      <c r="G63" s="67" t="n"/>
      <c r="H63" s="67" t="n"/>
    </row>
    <row r="64">
      <c r="B64" s="67" t="n"/>
      <c r="C64" s="67" t="n"/>
      <c r="D64" s="67" t="n"/>
      <c r="E64" s="67" t="n"/>
      <c r="G64" s="67" t="n"/>
      <c r="H64" s="67" t="n"/>
    </row>
    <row r="65">
      <c r="B65" s="67" t="n"/>
      <c r="C65" s="67" t="n"/>
      <c r="D65" s="67" t="n"/>
      <c r="E65" s="67" t="n"/>
      <c r="G65" s="67" t="n"/>
      <c r="H65" s="67" t="n"/>
    </row>
    <row r="66">
      <c r="B66" s="67" t="n"/>
      <c r="C66" s="67" t="n"/>
      <c r="D66" s="67" t="n"/>
      <c r="E66" s="67" t="n"/>
      <c r="G66" s="67" t="n"/>
      <c r="H66" s="67" t="n"/>
    </row>
    <row r="67">
      <c r="B67" s="67" t="n"/>
      <c r="C67" s="67" t="n"/>
      <c r="D67" s="67" t="n"/>
      <c r="E67" s="67" t="n"/>
      <c r="G67" s="67" t="n"/>
      <c r="H67" s="67" t="n"/>
    </row>
    <row r="68">
      <c r="B68" s="67" t="n"/>
      <c r="C68" s="67" t="n"/>
      <c r="D68" s="67" t="n"/>
      <c r="E68" s="67" t="n"/>
      <c r="G68" s="67" t="n"/>
      <c r="H68" s="67" t="n"/>
    </row>
    <row r="69">
      <c r="B69" s="67" t="n"/>
      <c r="C69" s="67" t="n"/>
      <c r="D69" s="67" t="n"/>
      <c r="E69" s="67" t="n"/>
      <c r="G69" s="67" t="n"/>
      <c r="H69" s="67" t="n"/>
    </row>
    <row r="70">
      <c r="B70" s="67" t="n"/>
      <c r="C70" s="67" t="n"/>
      <c r="D70" s="67" t="n"/>
      <c r="E70" s="67" t="n"/>
      <c r="G70" s="67" t="n"/>
      <c r="H70" s="67" t="n"/>
    </row>
    <row r="71">
      <c r="B71" s="67" t="n"/>
      <c r="C71" s="67" t="n"/>
      <c r="D71" s="67" t="n"/>
      <c r="E71" s="67" t="n"/>
      <c r="G71" s="67" t="n"/>
      <c r="H71" s="67" t="n"/>
    </row>
    <row r="72">
      <c r="B72" s="67" t="n"/>
      <c r="C72" s="67" t="n"/>
      <c r="D72" s="67" t="n"/>
      <c r="E72" s="67" t="n"/>
      <c r="G72" s="67" t="n"/>
      <c r="H72" s="67" t="n"/>
    </row>
    <row r="73">
      <c r="B73" s="67" t="n"/>
      <c r="C73" s="67" t="n"/>
      <c r="D73" s="67" t="n"/>
      <c r="E73" s="67" t="n"/>
      <c r="G73" s="67" t="n"/>
      <c r="H73" s="67" t="n"/>
    </row>
    <row r="74">
      <c r="B74" s="67" t="n"/>
      <c r="C74" s="67" t="n"/>
      <c r="D74" s="67" t="n"/>
      <c r="E74" s="67" t="n"/>
      <c r="G74" s="67" t="n"/>
      <c r="H74" s="67" t="n"/>
    </row>
    <row r="75">
      <c r="B75" s="67" t="n"/>
      <c r="C75" s="67" t="n"/>
      <c r="D75" s="67" t="n"/>
      <c r="E75" s="67" t="n"/>
      <c r="G75" s="67" t="n"/>
      <c r="H75" s="67" t="n"/>
    </row>
    <row r="76">
      <c r="B76" s="67" t="n"/>
      <c r="C76" s="67" t="n"/>
      <c r="D76" s="67" t="n"/>
      <c r="E76" s="67" t="n"/>
      <c r="G76" s="67" t="n"/>
      <c r="H76" s="67" t="n"/>
    </row>
    <row r="77">
      <c r="B77" s="67" t="n"/>
      <c r="C77" s="67" t="n"/>
      <c r="D77" s="67" t="n"/>
      <c r="E77" s="67" t="n"/>
      <c r="G77" s="67" t="n"/>
      <c r="H77" s="67" t="n"/>
    </row>
    <row r="78">
      <c r="B78" s="67" t="n"/>
      <c r="C78" s="67" t="n"/>
      <c r="D78" s="67" t="n"/>
      <c r="E78" s="67" t="n"/>
      <c r="G78" s="67" t="n"/>
      <c r="H78" s="67" t="n"/>
    </row>
    <row r="79">
      <c r="B79" s="67" t="n"/>
      <c r="C79" s="67" t="n"/>
      <c r="D79" s="67" t="n"/>
      <c r="E79" s="67" t="n"/>
      <c r="G79" s="67" t="n"/>
      <c r="H79" s="67" t="n"/>
    </row>
    <row r="80">
      <c r="B80" s="67" t="n"/>
      <c r="C80" s="67" t="n"/>
      <c r="D80" s="67" t="n"/>
      <c r="E80" s="67" t="n"/>
      <c r="G80" s="67" t="n"/>
      <c r="H80" s="67" t="n"/>
    </row>
    <row r="81">
      <c r="B81" s="67" t="n"/>
      <c r="C81" s="67" t="n"/>
      <c r="D81" s="67" t="n"/>
      <c r="E81" s="67" t="n"/>
      <c r="G81" s="67" t="n"/>
      <c r="H81" s="67" t="n"/>
    </row>
    <row r="82">
      <c r="B82" s="67" t="n"/>
      <c r="C82" s="67" t="n"/>
      <c r="D82" s="67" t="n"/>
      <c r="E82" s="67" t="n"/>
      <c r="G82" s="67" t="n"/>
      <c r="H82" s="67" t="n"/>
    </row>
    <row r="83">
      <c r="B83" s="67" t="n"/>
      <c r="C83" s="67" t="n"/>
      <c r="D83" s="67" t="n"/>
      <c r="E83" s="67" t="n"/>
      <c r="G83" s="67" t="n"/>
      <c r="H83" s="67" t="n"/>
    </row>
    <row r="84">
      <c r="B84" s="67" t="n"/>
      <c r="C84" s="67" t="n"/>
      <c r="D84" s="67" t="n"/>
      <c r="E84" s="67" t="n"/>
      <c r="G84" s="67" t="n"/>
      <c r="H84" s="67" t="n"/>
    </row>
    <row r="85">
      <c r="B85" s="67" t="n"/>
      <c r="C85" s="67" t="n"/>
      <c r="D85" s="67" t="n"/>
      <c r="E85" s="67" t="n"/>
      <c r="G85" s="67" t="n"/>
      <c r="H85" s="67" t="n"/>
    </row>
    <row r="86">
      <c r="B86" s="67" t="n"/>
      <c r="C86" s="67" t="n"/>
      <c r="D86" s="67" t="n"/>
      <c r="E86" s="67" t="n"/>
      <c r="G86" s="67" t="n"/>
      <c r="H86" s="67" t="n"/>
    </row>
    <row r="87">
      <c r="B87" s="67" t="n"/>
      <c r="C87" s="67" t="n"/>
      <c r="D87" s="67" t="n"/>
      <c r="E87" s="67" t="n"/>
      <c r="G87" s="67" t="n"/>
      <c r="H87" s="67" t="n"/>
    </row>
    <row r="88">
      <c r="B88" s="67" t="n"/>
      <c r="C88" s="67" t="n"/>
      <c r="D88" s="67" t="n"/>
      <c r="E88" s="67" t="n"/>
      <c r="G88" s="67" t="n"/>
      <c r="H88" s="67" t="n"/>
    </row>
    <row r="89">
      <c r="B89" s="67" t="n"/>
      <c r="C89" s="67" t="n"/>
      <c r="D89" s="67" t="n"/>
      <c r="E89" s="67" t="n"/>
      <c r="G89" s="67" t="n"/>
      <c r="H89" s="67" t="n"/>
    </row>
    <row r="90">
      <c r="B90" s="67" t="n"/>
      <c r="C90" s="67" t="n"/>
      <c r="D90" s="67" t="n"/>
      <c r="E90" s="67" t="n"/>
      <c r="G90" s="67" t="n"/>
      <c r="H90" s="67" t="n"/>
    </row>
    <row r="91">
      <c r="B91" s="67" t="n"/>
      <c r="C91" s="67" t="n"/>
      <c r="D91" s="67" t="n"/>
      <c r="E91" s="67" t="n"/>
      <c r="G91" s="67" t="n"/>
      <c r="H91" s="67" t="n"/>
    </row>
    <row r="92">
      <c r="B92" s="67" t="n"/>
      <c r="C92" s="67" t="n"/>
      <c r="D92" s="67" t="n"/>
      <c r="E92" s="67" t="n"/>
      <c r="G92" s="67" t="n"/>
      <c r="H92" s="67" t="n"/>
    </row>
    <row r="93">
      <c r="B93" s="67" t="n"/>
      <c r="C93" s="67" t="n"/>
      <c r="D93" s="67" t="n"/>
      <c r="E93" s="67" t="n"/>
      <c r="G93" s="67" t="n"/>
      <c r="H93" s="67" t="n"/>
    </row>
    <row r="94">
      <c r="B94" s="67" t="n"/>
      <c r="C94" s="67" t="n"/>
      <c r="D94" s="67" t="n"/>
      <c r="E94" s="67" t="n"/>
      <c r="G94" s="67" t="n"/>
      <c r="H94" s="67" t="n"/>
    </row>
    <row r="95">
      <c r="B95" s="67" t="n"/>
      <c r="C95" s="67" t="n"/>
      <c r="D95" s="67" t="n"/>
      <c r="E95" s="67" t="n"/>
      <c r="G95" s="67" t="n"/>
      <c r="H95" s="67" t="n"/>
    </row>
    <row r="96">
      <c r="B96" s="67" t="n"/>
      <c r="C96" s="67" t="n"/>
      <c r="D96" s="67" t="n"/>
      <c r="E96" s="67" t="n"/>
      <c r="G96" s="67" t="n"/>
      <c r="H96" s="67" t="n"/>
    </row>
    <row r="97">
      <c r="B97" s="67" t="n"/>
      <c r="C97" s="67" t="n"/>
      <c r="D97" s="67" t="n"/>
      <c r="E97" s="67" t="n"/>
      <c r="G97" s="67" t="n"/>
      <c r="H97" s="67" t="n"/>
    </row>
    <row r="98">
      <c r="B98" s="67" t="n"/>
      <c r="C98" s="67" t="n"/>
      <c r="D98" s="67" t="n"/>
      <c r="E98" s="67" t="n"/>
      <c r="G98" s="67" t="n"/>
      <c r="H98" s="67" t="n"/>
    </row>
    <row r="99">
      <c r="B99" s="67" t="n"/>
      <c r="C99" s="67" t="n"/>
      <c r="D99" s="67" t="n"/>
      <c r="E99" s="67" t="n"/>
      <c r="G99" s="67" t="n"/>
      <c r="H99" s="67" t="n"/>
    </row>
    <row r="100">
      <c r="B100" s="67" t="n"/>
      <c r="C100" s="67" t="n"/>
      <c r="D100" s="67" t="n"/>
      <c r="E100" s="67" t="n"/>
      <c r="G100" s="67" t="n"/>
      <c r="H100" s="67" t="n"/>
    </row>
    <row r="101">
      <c r="B101" s="67" t="n"/>
      <c r="C101" s="67" t="n"/>
      <c r="D101" s="67" t="n"/>
      <c r="E101" s="67" t="n"/>
      <c r="G101" s="67" t="n"/>
      <c r="H101" s="67" t="n"/>
    </row>
    <row r="102">
      <c r="B102" s="67" t="n"/>
      <c r="C102" s="67" t="n"/>
      <c r="D102" s="67" t="n"/>
      <c r="E102" s="67" t="n"/>
      <c r="G102" s="67" t="n"/>
      <c r="H102" s="67" t="n"/>
    </row>
    <row r="103">
      <c r="B103" s="67" t="n"/>
      <c r="C103" s="67" t="n"/>
      <c r="D103" s="67" t="n"/>
      <c r="E103" s="67" t="n"/>
      <c r="G103" s="67" t="n"/>
      <c r="H103" s="67" t="n"/>
    </row>
    <row r="104">
      <c r="B104" s="67" t="n"/>
      <c r="C104" s="67" t="n"/>
      <c r="D104" s="67" t="n"/>
      <c r="E104" s="67" t="n"/>
      <c r="G104" s="67" t="n"/>
      <c r="H104" s="67" t="n"/>
    </row>
    <row r="105">
      <c r="B105" s="67" t="n"/>
      <c r="C105" s="67" t="n"/>
      <c r="D105" s="67" t="n"/>
      <c r="E105" s="67" t="n"/>
      <c r="G105" s="67" t="n"/>
      <c r="H105" s="67" t="n"/>
    </row>
    <row r="106">
      <c r="B106" s="67" t="n"/>
      <c r="C106" s="67" t="n"/>
      <c r="D106" s="67" t="n"/>
      <c r="E106" s="67" t="n"/>
      <c r="G106" s="67" t="n"/>
      <c r="H106" s="67" t="n"/>
    </row>
    <row r="107">
      <c r="B107" s="67" t="n"/>
      <c r="C107" s="67" t="n"/>
      <c r="D107" s="67" t="n"/>
      <c r="E107" s="67" t="n"/>
      <c r="G107" s="67" t="n"/>
      <c r="H107" s="67" t="n"/>
    </row>
    <row r="108">
      <c r="B108" s="67" t="n"/>
      <c r="C108" s="67" t="n"/>
      <c r="D108" s="67" t="n"/>
      <c r="E108" s="67" t="n"/>
      <c r="G108" s="67" t="n"/>
      <c r="H108" s="67" t="n"/>
    </row>
    <row r="109">
      <c r="B109" s="67" t="n"/>
      <c r="C109" s="67" t="n"/>
      <c r="D109" s="67" t="n"/>
      <c r="E109" s="67" t="n"/>
      <c r="G109" s="67" t="n"/>
      <c r="H109" s="67" t="n"/>
    </row>
    <row r="110">
      <c r="B110" s="67" t="n"/>
      <c r="C110" s="67" t="n"/>
      <c r="D110" s="67" t="n"/>
      <c r="E110" s="67" t="n"/>
      <c r="G110" s="67" t="n"/>
      <c r="H110" s="67" t="n"/>
    </row>
    <row r="111">
      <c r="B111" s="67" t="n"/>
      <c r="C111" s="67" t="n"/>
      <c r="D111" s="67" t="n"/>
      <c r="E111" s="67" t="n"/>
      <c r="G111" s="67" t="n"/>
      <c r="H111" s="67" t="n"/>
    </row>
    <row r="112">
      <c r="B112" s="67" t="n"/>
      <c r="C112" s="67" t="n"/>
      <c r="D112" s="67" t="n"/>
      <c r="E112" s="67" t="n"/>
      <c r="G112" s="67" t="n"/>
      <c r="H112" s="67" t="n"/>
    </row>
    <row r="113">
      <c r="B113" s="67" t="n"/>
      <c r="C113" s="67" t="n"/>
      <c r="D113" s="67" t="n"/>
      <c r="E113" s="67" t="n"/>
      <c r="G113" s="67" t="n"/>
      <c r="H113" s="67" t="n"/>
    </row>
    <row r="114">
      <c r="B114" s="67" t="n"/>
      <c r="C114" s="67" t="n"/>
      <c r="D114" s="67" t="n"/>
      <c r="E114" s="67" t="n"/>
      <c r="G114" s="67" t="n"/>
      <c r="H114" s="67" t="n"/>
    </row>
    <row r="115">
      <c r="B115" s="67" t="n"/>
      <c r="C115" s="67" t="n"/>
      <c r="D115" s="67" t="n"/>
      <c r="E115" s="67" t="n"/>
      <c r="G115" s="67" t="n"/>
      <c r="H115" s="67" t="n"/>
    </row>
    <row r="116">
      <c r="B116" s="67" t="n"/>
      <c r="C116" s="67" t="n"/>
      <c r="D116" s="67" t="n"/>
      <c r="E116" s="67" t="n"/>
      <c r="G116" s="67" t="n"/>
      <c r="H116" s="67" t="n"/>
    </row>
    <row r="117">
      <c r="B117" s="67" t="n"/>
      <c r="C117" s="67" t="n"/>
      <c r="D117" s="67" t="n"/>
      <c r="E117" s="67" t="n"/>
      <c r="G117" s="67" t="n"/>
      <c r="H117" s="67" t="n"/>
    </row>
    <row r="118">
      <c r="B118" s="67" t="n"/>
      <c r="C118" s="67" t="n"/>
      <c r="D118" s="67" t="n"/>
      <c r="E118" s="67" t="n"/>
      <c r="G118" s="67" t="n"/>
      <c r="H118" s="67" t="n"/>
    </row>
    <row r="119">
      <c r="B119" s="67" t="n"/>
      <c r="C119" s="67" t="n"/>
      <c r="D119" s="67" t="n"/>
      <c r="E119" s="67" t="n"/>
      <c r="G119" s="67" t="n"/>
      <c r="H119" s="67" t="n"/>
    </row>
    <row r="120">
      <c r="B120" s="67" t="n"/>
      <c r="C120" s="67" t="n"/>
      <c r="D120" s="67" t="n"/>
      <c r="E120" s="67" t="n"/>
      <c r="G120" s="67" t="n"/>
      <c r="H120" s="67" t="n"/>
    </row>
    <row r="121">
      <c r="B121" s="67" t="n"/>
      <c r="C121" s="67" t="n"/>
      <c r="D121" s="67" t="n"/>
      <c r="E121" s="67" t="n"/>
      <c r="G121" s="67" t="n"/>
      <c r="H121" s="67" t="n"/>
    </row>
    <row r="122">
      <c r="B122" s="67" t="n"/>
      <c r="C122" s="67" t="n"/>
      <c r="D122" s="67" t="n"/>
      <c r="E122" s="67" t="n"/>
      <c r="G122" s="67" t="n"/>
      <c r="H122" s="67" t="n"/>
    </row>
    <row r="123">
      <c r="B123" s="67" t="n"/>
      <c r="C123" s="67" t="n"/>
      <c r="D123" s="67" t="n"/>
      <c r="E123" s="67" t="n"/>
      <c r="G123" s="67" t="n"/>
      <c r="H123" s="67" t="n"/>
    </row>
    <row r="124">
      <c r="B124" s="67" t="n"/>
      <c r="C124" s="67" t="n"/>
      <c r="D124" s="67" t="n"/>
      <c r="E124" s="67" t="n"/>
      <c r="G124" s="67" t="n"/>
      <c r="H124" s="67" t="n"/>
    </row>
    <row r="125">
      <c r="B125" s="67" t="n"/>
      <c r="C125" s="67" t="n"/>
      <c r="D125" s="67" t="n"/>
      <c r="E125" s="67" t="n"/>
      <c r="G125" s="67" t="n"/>
      <c r="H125" s="67" t="n"/>
    </row>
    <row r="126">
      <c r="B126" s="67" t="n"/>
      <c r="C126" s="67" t="n"/>
      <c r="D126" s="67" t="n"/>
      <c r="E126" s="67" t="n"/>
      <c r="G126" s="67" t="n"/>
      <c r="H126" s="67" t="n"/>
    </row>
    <row r="127">
      <c r="B127" s="67" t="n"/>
      <c r="C127" s="67" t="n"/>
      <c r="D127" s="67" t="n"/>
      <c r="E127" s="67" t="n"/>
      <c r="G127" s="67" t="n"/>
      <c r="H127" s="67" t="n"/>
    </row>
    <row r="128">
      <c r="B128" s="67" t="n"/>
      <c r="C128" s="67" t="n"/>
      <c r="D128" s="67" t="n"/>
      <c r="E128" s="67" t="n"/>
      <c r="G128" s="67" t="n"/>
      <c r="H128" s="67" t="n"/>
    </row>
    <row r="129">
      <c r="B129" s="67" t="n"/>
      <c r="C129" s="67" t="n"/>
      <c r="D129" s="67" t="n"/>
      <c r="E129" s="67" t="n"/>
      <c r="G129" s="67" t="n"/>
      <c r="H129" s="67" t="n"/>
    </row>
    <row r="130">
      <c r="B130" s="67" t="n"/>
      <c r="C130" s="67" t="n"/>
      <c r="D130" s="67" t="n"/>
      <c r="E130" s="67" t="n"/>
      <c r="G130" s="67" t="n"/>
      <c r="H130" s="67" t="n"/>
    </row>
    <row r="131">
      <c r="B131" s="67" t="n"/>
      <c r="C131" s="67" t="n"/>
      <c r="D131" s="67" t="n"/>
      <c r="E131" s="67" t="n"/>
      <c r="G131" s="67" t="n"/>
      <c r="H131" s="67" t="n"/>
    </row>
    <row r="132">
      <c r="B132" s="67" t="n"/>
      <c r="C132" s="67" t="n"/>
      <c r="D132" s="67" t="n"/>
      <c r="E132" s="67" t="n"/>
      <c r="G132" s="67" t="n"/>
      <c r="H132" s="67" t="n"/>
    </row>
    <row r="133">
      <c r="B133" s="67" t="n"/>
      <c r="C133" s="67" t="n"/>
      <c r="D133" s="67" t="n"/>
      <c r="E133" s="67" t="n"/>
      <c r="G133" s="67" t="n"/>
      <c r="H133" s="67" t="n"/>
    </row>
    <row r="134">
      <c r="B134" s="67" t="n"/>
      <c r="C134" s="67" t="n"/>
      <c r="D134" s="67" t="n"/>
      <c r="E134" s="67" t="n"/>
      <c r="G134" s="67" t="n"/>
      <c r="H134" s="67" t="n"/>
    </row>
    <row r="135">
      <c r="B135" s="67" t="n"/>
      <c r="C135" s="67" t="n"/>
      <c r="D135" s="67" t="n"/>
      <c r="E135" s="67" t="n"/>
      <c r="G135" s="67" t="n"/>
      <c r="H135" s="67" t="n"/>
    </row>
    <row r="136">
      <c r="B136" s="67" t="n"/>
      <c r="C136" s="67" t="n"/>
      <c r="D136" s="67" t="n"/>
      <c r="E136" s="67" t="n"/>
      <c r="G136" s="67" t="n"/>
      <c r="H136" s="67" t="n"/>
    </row>
    <row r="137">
      <c r="B137" s="67" t="n"/>
      <c r="C137" s="67" t="n"/>
      <c r="D137" s="67" t="n"/>
      <c r="E137" s="67" t="n"/>
      <c r="G137" s="67" t="n"/>
      <c r="H137" s="67" t="n"/>
    </row>
    <row r="138">
      <c r="B138" s="67" t="n"/>
      <c r="C138" s="67" t="n"/>
      <c r="D138" s="67" t="n"/>
      <c r="E138" s="67" t="n"/>
      <c r="G138" s="67" t="n"/>
      <c r="H138" s="67" t="n"/>
    </row>
    <row r="139">
      <c r="B139" s="67" t="n"/>
      <c r="C139" s="67" t="n"/>
      <c r="D139" s="67" t="n"/>
      <c r="E139" s="67" t="n"/>
      <c r="G139" s="67" t="n"/>
      <c r="H139" s="67" t="n"/>
    </row>
    <row r="140">
      <c r="B140" s="67" t="n"/>
      <c r="C140" s="67" t="n"/>
      <c r="D140" s="67" t="n"/>
      <c r="E140" s="67" t="n"/>
      <c r="G140" s="67" t="n"/>
      <c r="H140" s="67" t="n"/>
    </row>
    <row r="141">
      <c r="B141" s="67" t="n"/>
      <c r="C141" s="67" t="n"/>
      <c r="D141" s="67" t="n"/>
      <c r="E141" s="67" t="n"/>
      <c r="G141" s="67" t="n"/>
      <c r="H141" s="67" t="n"/>
    </row>
    <row r="142">
      <c r="B142" s="67" t="n"/>
      <c r="C142" s="67" t="n"/>
      <c r="D142" s="67" t="n"/>
      <c r="E142" s="67" t="n"/>
      <c r="G142" s="67" t="n"/>
      <c r="H142" s="67" t="n"/>
    </row>
    <row r="143">
      <c r="B143" s="67" t="n"/>
      <c r="C143" s="67" t="n"/>
      <c r="D143" s="67" t="n"/>
      <c r="E143" s="67" t="n"/>
      <c r="G143" s="67" t="n"/>
      <c r="H143" s="67" t="n"/>
    </row>
    <row r="144">
      <c r="B144" s="67" t="n"/>
      <c r="C144" s="67" t="n"/>
      <c r="D144" s="67" t="n"/>
      <c r="E144" s="67" t="n"/>
      <c r="G144" s="67" t="n"/>
      <c r="H144" s="67" t="n"/>
    </row>
    <row r="145">
      <c r="B145" s="67" t="n"/>
      <c r="C145" s="67" t="n"/>
      <c r="D145" s="67" t="n"/>
      <c r="E145" s="67" t="n"/>
      <c r="G145" s="67" t="n"/>
      <c r="H145" s="67" t="n"/>
    </row>
    <row r="146">
      <c r="B146" s="67" t="n"/>
      <c r="C146" s="67" t="n"/>
      <c r="D146" s="67" t="n"/>
      <c r="E146" s="67" t="n"/>
      <c r="G146" s="67" t="n"/>
      <c r="H146" s="67" t="n"/>
    </row>
    <row r="147">
      <c r="B147" s="67" t="n"/>
      <c r="C147" s="67" t="n"/>
      <c r="D147" s="67" t="n"/>
      <c r="E147" s="67" t="n"/>
      <c r="G147" s="67" t="n"/>
      <c r="H147" s="67" t="n"/>
    </row>
    <row r="148">
      <c r="B148" s="67" t="n"/>
      <c r="C148" s="67" t="n"/>
      <c r="D148" s="67" t="n"/>
      <c r="E148" s="67" t="n"/>
      <c r="G148" s="67" t="n"/>
      <c r="H148" s="67" t="n"/>
    </row>
    <row r="149">
      <c r="B149" s="67" t="n"/>
      <c r="C149" s="67" t="n"/>
      <c r="D149" s="67" t="n"/>
      <c r="E149" s="67" t="n"/>
      <c r="G149" s="67" t="n"/>
      <c r="H149" s="67" t="n"/>
    </row>
    <row r="150">
      <c r="B150" s="67" t="n"/>
      <c r="C150" s="67" t="n"/>
      <c r="D150" s="67" t="n"/>
      <c r="E150" s="67" t="n"/>
      <c r="G150" s="67" t="n"/>
      <c r="H150" s="67" t="n"/>
    </row>
    <row r="151">
      <c r="B151" s="67" t="n"/>
      <c r="C151" s="67" t="n"/>
      <c r="D151" s="67" t="n"/>
      <c r="E151" s="67" t="n"/>
      <c r="G151" s="67" t="n"/>
      <c r="H151" s="67" t="n"/>
    </row>
    <row r="152">
      <c r="B152" s="67" t="n"/>
      <c r="C152" s="67" t="n"/>
      <c r="D152" s="67" t="n"/>
      <c r="E152" s="67" t="n"/>
      <c r="G152" s="67" t="n"/>
      <c r="H152" s="67" t="n"/>
    </row>
    <row r="153">
      <c r="B153" s="67" t="n"/>
      <c r="C153" s="67" t="n"/>
      <c r="D153" s="67" t="n"/>
      <c r="E153" s="67" t="n"/>
      <c r="G153" s="67" t="n"/>
      <c r="H153" s="67" t="n"/>
    </row>
    <row r="154">
      <c r="B154" s="67" t="n"/>
      <c r="C154" s="67" t="n"/>
      <c r="D154" s="67" t="n"/>
      <c r="E154" s="67" t="n"/>
      <c r="G154" s="67" t="n"/>
      <c r="H154" s="67" t="n"/>
    </row>
    <row r="155">
      <c r="B155" s="67" t="n"/>
      <c r="C155" s="67" t="n"/>
      <c r="D155" s="67" t="n"/>
      <c r="E155" s="67" t="n"/>
      <c r="G155" s="67" t="n"/>
      <c r="H155" s="67" t="n"/>
    </row>
    <row r="156">
      <c r="B156" s="67" t="n"/>
      <c r="C156" s="67" t="n"/>
      <c r="D156" s="67" t="n"/>
      <c r="E156" s="67" t="n"/>
      <c r="G156" s="67" t="n"/>
      <c r="H156" s="67" t="n"/>
    </row>
    <row r="157">
      <c r="B157" s="67" t="n"/>
      <c r="C157" s="67" t="n"/>
      <c r="D157" s="67" t="n"/>
      <c r="E157" s="67" t="n"/>
      <c r="G157" s="67" t="n"/>
      <c r="H157" s="67" t="n"/>
    </row>
    <row r="158">
      <c r="B158" s="67" t="n"/>
      <c r="C158" s="67" t="n"/>
      <c r="D158" s="67" t="n"/>
      <c r="E158" s="67" t="n"/>
      <c r="G158" s="67" t="n"/>
      <c r="H158" s="67" t="n"/>
    </row>
    <row r="159">
      <c r="B159" s="67" t="n"/>
      <c r="C159" s="67" t="n"/>
      <c r="D159" s="67" t="n"/>
      <c r="E159" s="67" t="n"/>
      <c r="G159" s="67" t="n"/>
      <c r="H159" s="67" t="n"/>
    </row>
    <row r="160">
      <c r="B160" s="67" t="n"/>
      <c r="C160" s="67" t="n"/>
      <c r="D160" s="67" t="n"/>
      <c r="E160" s="67" t="n"/>
      <c r="G160" s="67" t="n"/>
      <c r="H160" s="67" t="n"/>
    </row>
    <row r="161">
      <c r="B161" s="67" t="n"/>
      <c r="C161" s="67" t="n"/>
      <c r="D161" s="67" t="n"/>
      <c r="E161" s="67" t="n"/>
      <c r="G161" s="67" t="n"/>
      <c r="H161" s="67" t="n"/>
    </row>
    <row r="162">
      <c r="B162" s="67" t="n"/>
      <c r="C162" s="67" t="n"/>
      <c r="D162" s="67" t="n"/>
      <c r="E162" s="67" t="n"/>
      <c r="G162" s="67" t="n"/>
      <c r="H162" s="67" t="n"/>
    </row>
    <row r="163">
      <c r="B163" s="67" t="n"/>
      <c r="C163" s="67" t="n"/>
      <c r="D163" s="67" t="n"/>
      <c r="E163" s="67" t="n"/>
      <c r="G163" s="67" t="n"/>
      <c r="H163" s="67" t="n"/>
    </row>
    <row r="164">
      <c r="B164" s="67" t="n"/>
      <c r="C164" s="67" t="n"/>
      <c r="D164" s="67" t="n"/>
      <c r="E164" s="67" t="n"/>
      <c r="G164" s="67" t="n"/>
      <c r="H164" s="67" t="n"/>
    </row>
    <row r="165">
      <c r="B165" s="67" t="n"/>
      <c r="C165" s="67" t="n"/>
      <c r="D165" s="67" t="n"/>
      <c r="E165" s="67" t="n"/>
      <c r="G165" s="67" t="n"/>
      <c r="H165" s="67" t="n"/>
    </row>
    <row r="166">
      <c r="B166" s="67" t="n"/>
      <c r="C166" s="67" t="n"/>
      <c r="D166" s="67" t="n"/>
      <c r="E166" s="67" t="n"/>
      <c r="G166" s="67" t="n"/>
      <c r="H166" s="67" t="n"/>
    </row>
    <row r="167">
      <c r="B167" s="67" t="n"/>
      <c r="C167" s="67" t="n"/>
      <c r="D167" s="67" t="n"/>
      <c r="E167" s="67" t="n"/>
      <c r="G167" s="67" t="n"/>
      <c r="H167" s="67" t="n"/>
    </row>
    <row r="168">
      <c r="B168" s="67" t="n"/>
      <c r="C168" s="67" t="n"/>
      <c r="D168" s="67" t="n"/>
      <c r="E168" s="67" t="n"/>
      <c r="G168" s="67" t="n"/>
      <c r="H168" s="67" t="n"/>
    </row>
    <row r="169">
      <c r="B169" s="67" t="n"/>
      <c r="C169" s="67" t="n"/>
      <c r="D169" s="67" t="n"/>
      <c r="E169" s="67" t="n"/>
      <c r="G169" s="67" t="n"/>
      <c r="H169" s="67" t="n"/>
    </row>
    <row r="170">
      <c r="B170" s="67" t="n"/>
      <c r="C170" s="67" t="n"/>
      <c r="D170" s="67" t="n"/>
      <c r="E170" s="67" t="n"/>
      <c r="G170" s="67" t="n"/>
      <c r="H170" s="67" t="n"/>
    </row>
    <row r="171">
      <c r="B171" s="67" t="n"/>
      <c r="C171" s="67" t="n"/>
      <c r="D171" s="67" t="n"/>
      <c r="E171" s="67" t="n"/>
      <c r="G171" s="67" t="n"/>
      <c r="H171" s="67" t="n"/>
    </row>
    <row r="172">
      <c r="B172" s="67" t="n"/>
      <c r="C172" s="67" t="n"/>
      <c r="D172" s="67" t="n"/>
      <c r="E172" s="67" t="n"/>
      <c r="G172" s="67" t="n"/>
      <c r="H172" s="67" t="n"/>
    </row>
    <row r="173">
      <c r="B173" s="67" t="n"/>
      <c r="C173" s="67" t="n"/>
      <c r="D173" s="67" t="n"/>
      <c r="E173" s="67" t="n"/>
      <c r="G173" s="67" t="n"/>
      <c r="H173" s="67" t="n"/>
    </row>
    <row r="174">
      <c r="B174" s="67" t="n"/>
      <c r="C174" s="67" t="n"/>
      <c r="D174" s="67" t="n"/>
      <c r="E174" s="67" t="n"/>
      <c r="G174" s="67" t="n"/>
      <c r="H174" s="67" t="n"/>
    </row>
    <row r="175">
      <c r="B175" s="67" t="n"/>
      <c r="C175" s="67" t="n"/>
      <c r="D175" s="67" t="n"/>
      <c r="E175" s="67" t="n"/>
      <c r="G175" s="67" t="n"/>
      <c r="H175" s="67" t="n"/>
    </row>
    <row r="176">
      <c r="B176" s="67" t="n"/>
      <c r="C176" s="67" t="n"/>
      <c r="D176" s="67" t="n"/>
      <c r="E176" s="67" t="n"/>
      <c r="G176" s="67" t="n"/>
      <c r="H176" s="67" t="n"/>
    </row>
    <row r="177">
      <c r="B177" s="67" t="n"/>
      <c r="C177" s="67" t="n"/>
      <c r="D177" s="67" t="n"/>
      <c r="E177" s="67" t="n"/>
      <c r="G177" s="67" t="n"/>
      <c r="H177" s="67" t="n"/>
    </row>
    <row r="178">
      <c r="B178" s="67" t="n"/>
      <c r="C178" s="67" t="n"/>
      <c r="D178" s="67" t="n"/>
      <c r="E178" s="67" t="n"/>
      <c r="G178" s="67" t="n"/>
      <c r="H178" s="67" t="n"/>
    </row>
    <row r="179">
      <c r="B179" s="67" t="n"/>
      <c r="C179" s="67" t="n"/>
      <c r="D179" s="67" t="n"/>
      <c r="E179" s="67" t="n"/>
      <c r="G179" s="67" t="n"/>
      <c r="H179" s="67" t="n"/>
    </row>
    <row r="180">
      <c r="B180" s="67" t="n"/>
      <c r="C180" s="67" t="n"/>
      <c r="D180" s="67" t="n"/>
      <c r="E180" s="67" t="n"/>
      <c r="G180" s="67" t="n"/>
      <c r="H180" s="67" t="n"/>
    </row>
    <row r="181">
      <c r="B181" s="67" t="n"/>
      <c r="C181" s="67" t="n"/>
      <c r="D181" s="67" t="n"/>
      <c r="E181" s="67" t="n"/>
      <c r="G181" s="67" t="n"/>
      <c r="H181" s="67" t="n"/>
    </row>
    <row r="182">
      <c r="B182" s="67" t="n"/>
      <c r="C182" s="67" t="n"/>
      <c r="D182" s="67" t="n"/>
      <c r="E182" s="67" t="n"/>
      <c r="G182" s="67" t="n"/>
      <c r="H182" s="67" t="n"/>
    </row>
    <row r="183">
      <c r="B183" s="67" t="n"/>
      <c r="C183" s="67" t="n"/>
      <c r="D183" s="67" t="n"/>
      <c r="E183" s="67" t="n"/>
      <c r="G183" s="67" t="n"/>
      <c r="H183" s="67" t="n"/>
    </row>
    <row r="184">
      <c r="B184" s="67" t="n"/>
      <c r="C184" s="67" t="n"/>
      <c r="D184" s="67" t="n"/>
      <c r="E184" s="67" t="n"/>
      <c r="G184" s="67" t="n"/>
      <c r="H184" s="67" t="n"/>
    </row>
    <row r="185">
      <c r="B185" s="67" t="n"/>
      <c r="C185" s="67" t="n"/>
      <c r="D185" s="67" t="n"/>
      <c r="E185" s="67" t="n"/>
      <c r="G185" s="67" t="n"/>
      <c r="H185" s="67" t="n"/>
    </row>
    <row r="186">
      <c r="B186" s="67" t="n"/>
      <c r="C186" s="67" t="n"/>
      <c r="D186" s="67" t="n"/>
      <c r="E186" s="67" t="n"/>
      <c r="G186" s="67" t="n"/>
      <c r="H186" s="67" t="n"/>
    </row>
    <row r="187">
      <c r="B187" s="67" t="n"/>
      <c r="C187" s="67" t="n"/>
      <c r="D187" s="67" t="n"/>
      <c r="E187" s="67" t="n"/>
      <c r="G187" s="67" t="n"/>
      <c r="H187" s="67" t="n"/>
    </row>
    <row r="188">
      <c r="B188" s="67" t="n"/>
      <c r="C188" s="67" t="n"/>
      <c r="D188" s="67" t="n"/>
      <c r="E188" s="67" t="n"/>
      <c r="G188" s="67" t="n"/>
      <c r="H188" s="67" t="n"/>
    </row>
    <row r="189">
      <c r="B189" s="67" t="n"/>
      <c r="C189" s="67" t="n"/>
      <c r="D189" s="67" t="n"/>
      <c r="E189" s="67" t="n"/>
      <c r="G189" s="67" t="n"/>
      <c r="H189" s="67" t="n"/>
    </row>
    <row r="190">
      <c r="B190" s="67" t="n"/>
      <c r="C190" s="67" t="n"/>
      <c r="D190" s="67" t="n"/>
      <c r="E190" s="67" t="n"/>
      <c r="G190" s="67" t="n"/>
      <c r="H190" s="67" t="n"/>
    </row>
    <row r="191">
      <c r="B191" s="67" t="n"/>
      <c r="C191" s="67" t="n"/>
      <c r="D191" s="67" t="n"/>
      <c r="E191" s="67" t="n"/>
      <c r="G191" s="67" t="n"/>
      <c r="H191" s="67" t="n"/>
    </row>
    <row r="192">
      <c r="B192" s="67" t="n"/>
      <c r="C192" s="67" t="n"/>
      <c r="D192" s="67" t="n"/>
      <c r="E192" s="67" t="n"/>
      <c r="G192" s="67" t="n"/>
      <c r="H192" s="67" t="n"/>
    </row>
    <row r="193">
      <c r="B193" s="67" t="n"/>
      <c r="C193" s="67" t="n"/>
      <c r="D193" s="67" t="n"/>
      <c r="E193" s="67" t="n"/>
      <c r="G193" s="67" t="n"/>
      <c r="H193" s="67" t="n"/>
    </row>
    <row r="194">
      <c r="B194" s="67" t="n"/>
      <c r="C194" s="67" t="n"/>
      <c r="D194" s="67" t="n"/>
      <c r="E194" s="67" t="n"/>
      <c r="G194" s="67" t="n"/>
      <c r="H194" s="67" t="n"/>
    </row>
    <row r="195">
      <c r="B195" s="67" t="n"/>
      <c r="C195" s="67" t="n"/>
      <c r="D195" s="67" t="n"/>
      <c r="E195" s="67" t="n"/>
      <c r="G195" s="67" t="n"/>
      <c r="H195" s="67" t="n"/>
    </row>
    <row r="196">
      <c r="B196" s="67" t="n"/>
      <c r="C196" s="67" t="n"/>
      <c r="D196" s="67" t="n"/>
      <c r="E196" s="67" t="n"/>
      <c r="G196" s="67" t="n"/>
      <c r="H196" s="67" t="n"/>
    </row>
    <row r="197">
      <c r="B197" s="67" t="n"/>
      <c r="C197" s="67" t="n"/>
      <c r="D197" s="67" t="n"/>
      <c r="E197" s="67" t="n"/>
      <c r="G197" s="67" t="n"/>
      <c r="H197" s="67" t="n"/>
    </row>
    <row r="198">
      <c r="B198" s="67" t="n"/>
      <c r="C198" s="67" t="n"/>
      <c r="D198" s="67" t="n"/>
      <c r="E198" s="67" t="n"/>
      <c r="G198" s="67" t="n"/>
      <c r="H198" s="67" t="n"/>
    </row>
    <row r="199">
      <c r="B199" s="67" t="n"/>
      <c r="C199" s="67" t="n"/>
      <c r="D199" s="67" t="n"/>
      <c r="E199" s="67" t="n"/>
      <c r="G199" s="67" t="n"/>
      <c r="H199" s="67" t="n"/>
    </row>
    <row r="200">
      <c r="B200" s="67" t="n"/>
      <c r="C200" s="67" t="n"/>
      <c r="D200" s="67" t="n"/>
      <c r="E200" s="67" t="n"/>
      <c r="G200" s="67" t="n"/>
      <c r="H200" s="67" t="n"/>
    </row>
    <row r="201">
      <c r="B201" s="67" t="n"/>
      <c r="C201" s="67" t="n"/>
      <c r="D201" s="67" t="n"/>
      <c r="E201" s="67" t="n"/>
      <c r="G201" s="67" t="n"/>
      <c r="H201" s="67" t="n"/>
    </row>
    <row r="202">
      <c r="B202" s="67" t="n"/>
      <c r="C202" s="67" t="n"/>
      <c r="D202" s="67" t="n"/>
      <c r="E202" s="67" t="n"/>
      <c r="G202" s="67" t="n"/>
      <c r="H202" s="67" t="n"/>
    </row>
    <row r="203">
      <c r="B203" s="67" t="n"/>
      <c r="C203" s="67" t="n"/>
      <c r="D203" s="67" t="n"/>
      <c r="E203" s="67" t="n"/>
      <c r="G203" s="67" t="n"/>
      <c r="H203" s="67" t="n"/>
    </row>
    <row r="204">
      <c r="B204" s="67" t="n"/>
      <c r="C204" s="67" t="n"/>
      <c r="D204" s="67" t="n"/>
      <c r="E204" s="67" t="n"/>
      <c r="G204" s="67" t="n"/>
      <c r="H204" s="67" t="n"/>
    </row>
    <row r="205">
      <c r="B205" s="67" t="n"/>
      <c r="C205" s="67" t="n"/>
      <c r="D205" s="67" t="n"/>
      <c r="E205" s="67" t="n"/>
      <c r="G205" s="67" t="n"/>
      <c r="H205" s="67" t="n"/>
    </row>
    <row r="206">
      <c r="B206" s="67" t="n"/>
      <c r="C206" s="67" t="n"/>
      <c r="D206" s="67" t="n"/>
      <c r="E206" s="67" t="n"/>
      <c r="G206" s="67" t="n"/>
      <c r="H206" s="67" t="n"/>
    </row>
    <row r="207">
      <c r="B207" s="67" t="n"/>
      <c r="C207" s="67" t="n"/>
      <c r="D207" s="67" t="n"/>
      <c r="E207" s="67" t="n"/>
      <c r="G207" s="67" t="n"/>
      <c r="H207" s="67" t="n"/>
    </row>
    <row r="208">
      <c r="B208" s="67" t="n"/>
      <c r="C208" s="67" t="n"/>
      <c r="D208" s="67" t="n"/>
      <c r="E208" s="67" t="n"/>
      <c r="G208" s="67" t="n"/>
      <c r="H208" s="67" t="n"/>
    </row>
    <row r="209">
      <c r="B209" s="67" t="n"/>
      <c r="C209" s="67" t="n"/>
      <c r="D209" s="67" t="n"/>
      <c r="E209" s="67" t="n"/>
      <c r="G209" s="67" t="n"/>
      <c r="H209" s="67" t="n"/>
    </row>
    <row r="210">
      <c r="B210" s="67" t="n"/>
      <c r="C210" s="67" t="n"/>
      <c r="D210" s="67" t="n"/>
      <c r="E210" s="67" t="n"/>
      <c r="G210" s="67" t="n"/>
      <c r="H210" s="67" t="n"/>
    </row>
    <row r="211">
      <c r="B211" s="67" t="n"/>
      <c r="C211" s="67" t="n"/>
      <c r="D211" s="67" t="n"/>
      <c r="E211" s="67" t="n"/>
      <c r="G211" s="67" t="n"/>
      <c r="H211" s="67" t="n"/>
    </row>
    <row r="212">
      <c r="B212" s="67" t="n"/>
      <c r="C212" s="67" t="n"/>
      <c r="D212" s="67" t="n"/>
      <c r="E212" s="67" t="n"/>
      <c r="G212" s="67" t="n"/>
      <c r="H212" s="67" t="n"/>
    </row>
    <row r="213">
      <c r="B213" s="67" t="n"/>
      <c r="C213" s="67" t="n"/>
      <c r="D213" s="67" t="n"/>
      <c r="E213" s="67" t="n"/>
      <c r="G213" s="67" t="n"/>
      <c r="H213" s="67" t="n"/>
    </row>
    <row r="214">
      <c r="B214" s="67" t="n"/>
      <c r="C214" s="67" t="n"/>
      <c r="D214" s="67" t="n"/>
      <c r="E214" s="67" t="n"/>
      <c r="G214" s="67" t="n"/>
      <c r="H214" s="67" t="n"/>
    </row>
    <row r="215">
      <c r="B215" s="67" t="n"/>
      <c r="C215" s="67" t="n"/>
      <c r="D215" s="67" t="n"/>
      <c r="E215" s="67" t="n"/>
      <c r="G215" s="67" t="n"/>
      <c r="H215" s="67" t="n"/>
    </row>
    <row r="216">
      <c r="B216" s="67" t="n"/>
      <c r="C216" s="67" t="n"/>
      <c r="D216" s="67" t="n"/>
      <c r="E216" s="67" t="n"/>
      <c r="G216" s="67" t="n"/>
      <c r="H216" s="67" t="n"/>
    </row>
    <row r="217">
      <c r="B217" s="67" t="n"/>
      <c r="C217" s="67" t="n"/>
      <c r="D217" s="67" t="n"/>
      <c r="E217" s="67" t="n"/>
      <c r="G217" s="67" t="n"/>
      <c r="H217" s="67" t="n"/>
    </row>
    <row r="218">
      <c r="B218" s="67" t="n"/>
      <c r="C218" s="67" t="n"/>
      <c r="D218" s="67" t="n"/>
      <c r="E218" s="67" t="n"/>
      <c r="G218" s="67" t="n"/>
      <c r="H218" s="67" t="n"/>
    </row>
    <row r="219">
      <c r="B219" s="67" t="n"/>
      <c r="C219" s="67" t="n"/>
      <c r="D219" s="67" t="n"/>
      <c r="E219" s="67" t="n"/>
      <c r="G219" s="67" t="n"/>
      <c r="H219" s="67" t="n"/>
    </row>
    <row r="220">
      <c r="B220" s="67" t="n"/>
      <c r="C220" s="67" t="n"/>
      <c r="D220" s="67" t="n"/>
      <c r="E220" s="67" t="n"/>
      <c r="G220" s="67" t="n"/>
      <c r="H220" s="67" t="n"/>
    </row>
  </sheetData>
  <mergeCells count="7">
    <mergeCell ref="B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20:B220">
    <cfRule type="expression" priority="2" dxfId="6">
      <formula>AND(LEN($B20&amp;$C20&amp;$D20&amp;$E20&amp;$F20&amp;$G20&amp;$H20)&gt;0,B20="")</formula>
    </cfRule>
  </conditionalFormatting>
  <conditionalFormatting sqref="C20:C220">
    <cfRule type="expression" priority="3" dxfId="6">
      <formula>AND(LEN($B20&amp;$C20&amp;$D20&amp;$E20&amp;$F20&amp;$G20&amp;$H20)&gt;0,C20="")</formula>
    </cfRule>
  </conditionalFormatting>
  <conditionalFormatting sqref="D20:D220">
    <cfRule type="expression" priority="4" dxfId="6">
      <formula>AND(LEN($B20&amp;$C20&amp;$D20&amp;$E20&amp;$F20&amp;$G20&amp;$H20)&gt;0,D20="")</formula>
    </cfRule>
  </conditionalFormatting>
  <conditionalFormatting sqref="H20:H220">
    <cfRule type="expression" priority="5" dxfId="6">
      <formula>AND(LEN($B20&amp;$C20&amp;$D20&amp;$E20&amp;$F20&amp;$G20&amp;$H20)&gt;0,H20="")</formula>
    </cfRule>
  </conditionalFormatting>
  <dataValidations count="9">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H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insurer_code" error="At most 30 characters." promptTitle="insurer_code" prompt="Yes. Legacy insurer code Allowed: The legacy code; mapped by the code map INSURER (sheet Code maps)" type="textLength" operator="lessThanOrEqual">
      <formula1>30</formula1>
    </dataValidation>
    <dataValidation sqref="C20:C220" showDropDown="0" showInputMessage="1" showErrorMessage="1" allowBlank="1" errorTitle="branch_code" error="At most 20 characters." promptTitle="branch_code" prompt="Yes. Legacy insurer branch code Allowed: Free entry, up to 20 characters" type="textLength" operator="lessThanOrEqual">
      <formula1>20</formula1>
    </dataValidation>
    <dataValidation sqref="D20:D220" showDropDown="0" showInputMessage="1" showErrorMessage="1" allowBlank="1" errorTitle="branch_name" error="At most 120 characters." promptTitle="branch_name" prompt="Yes. Branch name Allowed: Free entry, up to 120 characters" type="textLength" operator="lessThanOrEqual">
      <formula1>120</formula1>
    </dataValidation>
    <dataValidation sqref="E20:E220" showDropDown="0" showInputMessage="1" showErrorMessage="1" allowBlank="1" errorTitle="city" error="At most 80 characters." promptTitle="city" prompt="No. City Allowed: Free entry, up to 80 characters" type="textLength" operator="lessThanOrEqual">
      <formula1>80</formula1>
    </dataValidation>
    <dataValidation sqref="F20:F220" showDropDown="0" showInputMessage="1" showErrorMessage="1" allowBlank="1" errorTitle="lgt_rate" error="Enter a number." promptTitle="lgt_rate" prompt="No. Local government tax rate of the branch location, in percent Allowed: A number" type="decimal" operator="greaterThanOrEqual">
      <formula1>-1E+15</formula1>
    </dataValidation>
    <dataValidation sqref="G20:G220" showDropDown="0" showInputMessage="1" showErrorMessage="1" allowBlank="1" errorTitle="placement_email" error="At most 120 characters." promptTitle="placement_email" prompt="No. Branch placement e-mail Allowed: Free entry, up to 120 characters" type="textLength" operator="lessThanOrEqual">
      <formula1>120</formula1>
    </dataValidation>
    <dataValidation sqref="H20:H220" showDropDown="0" showInputMessage="1" showErrorMessage="1" allowBlank="1" errorTitle="status" error="At most 20 characters." promptTitle="status" prompt="Yes. Branch status Allowed: The legacy code; mapped by the code map STATUS:INSURER (sheet Code maps)" type="textLength" operator="lessThanOrEqual">
      <formula1>20</formula1>
    </dataValidation>
  </dataValidations>
  <hyperlinks>
    <hyperlink ref="A2" location="'Load templates'!A1"/>
    <hyperlink ref="H2" location="'Comments log'!A1"/>
    <hyperlink ref="B8" location="'R04 Insurers'!A1"/>
    <hyperlink ref="B17" location="'Code maps'!A1"/>
    <hyperlink ref="H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tabColor rgb="00004EA8"/>
    <outlinePr summaryBelow="0" summaryRight="1"/>
    <pageSetUpPr fitToPage="1"/>
  </sheetPr>
  <dimension ref="A1:J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5.90909090909091" customWidth="1" min="2" max="2"/>
    <col width="14" customWidth="1" min="3" max="3"/>
    <col width="20" customWidth="1" min="4" max="4"/>
    <col width="15.90909090909091" customWidth="1" min="5" max="5"/>
    <col width="34" customWidth="1" min="6" max="6"/>
    <col width="18" customWidth="1" min="7" max="7"/>
    <col width="20" customWidth="1" min="8" max="8"/>
    <col width="15.90909090909091" customWidth="1" min="9" max="9"/>
    <col width="20" customWidth="1" min="10" max="10"/>
  </cols>
  <sheetData>
    <row r="1" ht="26" customHeight="1">
      <c r="A1" s="44" t="inlineStr">
        <is>
          <t>R05 Product lines, cover types, products and risk codes</t>
        </is>
      </c>
      <c r="J1" s="45" t="inlineStr">
        <is>
          <t>Step 6 of 29</t>
        </is>
      </c>
    </row>
    <row r="2">
      <c r="A2" s="46" t="inlineStr">
        <is>
          <t>← Back to Load templates</t>
        </is>
      </c>
      <c r="B2" s="47" t="inlineStr">
        <is>
          <t>Step 6 of 29. Fill in one row per record below the column headers; the guide above each column says what to enter.</t>
        </is>
      </c>
      <c r="J2" s="48" t="inlineStr">
        <is>
          <t>Ask a question →</t>
        </is>
      </c>
    </row>
    <row r="3" outlineLevel="1" ht="28" customHeight="1">
      <c r="A3" s="49" t="inlineStr">
        <is>
          <t>Purpose</t>
        </is>
      </c>
      <c r="B3" s="50" t="inlineStr">
        <is>
          <t>One row per record of Product lines, cover types, products and risk codes as extracted from QPS, EBIX. Key risk_code. Sent as the file R05_template.csv (CSV, header row as below) with its control file (row count, count of distinct keys).</t>
        </is>
      </c>
    </row>
    <row r="4" outlineLevel="1" ht="15.5" customHeight="1">
      <c r="A4" s="49" t="inlineStr">
        <is>
          <t>Provided by</t>
        </is>
      </c>
      <c r="B4" s="50" t="inlineStr">
        <is>
          <t>MBS data steward (to name); approved by Product Owner, MBS; extracted by BDOI IT</t>
        </is>
      </c>
    </row>
    <row r="5" outlineLevel="1" ht="15.5" customHeight="1">
      <c r="A5" s="49" t="inlineStr">
        <is>
          <t>Due</t>
        </is>
      </c>
      <c r="B5" s="51" t="inlineStr">
        <is>
          <t>M3 (29 Jan 2027)</t>
        </is>
      </c>
    </row>
    <row r="6" outlineLevel="1" ht="15.5" customHeight="1">
      <c r="A6" s="49" t="inlineStr">
        <is>
          <t>How it is loaded</t>
        </is>
      </c>
      <c r="B6" s="50" t="inlineStr">
        <is>
          <t>Data migration object R05 (Migrate), layout R05 version 1, through the Migration Console; lands in: Product catalogue: product lines, cover types and products</t>
        </is>
      </c>
    </row>
    <row r="7" outlineLevel="1" ht="15.5" customHeight="1">
      <c r="A7" s="49" t="inlineStr">
        <is>
          <t>Source</t>
        </is>
      </c>
      <c r="B7" s="50" t="inlineStr">
        <is>
          <t>QPS, EBIX</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SUMPRODUCT(((ROW($B$20:$B$220)&gt;20)+($B$20&lt;&gt;"MOTOR")&gt;0)*(LEN($B$20:$B$220&amp;$C$20:$C$220&amp;$D$20:$D$220&amp;$E$20:$E$220&amp;$F$20:$F$220&amp;$G$20:$G$220&amp;$H$20:$H$220&amp;$I$20:$I$220&amp;$J$20:$J$220)&gt;0))</f>
        <v/>
      </c>
      <c r="D9" s="54" t="inlineStr">
        <is>
          <t>Mandatory cells missing</t>
        </is>
      </c>
      <c r="E9" s="55">
        <f>SUMPRODUCT(((ROW($B$20:$B$220)&gt;20)+($B$20&lt;&gt;"MOTOR")&gt;0)*(LEN($B$20:$B$220&amp;$C$20:$C$220&amp;$D$20:$D$220&amp;$E$20:$E$220&amp;$F$20:$F$220&amp;$G$20:$G$220&amp;$H$20:$H$220&amp;$I$20:$I$220&amp;$J$20:$J$220)&gt;0)*(($B$20:$B$220="")+($E$20:$E$220="")+($F$20:$F$220="")+($I$20:$I$220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row>
    <row r="12" ht="30" customHeight="1">
      <c r="A12" s="59" t="inlineStr">
        <is>
          <t>BU review</t>
        </is>
      </c>
      <c r="B12" s="60" t="n"/>
      <c r="C12" s="60" t="n"/>
      <c r="D12" s="60" t="n"/>
      <c r="E12" s="60" t="n"/>
      <c r="F12" s="60" t="n"/>
      <c r="G12" s="60" t="n"/>
      <c r="H12" s="60" t="n"/>
      <c r="I12" s="60" t="n"/>
      <c r="J12" s="60" t="n"/>
    </row>
    <row r="13" ht="30" customHeight="1">
      <c r="A13" s="59" t="inlineStr">
        <is>
          <t>BU comment</t>
        </is>
      </c>
      <c r="B13" s="60" t="n"/>
      <c r="C13" s="60" t="n"/>
      <c r="D13" s="60" t="n"/>
      <c r="E13" s="60" t="n"/>
      <c r="F13" s="60" t="n"/>
      <c r="G13" s="60" t="n"/>
      <c r="H13" s="60" t="n"/>
      <c r="I13" s="60" t="n"/>
      <c r="J13" s="60" t="n"/>
    </row>
    <row r="14" ht="17" customHeight="1">
      <c r="A14" s="59" t="inlineStr">
        <is>
          <t>Check when loaded</t>
        </is>
      </c>
      <c r="B14" s="61" t="inlineStr">
        <is>
          <t>Mapped</t>
        </is>
      </c>
      <c r="C14" s="61" t="inlineStr">
        <is>
          <t>-</t>
        </is>
      </c>
      <c r="D14" s="61" t="inlineStr">
        <is>
          <t>Mapped</t>
        </is>
      </c>
      <c r="E14" s="61" t="inlineStr">
        <is>
          <t>Unique</t>
        </is>
      </c>
      <c r="F14" s="61" t="inlineStr">
        <is>
          <t>Not blank</t>
        </is>
      </c>
      <c r="G14" s="61" t="inlineStr">
        <is>
          <t>Y or N</t>
        </is>
      </c>
      <c r="H14" s="61" t="inlineStr">
        <is>
          <t>Each mapped</t>
        </is>
      </c>
      <c r="I14" s="61" t="inlineStr">
        <is>
          <t>Mapped</t>
        </is>
      </c>
      <c r="J14" s="61" t="inlineStr">
        <is>
          <t>0 or more</t>
        </is>
      </c>
    </row>
    <row r="15" ht="17" customHeight="1">
      <c r="A15" s="59" t="inlineStr">
        <is>
          <t>Mandatory</t>
        </is>
      </c>
      <c r="B15" s="62" t="inlineStr">
        <is>
          <t>Yes</t>
        </is>
      </c>
      <c r="C15" s="61" t="inlineStr">
        <is>
          <t>No</t>
        </is>
      </c>
      <c r="D15" s="61" t="inlineStr">
        <is>
          <t>No</t>
        </is>
      </c>
      <c r="E15" s="62" t="inlineStr">
        <is>
          <t>Yes</t>
        </is>
      </c>
      <c r="F15" s="62" t="inlineStr">
        <is>
          <t>Yes</t>
        </is>
      </c>
      <c r="G15" s="61" t="inlineStr">
        <is>
          <t>No</t>
        </is>
      </c>
      <c r="H15" s="61" t="inlineStr">
        <is>
          <t>No</t>
        </is>
      </c>
      <c r="I15" s="62" t="inlineStr">
        <is>
          <t>Yes</t>
        </is>
      </c>
      <c r="J15" s="61" t="inlineStr">
        <is>
          <t>No</t>
        </is>
      </c>
    </row>
    <row r="16" ht="30" customHeight="1">
      <c r="A16" s="59" t="inlineStr">
        <is>
          <t>Format</t>
        </is>
      </c>
      <c r="B16" s="61" t="inlineStr">
        <is>
          <t>Code, up to 30; As stored in legacy</t>
        </is>
      </c>
      <c r="C16" s="61" t="inlineStr">
        <is>
          <t>Text, up to 120; Free text</t>
        </is>
      </c>
      <c r="D16" s="61" t="inlineStr">
        <is>
          <t>Code, up to 30; As stored in legacy</t>
        </is>
      </c>
      <c r="E16" s="61" t="inlineStr">
        <is>
          <t>Code, up to 20; As stored in legacy</t>
        </is>
      </c>
      <c r="F16" s="61" t="inlineStr">
        <is>
          <t>Text, up to 200; Free text</t>
        </is>
      </c>
      <c r="G16" s="61" t="inlineStr">
        <is>
          <t>Flag, up to 1; Y or N</t>
        </is>
      </c>
      <c r="H16" s="61" t="inlineStr">
        <is>
          <t>Text, up to 300; CODE;CODE</t>
        </is>
      </c>
      <c r="I16" s="61" t="inlineStr">
        <is>
          <t>Code, up to 20; As stored in legacy</t>
        </is>
      </c>
      <c r="J16" s="61" t="inlineStr">
        <is>
          <t>Integer, up to 9; Digits</t>
        </is>
      </c>
    </row>
    <row r="17" ht="56" customHeight="1">
      <c r="A17" s="59" t="inlineStr">
        <is>
          <t>Allowed values</t>
        </is>
      </c>
      <c r="B17" s="69" t="inlineStr">
        <is>
          <t>The legacy code; mapped by the code map LINE (sheet Code maps)</t>
        </is>
      </c>
      <c r="C17" s="61" t="inlineStr">
        <is>
          <t>Free entry, up to 120 characters</t>
        </is>
      </c>
      <c r="D17" s="69" t="inlineStr">
        <is>
          <t>The legacy code; mapped by the code map COVER_TYPE (sheet Code maps)</t>
        </is>
      </c>
      <c r="E17" s="61" t="inlineStr">
        <is>
          <t>Free entry, up to 20 characters</t>
        </is>
      </c>
      <c r="F17" s="61" t="inlineStr">
        <is>
          <t>Free entry, up to 200 characters</t>
        </is>
      </c>
      <c r="G17" s="61" t="inlineStr">
        <is>
          <t>Y or N</t>
        </is>
      </c>
      <c r="H17" s="69" t="inlineStr">
        <is>
          <t>The legacy code; mapped by the code map LOV:MARKET_SEGMENT (sheet Code maps)</t>
        </is>
      </c>
      <c r="I17" s="69" t="inlineStr">
        <is>
          <t>The legacy code; mapped by the code map STATUS:PRODUCT (sheet Code maps)</t>
        </is>
      </c>
      <c r="J17" s="61" t="inlineStr">
        <is>
          <t>A whole number</t>
        </is>
      </c>
    </row>
    <row r="18" ht="56" customHeight="1">
      <c r="A18" s="59" t="inlineStr">
        <is>
          <t>What to enter</t>
        </is>
      </c>
      <c r="B18" s="61" t="inlineStr">
        <is>
          <t>Legacy line of business</t>
        </is>
      </c>
      <c r="C18" s="61" t="inlineStr">
        <is>
          <t>Line name</t>
        </is>
      </c>
      <c r="D18" s="61" t="inlineStr">
        <is>
          <t>Legacy cover type</t>
        </is>
      </c>
      <c r="E18" s="61" t="inlineStr">
        <is>
          <t>Legacy risk code / product code</t>
        </is>
      </c>
      <c r="F18" s="61" t="inlineStr">
        <is>
          <t>Product / risk name</t>
        </is>
      </c>
      <c r="G18" s="61" t="inlineStr">
        <is>
          <t>Sold as a package</t>
        </is>
      </c>
      <c r="H18" s="61" t="inlineStr">
        <is>
          <t>Segments that may use the product, separated by semicolons</t>
        </is>
      </c>
      <c r="I18" s="61" t="inlineStr">
        <is>
          <t>Status in legacy</t>
        </is>
      </c>
      <c r="J18" s="61" t="inlineStr">
        <is>
          <t>Open invoices and in-force policies using the code (helps the mapping)</t>
        </is>
      </c>
    </row>
    <row r="19" ht="30" customHeight="1">
      <c r="A19" s="63" t="inlineStr">
        <is>
          <t>Row</t>
        </is>
      </c>
      <c r="B19" s="24" t="inlineStr">
        <is>
          <t>line_code *</t>
        </is>
      </c>
      <c r="C19" s="24" t="inlineStr">
        <is>
          <t>line_name</t>
        </is>
      </c>
      <c r="D19" s="24" t="inlineStr">
        <is>
          <t>cover_type_code</t>
        </is>
      </c>
      <c r="E19" s="24" t="inlineStr">
        <is>
          <t>risk_code *</t>
        </is>
      </c>
      <c r="F19" s="24" t="inlineStr">
        <is>
          <t>risk_name *</t>
        </is>
      </c>
      <c r="G19" s="24" t="inlineStr">
        <is>
          <t>packaged_flag</t>
        </is>
      </c>
      <c r="H19" s="24" t="inlineStr">
        <is>
          <t>market_segments</t>
        </is>
      </c>
      <c r="I19" s="24" t="inlineStr">
        <is>
          <t>status *</t>
        </is>
      </c>
      <c r="J19" s="24" t="inlineStr">
        <is>
          <t>open_item_count</t>
        </is>
      </c>
    </row>
    <row r="20" ht="18" customHeight="1">
      <c r="A20" s="64" t="inlineStr">
        <is>
          <t>Example – overwrite or delete</t>
        </is>
      </c>
      <c r="B20" s="65" t="inlineStr">
        <is>
          <t>MOTOR</t>
        </is>
      </c>
      <c r="C20" s="65" t="inlineStr">
        <is>
          <t>Motor Car</t>
        </is>
      </c>
      <c r="D20" s="65" t="inlineStr">
        <is>
          <t>COMP</t>
        </is>
      </c>
      <c r="E20" s="65" t="inlineStr">
        <is>
          <t>MC-PC-COMP</t>
        </is>
      </c>
      <c r="F20" s="65" t="inlineStr">
        <is>
          <t>Private Car Own Damage and Theft</t>
        </is>
      </c>
      <c r="G20" s="65" t="inlineStr">
        <is>
          <t>N</t>
        </is>
      </c>
      <c r="H20" s="65" t="inlineStr">
        <is>
          <t>CBG;RETAIL</t>
        </is>
      </c>
      <c r="I20" s="65" t="inlineStr">
        <is>
          <t>ACTIVE</t>
        </is>
      </c>
      <c r="J20" s="66" t="n">
        <v>4211</v>
      </c>
    </row>
    <row r="21">
      <c r="B21" s="67" t="n"/>
      <c r="C21" s="67" t="n"/>
      <c r="D21" s="67" t="n"/>
      <c r="E21" s="67" t="n"/>
      <c r="F21" s="67" t="n"/>
      <c r="G21" s="67" t="n"/>
      <c r="H21" s="67" t="n"/>
      <c r="I21" s="67" t="n"/>
    </row>
    <row r="22">
      <c r="B22" s="67" t="n"/>
      <c r="C22" s="67" t="n"/>
      <c r="D22" s="67" t="n"/>
      <c r="E22" s="67" t="n"/>
      <c r="F22" s="67" t="n"/>
      <c r="G22" s="67" t="n"/>
      <c r="H22" s="67" t="n"/>
      <c r="I22" s="67" t="n"/>
    </row>
    <row r="23">
      <c r="B23" s="67" t="n"/>
      <c r="C23" s="67" t="n"/>
      <c r="D23" s="67" t="n"/>
      <c r="E23" s="67" t="n"/>
      <c r="F23" s="67" t="n"/>
      <c r="G23" s="67" t="n"/>
      <c r="H23" s="67" t="n"/>
      <c r="I23" s="67" t="n"/>
    </row>
    <row r="24">
      <c r="B24" s="67" t="n"/>
      <c r="C24" s="67" t="n"/>
      <c r="D24" s="67" t="n"/>
      <c r="E24" s="67" t="n"/>
      <c r="F24" s="67" t="n"/>
      <c r="G24" s="67" t="n"/>
      <c r="H24" s="67" t="n"/>
      <c r="I24" s="67" t="n"/>
    </row>
    <row r="25">
      <c r="B25" s="67" t="n"/>
      <c r="C25" s="67" t="n"/>
      <c r="D25" s="67" t="n"/>
      <c r="E25" s="67" t="n"/>
      <c r="F25" s="67" t="n"/>
      <c r="G25" s="67" t="n"/>
      <c r="H25" s="67" t="n"/>
      <c r="I25" s="67" t="n"/>
    </row>
    <row r="26">
      <c r="B26" s="67" t="n"/>
      <c r="C26" s="67" t="n"/>
      <c r="D26" s="67" t="n"/>
      <c r="E26" s="67" t="n"/>
      <c r="F26" s="67" t="n"/>
      <c r="G26" s="67" t="n"/>
      <c r="H26" s="67" t="n"/>
      <c r="I26" s="67" t="n"/>
    </row>
    <row r="27">
      <c r="B27" s="67" t="n"/>
      <c r="C27" s="67" t="n"/>
      <c r="D27" s="67" t="n"/>
      <c r="E27" s="67" t="n"/>
      <c r="F27" s="67" t="n"/>
      <c r="G27" s="67" t="n"/>
      <c r="H27" s="67" t="n"/>
      <c r="I27" s="67" t="n"/>
    </row>
    <row r="28">
      <c r="B28" s="67" t="n"/>
      <c r="C28" s="67" t="n"/>
      <c r="D28" s="67" t="n"/>
      <c r="E28" s="67" t="n"/>
      <c r="F28" s="67" t="n"/>
      <c r="G28" s="67" t="n"/>
      <c r="H28" s="67" t="n"/>
      <c r="I28" s="67" t="n"/>
    </row>
    <row r="29">
      <c r="B29" s="67" t="n"/>
      <c r="C29" s="67" t="n"/>
      <c r="D29" s="67" t="n"/>
      <c r="E29" s="67" t="n"/>
      <c r="F29" s="67" t="n"/>
      <c r="G29" s="67" t="n"/>
      <c r="H29" s="67" t="n"/>
      <c r="I29" s="67" t="n"/>
    </row>
    <row r="30">
      <c r="B30" s="67" t="n"/>
      <c r="C30" s="67" t="n"/>
      <c r="D30" s="67" t="n"/>
      <c r="E30" s="67" t="n"/>
      <c r="F30" s="67" t="n"/>
      <c r="G30" s="67" t="n"/>
      <c r="H30" s="67" t="n"/>
      <c r="I30" s="67" t="n"/>
    </row>
    <row r="31">
      <c r="B31" s="67" t="n"/>
      <c r="C31" s="67" t="n"/>
      <c r="D31" s="67" t="n"/>
      <c r="E31" s="67" t="n"/>
      <c r="F31" s="67" t="n"/>
      <c r="G31" s="67" t="n"/>
      <c r="H31" s="67" t="n"/>
      <c r="I31" s="67" t="n"/>
    </row>
    <row r="32">
      <c r="B32" s="67" t="n"/>
      <c r="C32" s="67" t="n"/>
      <c r="D32" s="67" t="n"/>
      <c r="E32" s="67" t="n"/>
      <c r="F32" s="67" t="n"/>
      <c r="G32" s="67" t="n"/>
      <c r="H32" s="67" t="n"/>
      <c r="I32" s="67" t="n"/>
    </row>
    <row r="33">
      <c r="B33" s="67" t="n"/>
      <c r="C33" s="67" t="n"/>
      <c r="D33" s="67" t="n"/>
      <c r="E33" s="67" t="n"/>
      <c r="F33" s="67" t="n"/>
      <c r="G33" s="67" t="n"/>
      <c r="H33" s="67" t="n"/>
      <c r="I33" s="67" t="n"/>
    </row>
    <row r="34">
      <c r="B34" s="67" t="n"/>
      <c r="C34" s="67" t="n"/>
      <c r="D34" s="67" t="n"/>
      <c r="E34" s="67" t="n"/>
      <c r="F34" s="67" t="n"/>
      <c r="G34" s="67" t="n"/>
      <c r="H34" s="67" t="n"/>
      <c r="I34" s="67" t="n"/>
    </row>
    <row r="35">
      <c r="B35" s="67" t="n"/>
      <c r="C35" s="67" t="n"/>
      <c r="D35" s="67" t="n"/>
      <c r="E35" s="67" t="n"/>
      <c r="F35" s="67" t="n"/>
      <c r="G35" s="67" t="n"/>
      <c r="H35" s="67" t="n"/>
      <c r="I35" s="67" t="n"/>
    </row>
    <row r="36">
      <c r="B36" s="67" t="n"/>
      <c r="C36" s="67" t="n"/>
      <c r="D36" s="67" t="n"/>
      <c r="E36" s="67" t="n"/>
      <c r="F36" s="67" t="n"/>
      <c r="G36" s="67" t="n"/>
      <c r="H36" s="67" t="n"/>
      <c r="I36" s="67" t="n"/>
    </row>
    <row r="37">
      <c r="B37" s="67" t="n"/>
      <c r="C37" s="67" t="n"/>
      <c r="D37" s="67" t="n"/>
      <c r="E37" s="67" t="n"/>
      <c r="F37" s="67" t="n"/>
      <c r="G37" s="67" t="n"/>
      <c r="H37" s="67" t="n"/>
      <c r="I37" s="67" t="n"/>
    </row>
    <row r="38">
      <c r="B38" s="67" t="n"/>
      <c r="C38" s="67" t="n"/>
      <c r="D38" s="67" t="n"/>
      <c r="E38" s="67" t="n"/>
      <c r="F38" s="67" t="n"/>
      <c r="G38" s="67" t="n"/>
      <c r="H38" s="67" t="n"/>
      <c r="I38" s="67" t="n"/>
    </row>
    <row r="39">
      <c r="B39" s="67" t="n"/>
      <c r="C39" s="67" t="n"/>
      <c r="D39" s="67" t="n"/>
      <c r="E39" s="67" t="n"/>
      <c r="F39" s="67" t="n"/>
      <c r="G39" s="67" t="n"/>
      <c r="H39" s="67" t="n"/>
      <c r="I39" s="67" t="n"/>
    </row>
    <row r="40">
      <c r="B40" s="67" t="n"/>
      <c r="C40" s="67" t="n"/>
      <c r="D40" s="67" t="n"/>
      <c r="E40" s="67" t="n"/>
      <c r="F40" s="67" t="n"/>
      <c r="G40" s="67" t="n"/>
      <c r="H40" s="67" t="n"/>
      <c r="I40" s="67" t="n"/>
    </row>
    <row r="41">
      <c r="B41" s="67" t="n"/>
      <c r="C41" s="67" t="n"/>
      <c r="D41" s="67" t="n"/>
      <c r="E41" s="67" t="n"/>
      <c r="F41" s="67" t="n"/>
      <c r="G41" s="67" t="n"/>
      <c r="H41" s="67" t="n"/>
      <c r="I41" s="67" t="n"/>
    </row>
    <row r="42">
      <c r="B42" s="67" t="n"/>
      <c r="C42" s="67" t="n"/>
      <c r="D42" s="67" t="n"/>
      <c r="E42" s="67" t="n"/>
      <c r="F42" s="67" t="n"/>
      <c r="G42" s="67" t="n"/>
      <c r="H42" s="67" t="n"/>
      <c r="I42" s="67" t="n"/>
    </row>
    <row r="43">
      <c r="B43" s="67" t="n"/>
      <c r="C43" s="67" t="n"/>
      <c r="D43" s="67" t="n"/>
      <c r="E43" s="67" t="n"/>
      <c r="F43" s="67" t="n"/>
      <c r="G43" s="67" t="n"/>
      <c r="H43" s="67" t="n"/>
      <c r="I43" s="67" t="n"/>
    </row>
    <row r="44">
      <c r="B44" s="67" t="n"/>
      <c r="C44" s="67" t="n"/>
      <c r="D44" s="67" t="n"/>
      <c r="E44" s="67" t="n"/>
      <c r="F44" s="67" t="n"/>
      <c r="G44" s="67" t="n"/>
      <c r="H44" s="67" t="n"/>
      <c r="I44" s="67" t="n"/>
    </row>
    <row r="45">
      <c r="B45" s="67" t="n"/>
      <c r="C45" s="67" t="n"/>
      <c r="D45" s="67" t="n"/>
      <c r="E45" s="67" t="n"/>
      <c r="F45" s="67" t="n"/>
      <c r="G45" s="67" t="n"/>
      <c r="H45" s="67" t="n"/>
      <c r="I45" s="67" t="n"/>
    </row>
    <row r="46">
      <c r="B46" s="67" t="n"/>
      <c r="C46" s="67" t="n"/>
      <c r="D46" s="67" t="n"/>
      <c r="E46" s="67" t="n"/>
      <c r="F46" s="67" t="n"/>
      <c r="G46" s="67" t="n"/>
      <c r="H46" s="67" t="n"/>
      <c r="I46" s="67" t="n"/>
    </row>
    <row r="47">
      <c r="B47" s="67" t="n"/>
      <c r="C47" s="67" t="n"/>
      <c r="D47" s="67" t="n"/>
      <c r="E47" s="67" t="n"/>
      <c r="F47" s="67" t="n"/>
      <c r="G47" s="67" t="n"/>
      <c r="H47" s="67" t="n"/>
      <c r="I47" s="67" t="n"/>
    </row>
    <row r="48">
      <c r="B48" s="67" t="n"/>
      <c r="C48" s="67" t="n"/>
      <c r="D48" s="67" t="n"/>
      <c r="E48" s="67" t="n"/>
      <c r="F48" s="67" t="n"/>
      <c r="G48" s="67" t="n"/>
      <c r="H48" s="67" t="n"/>
      <c r="I48" s="67" t="n"/>
    </row>
    <row r="49">
      <c r="B49" s="67" t="n"/>
      <c r="C49" s="67" t="n"/>
      <c r="D49" s="67" t="n"/>
      <c r="E49" s="67" t="n"/>
      <c r="F49" s="67" t="n"/>
      <c r="G49" s="67" t="n"/>
      <c r="H49" s="67" t="n"/>
      <c r="I49" s="67" t="n"/>
    </row>
    <row r="50">
      <c r="B50" s="67" t="n"/>
      <c r="C50" s="67" t="n"/>
      <c r="D50" s="67" t="n"/>
      <c r="E50" s="67" t="n"/>
      <c r="F50" s="67" t="n"/>
      <c r="G50" s="67" t="n"/>
      <c r="H50" s="67" t="n"/>
      <c r="I50" s="67" t="n"/>
    </row>
    <row r="51">
      <c r="B51" s="67" t="n"/>
      <c r="C51" s="67" t="n"/>
      <c r="D51" s="67" t="n"/>
      <c r="E51" s="67" t="n"/>
      <c r="F51" s="67" t="n"/>
      <c r="G51" s="67" t="n"/>
      <c r="H51" s="67" t="n"/>
      <c r="I51" s="67" t="n"/>
    </row>
    <row r="52">
      <c r="B52" s="67" t="n"/>
      <c r="C52" s="67" t="n"/>
      <c r="D52" s="67" t="n"/>
      <c r="E52" s="67" t="n"/>
      <c r="F52" s="67" t="n"/>
      <c r="G52" s="67" t="n"/>
      <c r="H52" s="67" t="n"/>
      <c r="I52" s="67" t="n"/>
    </row>
    <row r="53">
      <c r="B53" s="67" t="n"/>
      <c r="C53" s="67" t="n"/>
      <c r="D53" s="67" t="n"/>
      <c r="E53" s="67" t="n"/>
      <c r="F53" s="67" t="n"/>
      <c r="G53" s="67" t="n"/>
      <c r="H53" s="67" t="n"/>
      <c r="I53" s="67" t="n"/>
    </row>
    <row r="54">
      <c r="B54" s="67" t="n"/>
      <c r="C54" s="67" t="n"/>
      <c r="D54" s="67" t="n"/>
      <c r="E54" s="67" t="n"/>
      <c r="F54" s="67" t="n"/>
      <c r="G54" s="67" t="n"/>
      <c r="H54" s="67" t="n"/>
      <c r="I54" s="67" t="n"/>
    </row>
    <row r="55">
      <c r="B55" s="67" t="n"/>
      <c r="C55" s="67" t="n"/>
      <c r="D55" s="67" t="n"/>
      <c r="E55" s="67" t="n"/>
      <c r="F55" s="67" t="n"/>
      <c r="G55" s="67" t="n"/>
      <c r="H55" s="67" t="n"/>
      <c r="I55" s="67" t="n"/>
    </row>
    <row r="56">
      <c r="B56" s="67" t="n"/>
      <c r="C56" s="67" t="n"/>
      <c r="D56" s="67" t="n"/>
      <c r="E56" s="67" t="n"/>
      <c r="F56" s="67" t="n"/>
      <c r="G56" s="67" t="n"/>
      <c r="H56" s="67" t="n"/>
      <c r="I56" s="67" t="n"/>
    </row>
    <row r="57">
      <c r="B57" s="67" t="n"/>
      <c r="C57" s="67" t="n"/>
      <c r="D57" s="67" t="n"/>
      <c r="E57" s="67" t="n"/>
      <c r="F57" s="67" t="n"/>
      <c r="G57" s="67" t="n"/>
      <c r="H57" s="67" t="n"/>
      <c r="I57" s="67" t="n"/>
    </row>
    <row r="58">
      <c r="B58" s="67" t="n"/>
      <c r="C58" s="67" t="n"/>
      <c r="D58" s="67" t="n"/>
      <c r="E58" s="67" t="n"/>
      <c r="F58" s="67" t="n"/>
      <c r="G58" s="67" t="n"/>
      <c r="H58" s="67" t="n"/>
      <c r="I58" s="67" t="n"/>
    </row>
    <row r="59">
      <c r="B59" s="67" t="n"/>
      <c r="C59" s="67" t="n"/>
      <c r="D59" s="67" t="n"/>
      <c r="E59" s="67" t="n"/>
      <c r="F59" s="67" t="n"/>
      <c r="G59" s="67" t="n"/>
      <c r="H59" s="67" t="n"/>
      <c r="I59" s="67" t="n"/>
    </row>
    <row r="60">
      <c r="B60" s="67" t="n"/>
      <c r="C60" s="67" t="n"/>
      <c r="D60" s="67" t="n"/>
      <c r="E60" s="67" t="n"/>
      <c r="F60" s="67" t="n"/>
      <c r="G60" s="67" t="n"/>
      <c r="H60" s="67" t="n"/>
      <c r="I60" s="67" t="n"/>
    </row>
    <row r="61">
      <c r="B61" s="67" t="n"/>
      <c r="C61" s="67" t="n"/>
      <c r="D61" s="67" t="n"/>
      <c r="E61" s="67" t="n"/>
      <c r="F61" s="67" t="n"/>
      <c r="G61" s="67" t="n"/>
      <c r="H61" s="67" t="n"/>
      <c r="I61" s="67" t="n"/>
    </row>
    <row r="62">
      <c r="B62" s="67" t="n"/>
      <c r="C62" s="67" t="n"/>
      <c r="D62" s="67" t="n"/>
      <c r="E62" s="67" t="n"/>
      <c r="F62" s="67" t="n"/>
      <c r="G62" s="67" t="n"/>
      <c r="H62" s="67" t="n"/>
      <c r="I62" s="67" t="n"/>
    </row>
    <row r="63">
      <c r="B63" s="67" t="n"/>
      <c r="C63" s="67" t="n"/>
      <c r="D63" s="67" t="n"/>
      <c r="E63" s="67" t="n"/>
      <c r="F63" s="67" t="n"/>
      <c r="G63" s="67" t="n"/>
      <c r="H63" s="67" t="n"/>
      <c r="I63" s="67" t="n"/>
    </row>
    <row r="64">
      <c r="B64" s="67" t="n"/>
      <c r="C64" s="67" t="n"/>
      <c r="D64" s="67" t="n"/>
      <c r="E64" s="67" t="n"/>
      <c r="F64" s="67" t="n"/>
      <c r="G64" s="67" t="n"/>
      <c r="H64" s="67" t="n"/>
      <c r="I64" s="67" t="n"/>
    </row>
    <row r="65">
      <c r="B65" s="67" t="n"/>
      <c r="C65" s="67" t="n"/>
      <c r="D65" s="67" t="n"/>
      <c r="E65" s="67" t="n"/>
      <c r="F65" s="67" t="n"/>
      <c r="G65" s="67" t="n"/>
      <c r="H65" s="67" t="n"/>
      <c r="I65" s="67" t="n"/>
    </row>
    <row r="66">
      <c r="B66" s="67" t="n"/>
      <c r="C66" s="67" t="n"/>
      <c r="D66" s="67" t="n"/>
      <c r="E66" s="67" t="n"/>
      <c r="F66" s="67" t="n"/>
      <c r="G66" s="67" t="n"/>
      <c r="H66" s="67" t="n"/>
      <c r="I66" s="67" t="n"/>
    </row>
    <row r="67">
      <c r="B67" s="67" t="n"/>
      <c r="C67" s="67" t="n"/>
      <c r="D67" s="67" t="n"/>
      <c r="E67" s="67" t="n"/>
      <c r="F67" s="67" t="n"/>
      <c r="G67" s="67" t="n"/>
      <c r="H67" s="67" t="n"/>
      <c r="I67" s="67" t="n"/>
    </row>
    <row r="68">
      <c r="B68" s="67" t="n"/>
      <c r="C68" s="67" t="n"/>
      <c r="D68" s="67" t="n"/>
      <c r="E68" s="67" t="n"/>
      <c r="F68" s="67" t="n"/>
      <c r="G68" s="67" t="n"/>
      <c r="H68" s="67" t="n"/>
      <c r="I68" s="67" t="n"/>
    </row>
    <row r="69">
      <c r="B69" s="67" t="n"/>
      <c r="C69" s="67" t="n"/>
      <c r="D69" s="67" t="n"/>
      <c r="E69" s="67" t="n"/>
      <c r="F69" s="67" t="n"/>
      <c r="G69" s="67" t="n"/>
      <c r="H69" s="67" t="n"/>
      <c r="I69" s="67" t="n"/>
    </row>
    <row r="70">
      <c r="B70" s="67" t="n"/>
      <c r="C70" s="67" t="n"/>
      <c r="D70" s="67" t="n"/>
      <c r="E70" s="67" t="n"/>
      <c r="F70" s="67" t="n"/>
      <c r="G70" s="67" t="n"/>
      <c r="H70" s="67" t="n"/>
      <c r="I70" s="67" t="n"/>
    </row>
    <row r="71">
      <c r="B71" s="67" t="n"/>
      <c r="C71" s="67" t="n"/>
      <c r="D71" s="67" t="n"/>
      <c r="E71" s="67" t="n"/>
      <c r="F71" s="67" t="n"/>
      <c r="G71" s="67" t="n"/>
      <c r="H71" s="67" t="n"/>
      <c r="I71" s="67" t="n"/>
    </row>
    <row r="72">
      <c r="B72" s="67" t="n"/>
      <c r="C72" s="67" t="n"/>
      <c r="D72" s="67" t="n"/>
      <c r="E72" s="67" t="n"/>
      <c r="F72" s="67" t="n"/>
      <c r="G72" s="67" t="n"/>
      <c r="H72" s="67" t="n"/>
      <c r="I72" s="67" t="n"/>
    </row>
    <row r="73">
      <c r="B73" s="67" t="n"/>
      <c r="C73" s="67" t="n"/>
      <c r="D73" s="67" t="n"/>
      <c r="E73" s="67" t="n"/>
      <c r="F73" s="67" t="n"/>
      <c r="G73" s="67" t="n"/>
      <c r="H73" s="67" t="n"/>
      <c r="I73" s="67" t="n"/>
    </row>
    <row r="74">
      <c r="B74" s="67" t="n"/>
      <c r="C74" s="67" t="n"/>
      <c r="D74" s="67" t="n"/>
      <c r="E74" s="67" t="n"/>
      <c r="F74" s="67" t="n"/>
      <c r="G74" s="67" t="n"/>
      <c r="H74" s="67" t="n"/>
      <c r="I74" s="67" t="n"/>
    </row>
    <row r="75">
      <c r="B75" s="67" t="n"/>
      <c r="C75" s="67" t="n"/>
      <c r="D75" s="67" t="n"/>
      <c r="E75" s="67" t="n"/>
      <c r="F75" s="67" t="n"/>
      <c r="G75" s="67" t="n"/>
      <c r="H75" s="67" t="n"/>
      <c r="I75" s="67" t="n"/>
    </row>
    <row r="76">
      <c r="B76" s="67" t="n"/>
      <c r="C76" s="67" t="n"/>
      <c r="D76" s="67" t="n"/>
      <c r="E76" s="67" t="n"/>
      <c r="F76" s="67" t="n"/>
      <c r="G76" s="67" t="n"/>
      <c r="H76" s="67" t="n"/>
      <c r="I76" s="67" t="n"/>
    </row>
    <row r="77">
      <c r="B77" s="67" t="n"/>
      <c r="C77" s="67" t="n"/>
      <c r="D77" s="67" t="n"/>
      <c r="E77" s="67" t="n"/>
      <c r="F77" s="67" t="n"/>
      <c r="G77" s="67" t="n"/>
      <c r="H77" s="67" t="n"/>
      <c r="I77" s="67" t="n"/>
    </row>
    <row r="78">
      <c r="B78" s="67" t="n"/>
      <c r="C78" s="67" t="n"/>
      <c r="D78" s="67" t="n"/>
      <c r="E78" s="67" t="n"/>
      <c r="F78" s="67" t="n"/>
      <c r="G78" s="67" t="n"/>
      <c r="H78" s="67" t="n"/>
      <c r="I78" s="67" t="n"/>
    </row>
    <row r="79">
      <c r="B79" s="67" t="n"/>
      <c r="C79" s="67" t="n"/>
      <c r="D79" s="67" t="n"/>
      <c r="E79" s="67" t="n"/>
      <c r="F79" s="67" t="n"/>
      <c r="G79" s="67" t="n"/>
      <c r="H79" s="67" t="n"/>
      <c r="I79" s="67" t="n"/>
    </row>
    <row r="80">
      <c r="B80" s="67" t="n"/>
      <c r="C80" s="67" t="n"/>
      <c r="D80" s="67" t="n"/>
      <c r="E80" s="67" t="n"/>
      <c r="F80" s="67" t="n"/>
      <c r="G80" s="67" t="n"/>
      <c r="H80" s="67" t="n"/>
      <c r="I80" s="67" t="n"/>
    </row>
    <row r="81">
      <c r="B81" s="67" t="n"/>
      <c r="C81" s="67" t="n"/>
      <c r="D81" s="67" t="n"/>
      <c r="E81" s="67" t="n"/>
      <c r="F81" s="67" t="n"/>
      <c r="G81" s="67" t="n"/>
      <c r="H81" s="67" t="n"/>
      <c r="I81" s="67" t="n"/>
    </row>
    <row r="82">
      <c r="B82" s="67" t="n"/>
      <c r="C82" s="67" t="n"/>
      <c r="D82" s="67" t="n"/>
      <c r="E82" s="67" t="n"/>
      <c r="F82" s="67" t="n"/>
      <c r="G82" s="67" t="n"/>
      <c r="H82" s="67" t="n"/>
      <c r="I82" s="67" t="n"/>
    </row>
    <row r="83">
      <c r="B83" s="67" t="n"/>
      <c r="C83" s="67" t="n"/>
      <c r="D83" s="67" t="n"/>
      <c r="E83" s="67" t="n"/>
      <c r="F83" s="67" t="n"/>
      <c r="G83" s="67" t="n"/>
      <c r="H83" s="67" t="n"/>
      <c r="I83" s="67" t="n"/>
    </row>
    <row r="84">
      <c r="B84" s="67" t="n"/>
      <c r="C84" s="67" t="n"/>
      <c r="D84" s="67" t="n"/>
      <c r="E84" s="67" t="n"/>
      <c r="F84" s="67" t="n"/>
      <c r="G84" s="67" t="n"/>
      <c r="H84" s="67" t="n"/>
      <c r="I84" s="67" t="n"/>
    </row>
    <row r="85">
      <c r="B85" s="67" t="n"/>
      <c r="C85" s="67" t="n"/>
      <c r="D85" s="67" t="n"/>
      <c r="E85" s="67" t="n"/>
      <c r="F85" s="67" t="n"/>
      <c r="G85" s="67" t="n"/>
      <c r="H85" s="67" t="n"/>
      <c r="I85" s="67" t="n"/>
    </row>
    <row r="86">
      <c r="B86" s="67" t="n"/>
      <c r="C86" s="67" t="n"/>
      <c r="D86" s="67" t="n"/>
      <c r="E86" s="67" t="n"/>
      <c r="F86" s="67" t="n"/>
      <c r="G86" s="67" t="n"/>
      <c r="H86" s="67" t="n"/>
      <c r="I86" s="67" t="n"/>
    </row>
    <row r="87">
      <c r="B87" s="67" t="n"/>
      <c r="C87" s="67" t="n"/>
      <c r="D87" s="67" t="n"/>
      <c r="E87" s="67" t="n"/>
      <c r="F87" s="67" t="n"/>
      <c r="G87" s="67" t="n"/>
      <c r="H87" s="67" t="n"/>
      <c r="I87" s="67" t="n"/>
    </row>
    <row r="88">
      <c r="B88" s="67" t="n"/>
      <c r="C88" s="67" t="n"/>
      <c r="D88" s="67" t="n"/>
      <c r="E88" s="67" t="n"/>
      <c r="F88" s="67" t="n"/>
      <c r="G88" s="67" t="n"/>
      <c r="H88" s="67" t="n"/>
      <c r="I88" s="67" t="n"/>
    </row>
    <row r="89">
      <c r="B89" s="67" t="n"/>
      <c r="C89" s="67" t="n"/>
      <c r="D89" s="67" t="n"/>
      <c r="E89" s="67" t="n"/>
      <c r="F89" s="67" t="n"/>
      <c r="G89" s="67" t="n"/>
      <c r="H89" s="67" t="n"/>
      <c r="I89" s="67" t="n"/>
    </row>
    <row r="90">
      <c r="B90" s="67" t="n"/>
      <c r="C90" s="67" t="n"/>
      <c r="D90" s="67" t="n"/>
      <c r="E90" s="67" t="n"/>
      <c r="F90" s="67" t="n"/>
      <c r="G90" s="67" t="n"/>
      <c r="H90" s="67" t="n"/>
      <c r="I90" s="67" t="n"/>
    </row>
    <row r="91">
      <c r="B91" s="67" t="n"/>
      <c r="C91" s="67" t="n"/>
      <c r="D91" s="67" t="n"/>
      <c r="E91" s="67" t="n"/>
      <c r="F91" s="67" t="n"/>
      <c r="G91" s="67" t="n"/>
      <c r="H91" s="67" t="n"/>
      <c r="I91" s="67" t="n"/>
    </row>
    <row r="92">
      <c r="B92" s="67" t="n"/>
      <c r="C92" s="67" t="n"/>
      <c r="D92" s="67" t="n"/>
      <c r="E92" s="67" t="n"/>
      <c r="F92" s="67" t="n"/>
      <c r="G92" s="67" t="n"/>
      <c r="H92" s="67" t="n"/>
      <c r="I92" s="67" t="n"/>
    </row>
    <row r="93">
      <c r="B93" s="67" t="n"/>
      <c r="C93" s="67" t="n"/>
      <c r="D93" s="67" t="n"/>
      <c r="E93" s="67" t="n"/>
      <c r="F93" s="67" t="n"/>
      <c r="G93" s="67" t="n"/>
      <c r="H93" s="67" t="n"/>
      <c r="I93" s="67" t="n"/>
    </row>
    <row r="94">
      <c r="B94" s="67" t="n"/>
      <c r="C94" s="67" t="n"/>
      <c r="D94" s="67" t="n"/>
      <c r="E94" s="67" t="n"/>
      <c r="F94" s="67" t="n"/>
      <c r="G94" s="67" t="n"/>
      <c r="H94" s="67" t="n"/>
      <c r="I94" s="67" t="n"/>
    </row>
    <row r="95">
      <c r="B95" s="67" t="n"/>
      <c r="C95" s="67" t="n"/>
      <c r="D95" s="67" t="n"/>
      <c r="E95" s="67" t="n"/>
      <c r="F95" s="67" t="n"/>
      <c r="G95" s="67" t="n"/>
      <c r="H95" s="67" t="n"/>
      <c r="I95" s="67" t="n"/>
    </row>
    <row r="96">
      <c r="B96" s="67" t="n"/>
      <c r="C96" s="67" t="n"/>
      <c r="D96" s="67" t="n"/>
      <c r="E96" s="67" t="n"/>
      <c r="F96" s="67" t="n"/>
      <c r="G96" s="67" t="n"/>
      <c r="H96" s="67" t="n"/>
      <c r="I96" s="67" t="n"/>
    </row>
    <row r="97">
      <c r="B97" s="67" t="n"/>
      <c r="C97" s="67" t="n"/>
      <c r="D97" s="67" t="n"/>
      <c r="E97" s="67" t="n"/>
      <c r="F97" s="67" t="n"/>
      <c r="G97" s="67" t="n"/>
      <c r="H97" s="67" t="n"/>
      <c r="I97" s="67" t="n"/>
    </row>
    <row r="98">
      <c r="B98" s="67" t="n"/>
      <c r="C98" s="67" t="n"/>
      <c r="D98" s="67" t="n"/>
      <c r="E98" s="67" t="n"/>
      <c r="F98" s="67" t="n"/>
      <c r="G98" s="67" t="n"/>
      <c r="H98" s="67" t="n"/>
      <c r="I98" s="67" t="n"/>
    </row>
    <row r="99">
      <c r="B99" s="67" t="n"/>
      <c r="C99" s="67" t="n"/>
      <c r="D99" s="67" t="n"/>
      <c r="E99" s="67" t="n"/>
      <c r="F99" s="67" t="n"/>
      <c r="G99" s="67" t="n"/>
      <c r="H99" s="67" t="n"/>
      <c r="I99" s="67" t="n"/>
    </row>
    <row r="100">
      <c r="B100" s="67" t="n"/>
      <c r="C100" s="67" t="n"/>
      <c r="D100" s="67" t="n"/>
      <c r="E100" s="67" t="n"/>
      <c r="F100" s="67" t="n"/>
      <c r="G100" s="67" t="n"/>
      <c r="H100" s="67" t="n"/>
      <c r="I100" s="67" t="n"/>
    </row>
    <row r="101">
      <c r="B101" s="67" t="n"/>
      <c r="C101" s="67" t="n"/>
      <c r="D101" s="67" t="n"/>
      <c r="E101" s="67" t="n"/>
      <c r="F101" s="67" t="n"/>
      <c r="G101" s="67" t="n"/>
      <c r="H101" s="67" t="n"/>
      <c r="I101" s="67" t="n"/>
    </row>
    <row r="102">
      <c r="B102" s="67" t="n"/>
      <c r="C102" s="67" t="n"/>
      <c r="D102" s="67" t="n"/>
      <c r="E102" s="67" t="n"/>
      <c r="F102" s="67" t="n"/>
      <c r="G102" s="67" t="n"/>
      <c r="H102" s="67" t="n"/>
      <c r="I102" s="67" t="n"/>
    </row>
    <row r="103">
      <c r="B103" s="67" t="n"/>
      <c r="C103" s="67" t="n"/>
      <c r="D103" s="67" t="n"/>
      <c r="E103" s="67" t="n"/>
      <c r="F103" s="67" t="n"/>
      <c r="G103" s="67" t="n"/>
      <c r="H103" s="67" t="n"/>
      <c r="I103" s="67" t="n"/>
    </row>
    <row r="104">
      <c r="B104" s="67" t="n"/>
      <c r="C104" s="67" t="n"/>
      <c r="D104" s="67" t="n"/>
      <c r="E104" s="67" t="n"/>
      <c r="F104" s="67" t="n"/>
      <c r="G104" s="67" t="n"/>
      <c r="H104" s="67" t="n"/>
      <c r="I104" s="67" t="n"/>
    </row>
    <row r="105">
      <c r="B105" s="67" t="n"/>
      <c r="C105" s="67" t="n"/>
      <c r="D105" s="67" t="n"/>
      <c r="E105" s="67" t="n"/>
      <c r="F105" s="67" t="n"/>
      <c r="G105" s="67" t="n"/>
      <c r="H105" s="67" t="n"/>
      <c r="I105" s="67" t="n"/>
    </row>
    <row r="106">
      <c r="B106" s="67" t="n"/>
      <c r="C106" s="67" t="n"/>
      <c r="D106" s="67" t="n"/>
      <c r="E106" s="67" t="n"/>
      <c r="F106" s="67" t="n"/>
      <c r="G106" s="67" t="n"/>
      <c r="H106" s="67" t="n"/>
      <c r="I106" s="67" t="n"/>
    </row>
    <row r="107">
      <c r="B107" s="67" t="n"/>
      <c r="C107" s="67" t="n"/>
      <c r="D107" s="67" t="n"/>
      <c r="E107" s="67" t="n"/>
      <c r="F107" s="67" t="n"/>
      <c r="G107" s="67" t="n"/>
      <c r="H107" s="67" t="n"/>
      <c r="I107" s="67" t="n"/>
    </row>
    <row r="108">
      <c r="B108" s="67" t="n"/>
      <c r="C108" s="67" t="n"/>
      <c r="D108" s="67" t="n"/>
      <c r="E108" s="67" t="n"/>
      <c r="F108" s="67" t="n"/>
      <c r="G108" s="67" t="n"/>
      <c r="H108" s="67" t="n"/>
      <c r="I108" s="67" t="n"/>
    </row>
    <row r="109">
      <c r="B109" s="67" t="n"/>
      <c r="C109" s="67" t="n"/>
      <c r="D109" s="67" t="n"/>
      <c r="E109" s="67" t="n"/>
      <c r="F109" s="67" t="n"/>
      <c r="G109" s="67" t="n"/>
      <c r="H109" s="67" t="n"/>
      <c r="I109" s="67" t="n"/>
    </row>
    <row r="110">
      <c r="B110" s="67" t="n"/>
      <c r="C110" s="67" t="n"/>
      <c r="D110" s="67" t="n"/>
      <c r="E110" s="67" t="n"/>
      <c r="F110" s="67" t="n"/>
      <c r="G110" s="67" t="n"/>
      <c r="H110" s="67" t="n"/>
      <c r="I110" s="67" t="n"/>
    </row>
    <row r="111">
      <c r="B111" s="67" t="n"/>
      <c r="C111" s="67" t="n"/>
      <c r="D111" s="67" t="n"/>
      <c r="E111" s="67" t="n"/>
      <c r="F111" s="67" t="n"/>
      <c r="G111" s="67" t="n"/>
      <c r="H111" s="67" t="n"/>
      <c r="I111" s="67" t="n"/>
    </row>
    <row r="112">
      <c r="B112" s="67" t="n"/>
      <c r="C112" s="67" t="n"/>
      <c r="D112" s="67" t="n"/>
      <c r="E112" s="67" t="n"/>
      <c r="F112" s="67" t="n"/>
      <c r="G112" s="67" t="n"/>
      <c r="H112" s="67" t="n"/>
      <c r="I112" s="67" t="n"/>
    </row>
    <row r="113">
      <c r="B113" s="67" t="n"/>
      <c r="C113" s="67" t="n"/>
      <c r="D113" s="67" t="n"/>
      <c r="E113" s="67" t="n"/>
      <c r="F113" s="67" t="n"/>
      <c r="G113" s="67" t="n"/>
      <c r="H113" s="67" t="n"/>
      <c r="I113" s="67" t="n"/>
    </row>
    <row r="114">
      <c r="B114" s="67" t="n"/>
      <c r="C114" s="67" t="n"/>
      <c r="D114" s="67" t="n"/>
      <c r="E114" s="67" t="n"/>
      <c r="F114" s="67" t="n"/>
      <c r="G114" s="67" t="n"/>
      <c r="H114" s="67" t="n"/>
      <c r="I114" s="67" t="n"/>
    </row>
    <row r="115">
      <c r="B115" s="67" t="n"/>
      <c r="C115" s="67" t="n"/>
      <c r="D115" s="67" t="n"/>
      <c r="E115" s="67" t="n"/>
      <c r="F115" s="67" t="n"/>
      <c r="G115" s="67" t="n"/>
      <c r="H115" s="67" t="n"/>
      <c r="I115" s="67" t="n"/>
    </row>
    <row r="116">
      <c r="B116" s="67" t="n"/>
      <c r="C116" s="67" t="n"/>
      <c r="D116" s="67" t="n"/>
      <c r="E116" s="67" t="n"/>
      <c r="F116" s="67" t="n"/>
      <c r="G116" s="67" t="n"/>
      <c r="H116" s="67" t="n"/>
      <c r="I116" s="67" t="n"/>
    </row>
    <row r="117">
      <c r="B117" s="67" t="n"/>
      <c r="C117" s="67" t="n"/>
      <c r="D117" s="67" t="n"/>
      <c r="E117" s="67" t="n"/>
      <c r="F117" s="67" t="n"/>
      <c r="G117" s="67" t="n"/>
      <c r="H117" s="67" t="n"/>
      <c r="I117" s="67" t="n"/>
    </row>
    <row r="118">
      <c r="B118" s="67" t="n"/>
      <c r="C118" s="67" t="n"/>
      <c r="D118" s="67" t="n"/>
      <c r="E118" s="67" t="n"/>
      <c r="F118" s="67" t="n"/>
      <c r="G118" s="67" t="n"/>
      <c r="H118" s="67" t="n"/>
      <c r="I118" s="67" t="n"/>
    </row>
    <row r="119">
      <c r="B119" s="67" t="n"/>
      <c r="C119" s="67" t="n"/>
      <c r="D119" s="67" t="n"/>
      <c r="E119" s="67" t="n"/>
      <c r="F119" s="67" t="n"/>
      <c r="G119" s="67" t="n"/>
      <c r="H119" s="67" t="n"/>
      <c r="I119" s="67" t="n"/>
    </row>
    <row r="120">
      <c r="B120" s="67" t="n"/>
      <c r="C120" s="67" t="n"/>
      <c r="D120" s="67" t="n"/>
      <c r="E120" s="67" t="n"/>
      <c r="F120" s="67" t="n"/>
      <c r="G120" s="67" t="n"/>
      <c r="H120" s="67" t="n"/>
      <c r="I120" s="67" t="n"/>
    </row>
    <row r="121">
      <c r="B121" s="67" t="n"/>
      <c r="C121" s="67" t="n"/>
      <c r="D121" s="67" t="n"/>
      <c r="E121" s="67" t="n"/>
      <c r="F121" s="67" t="n"/>
      <c r="G121" s="67" t="n"/>
      <c r="H121" s="67" t="n"/>
      <c r="I121" s="67" t="n"/>
    </row>
    <row r="122">
      <c r="B122" s="67" t="n"/>
      <c r="C122" s="67" t="n"/>
      <c r="D122" s="67" t="n"/>
      <c r="E122" s="67" t="n"/>
      <c r="F122" s="67" t="n"/>
      <c r="G122" s="67" t="n"/>
      <c r="H122" s="67" t="n"/>
      <c r="I122" s="67" t="n"/>
    </row>
    <row r="123">
      <c r="B123" s="67" t="n"/>
      <c r="C123" s="67" t="n"/>
      <c r="D123" s="67" t="n"/>
      <c r="E123" s="67" t="n"/>
      <c r="F123" s="67" t="n"/>
      <c r="G123" s="67" t="n"/>
      <c r="H123" s="67" t="n"/>
      <c r="I123" s="67" t="n"/>
    </row>
    <row r="124">
      <c r="B124" s="67" t="n"/>
      <c r="C124" s="67" t="n"/>
      <c r="D124" s="67" t="n"/>
      <c r="E124" s="67" t="n"/>
      <c r="F124" s="67" t="n"/>
      <c r="G124" s="67" t="n"/>
      <c r="H124" s="67" t="n"/>
      <c r="I124" s="67" t="n"/>
    </row>
    <row r="125">
      <c r="B125" s="67" t="n"/>
      <c r="C125" s="67" t="n"/>
      <c r="D125" s="67" t="n"/>
      <c r="E125" s="67" t="n"/>
      <c r="F125" s="67" t="n"/>
      <c r="G125" s="67" t="n"/>
      <c r="H125" s="67" t="n"/>
      <c r="I125" s="67" t="n"/>
    </row>
    <row r="126">
      <c r="B126" s="67" t="n"/>
      <c r="C126" s="67" t="n"/>
      <c r="D126" s="67" t="n"/>
      <c r="E126" s="67" t="n"/>
      <c r="F126" s="67" t="n"/>
      <c r="G126" s="67" t="n"/>
      <c r="H126" s="67" t="n"/>
      <c r="I126" s="67" t="n"/>
    </row>
    <row r="127">
      <c r="B127" s="67" t="n"/>
      <c r="C127" s="67" t="n"/>
      <c r="D127" s="67" t="n"/>
      <c r="E127" s="67" t="n"/>
      <c r="F127" s="67" t="n"/>
      <c r="G127" s="67" t="n"/>
      <c r="H127" s="67" t="n"/>
      <c r="I127" s="67" t="n"/>
    </row>
    <row r="128">
      <c r="B128" s="67" t="n"/>
      <c r="C128" s="67" t="n"/>
      <c r="D128" s="67" t="n"/>
      <c r="E128" s="67" t="n"/>
      <c r="F128" s="67" t="n"/>
      <c r="G128" s="67" t="n"/>
      <c r="H128" s="67" t="n"/>
      <c r="I128" s="67" t="n"/>
    </row>
    <row r="129">
      <c r="B129" s="67" t="n"/>
      <c r="C129" s="67" t="n"/>
      <c r="D129" s="67" t="n"/>
      <c r="E129" s="67" t="n"/>
      <c r="F129" s="67" t="n"/>
      <c r="G129" s="67" t="n"/>
      <c r="H129" s="67" t="n"/>
      <c r="I129" s="67" t="n"/>
    </row>
    <row r="130">
      <c r="B130" s="67" t="n"/>
      <c r="C130" s="67" t="n"/>
      <c r="D130" s="67" t="n"/>
      <c r="E130" s="67" t="n"/>
      <c r="F130" s="67" t="n"/>
      <c r="G130" s="67" t="n"/>
      <c r="H130" s="67" t="n"/>
      <c r="I130" s="67" t="n"/>
    </row>
    <row r="131">
      <c r="B131" s="67" t="n"/>
      <c r="C131" s="67" t="n"/>
      <c r="D131" s="67" t="n"/>
      <c r="E131" s="67" t="n"/>
      <c r="F131" s="67" t="n"/>
      <c r="G131" s="67" t="n"/>
      <c r="H131" s="67" t="n"/>
      <c r="I131" s="67" t="n"/>
    </row>
    <row r="132">
      <c r="B132" s="67" t="n"/>
      <c r="C132" s="67" t="n"/>
      <c r="D132" s="67" t="n"/>
      <c r="E132" s="67" t="n"/>
      <c r="F132" s="67" t="n"/>
      <c r="G132" s="67" t="n"/>
      <c r="H132" s="67" t="n"/>
      <c r="I132" s="67" t="n"/>
    </row>
    <row r="133">
      <c r="B133" s="67" t="n"/>
      <c r="C133" s="67" t="n"/>
      <c r="D133" s="67" t="n"/>
      <c r="E133" s="67" t="n"/>
      <c r="F133" s="67" t="n"/>
      <c r="G133" s="67" t="n"/>
      <c r="H133" s="67" t="n"/>
      <c r="I133" s="67" t="n"/>
    </row>
    <row r="134">
      <c r="B134" s="67" t="n"/>
      <c r="C134" s="67" t="n"/>
      <c r="D134" s="67" t="n"/>
      <c r="E134" s="67" t="n"/>
      <c r="F134" s="67" t="n"/>
      <c r="G134" s="67" t="n"/>
      <c r="H134" s="67" t="n"/>
      <c r="I134" s="67" t="n"/>
    </row>
    <row r="135">
      <c r="B135" s="67" t="n"/>
      <c r="C135" s="67" t="n"/>
      <c r="D135" s="67" t="n"/>
      <c r="E135" s="67" t="n"/>
      <c r="F135" s="67" t="n"/>
      <c r="G135" s="67" t="n"/>
      <c r="H135" s="67" t="n"/>
      <c r="I135" s="67" t="n"/>
    </row>
    <row r="136">
      <c r="B136" s="67" t="n"/>
      <c r="C136" s="67" t="n"/>
      <c r="D136" s="67" t="n"/>
      <c r="E136" s="67" t="n"/>
      <c r="F136" s="67" t="n"/>
      <c r="G136" s="67" t="n"/>
      <c r="H136" s="67" t="n"/>
      <c r="I136" s="67" t="n"/>
    </row>
    <row r="137">
      <c r="B137" s="67" t="n"/>
      <c r="C137" s="67" t="n"/>
      <c r="D137" s="67" t="n"/>
      <c r="E137" s="67" t="n"/>
      <c r="F137" s="67" t="n"/>
      <c r="G137" s="67" t="n"/>
      <c r="H137" s="67" t="n"/>
      <c r="I137" s="67" t="n"/>
    </row>
    <row r="138">
      <c r="B138" s="67" t="n"/>
      <c r="C138" s="67" t="n"/>
      <c r="D138" s="67" t="n"/>
      <c r="E138" s="67" t="n"/>
      <c r="F138" s="67" t="n"/>
      <c r="G138" s="67" t="n"/>
      <c r="H138" s="67" t="n"/>
      <c r="I138" s="67" t="n"/>
    </row>
    <row r="139">
      <c r="B139" s="67" t="n"/>
      <c r="C139" s="67" t="n"/>
      <c r="D139" s="67" t="n"/>
      <c r="E139" s="67" t="n"/>
      <c r="F139" s="67" t="n"/>
      <c r="G139" s="67" t="n"/>
      <c r="H139" s="67" t="n"/>
      <c r="I139" s="67" t="n"/>
    </row>
    <row r="140">
      <c r="B140" s="67" t="n"/>
      <c r="C140" s="67" t="n"/>
      <c r="D140" s="67" t="n"/>
      <c r="E140" s="67" t="n"/>
      <c r="F140" s="67" t="n"/>
      <c r="G140" s="67" t="n"/>
      <c r="H140" s="67" t="n"/>
      <c r="I140" s="67" t="n"/>
    </row>
    <row r="141">
      <c r="B141" s="67" t="n"/>
      <c r="C141" s="67" t="n"/>
      <c r="D141" s="67" t="n"/>
      <c r="E141" s="67" t="n"/>
      <c r="F141" s="67" t="n"/>
      <c r="G141" s="67" t="n"/>
      <c r="H141" s="67" t="n"/>
      <c r="I141" s="67" t="n"/>
    </row>
    <row r="142">
      <c r="B142" s="67" t="n"/>
      <c r="C142" s="67" t="n"/>
      <c r="D142" s="67" t="n"/>
      <c r="E142" s="67" t="n"/>
      <c r="F142" s="67" t="n"/>
      <c r="G142" s="67" t="n"/>
      <c r="H142" s="67" t="n"/>
      <c r="I142" s="67" t="n"/>
    </row>
    <row r="143">
      <c r="B143" s="67" t="n"/>
      <c r="C143" s="67" t="n"/>
      <c r="D143" s="67" t="n"/>
      <c r="E143" s="67" t="n"/>
      <c r="F143" s="67" t="n"/>
      <c r="G143" s="67" t="n"/>
      <c r="H143" s="67" t="n"/>
      <c r="I143" s="67" t="n"/>
    </row>
    <row r="144">
      <c r="B144" s="67" t="n"/>
      <c r="C144" s="67" t="n"/>
      <c r="D144" s="67" t="n"/>
      <c r="E144" s="67" t="n"/>
      <c r="F144" s="67" t="n"/>
      <c r="G144" s="67" t="n"/>
      <c r="H144" s="67" t="n"/>
      <c r="I144" s="67" t="n"/>
    </row>
    <row r="145">
      <c r="B145" s="67" t="n"/>
      <c r="C145" s="67" t="n"/>
      <c r="D145" s="67" t="n"/>
      <c r="E145" s="67" t="n"/>
      <c r="F145" s="67" t="n"/>
      <c r="G145" s="67" t="n"/>
      <c r="H145" s="67" t="n"/>
      <c r="I145" s="67" t="n"/>
    </row>
    <row r="146">
      <c r="B146" s="67" t="n"/>
      <c r="C146" s="67" t="n"/>
      <c r="D146" s="67" t="n"/>
      <c r="E146" s="67" t="n"/>
      <c r="F146" s="67" t="n"/>
      <c r="G146" s="67" t="n"/>
      <c r="H146" s="67" t="n"/>
      <c r="I146" s="67" t="n"/>
    </row>
    <row r="147">
      <c r="B147" s="67" t="n"/>
      <c r="C147" s="67" t="n"/>
      <c r="D147" s="67" t="n"/>
      <c r="E147" s="67" t="n"/>
      <c r="F147" s="67" t="n"/>
      <c r="G147" s="67" t="n"/>
      <c r="H147" s="67" t="n"/>
      <c r="I147" s="67" t="n"/>
    </row>
    <row r="148">
      <c r="B148" s="67" t="n"/>
      <c r="C148" s="67" t="n"/>
      <c r="D148" s="67" t="n"/>
      <c r="E148" s="67" t="n"/>
      <c r="F148" s="67" t="n"/>
      <c r="G148" s="67" t="n"/>
      <c r="H148" s="67" t="n"/>
      <c r="I148" s="67" t="n"/>
    </row>
    <row r="149">
      <c r="B149" s="67" t="n"/>
      <c r="C149" s="67" t="n"/>
      <c r="D149" s="67" t="n"/>
      <c r="E149" s="67" t="n"/>
      <c r="F149" s="67" t="n"/>
      <c r="G149" s="67" t="n"/>
      <c r="H149" s="67" t="n"/>
      <c r="I149" s="67" t="n"/>
    </row>
    <row r="150">
      <c r="B150" s="67" t="n"/>
      <c r="C150" s="67" t="n"/>
      <c r="D150" s="67" t="n"/>
      <c r="E150" s="67" t="n"/>
      <c r="F150" s="67" t="n"/>
      <c r="G150" s="67" t="n"/>
      <c r="H150" s="67" t="n"/>
      <c r="I150" s="67" t="n"/>
    </row>
    <row r="151">
      <c r="B151" s="67" t="n"/>
      <c r="C151" s="67" t="n"/>
      <c r="D151" s="67" t="n"/>
      <c r="E151" s="67" t="n"/>
      <c r="F151" s="67" t="n"/>
      <c r="G151" s="67" t="n"/>
      <c r="H151" s="67" t="n"/>
      <c r="I151" s="67" t="n"/>
    </row>
    <row r="152">
      <c r="B152" s="67" t="n"/>
      <c r="C152" s="67" t="n"/>
      <c r="D152" s="67" t="n"/>
      <c r="E152" s="67" t="n"/>
      <c r="F152" s="67" t="n"/>
      <c r="G152" s="67" t="n"/>
      <c r="H152" s="67" t="n"/>
      <c r="I152" s="67" t="n"/>
    </row>
    <row r="153">
      <c r="B153" s="67" t="n"/>
      <c r="C153" s="67" t="n"/>
      <c r="D153" s="67" t="n"/>
      <c r="E153" s="67" t="n"/>
      <c r="F153" s="67" t="n"/>
      <c r="G153" s="67" t="n"/>
      <c r="H153" s="67" t="n"/>
      <c r="I153" s="67" t="n"/>
    </row>
    <row r="154">
      <c r="B154" s="67" t="n"/>
      <c r="C154" s="67" t="n"/>
      <c r="D154" s="67" t="n"/>
      <c r="E154" s="67" t="n"/>
      <c r="F154" s="67" t="n"/>
      <c r="G154" s="67" t="n"/>
      <c r="H154" s="67" t="n"/>
      <c r="I154" s="67" t="n"/>
    </row>
    <row r="155">
      <c r="B155" s="67" t="n"/>
      <c r="C155" s="67" t="n"/>
      <c r="D155" s="67" t="n"/>
      <c r="E155" s="67" t="n"/>
      <c r="F155" s="67" t="n"/>
      <c r="G155" s="67" t="n"/>
      <c r="H155" s="67" t="n"/>
      <c r="I155" s="67" t="n"/>
    </row>
    <row r="156">
      <c r="B156" s="67" t="n"/>
      <c r="C156" s="67" t="n"/>
      <c r="D156" s="67" t="n"/>
      <c r="E156" s="67" t="n"/>
      <c r="F156" s="67" t="n"/>
      <c r="G156" s="67" t="n"/>
      <c r="H156" s="67" t="n"/>
      <c r="I156" s="67" t="n"/>
    </row>
    <row r="157">
      <c r="B157" s="67" t="n"/>
      <c r="C157" s="67" t="n"/>
      <c r="D157" s="67" t="n"/>
      <c r="E157" s="67" t="n"/>
      <c r="F157" s="67" t="n"/>
      <c r="G157" s="67" t="n"/>
      <c r="H157" s="67" t="n"/>
      <c r="I157" s="67" t="n"/>
    </row>
    <row r="158">
      <c r="B158" s="67" t="n"/>
      <c r="C158" s="67" t="n"/>
      <c r="D158" s="67" t="n"/>
      <c r="E158" s="67" t="n"/>
      <c r="F158" s="67" t="n"/>
      <c r="G158" s="67" t="n"/>
      <c r="H158" s="67" t="n"/>
      <c r="I158" s="67" t="n"/>
    </row>
    <row r="159">
      <c r="B159" s="67" t="n"/>
      <c r="C159" s="67" t="n"/>
      <c r="D159" s="67" t="n"/>
      <c r="E159" s="67" t="n"/>
      <c r="F159" s="67" t="n"/>
      <c r="G159" s="67" t="n"/>
      <c r="H159" s="67" t="n"/>
      <c r="I159" s="67" t="n"/>
    </row>
    <row r="160">
      <c r="B160" s="67" t="n"/>
      <c r="C160" s="67" t="n"/>
      <c r="D160" s="67" t="n"/>
      <c r="E160" s="67" t="n"/>
      <c r="F160" s="67" t="n"/>
      <c r="G160" s="67" t="n"/>
      <c r="H160" s="67" t="n"/>
      <c r="I160" s="67" t="n"/>
    </row>
    <row r="161">
      <c r="B161" s="67" t="n"/>
      <c r="C161" s="67" t="n"/>
      <c r="D161" s="67" t="n"/>
      <c r="E161" s="67" t="n"/>
      <c r="F161" s="67" t="n"/>
      <c r="G161" s="67" t="n"/>
      <c r="H161" s="67" t="n"/>
      <c r="I161" s="67" t="n"/>
    </row>
    <row r="162">
      <c r="B162" s="67" t="n"/>
      <c r="C162" s="67" t="n"/>
      <c r="D162" s="67" t="n"/>
      <c r="E162" s="67" t="n"/>
      <c r="F162" s="67" t="n"/>
      <c r="G162" s="67" t="n"/>
      <c r="H162" s="67" t="n"/>
      <c r="I162" s="67" t="n"/>
    </row>
    <row r="163">
      <c r="B163" s="67" t="n"/>
      <c r="C163" s="67" t="n"/>
      <c r="D163" s="67" t="n"/>
      <c r="E163" s="67" t="n"/>
      <c r="F163" s="67" t="n"/>
      <c r="G163" s="67" t="n"/>
      <c r="H163" s="67" t="n"/>
      <c r="I163" s="67" t="n"/>
    </row>
    <row r="164">
      <c r="B164" s="67" t="n"/>
      <c r="C164" s="67" t="n"/>
      <c r="D164" s="67" t="n"/>
      <c r="E164" s="67" t="n"/>
      <c r="F164" s="67" t="n"/>
      <c r="G164" s="67" t="n"/>
      <c r="H164" s="67" t="n"/>
      <c r="I164" s="67" t="n"/>
    </row>
    <row r="165">
      <c r="B165" s="67" t="n"/>
      <c r="C165" s="67" t="n"/>
      <c r="D165" s="67" t="n"/>
      <c r="E165" s="67" t="n"/>
      <c r="F165" s="67" t="n"/>
      <c r="G165" s="67" t="n"/>
      <c r="H165" s="67" t="n"/>
      <c r="I165" s="67" t="n"/>
    </row>
    <row r="166">
      <c r="B166" s="67" t="n"/>
      <c r="C166" s="67" t="n"/>
      <c r="D166" s="67" t="n"/>
      <c r="E166" s="67" t="n"/>
      <c r="F166" s="67" t="n"/>
      <c r="G166" s="67" t="n"/>
      <c r="H166" s="67" t="n"/>
      <c r="I166" s="67" t="n"/>
    </row>
    <row r="167">
      <c r="B167" s="67" t="n"/>
      <c r="C167" s="67" t="n"/>
      <c r="D167" s="67" t="n"/>
      <c r="E167" s="67" t="n"/>
      <c r="F167" s="67" t="n"/>
      <c r="G167" s="67" t="n"/>
      <c r="H167" s="67" t="n"/>
      <c r="I167" s="67" t="n"/>
    </row>
    <row r="168">
      <c r="B168" s="67" t="n"/>
      <c r="C168" s="67" t="n"/>
      <c r="D168" s="67" t="n"/>
      <c r="E168" s="67" t="n"/>
      <c r="F168" s="67" t="n"/>
      <c r="G168" s="67" t="n"/>
      <c r="H168" s="67" t="n"/>
      <c r="I168" s="67" t="n"/>
    </row>
    <row r="169">
      <c r="B169" s="67" t="n"/>
      <c r="C169" s="67" t="n"/>
      <c r="D169" s="67" t="n"/>
      <c r="E169" s="67" t="n"/>
      <c r="F169" s="67" t="n"/>
      <c r="G169" s="67" t="n"/>
      <c r="H169" s="67" t="n"/>
      <c r="I169" s="67" t="n"/>
    </row>
    <row r="170">
      <c r="B170" s="67" t="n"/>
      <c r="C170" s="67" t="n"/>
      <c r="D170" s="67" t="n"/>
      <c r="E170" s="67" t="n"/>
      <c r="F170" s="67" t="n"/>
      <c r="G170" s="67" t="n"/>
      <c r="H170" s="67" t="n"/>
      <c r="I170" s="67" t="n"/>
    </row>
    <row r="171">
      <c r="B171" s="67" t="n"/>
      <c r="C171" s="67" t="n"/>
      <c r="D171" s="67" t="n"/>
      <c r="E171" s="67" t="n"/>
      <c r="F171" s="67" t="n"/>
      <c r="G171" s="67" t="n"/>
      <c r="H171" s="67" t="n"/>
      <c r="I171" s="67" t="n"/>
    </row>
    <row r="172">
      <c r="B172" s="67" t="n"/>
      <c r="C172" s="67" t="n"/>
      <c r="D172" s="67" t="n"/>
      <c r="E172" s="67" t="n"/>
      <c r="F172" s="67" t="n"/>
      <c r="G172" s="67" t="n"/>
      <c r="H172" s="67" t="n"/>
      <c r="I172" s="67" t="n"/>
    </row>
    <row r="173">
      <c r="B173" s="67" t="n"/>
      <c r="C173" s="67" t="n"/>
      <c r="D173" s="67" t="n"/>
      <c r="E173" s="67" t="n"/>
      <c r="F173" s="67" t="n"/>
      <c r="G173" s="67" t="n"/>
      <c r="H173" s="67" t="n"/>
      <c r="I173" s="67" t="n"/>
    </row>
    <row r="174">
      <c r="B174" s="67" t="n"/>
      <c r="C174" s="67" t="n"/>
      <c r="D174" s="67" t="n"/>
      <c r="E174" s="67" t="n"/>
      <c r="F174" s="67" t="n"/>
      <c r="G174" s="67" t="n"/>
      <c r="H174" s="67" t="n"/>
      <c r="I174" s="67" t="n"/>
    </row>
    <row r="175">
      <c r="B175" s="67" t="n"/>
      <c r="C175" s="67" t="n"/>
      <c r="D175" s="67" t="n"/>
      <c r="E175" s="67" t="n"/>
      <c r="F175" s="67" t="n"/>
      <c r="G175" s="67" t="n"/>
      <c r="H175" s="67" t="n"/>
      <c r="I175" s="67" t="n"/>
    </row>
    <row r="176">
      <c r="B176" s="67" t="n"/>
      <c r="C176" s="67" t="n"/>
      <c r="D176" s="67" t="n"/>
      <c r="E176" s="67" t="n"/>
      <c r="F176" s="67" t="n"/>
      <c r="G176" s="67" t="n"/>
      <c r="H176" s="67" t="n"/>
      <c r="I176" s="67" t="n"/>
    </row>
    <row r="177">
      <c r="B177" s="67" t="n"/>
      <c r="C177" s="67" t="n"/>
      <c r="D177" s="67" t="n"/>
      <c r="E177" s="67" t="n"/>
      <c r="F177" s="67" t="n"/>
      <c r="G177" s="67" t="n"/>
      <c r="H177" s="67" t="n"/>
      <c r="I177" s="67" t="n"/>
    </row>
    <row r="178">
      <c r="B178" s="67" t="n"/>
      <c r="C178" s="67" t="n"/>
      <c r="D178" s="67" t="n"/>
      <c r="E178" s="67" t="n"/>
      <c r="F178" s="67" t="n"/>
      <c r="G178" s="67" t="n"/>
      <c r="H178" s="67" t="n"/>
      <c r="I178" s="67" t="n"/>
    </row>
    <row r="179">
      <c r="B179" s="67" t="n"/>
      <c r="C179" s="67" t="n"/>
      <c r="D179" s="67" t="n"/>
      <c r="E179" s="67" t="n"/>
      <c r="F179" s="67" t="n"/>
      <c r="G179" s="67" t="n"/>
      <c r="H179" s="67" t="n"/>
      <c r="I179" s="67" t="n"/>
    </row>
    <row r="180">
      <c r="B180" s="67" t="n"/>
      <c r="C180" s="67" t="n"/>
      <c r="D180" s="67" t="n"/>
      <c r="E180" s="67" t="n"/>
      <c r="F180" s="67" t="n"/>
      <c r="G180" s="67" t="n"/>
      <c r="H180" s="67" t="n"/>
      <c r="I180" s="67" t="n"/>
    </row>
    <row r="181">
      <c r="B181" s="67" t="n"/>
      <c r="C181" s="67" t="n"/>
      <c r="D181" s="67" t="n"/>
      <c r="E181" s="67" t="n"/>
      <c r="F181" s="67" t="n"/>
      <c r="G181" s="67" t="n"/>
      <c r="H181" s="67" t="n"/>
      <c r="I181" s="67" t="n"/>
    </row>
    <row r="182">
      <c r="B182" s="67" t="n"/>
      <c r="C182" s="67" t="n"/>
      <c r="D182" s="67" t="n"/>
      <c r="E182" s="67" t="n"/>
      <c r="F182" s="67" t="n"/>
      <c r="G182" s="67" t="n"/>
      <c r="H182" s="67" t="n"/>
      <c r="I182" s="67" t="n"/>
    </row>
    <row r="183">
      <c r="B183" s="67" t="n"/>
      <c r="C183" s="67" t="n"/>
      <c r="D183" s="67" t="n"/>
      <c r="E183" s="67" t="n"/>
      <c r="F183" s="67" t="n"/>
      <c r="G183" s="67" t="n"/>
      <c r="H183" s="67" t="n"/>
      <c r="I183" s="67" t="n"/>
    </row>
    <row r="184">
      <c r="B184" s="67" t="n"/>
      <c r="C184" s="67" t="n"/>
      <c r="D184" s="67" t="n"/>
      <c r="E184" s="67" t="n"/>
      <c r="F184" s="67" t="n"/>
      <c r="G184" s="67" t="n"/>
      <c r="H184" s="67" t="n"/>
      <c r="I184" s="67" t="n"/>
    </row>
    <row r="185">
      <c r="B185" s="67" t="n"/>
      <c r="C185" s="67" t="n"/>
      <c r="D185" s="67" t="n"/>
      <c r="E185" s="67" t="n"/>
      <c r="F185" s="67" t="n"/>
      <c r="G185" s="67" t="n"/>
      <c r="H185" s="67" t="n"/>
      <c r="I185" s="67" t="n"/>
    </row>
    <row r="186">
      <c r="B186" s="67" t="n"/>
      <c r="C186" s="67" t="n"/>
      <c r="D186" s="67" t="n"/>
      <c r="E186" s="67" t="n"/>
      <c r="F186" s="67" t="n"/>
      <c r="G186" s="67" t="n"/>
      <c r="H186" s="67" t="n"/>
      <c r="I186" s="67" t="n"/>
    </row>
    <row r="187">
      <c r="B187" s="67" t="n"/>
      <c r="C187" s="67" t="n"/>
      <c r="D187" s="67" t="n"/>
      <c r="E187" s="67" t="n"/>
      <c r="F187" s="67" t="n"/>
      <c r="G187" s="67" t="n"/>
      <c r="H187" s="67" t="n"/>
      <c r="I187" s="67" t="n"/>
    </row>
    <row r="188">
      <c r="B188" s="67" t="n"/>
      <c r="C188" s="67" t="n"/>
      <c r="D188" s="67" t="n"/>
      <c r="E188" s="67" t="n"/>
      <c r="F188" s="67" t="n"/>
      <c r="G188" s="67" t="n"/>
      <c r="H188" s="67" t="n"/>
      <c r="I188" s="67" t="n"/>
    </row>
    <row r="189">
      <c r="B189" s="67" t="n"/>
      <c r="C189" s="67" t="n"/>
      <c r="D189" s="67" t="n"/>
      <c r="E189" s="67" t="n"/>
      <c r="F189" s="67" t="n"/>
      <c r="G189" s="67" t="n"/>
      <c r="H189" s="67" t="n"/>
      <c r="I189" s="67" t="n"/>
    </row>
    <row r="190">
      <c r="B190" s="67" t="n"/>
      <c r="C190" s="67" t="n"/>
      <c r="D190" s="67" t="n"/>
      <c r="E190" s="67" t="n"/>
      <c r="F190" s="67" t="n"/>
      <c r="G190" s="67" t="n"/>
      <c r="H190" s="67" t="n"/>
      <c r="I190" s="67" t="n"/>
    </row>
    <row r="191">
      <c r="B191" s="67" t="n"/>
      <c r="C191" s="67" t="n"/>
      <c r="D191" s="67" t="n"/>
      <c r="E191" s="67" t="n"/>
      <c r="F191" s="67" t="n"/>
      <c r="G191" s="67" t="n"/>
      <c r="H191" s="67" t="n"/>
      <c r="I191" s="67" t="n"/>
    </row>
    <row r="192">
      <c r="B192" s="67" t="n"/>
      <c r="C192" s="67" t="n"/>
      <c r="D192" s="67" t="n"/>
      <c r="E192" s="67" t="n"/>
      <c r="F192" s="67" t="n"/>
      <c r="G192" s="67" t="n"/>
      <c r="H192" s="67" t="n"/>
      <c r="I192" s="67" t="n"/>
    </row>
    <row r="193">
      <c r="B193" s="67" t="n"/>
      <c r="C193" s="67" t="n"/>
      <c r="D193" s="67" t="n"/>
      <c r="E193" s="67" t="n"/>
      <c r="F193" s="67" t="n"/>
      <c r="G193" s="67" t="n"/>
      <c r="H193" s="67" t="n"/>
      <c r="I193" s="67" t="n"/>
    </row>
    <row r="194">
      <c r="B194" s="67" t="n"/>
      <c r="C194" s="67" t="n"/>
      <c r="D194" s="67" t="n"/>
      <c r="E194" s="67" t="n"/>
      <c r="F194" s="67" t="n"/>
      <c r="G194" s="67" t="n"/>
      <c r="H194" s="67" t="n"/>
      <c r="I194" s="67" t="n"/>
    </row>
    <row r="195">
      <c r="B195" s="67" t="n"/>
      <c r="C195" s="67" t="n"/>
      <c r="D195" s="67" t="n"/>
      <c r="E195" s="67" t="n"/>
      <c r="F195" s="67" t="n"/>
      <c r="G195" s="67" t="n"/>
      <c r="H195" s="67" t="n"/>
      <c r="I195" s="67" t="n"/>
    </row>
    <row r="196">
      <c r="B196" s="67" t="n"/>
      <c r="C196" s="67" t="n"/>
      <c r="D196" s="67" t="n"/>
      <c r="E196" s="67" t="n"/>
      <c r="F196" s="67" t="n"/>
      <c r="G196" s="67" t="n"/>
      <c r="H196" s="67" t="n"/>
      <c r="I196" s="67" t="n"/>
    </row>
    <row r="197">
      <c r="B197" s="67" t="n"/>
      <c r="C197" s="67" t="n"/>
      <c r="D197" s="67" t="n"/>
      <c r="E197" s="67" t="n"/>
      <c r="F197" s="67" t="n"/>
      <c r="G197" s="67" t="n"/>
      <c r="H197" s="67" t="n"/>
      <c r="I197" s="67" t="n"/>
    </row>
    <row r="198">
      <c r="B198" s="67" t="n"/>
      <c r="C198" s="67" t="n"/>
      <c r="D198" s="67" t="n"/>
      <c r="E198" s="67" t="n"/>
      <c r="F198" s="67" t="n"/>
      <c r="G198" s="67" t="n"/>
      <c r="H198" s="67" t="n"/>
      <c r="I198" s="67" t="n"/>
    </row>
    <row r="199">
      <c r="B199" s="67" t="n"/>
      <c r="C199" s="67" t="n"/>
      <c r="D199" s="67" t="n"/>
      <c r="E199" s="67" t="n"/>
      <c r="F199" s="67" t="n"/>
      <c r="G199" s="67" t="n"/>
      <c r="H199" s="67" t="n"/>
      <c r="I199" s="67" t="n"/>
    </row>
    <row r="200">
      <c r="B200" s="67" t="n"/>
      <c r="C200" s="67" t="n"/>
      <c r="D200" s="67" t="n"/>
      <c r="E200" s="67" t="n"/>
      <c r="F200" s="67" t="n"/>
      <c r="G200" s="67" t="n"/>
      <c r="H200" s="67" t="n"/>
      <c r="I200" s="67" t="n"/>
    </row>
    <row r="201">
      <c r="B201" s="67" t="n"/>
      <c r="C201" s="67" t="n"/>
      <c r="D201" s="67" t="n"/>
      <c r="E201" s="67" t="n"/>
      <c r="F201" s="67" t="n"/>
      <c r="G201" s="67" t="n"/>
      <c r="H201" s="67" t="n"/>
      <c r="I201" s="67" t="n"/>
    </row>
    <row r="202">
      <c r="B202" s="67" t="n"/>
      <c r="C202" s="67" t="n"/>
      <c r="D202" s="67" t="n"/>
      <c r="E202" s="67" t="n"/>
      <c r="F202" s="67" t="n"/>
      <c r="G202" s="67" t="n"/>
      <c r="H202" s="67" t="n"/>
      <c r="I202" s="67" t="n"/>
    </row>
    <row r="203">
      <c r="B203" s="67" t="n"/>
      <c r="C203" s="67" t="n"/>
      <c r="D203" s="67" t="n"/>
      <c r="E203" s="67" t="n"/>
      <c r="F203" s="67" t="n"/>
      <c r="G203" s="67" t="n"/>
      <c r="H203" s="67" t="n"/>
      <c r="I203" s="67" t="n"/>
    </row>
    <row r="204">
      <c r="B204" s="67" t="n"/>
      <c r="C204" s="67" t="n"/>
      <c r="D204" s="67" t="n"/>
      <c r="E204" s="67" t="n"/>
      <c r="F204" s="67" t="n"/>
      <c r="G204" s="67" t="n"/>
      <c r="H204" s="67" t="n"/>
      <c r="I204" s="67" t="n"/>
    </row>
    <row r="205">
      <c r="B205" s="67" t="n"/>
      <c r="C205" s="67" t="n"/>
      <c r="D205" s="67" t="n"/>
      <c r="E205" s="67" t="n"/>
      <c r="F205" s="67" t="n"/>
      <c r="G205" s="67" t="n"/>
      <c r="H205" s="67" t="n"/>
      <c r="I205" s="67" t="n"/>
    </row>
    <row r="206">
      <c r="B206" s="67" t="n"/>
      <c r="C206" s="67" t="n"/>
      <c r="D206" s="67" t="n"/>
      <c r="E206" s="67" t="n"/>
      <c r="F206" s="67" t="n"/>
      <c r="G206" s="67" t="n"/>
      <c r="H206" s="67" t="n"/>
      <c r="I206" s="67" t="n"/>
    </row>
    <row r="207">
      <c r="B207" s="67" t="n"/>
      <c r="C207" s="67" t="n"/>
      <c r="D207" s="67" t="n"/>
      <c r="E207" s="67" t="n"/>
      <c r="F207" s="67" t="n"/>
      <c r="G207" s="67" t="n"/>
      <c r="H207" s="67" t="n"/>
      <c r="I207" s="67" t="n"/>
    </row>
    <row r="208">
      <c r="B208" s="67" t="n"/>
      <c r="C208" s="67" t="n"/>
      <c r="D208" s="67" t="n"/>
      <c r="E208" s="67" t="n"/>
      <c r="F208" s="67" t="n"/>
      <c r="G208" s="67" t="n"/>
      <c r="H208" s="67" t="n"/>
      <c r="I208" s="67" t="n"/>
    </row>
    <row r="209">
      <c r="B209" s="67" t="n"/>
      <c r="C209" s="67" t="n"/>
      <c r="D209" s="67" t="n"/>
      <c r="E209" s="67" t="n"/>
      <c r="F209" s="67" t="n"/>
      <c r="G209" s="67" t="n"/>
      <c r="H209" s="67" t="n"/>
      <c r="I209" s="67" t="n"/>
    </row>
    <row r="210">
      <c r="B210" s="67" t="n"/>
      <c r="C210" s="67" t="n"/>
      <c r="D210" s="67" t="n"/>
      <c r="E210" s="67" t="n"/>
      <c r="F210" s="67" t="n"/>
      <c r="G210" s="67" t="n"/>
      <c r="H210" s="67" t="n"/>
      <c r="I210" s="67" t="n"/>
    </row>
    <row r="211">
      <c r="B211" s="67" t="n"/>
      <c r="C211" s="67" t="n"/>
      <c r="D211" s="67" t="n"/>
      <c r="E211" s="67" t="n"/>
      <c r="F211" s="67" t="n"/>
      <c r="G211" s="67" t="n"/>
      <c r="H211" s="67" t="n"/>
      <c r="I211" s="67" t="n"/>
    </row>
    <row r="212">
      <c r="B212" s="67" t="n"/>
      <c r="C212" s="67" t="n"/>
      <c r="D212" s="67" t="n"/>
      <c r="E212" s="67" t="n"/>
      <c r="F212" s="67" t="n"/>
      <c r="G212" s="67" t="n"/>
      <c r="H212" s="67" t="n"/>
      <c r="I212" s="67" t="n"/>
    </row>
    <row r="213">
      <c r="B213" s="67" t="n"/>
      <c r="C213" s="67" t="n"/>
      <c r="D213" s="67" t="n"/>
      <c r="E213" s="67" t="n"/>
      <c r="F213" s="67" t="n"/>
      <c r="G213" s="67" t="n"/>
      <c r="H213" s="67" t="n"/>
      <c r="I213" s="67" t="n"/>
    </row>
    <row r="214">
      <c r="B214" s="67" t="n"/>
      <c r="C214" s="67" t="n"/>
      <c r="D214" s="67" t="n"/>
      <c r="E214" s="67" t="n"/>
      <c r="F214" s="67" t="n"/>
      <c r="G214" s="67" t="n"/>
      <c r="H214" s="67" t="n"/>
      <c r="I214" s="67" t="n"/>
    </row>
    <row r="215">
      <c r="B215" s="67" t="n"/>
      <c r="C215" s="67" t="n"/>
      <c r="D215" s="67" t="n"/>
      <c r="E215" s="67" t="n"/>
      <c r="F215" s="67" t="n"/>
      <c r="G215" s="67" t="n"/>
      <c r="H215" s="67" t="n"/>
      <c r="I215" s="67" t="n"/>
    </row>
    <row r="216">
      <c r="B216" s="67" t="n"/>
      <c r="C216" s="67" t="n"/>
      <c r="D216" s="67" t="n"/>
      <c r="E216" s="67" t="n"/>
      <c r="F216" s="67" t="n"/>
      <c r="G216" s="67" t="n"/>
      <c r="H216" s="67" t="n"/>
      <c r="I216" s="67" t="n"/>
    </row>
    <row r="217">
      <c r="B217" s="67" t="n"/>
      <c r="C217" s="67" t="n"/>
      <c r="D217" s="67" t="n"/>
      <c r="E217" s="67" t="n"/>
      <c r="F217" s="67" t="n"/>
      <c r="G217" s="67" t="n"/>
      <c r="H217" s="67" t="n"/>
      <c r="I217" s="67" t="n"/>
    </row>
    <row r="218">
      <c r="B218" s="67" t="n"/>
      <c r="C218" s="67" t="n"/>
      <c r="D218" s="67" t="n"/>
      <c r="E218" s="67" t="n"/>
      <c r="F218" s="67" t="n"/>
      <c r="G218" s="67" t="n"/>
      <c r="H218" s="67" t="n"/>
      <c r="I218" s="67" t="n"/>
    </row>
    <row r="219">
      <c r="B219" s="67" t="n"/>
      <c r="C219" s="67" t="n"/>
      <c r="D219" s="67" t="n"/>
      <c r="E219" s="67" t="n"/>
      <c r="F219" s="67" t="n"/>
      <c r="G219" s="67" t="n"/>
      <c r="H219" s="67" t="n"/>
      <c r="I219" s="67" t="n"/>
    </row>
    <row r="220">
      <c r="B220" s="67" t="n"/>
      <c r="C220" s="67" t="n"/>
      <c r="D220" s="67" t="n"/>
      <c r="E220" s="67" t="n"/>
      <c r="F220" s="67" t="n"/>
      <c r="G220" s="67" t="n"/>
      <c r="H220" s="67" t="n"/>
      <c r="I220" s="67" t="n"/>
    </row>
  </sheetData>
  <mergeCells count="7">
    <mergeCell ref="B7:J7"/>
    <mergeCell ref="B3:J3"/>
    <mergeCell ref="B5:J5"/>
    <mergeCell ref="B10:C10"/>
    <mergeCell ref="B8:J8"/>
    <mergeCell ref="B4:J4"/>
    <mergeCell ref="B6:J6"/>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AND(LEN($B20&amp;$C20&amp;$D20&amp;$E20&amp;$F20&amp;$G20&amp;$H20&amp;$I20&amp;$J20)&gt;0,B20="")</formula>
    </cfRule>
  </conditionalFormatting>
  <conditionalFormatting sqref="E20:E220">
    <cfRule type="expression" priority="3" dxfId="6">
      <formula>AND(LEN($B20&amp;$C20&amp;$D20&amp;$E20&amp;$F20&amp;$G20&amp;$H20&amp;$I20&amp;$J20)&gt;0,E20="")</formula>
    </cfRule>
  </conditionalFormatting>
  <conditionalFormatting sqref="F20:F220">
    <cfRule type="expression" priority="4" dxfId="6">
      <formula>AND(LEN($B20&amp;$C20&amp;$D20&amp;$E20&amp;$F20&amp;$G20&amp;$H20&amp;$I20&amp;$J20)&gt;0,F20="")</formula>
    </cfRule>
  </conditionalFormatting>
  <conditionalFormatting sqref="I20:I220">
    <cfRule type="expression" priority="5" dxfId="6">
      <formula>AND(LEN($B20&amp;$C20&amp;$D20&amp;$E20&amp;$F20&amp;$G20&amp;$H20&amp;$I20&amp;$J20)&gt;0,I20="")</formula>
    </cfRule>
  </conditionalFormatting>
  <dataValidations count="11">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J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ine_code" error="At most 30 characters." promptTitle="line_code" prompt="Yes. Legacy line of business Allowed: The legacy code; mapped by the code map LINE (sheet Code maps)" type="textLength" operator="lessThanOrEqual">
      <formula1>30</formula1>
    </dataValidation>
    <dataValidation sqref="C20:C220" showDropDown="0" showInputMessage="1" showErrorMessage="1" allowBlank="1" errorTitle="line_name" error="At most 120 characters." promptTitle="line_name" prompt="No. Line name Allowed: Free entry, up to 120 characters" type="textLength" operator="lessThanOrEqual">
      <formula1>120</formula1>
    </dataValidation>
    <dataValidation sqref="D20:D220" showDropDown="0" showInputMessage="1" showErrorMessage="1" allowBlank="1" errorTitle="cover_type_code" error="At most 30 characters." promptTitle="cover_type_code" prompt="No. Legacy cover type Allowed: The legacy code; mapped by the code map COVER_TYPE (sheet Code maps)" type="textLength" operator="lessThanOrEqual">
      <formula1>30</formula1>
    </dataValidation>
    <dataValidation sqref="E20:E220" showDropDown="0" showInputMessage="1" showErrorMessage="1" allowBlank="1" errorTitle="risk_code" error="At most 20 characters." promptTitle="risk_code" prompt="Yes. Legacy risk code / product code Allowed: Free entry, up to 20 characters" type="textLength" operator="lessThanOrEqual">
      <formula1>20</formula1>
    </dataValidation>
    <dataValidation sqref="F20:F220" showDropDown="0" showInputMessage="1" showErrorMessage="1" allowBlank="1" errorTitle="risk_name" error="At most 200 characters." promptTitle="risk_name" prompt="Yes. Product / risk name Allowed: Free entry, up to 200 characters" type="textLength" operator="lessThanOrEqual">
      <formula1>200</formula1>
    </dataValidation>
    <dataValidation sqref="G20:G220" showDropDown="0" showInputMessage="1" showErrorMessage="1" allowBlank="1" errorTitle="packaged_flag" error="Choose a value of the list Yes or no (sheet Reference lists)." promptTitle="packaged_flag" prompt="No. Sold as a package Allowed: Y or N" type="list" errorStyle="stop">
      <formula1>=LIST_YES_NO</formula1>
    </dataValidation>
    <dataValidation sqref="H20:H220" showDropDown="0" showInputMessage="1" showErrorMessage="1" allowBlank="1" errorTitle="market_segments" error="At most 300 characters." promptTitle="market_segments" prompt="No. Segments that may use the product, separated by semicolons Allowed: The legacy code; mapped by the code map LOV:MARKET_SEGMENT (sheet Code maps)" type="textLength" operator="lessThanOrEqual">
      <formula1>300</formula1>
    </dataValidation>
    <dataValidation sqref="I20:I220" showDropDown="0" showInputMessage="1" showErrorMessage="1" allowBlank="1" errorTitle="status" error="At most 20 characters." promptTitle="status" prompt="Yes. Status in legacy Allowed: The legacy code; mapped by the code map STATUS:PRODUCT (sheet Code maps)" type="textLength" operator="lessThanOrEqual">
      <formula1>20</formula1>
    </dataValidation>
    <dataValidation sqref="J20:J220" showDropDown="0" showInputMessage="1" showErrorMessage="1" allowBlank="1" errorTitle="open_item_count" error="Enter a whole number." promptTitle="open_item_count" prompt="No. Open invoices and in-force policies using the code (helps the mapping) Allowed: A whole number" type="whole" operator="greaterThanOrEqual">
      <formula1>-1E+15</formula1>
    </dataValidation>
  </dataValidations>
  <hyperlinks>
    <hyperlink ref="A2" location="'Load templates'!A1"/>
    <hyperlink ref="J2" location="'Comments log'!A1"/>
    <hyperlink ref="B17" location="'Code maps'!A1"/>
    <hyperlink ref="D17" location="'Code maps'!A1"/>
    <hyperlink ref="H17" location="'Code maps'!A1"/>
    <hyperlink ref="I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tabColor rgb="00004EA8"/>
    <outlinePr summaryBelow="0" summaryRight="1"/>
    <pageSetUpPr fitToPage="1"/>
  </sheetPr>
  <dimension ref="A1:I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7" customWidth="1" min="3" max="3"/>
    <col width="26" customWidth="1" min="4" max="4"/>
    <col width="14" customWidth="1" min="5" max="5"/>
    <col width="26.81818181818182" customWidth="1" min="6" max="6"/>
    <col width="12" customWidth="1" min="7" max="7"/>
    <col width="25" customWidth="1" min="8" max="8"/>
    <col width="32" customWidth="1" min="9" max="9"/>
  </cols>
  <sheetData>
    <row r="1" ht="26" customHeight="1">
      <c r="A1" s="44" t="inlineStr">
        <is>
          <t>R06 Package code map (legacy package to BIBS package version)</t>
        </is>
      </c>
      <c r="I1" s="45" t="inlineStr">
        <is>
          <t>Step 7 of 29</t>
        </is>
      </c>
    </row>
    <row r="2">
      <c r="A2" s="46" t="inlineStr">
        <is>
          <t>← Back to Load templates</t>
        </is>
      </c>
      <c r="B2" s="47" t="inlineStr">
        <is>
          <t>Step 7 of 29. Fill in one row per record below the column headers; the guide above each column says what to enter.</t>
        </is>
      </c>
      <c r="I2" s="48" t="inlineStr">
        <is>
          <t>Ask a question →</t>
        </is>
      </c>
    </row>
    <row r="3" outlineLevel="1" ht="28" customHeight="1">
      <c r="A3" s="49" t="inlineStr">
        <is>
          <t>Purpose</t>
        </is>
      </c>
      <c r="B3" s="50" t="inlineStr">
        <is>
          <t>One row per record of Package code map (legacy package and version to BIBS package version) as extracted from QPS (legacy packages); TSU (BIBS package versions). Key legacy_package_code, legacy_package_version, qualifier, qualifier_value. Sent as the file R06_template.csv (CSV, header row as below) with its control file (row count, count of distinct keys).</t>
        </is>
      </c>
    </row>
    <row r="4" outlineLevel="1" ht="15.5" customHeight="1">
      <c r="A4" s="49" t="inlineStr">
        <is>
          <t>Provided by</t>
        </is>
      </c>
      <c r="B4" s="50" t="inlineStr">
        <is>
          <t>TSU (to name); approved by Product Owner, MBS (approves); TSU (prepares); extracted by BDOI IT</t>
        </is>
      </c>
    </row>
    <row r="5" outlineLevel="1" ht="15.5" customHeight="1">
      <c r="A5" s="49" t="inlineStr">
        <is>
          <t>Due</t>
        </is>
      </c>
      <c r="B5" s="51" t="inlineStr">
        <is>
          <t>M5 (18 Jun 2027); final at T-7</t>
        </is>
      </c>
    </row>
    <row r="6" outlineLevel="1" ht="15.5" customHeight="1">
      <c r="A6" s="49" t="inlineStr">
        <is>
          <t>How it is loaded</t>
        </is>
      </c>
      <c r="B6" s="50" t="inlineStr">
        <is>
          <t>Data migration object R06 (Migrate), layout R06 version 1, through the Migration Console; lands in: Renewal package map, used by the package check of the Renewal sanitation</t>
        </is>
      </c>
    </row>
    <row r="7" outlineLevel="1" ht="15.5" customHeight="1">
      <c r="A7" s="49" t="inlineStr">
        <is>
          <t>Source</t>
        </is>
      </c>
      <c r="B7" s="50" t="inlineStr">
        <is>
          <t>QPS (legacy packages); TSU (BIBS package versions)</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SUMPRODUCT(((ROW($B$20:$B$220)&gt;20)+($B$20&lt;&gt;"PKG-MC-PRIV")&gt;0)*(LEN($B$20:$B$220&amp;$C$20:$C$220&amp;$D$20:$D$220&amp;$E$20:$E$220&amp;$F$20:$F$220&amp;$G$20:$G$220&amp;$H$20:$H$220&amp;$I$20:$I$220)&gt;0))</f>
        <v/>
      </c>
      <c r="D9" s="54" t="inlineStr">
        <is>
          <t>Mandatory cells missing</t>
        </is>
      </c>
      <c r="E9" s="55">
        <f>SUMPRODUCT(((ROW($B$20:$B$220)&gt;20)+($B$20&lt;&gt;"PKG-MC-PRIV")&gt;0)*(LEN($B$20:$B$220&amp;$C$20:$C$220&amp;$D$20:$D$220&amp;$E$20:$E$220&amp;$F$20:$F$220&amp;$G$20:$G$220&amp;$H$20:$H$220&amp;$I$20:$I$220)&gt;0)*(($B$20:$B$220="")+($C$20:$C$220="")+($D$20:$D$220="")+($G$20:$G$220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row>
    <row r="12" ht="30" customHeight="1">
      <c r="A12" s="59" t="inlineStr">
        <is>
          <t>BU review</t>
        </is>
      </c>
      <c r="B12" s="60" t="n"/>
      <c r="C12" s="60" t="n"/>
      <c r="D12" s="60" t="n"/>
      <c r="E12" s="60" t="n"/>
      <c r="F12" s="60" t="n"/>
      <c r="G12" s="60" t="n"/>
      <c r="H12" s="60" t="n"/>
      <c r="I12" s="60" t="n"/>
    </row>
    <row r="13" ht="30" customHeight="1">
      <c r="A13" s="59" t="inlineStr">
        <is>
          <t>BU comment</t>
        </is>
      </c>
      <c r="B13" s="60" t="n"/>
      <c r="C13" s="60" t="n"/>
      <c r="D13" s="60" t="n"/>
      <c r="E13" s="60" t="n"/>
      <c r="F13" s="60" t="n"/>
      <c r="G13" s="60" t="n"/>
      <c r="H13" s="60" t="n"/>
      <c r="I13" s="60" t="n"/>
    </row>
    <row r="14" ht="43" customHeight="1">
      <c r="A14" s="59" t="inlineStr">
        <is>
          <t>Check when loaded</t>
        </is>
      </c>
      <c r="B14" s="61" t="inlineStr">
        <is>
          <t>Exists in the legacy package list</t>
        </is>
      </c>
      <c r="C14" s="61" t="inlineStr">
        <is>
          <t>0 or more</t>
        </is>
      </c>
      <c r="D14" s="61" t="inlineStr">
        <is>
          <t>Not blank</t>
        </is>
      </c>
      <c r="E14" s="61" t="inlineStr">
        <is>
          <t>In the list; one qualifier per entry</t>
        </is>
      </c>
      <c r="F14" s="61" t="inlineStr">
        <is>
          <t>Mandatory with a qualifier; bands of one legacy package do not overlap</t>
        </is>
      </c>
      <c r="G14" s="61" t="inlineStr">
        <is>
          <t>In the list</t>
        </is>
      </c>
      <c r="H14" s="61" t="inlineStr">
        <is>
          <t>Mandatory for MAP; active in Product Maintenance</t>
        </is>
      </c>
      <c r="I14" s="61" t="inlineStr">
        <is>
          <t>-</t>
        </is>
      </c>
    </row>
    <row r="15" ht="43" customHeight="1">
      <c r="A15" s="59" t="inlineStr">
        <is>
          <t>Mandatory</t>
        </is>
      </c>
      <c r="B15" s="62" t="inlineStr">
        <is>
          <t>Yes</t>
        </is>
      </c>
      <c r="C15" s="62" t="inlineStr">
        <is>
          <t>Yes</t>
        </is>
      </c>
      <c r="D15" s="62" t="inlineStr">
        <is>
          <t>Yes</t>
        </is>
      </c>
      <c r="E15" s="61" t="inlineStr">
        <is>
          <t>No</t>
        </is>
      </c>
      <c r="F15" s="61" t="inlineStr">
        <is>
          <t>Conditional: Mandatory with a qualifier; bands of one legacy package do not overlap</t>
        </is>
      </c>
      <c r="G15" s="62" t="inlineStr">
        <is>
          <t>Yes</t>
        </is>
      </c>
      <c r="H15" s="61" t="inlineStr">
        <is>
          <t>Conditional: Mandatory for MAP; active in Product Maintenance</t>
        </is>
      </c>
      <c r="I15" s="61" t="inlineStr">
        <is>
          <t>No</t>
        </is>
      </c>
    </row>
    <row r="16" ht="30" customHeight="1">
      <c r="A16" s="59" t="inlineStr">
        <is>
          <t>Format</t>
        </is>
      </c>
      <c r="B16" s="61" t="inlineStr">
        <is>
          <t>Code, up to 20; As stored in legacy</t>
        </is>
      </c>
      <c r="C16" s="61" t="inlineStr">
        <is>
          <t>Integer, up to 4; Digits</t>
        </is>
      </c>
      <c r="D16" s="61" t="inlineStr">
        <is>
          <t>Text, up to 200; Free text</t>
        </is>
      </c>
      <c r="E16" s="61" t="inlineStr">
        <is>
          <t>Code, up to 20; Upper case</t>
        </is>
      </c>
      <c r="F16" s="61" t="inlineStr">
        <is>
          <t>Text, up to 60; Code, or from-to amounts with a dot decimal</t>
        </is>
      </c>
      <c r="G16" s="61" t="inlineStr">
        <is>
          <t>Code, up to 6; Upper case</t>
        </is>
      </c>
      <c r="H16" s="61" t="inlineStr">
        <is>
          <t>Code, up to 40; As in BIBS</t>
        </is>
      </c>
      <c r="I16" s="61" t="inlineStr">
        <is>
          <t>Text, up to 250; Free text</t>
        </is>
      </c>
    </row>
    <row r="17" ht="56" customHeight="1">
      <c r="A17" s="59" t="inlineStr">
        <is>
          <t>Allowed values</t>
        </is>
      </c>
      <c r="B17" s="61" t="inlineStr">
        <is>
          <t>Free entry, up to 20 characters</t>
        </is>
      </c>
      <c r="C17" s="61" t="inlineStr">
        <is>
          <t>A whole number</t>
        </is>
      </c>
      <c r="D17" s="61" t="inlineStr">
        <is>
          <t>Free entry, up to 200 characters</t>
        </is>
      </c>
      <c r="E17" s="69" t="inlineStr">
        <is>
          <t>RISK_CODE, INSURER, SI_BAND (list R06 qualifier)</t>
        </is>
      </c>
      <c r="F17" s="61" t="inlineStr">
        <is>
          <t>Free entry, up to 60 characters</t>
        </is>
      </c>
      <c r="G17" s="69" t="inlineStr">
        <is>
          <t>MAP, REJECT (list R06 action)</t>
        </is>
      </c>
      <c r="H17" s="61" t="inlineStr">
        <is>
          <t>Active package versions in Product Maintenance</t>
        </is>
      </c>
      <c r="I17" s="61" t="inlineStr">
        <is>
          <t>Free entry, up to 250 characters</t>
        </is>
      </c>
    </row>
    <row r="18" ht="69" customHeight="1">
      <c r="A18" s="59" t="inlineStr">
        <is>
          <t>What to enter</t>
        </is>
      </c>
      <c r="B18" s="61" t="inlineStr">
        <is>
          <t>Legacy package code</t>
        </is>
      </c>
      <c r="C18" s="61" t="inlineStr">
        <is>
          <t>Version of the legacy package</t>
        </is>
      </c>
      <c r="D18" s="61" t="inlineStr">
        <is>
          <t>Package name in legacy</t>
        </is>
      </c>
      <c r="E18" s="61" t="inlineStr">
        <is>
          <t>Attribute that splits one legacy package into several BIBS packages</t>
        </is>
      </c>
      <c r="F18" s="61" t="inlineStr">
        <is>
          <t>Value of the qualifier (risk code, insurer code, or sum-insured band as from-to)</t>
        </is>
      </c>
      <c r="G18" s="61" t="inlineStr">
        <is>
          <t>MAP to a BIBS package version, or REJECT (no BIBS package)</t>
        </is>
      </c>
      <c r="H18" s="61" t="inlineStr">
        <is>
          <t>BIBS package version maintained by TSU</t>
        </is>
      </c>
      <c r="I18" s="61" t="inlineStr">
        <is>
          <t>Why the entry maps as it does</t>
        </is>
      </c>
    </row>
    <row r="19" ht="30" customHeight="1">
      <c r="A19" s="63" t="inlineStr">
        <is>
          <t>Row</t>
        </is>
      </c>
      <c r="B19" s="24" t="inlineStr">
        <is>
          <t>legacy_package_code *</t>
        </is>
      </c>
      <c r="C19" s="24" t="inlineStr">
        <is>
          <t>legacy_package_version *</t>
        </is>
      </c>
      <c r="D19" s="24" t="inlineStr">
        <is>
          <t>legacy_package_name *</t>
        </is>
      </c>
      <c r="E19" s="24" t="inlineStr">
        <is>
          <t>qualifier</t>
        </is>
      </c>
      <c r="F19" s="24" t="inlineStr">
        <is>
          <t>qualifier_value</t>
        </is>
      </c>
      <c r="G19" s="24" t="inlineStr">
        <is>
          <t>action *</t>
        </is>
      </c>
      <c r="H19" s="24" t="inlineStr">
        <is>
          <t>bibs_package_version</t>
        </is>
      </c>
      <c r="I19" s="24" t="inlineStr">
        <is>
          <t>remarks</t>
        </is>
      </c>
    </row>
    <row r="20" ht="18" customHeight="1">
      <c r="A20" s="64" t="inlineStr">
        <is>
          <t>Example – overwrite or delete</t>
        </is>
      </c>
      <c r="B20" s="65" t="inlineStr">
        <is>
          <t>PKG-MC-PRIV</t>
        </is>
      </c>
      <c r="C20" s="66" t="n">
        <v>3</v>
      </c>
      <c r="D20" s="65" t="inlineStr">
        <is>
          <t>Private Car Package 2027</t>
        </is>
      </c>
      <c r="E20" s="65" t="inlineStr">
        <is>
          <t>SI_BAND</t>
        </is>
      </c>
      <c r="F20" s="65" t="inlineStr">
        <is>
          <t>0.00-2000000.00</t>
        </is>
      </c>
      <c r="G20" s="65" t="inlineStr">
        <is>
          <t>MAP</t>
        </is>
      </c>
      <c r="H20" s="65" t="inlineStr">
        <is>
          <t>MC-PRIVATE-STD v1</t>
        </is>
      </c>
      <c r="I20" s="65" t="inlineStr">
        <is>
          <t>Sum insured up to 2,000,000.00</t>
        </is>
      </c>
    </row>
    <row r="21">
      <c r="B21" s="67" t="n"/>
      <c r="D21" s="67" t="n"/>
      <c r="E21" s="67" t="n"/>
      <c r="F21" s="67" t="n"/>
      <c r="G21" s="67" t="n"/>
      <c r="H21" s="67" t="n"/>
      <c r="I21" s="67" t="n"/>
    </row>
    <row r="22">
      <c r="B22" s="67" t="n"/>
      <c r="D22" s="67" t="n"/>
      <c r="E22" s="67" t="n"/>
      <c r="F22" s="67" t="n"/>
      <c r="G22" s="67" t="n"/>
      <c r="H22" s="67" t="n"/>
      <c r="I22" s="67" t="n"/>
    </row>
    <row r="23">
      <c r="B23" s="67" t="n"/>
      <c r="D23" s="67" t="n"/>
      <c r="E23" s="67" t="n"/>
      <c r="F23" s="67" t="n"/>
      <c r="G23" s="67" t="n"/>
      <c r="H23" s="67" t="n"/>
      <c r="I23" s="67" t="n"/>
    </row>
    <row r="24">
      <c r="B24" s="67" t="n"/>
      <c r="D24" s="67" t="n"/>
      <c r="E24" s="67" t="n"/>
      <c r="F24" s="67" t="n"/>
      <c r="G24" s="67" t="n"/>
      <c r="H24" s="67" t="n"/>
      <c r="I24" s="67" t="n"/>
    </row>
    <row r="25">
      <c r="B25" s="67" t="n"/>
      <c r="D25" s="67" t="n"/>
      <c r="E25" s="67" t="n"/>
      <c r="F25" s="67" t="n"/>
      <c r="G25" s="67" t="n"/>
      <c r="H25" s="67" t="n"/>
      <c r="I25" s="67" t="n"/>
    </row>
    <row r="26">
      <c r="B26" s="67" t="n"/>
      <c r="D26" s="67" t="n"/>
      <c r="E26" s="67" t="n"/>
      <c r="F26" s="67" t="n"/>
      <c r="G26" s="67" t="n"/>
      <c r="H26" s="67" t="n"/>
      <c r="I26" s="67" t="n"/>
    </row>
    <row r="27">
      <c r="B27" s="67" t="n"/>
      <c r="D27" s="67" t="n"/>
      <c r="E27" s="67" t="n"/>
      <c r="F27" s="67" t="n"/>
      <c r="G27" s="67" t="n"/>
      <c r="H27" s="67" t="n"/>
      <c r="I27" s="67" t="n"/>
    </row>
    <row r="28">
      <c r="B28" s="67" t="n"/>
      <c r="D28" s="67" t="n"/>
      <c r="E28" s="67" t="n"/>
      <c r="F28" s="67" t="n"/>
      <c r="G28" s="67" t="n"/>
      <c r="H28" s="67" t="n"/>
      <c r="I28" s="67" t="n"/>
    </row>
    <row r="29">
      <c r="B29" s="67" t="n"/>
      <c r="D29" s="67" t="n"/>
      <c r="E29" s="67" t="n"/>
      <c r="F29" s="67" t="n"/>
      <c r="G29" s="67" t="n"/>
      <c r="H29" s="67" t="n"/>
      <c r="I29" s="67" t="n"/>
    </row>
    <row r="30">
      <c r="B30" s="67" t="n"/>
      <c r="D30" s="67" t="n"/>
      <c r="E30" s="67" t="n"/>
      <c r="F30" s="67" t="n"/>
      <c r="G30" s="67" t="n"/>
      <c r="H30" s="67" t="n"/>
      <c r="I30" s="67" t="n"/>
    </row>
    <row r="31">
      <c r="B31" s="67" t="n"/>
      <c r="D31" s="67" t="n"/>
      <c r="E31" s="67" t="n"/>
      <c r="F31" s="67" t="n"/>
      <c r="G31" s="67" t="n"/>
      <c r="H31" s="67" t="n"/>
      <c r="I31" s="67" t="n"/>
    </row>
    <row r="32">
      <c r="B32" s="67" t="n"/>
      <c r="D32" s="67" t="n"/>
      <c r="E32" s="67" t="n"/>
      <c r="F32" s="67" t="n"/>
      <c r="G32" s="67" t="n"/>
      <c r="H32" s="67" t="n"/>
      <c r="I32" s="67" t="n"/>
    </row>
    <row r="33">
      <c r="B33" s="67" t="n"/>
      <c r="D33" s="67" t="n"/>
      <c r="E33" s="67" t="n"/>
      <c r="F33" s="67" t="n"/>
      <c r="G33" s="67" t="n"/>
      <c r="H33" s="67" t="n"/>
      <c r="I33" s="67" t="n"/>
    </row>
    <row r="34">
      <c r="B34" s="67" t="n"/>
      <c r="D34" s="67" t="n"/>
      <c r="E34" s="67" t="n"/>
      <c r="F34" s="67" t="n"/>
      <c r="G34" s="67" t="n"/>
      <c r="H34" s="67" t="n"/>
      <c r="I34" s="67" t="n"/>
    </row>
    <row r="35">
      <c r="B35" s="67" t="n"/>
      <c r="D35" s="67" t="n"/>
      <c r="E35" s="67" t="n"/>
      <c r="F35" s="67" t="n"/>
      <c r="G35" s="67" t="n"/>
      <c r="H35" s="67" t="n"/>
      <c r="I35" s="67" t="n"/>
    </row>
    <row r="36">
      <c r="B36" s="67" t="n"/>
      <c r="D36" s="67" t="n"/>
      <c r="E36" s="67" t="n"/>
      <c r="F36" s="67" t="n"/>
      <c r="G36" s="67" t="n"/>
      <c r="H36" s="67" t="n"/>
      <c r="I36" s="67" t="n"/>
    </row>
    <row r="37">
      <c r="B37" s="67" t="n"/>
      <c r="D37" s="67" t="n"/>
      <c r="E37" s="67" t="n"/>
      <c r="F37" s="67" t="n"/>
      <c r="G37" s="67" t="n"/>
      <c r="H37" s="67" t="n"/>
      <c r="I37" s="67" t="n"/>
    </row>
    <row r="38">
      <c r="B38" s="67" t="n"/>
      <c r="D38" s="67" t="n"/>
      <c r="E38" s="67" t="n"/>
      <c r="F38" s="67" t="n"/>
      <c r="G38" s="67" t="n"/>
      <c r="H38" s="67" t="n"/>
      <c r="I38" s="67" t="n"/>
    </row>
    <row r="39">
      <c r="B39" s="67" t="n"/>
      <c r="D39" s="67" t="n"/>
      <c r="E39" s="67" t="n"/>
      <c r="F39" s="67" t="n"/>
      <c r="G39" s="67" t="n"/>
      <c r="H39" s="67" t="n"/>
      <c r="I39" s="67" t="n"/>
    </row>
    <row r="40">
      <c r="B40" s="67" t="n"/>
      <c r="D40" s="67" t="n"/>
      <c r="E40" s="67" t="n"/>
      <c r="F40" s="67" t="n"/>
      <c r="G40" s="67" t="n"/>
      <c r="H40" s="67" t="n"/>
      <c r="I40" s="67" t="n"/>
    </row>
    <row r="41">
      <c r="B41" s="67" t="n"/>
      <c r="D41" s="67" t="n"/>
      <c r="E41" s="67" t="n"/>
      <c r="F41" s="67" t="n"/>
      <c r="G41" s="67" t="n"/>
      <c r="H41" s="67" t="n"/>
      <c r="I41" s="67" t="n"/>
    </row>
    <row r="42">
      <c r="B42" s="67" t="n"/>
      <c r="D42" s="67" t="n"/>
      <c r="E42" s="67" t="n"/>
      <c r="F42" s="67" t="n"/>
      <c r="G42" s="67" t="n"/>
      <c r="H42" s="67" t="n"/>
      <c r="I42" s="67" t="n"/>
    </row>
    <row r="43">
      <c r="B43" s="67" t="n"/>
      <c r="D43" s="67" t="n"/>
      <c r="E43" s="67" t="n"/>
      <c r="F43" s="67" t="n"/>
      <c r="G43" s="67" t="n"/>
      <c r="H43" s="67" t="n"/>
      <c r="I43" s="67" t="n"/>
    </row>
    <row r="44">
      <c r="B44" s="67" t="n"/>
      <c r="D44" s="67" t="n"/>
      <c r="E44" s="67" t="n"/>
      <c r="F44" s="67" t="n"/>
      <c r="G44" s="67" t="n"/>
      <c r="H44" s="67" t="n"/>
      <c r="I44" s="67" t="n"/>
    </row>
    <row r="45">
      <c r="B45" s="67" t="n"/>
      <c r="D45" s="67" t="n"/>
      <c r="E45" s="67" t="n"/>
      <c r="F45" s="67" t="n"/>
      <c r="G45" s="67" t="n"/>
      <c r="H45" s="67" t="n"/>
      <c r="I45" s="67" t="n"/>
    </row>
    <row r="46">
      <c r="B46" s="67" t="n"/>
      <c r="D46" s="67" t="n"/>
      <c r="E46" s="67" t="n"/>
      <c r="F46" s="67" t="n"/>
      <c r="G46" s="67" t="n"/>
      <c r="H46" s="67" t="n"/>
      <c r="I46" s="67" t="n"/>
    </row>
    <row r="47">
      <c r="B47" s="67" t="n"/>
      <c r="D47" s="67" t="n"/>
      <c r="E47" s="67" t="n"/>
      <c r="F47" s="67" t="n"/>
      <c r="G47" s="67" t="n"/>
      <c r="H47" s="67" t="n"/>
      <c r="I47" s="67" t="n"/>
    </row>
    <row r="48">
      <c r="B48" s="67" t="n"/>
      <c r="D48" s="67" t="n"/>
      <c r="E48" s="67" t="n"/>
      <c r="F48" s="67" t="n"/>
      <c r="G48" s="67" t="n"/>
      <c r="H48" s="67" t="n"/>
      <c r="I48" s="67" t="n"/>
    </row>
    <row r="49">
      <c r="B49" s="67" t="n"/>
      <c r="D49" s="67" t="n"/>
      <c r="E49" s="67" t="n"/>
      <c r="F49" s="67" t="n"/>
      <c r="G49" s="67" t="n"/>
      <c r="H49" s="67" t="n"/>
      <c r="I49" s="67" t="n"/>
    </row>
    <row r="50">
      <c r="B50" s="67" t="n"/>
      <c r="D50" s="67" t="n"/>
      <c r="E50" s="67" t="n"/>
      <c r="F50" s="67" t="n"/>
      <c r="G50" s="67" t="n"/>
      <c r="H50" s="67" t="n"/>
      <c r="I50" s="67" t="n"/>
    </row>
    <row r="51">
      <c r="B51" s="67" t="n"/>
      <c r="D51" s="67" t="n"/>
      <c r="E51" s="67" t="n"/>
      <c r="F51" s="67" t="n"/>
      <c r="G51" s="67" t="n"/>
      <c r="H51" s="67" t="n"/>
      <c r="I51" s="67" t="n"/>
    </row>
    <row r="52">
      <c r="B52" s="67" t="n"/>
      <c r="D52" s="67" t="n"/>
      <c r="E52" s="67" t="n"/>
      <c r="F52" s="67" t="n"/>
      <c r="G52" s="67" t="n"/>
      <c r="H52" s="67" t="n"/>
      <c r="I52" s="67" t="n"/>
    </row>
    <row r="53">
      <c r="B53" s="67" t="n"/>
      <c r="D53" s="67" t="n"/>
      <c r="E53" s="67" t="n"/>
      <c r="F53" s="67" t="n"/>
      <c r="G53" s="67" t="n"/>
      <c r="H53" s="67" t="n"/>
      <c r="I53" s="67" t="n"/>
    </row>
    <row r="54">
      <c r="B54" s="67" t="n"/>
      <c r="D54" s="67" t="n"/>
      <c r="E54" s="67" t="n"/>
      <c r="F54" s="67" t="n"/>
      <c r="G54" s="67" t="n"/>
      <c r="H54" s="67" t="n"/>
      <c r="I54" s="67" t="n"/>
    </row>
    <row r="55">
      <c r="B55" s="67" t="n"/>
      <c r="D55" s="67" t="n"/>
      <c r="E55" s="67" t="n"/>
      <c r="F55" s="67" t="n"/>
      <c r="G55" s="67" t="n"/>
      <c r="H55" s="67" t="n"/>
      <c r="I55" s="67" t="n"/>
    </row>
    <row r="56">
      <c r="B56" s="67" t="n"/>
      <c r="D56" s="67" t="n"/>
      <c r="E56" s="67" t="n"/>
      <c r="F56" s="67" t="n"/>
      <c r="G56" s="67" t="n"/>
      <c r="H56" s="67" t="n"/>
      <c r="I56" s="67" t="n"/>
    </row>
    <row r="57">
      <c r="B57" s="67" t="n"/>
      <c r="D57" s="67" t="n"/>
      <c r="E57" s="67" t="n"/>
      <c r="F57" s="67" t="n"/>
      <c r="G57" s="67" t="n"/>
      <c r="H57" s="67" t="n"/>
      <c r="I57" s="67" t="n"/>
    </row>
    <row r="58">
      <c r="B58" s="67" t="n"/>
      <c r="D58" s="67" t="n"/>
      <c r="E58" s="67" t="n"/>
      <c r="F58" s="67" t="n"/>
      <c r="G58" s="67" t="n"/>
      <c r="H58" s="67" t="n"/>
      <c r="I58" s="67" t="n"/>
    </row>
    <row r="59">
      <c r="B59" s="67" t="n"/>
      <c r="D59" s="67" t="n"/>
      <c r="E59" s="67" t="n"/>
      <c r="F59" s="67" t="n"/>
      <c r="G59" s="67" t="n"/>
      <c r="H59" s="67" t="n"/>
      <c r="I59" s="67" t="n"/>
    </row>
    <row r="60">
      <c r="B60" s="67" t="n"/>
      <c r="D60" s="67" t="n"/>
      <c r="E60" s="67" t="n"/>
      <c r="F60" s="67" t="n"/>
      <c r="G60" s="67" t="n"/>
      <c r="H60" s="67" t="n"/>
      <c r="I60" s="67" t="n"/>
    </row>
    <row r="61">
      <c r="B61" s="67" t="n"/>
      <c r="D61" s="67" t="n"/>
      <c r="E61" s="67" t="n"/>
      <c r="F61" s="67" t="n"/>
      <c r="G61" s="67" t="n"/>
      <c r="H61" s="67" t="n"/>
      <c r="I61" s="67" t="n"/>
    </row>
    <row r="62">
      <c r="B62" s="67" t="n"/>
      <c r="D62" s="67" t="n"/>
      <c r="E62" s="67" t="n"/>
      <c r="F62" s="67" t="n"/>
      <c r="G62" s="67" t="n"/>
      <c r="H62" s="67" t="n"/>
      <c r="I62" s="67" t="n"/>
    </row>
    <row r="63">
      <c r="B63" s="67" t="n"/>
      <c r="D63" s="67" t="n"/>
      <c r="E63" s="67" t="n"/>
      <c r="F63" s="67" t="n"/>
      <c r="G63" s="67" t="n"/>
      <c r="H63" s="67" t="n"/>
      <c r="I63" s="67" t="n"/>
    </row>
    <row r="64">
      <c r="B64" s="67" t="n"/>
      <c r="D64" s="67" t="n"/>
      <c r="E64" s="67" t="n"/>
      <c r="F64" s="67" t="n"/>
      <c r="G64" s="67" t="n"/>
      <c r="H64" s="67" t="n"/>
      <c r="I64" s="67" t="n"/>
    </row>
    <row r="65">
      <c r="B65" s="67" t="n"/>
      <c r="D65" s="67" t="n"/>
      <c r="E65" s="67" t="n"/>
      <c r="F65" s="67" t="n"/>
      <c r="G65" s="67" t="n"/>
      <c r="H65" s="67" t="n"/>
      <c r="I65" s="67" t="n"/>
    </row>
    <row r="66">
      <c r="B66" s="67" t="n"/>
      <c r="D66" s="67" t="n"/>
      <c r="E66" s="67" t="n"/>
      <c r="F66" s="67" t="n"/>
      <c r="G66" s="67" t="n"/>
      <c r="H66" s="67" t="n"/>
      <c r="I66" s="67" t="n"/>
    </row>
    <row r="67">
      <c r="B67" s="67" t="n"/>
      <c r="D67" s="67" t="n"/>
      <c r="E67" s="67" t="n"/>
      <c r="F67" s="67" t="n"/>
      <c r="G67" s="67" t="n"/>
      <c r="H67" s="67" t="n"/>
      <c r="I67" s="67" t="n"/>
    </row>
    <row r="68">
      <c r="B68" s="67" t="n"/>
      <c r="D68" s="67" t="n"/>
      <c r="E68" s="67" t="n"/>
      <c r="F68" s="67" t="n"/>
      <c r="G68" s="67" t="n"/>
      <c r="H68" s="67" t="n"/>
      <c r="I68" s="67" t="n"/>
    </row>
    <row r="69">
      <c r="B69" s="67" t="n"/>
      <c r="D69" s="67" t="n"/>
      <c r="E69" s="67" t="n"/>
      <c r="F69" s="67" t="n"/>
      <c r="G69" s="67" t="n"/>
      <c r="H69" s="67" t="n"/>
      <c r="I69" s="67" t="n"/>
    </row>
    <row r="70">
      <c r="B70" s="67" t="n"/>
      <c r="D70" s="67" t="n"/>
      <c r="E70" s="67" t="n"/>
      <c r="F70" s="67" t="n"/>
      <c r="G70" s="67" t="n"/>
      <c r="H70" s="67" t="n"/>
      <c r="I70" s="67" t="n"/>
    </row>
    <row r="71">
      <c r="B71" s="67" t="n"/>
      <c r="D71" s="67" t="n"/>
      <c r="E71" s="67" t="n"/>
      <c r="F71" s="67" t="n"/>
      <c r="G71" s="67" t="n"/>
      <c r="H71" s="67" t="n"/>
      <c r="I71" s="67" t="n"/>
    </row>
    <row r="72">
      <c r="B72" s="67" t="n"/>
      <c r="D72" s="67" t="n"/>
      <c r="E72" s="67" t="n"/>
      <c r="F72" s="67" t="n"/>
      <c r="G72" s="67" t="n"/>
      <c r="H72" s="67" t="n"/>
      <c r="I72" s="67" t="n"/>
    </row>
    <row r="73">
      <c r="B73" s="67" t="n"/>
      <c r="D73" s="67" t="n"/>
      <c r="E73" s="67" t="n"/>
      <c r="F73" s="67" t="n"/>
      <c r="G73" s="67" t="n"/>
      <c r="H73" s="67" t="n"/>
      <c r="I73" s="67" t="n"/>
    </row>
    <row r="74">
      <c r="B74" s="67" t="n"/>
      <c r="D74" s="67" t="n"/>
      <c r="E74" s="67" t="n"/>
      <c r="F74" s="67" t="n"/>
      <c r="G74" s="67" t="n"/>
      <c r="H74" s="67" t="n"/>
      <c r="I74" s="67" t="n"/>
    </row>
    <row r="75">
      <c r="B75" s="67" t="n"/>
      <c r="D75" s="67" t="n"/>
      <c r="E75" s="67" t="n"/>
      <c r="F75" s="67" t="n"/>
      <c r="G75" s="67" t="n"/>
      <c r="H75" s="67" t="n"/>
      <c r="I75" s="67" t="n"/>
    </row>
    <row r="76">
      <c r="B76" s="67" t="n"/>
      <c r="D76" s="67" t="n"/>
      <c r="E76" s="67" t="n"/>
      <c r="F76" s="67" t="n"/>
      <c r="G76" s="67" t="n"/>
      <c r="H76" s="67" t="n"/>
      <c r="I76" s="67" t="n"/>
    </row>
    <row r="77">
      <c r="B77" s="67" t="n"/>
      <c r="D77" s="67" t="n"/>
      <c r="E77" s="67" t="n"/>
      <c r="F77" s="67" t="n"/>
      <c r="G77" s="67" t="n"/>
      <c r="H77" s="67" t="n"/>
      <c r="I77" s="67" t="n"/>
    </row>
    <row r="78">
      <c r="B78" s="67" t="n"/>
      <c r="D78" s="67" t="n"/>
      <c r="E78" s="67" t="n"/>
      <c r="F78" s="67" t="n"/>
      <c r="G78" s="67" t="n"/>
      <c r="H78" s="67" t="n"/>
      <c r="I78" s="67" t="n"/>
    </row>
    <row r="79">
      <c r="B79" s="67" t="n"/>
      <c r="D79" s="67" t="n"/>
      <c r="E79" s="67" t="n"/>
      <c r="F79" s="67" t="n"/>
      <c r="G79" s="67" t="n"/>
      <c r="H79" s="67" t="n"/>
      <c r="I79" s="67" t="n"/>
    </row>
    <row r="80">
      <c r="B80" s="67" t="n"/>
      <c r="D80" s="67" t="n"/>
      <c r="E80" s="67" t="n"/>
      <c r="F80" s="67" t="n"/>
      <c r="G80" s="67" t="n"/>
      <c r="H80" s="67" t="n"/>
      <c r="I80" s="67" t="n"/>
    </row>
    <row r="81">
      <c r="B81" s="67" t="n"/>
      <c r="D81" s="67" t="n"/>
      <c r="E81" s="67" t="n"/>
      <c r="F81" s="67" t="n"/>
      <c r="G81" s="67" t="n"/>
      <c r="H81" s="67" t="n"/>
      <c r="I81" s="67" t="n"/>
    </row>
    <row r="82">
      <c r="B82" s="67" t="n"/>
      <c r="D82" s="67" t="n"/>
      <c r="E82" s="67" t="n"/>
      <c r="F82" s="67" t="n"/>
      <c r="G82" s="67" t="n"/>
      <c r="H82" s="67" t="n"/>
      <c r="I82" s="67" t="n"/>
    </row>
    <row r="83">
      <c r="B83" s="67" t="n"/>
      <c r="D83" s="67" t="n"/>
      <c r="E83" s="67" t="n"/>
      <c r="F83" s="67" t="n"/>
      <c r="G83" s="67" t="n"/>
      <c r="H83" s="67" t="n"/>
      <c r="I83" s="67" t="n"/>
    </row>
    <row r="84">
      <c r="B84" s="67" t="n"/>
      <c r="D84" s="67" t="n"/>
      <c r="E84" s="67" t="n"/>
      <c r="F84" s="67" t="n"/>
      <c r="G84" s="67" t="n"/>
      <c r="H84" s="67" t="n"/>
      <c r="I84" s="67" t="n"/>
    </row>
    <row r="85">
      <c r="B85" s="67" t="n"/>
      <c r="D85" s="67" t="n"/>
      <c r="E85" s="67" t="n"/>
      <c r="F85" s="67" t="n"/>
      <c r="G85" s="67" t="n"/>
      <c r="H85" s="67" t="n"/>
      <c r="I85" s="67" t="n"/>
    </row>
    <row r="86">
      <c r="B86" s="67" t="n"/>
      <c r="D86" s="67" t="n"/>
      <c r="E86" s="67" t="n"/>
      <c r="F86" s="67" t="n"/>
      <c r="G86" s="67" t="n"/>
      <c r="H86" s="67" t="n"/>
      <c r="I86" s="67" t="n"/>
    </row>
    <row r="87">
      <c r="B87" s="67" t="n"/>
      <c r="D87" s="67" t="n"/>
      <c r="E87" s="67" t="n"/>
      <c r="F87" s="67" t="n"/>
      <c r="G87" s="67" t="n"/>
      <c r="H87" s="67" t="n"/>
      <c r="I87" s="67" t="n"/>
    </row>
    <row r="88">
      <c r="B88" s="67" t="n"/>
      <c r="D88" s="67" t="n"/>
      <c r="E88" s="67" t="n"/>
      <c r="F88" s="67" t="n"/>
      <c r="G88" s="67" t="n"/>
      <c r="H88" s="67" t="n"/>
      <c r="I88" s="67" t="n"/>
    </row>
    <row r="89">
      <c r="B89" s="67" t="n"/>
      <c r="D89" s="67" t="n"/>
      <c r="E89" s="67" t="n"/>
      <c r="F89" s="67" t="n"/>
      <c r="G89" s="67" t="n"/>
      <c r="H89" s="67" t="n"/>
      <c r="I89" s="67" t="n"/>
    </row>
    <row r="90">
      <c r="B90" s="67" t="n"/>
      <c r="D90" s="67" t="n"/>
      <c r="E90" s="67" t="n"/>
      <c r="F90" s="67" t="n"/>
      <c r="G90" s="67" t="n"/>
      <c r="H90" s="67" t="n"/>
      <c r="I90" s="67" t="n"/>
    </row>
    <row r="91">
      <c r="B91" s="67" t="n"/>
      <c r="D91" s="67" t="n"/>
      <c r="E91" s="67" t="n"/>
      <c r="F91" s="67" t="n"/>
      <c r="G91" s="67" t="n"/>
      <c r="H91" s="67" t="n"/>
      <c r="I91" s="67" t="n"/>
    </row>
    <row r="92">
      <c r="B92" s="67" t="n"/>
      <c r="D92" s="67" t="n"/>
      <c r="E92" s="67" t="n"/>
      <c r="F92" s="67" t="n"/>
      <c r="G92" s="67" t="n"/>
      <c r="H92" s="67" t="n"/>
      <c r="I92" s="67" t="n"/>
    </row>
    <row r="93">
      <c r="B93" s="67" t="n"/>
      <c r="D93" s="67" t="n"/>
      <c r="E93" s="67" t="n"/>
      <c r="F93" s="67" t="n"/>
      <c r="G93" s="67" t="n"/>
      <c r="H93" s="67" t="n"/>
      <c r="I93" s="67" t="n"/>
    </row>
    <row r="94">
      <c r="B94" s="67" t="n"/>
      <c r="D94" s="67" t="n"/>
      <c r="E94" s="67" t="n"/>
      <c r="F94" s="67" t="n"/>
      <c r="G94" s="67" t="n"/>
      <c r="H94" s="67" t="n"/>
      <c r="I94" s="67" t="n"/>
    </row>
    <row r="95">
      <c r="B95" s="67" t="n"/>
      <c r="D95" s="67" t="n"/>
      <c r="E95" s="67" t="n"/>
      <c r="F95" s="67" t="n"/>
      <c r="G95" s="67" t="n"/>
      <c r="H95" s="67" t="n"/>
      <c r="I95" s="67" t="n"/>
    </row>
    <row r="96">
      <c r="B96" s="67" t="n"/>
      <c r="D96" s="67" t="n"/>
      <c r="E96" s="67" t="n"/>
      <c r="F96" s="67" t="n"/>
      <c r="G96" s="67" t="n"/>
      <c r="H96" s="67" t="n"/>
      <c r="I96" s="67" t="n"/>
    </row>
    <row r="97">
      <c r="B97" s="67" t="n"/>
      <c r="D97" s="67" t="n"/>
      <c r="E97" s="67" t="n"/>
      <c r="F97" s="67" t="n"/>
      <c r="G97" s="67" t="n"/>
      <c r="H97" s="67" t="n"/>
      <c r="I97" s="67" t="n"/>
    </row>
    <row r="98">
      <c r="B98" s="67" t="n"/>
      <c r="D98" s="67" t="n"/>
      <c r="E98" s="67" t="n"/>
      <c r="F98" s="67" t="n"/>
      <c r="G98" s="67" t="n"/>
      <c r="H98" s="67" t="n"/>
      <c r="I98" s="67" t="n"/>
    </row>
    <row r="99">
      <c r="B99" s="67" t="n"/>
      <c r="D99" s="67" t="n"/>
      <c r="E99" s="67" t="n"/>
      <c r="F99" s="67" t="n"/>
      <c r="G99" s="67" t="n"/>
      <c r="H99" s="67" t="n"/>
      <c r="I99" s="67" t="n"/>
    </row>
    <row r="100">
      <c r="B100" s="67" t="n"/>
      <c r="D100" s="67" t="n"/>
      <c r="E100" s="67" t="n"/>
      <c r="F100" s="67" t="n"/>
      <c r="G100" s="67" t="n"/>
      <c r="H100" s="67" t="n"/>
      <c r="I100" s="67" t="n"/>
    </row>
    <row r="101">
      <c r="B101" s="67" t="n"/>
      <c r="D101" s="67" t="n"/>
      <c r="E101" s="67" t="n"/>
      <c r="F101" s="67" t="n"/>
      <c r="G101" s="67" t="n"/>
      <c r="H101" s="67" t="n"/>
      <c r="I101" s="67" t="n"/>
    </row>
    <row r="102">
      <c r="B102" s="67" t="n"/>
      <c r="D102" s="67" t="n"/>
      <c r="E102" s="67" t="n"/>
      <c r="F102" s="67" t="n"/>
      <c r="G102" s="67" t="n"/>
      <c r="H102" s="67" t="n"/>
      <c r="I102" s="67" t="n"/>
    </row>
    <row r="103">
      <c r="B103" s="67" t="n"/>
      <c r="D103" s="67" t="n"/>
      <c r="E103" s="67" t="n"/>
      <c r="F103" s="67" t="n"/>
      <c r="G103" s="67" t="n"/>
      <c r="H103" s="67" t="n"/>
      <c r="I103" s="67" t="n"/>
    </row>
    <row r="104">
      <c r="B104" s="67" t="n"/>
      <c r="D104" s="67" t="n"/>
      <c r="E104" s="67" t="n"/>
      <c r="F104" s="67" t="n"/>
      <c r="G104" s="67" t="n"/>
      <c r="H104" s="67" t="n"/>
      <c r="I104" s="67" t="n"/>
    </row>
    <row r="105">
      <c r="B105" s="67" t="n"/>
      <c r="D105" s="67" t="n"/>
      <c r="E105" s="67" t="n"/>
      <c r="F105" s="67" t="n"/>
      <c r="G105" s="67" t="n"/>
      <c r="H105" s="67" t="n"/>
      <c r="I105" s="67" t="n"/>
    </row>
    <row r="106">
      <c r="B106" s="67" t="n"/>
      <c r="D106" s="67" t="n"/>
      <c r="E106" s="67" t="n"/>
      <c r="F106" s="67" t="n"/>
      <c r="G106" s="67" t="n"/>
      <c r="H106" s="67" t="n"/>
      <c r="I106" s="67" t="n"/>
    </row>
    <row r="107">
      <c r="B107" s="67" t="n"/>
      <c r="D107" s="67" t="n"/>
      <c r="E107" s="67" t="n"/>
      <c r="F107" s="67" t="n"/>
      <c r="G107" s="67" t="n"/>
      <c r="H107" s="67" t="n"/>
      <c r="I107" s="67" t="n"/>
    </row>
    <row r="108">
      <c r="B108" s="67" t="n"/>
      <c r="D108" s="67" t="n"/>
      <c r="E108" s="67" t="n"/>
      <c r="F108" s="67" t="n"/>
      <c r="G108" s="67" t="n"/>
      <c r="H108" s="67" t="n"/>
      <c r="I108" s="67" t="n"/>
    </row>
    <row r="109">
      <c r="B109" s="67" t="n"/>
      <c r="D109" s="67" t="n"/>
      <c r="E109" s="67" t="n"/>
      <c r="F109" s="67" t="n"/>
      <c r="G109" s="67" t="n"/>
      <c r="H109" s="67" t="n"/>
      <c r="I109" s="67" t="n"/>
    </row>
    <row r="110">
      <c r="B110" s="67" t="n"/>
      <c r="D110" s="67" t="n"/>
      <c r="E110" s="67" t="n"/>
      <c r="F110" s="67" t="n"/>
      <c r="G110" s="67" t="n"/>
      <c r="H110" s="67" t="n"/>
      <c r="I110" s="67" t="n"/>
    </row>
    <row r="111">
      <c r="B111" s="67" t="n"/>
      <c r="D111" s="67" t="n"/>
      <c r="E111" s="67" t="n"/>
      <c r="F111" s="67" t="n"/>
      <c r="G111" s="67" t="n"/>
      <c r="H111" s="67" t="n"/>
      <c r="I111" s="67" t="n"/>
    </row>
    <row r="112">
      <c r="B112" s="67" t="n"/>
      <c r="D112" s="67" t="n"/>
      <c r="E112" s="67" t="n"/>
      <c r="F112" s="67" t="n"/>
      <c r="G112" s="67" t="n"/>
      <c r="H112" s="67" t="n"/>
      <c r="I112" s="67" t="n"/>
    </row>
    <row r="113">
      <c r="B113" s="67" t="n"/>
      <c r="D113" s="67" t="n"/>
      <c r="E113" s="67" t="n"/>
      <c r="F113" s="67" t="n"/>
      <c r="G113" s="67" t="n"/>
      <c r="H113" s="67" t="n"/>
      <c r="I113" s="67" t="n"/>
    </row>
    <row r="114">
      <c r="B114" s="67" t="n"/>
      <c r="D114" s="67" t="n"/>
      <c r="E114" s="67" t="n"/>
      <c r="F114" s="67" t="n"/>
      <c r="G114" s="67" t="n"/>
      <c r="H114" s="67" t="n"/>
      <c r="I114" s="67" t="n"/>
    </row>
    <row r="115">
      <c r="B115" s="67" t="n"/>
      <c r="D115" s="67" t="n"/>
      <c r="E115" s="67" t="n"/>
      <c r="F115" s="67" t="n"/>
      <c r="G115" s="67" t="n"/>
      <c r="H115" s="67" t="n"/>
      <c r="I115" s="67" t="n"/>
    </row>
    <row r="116">
      <c r="B116" s="67" t="n"/>
      <c r="D116" s="67" t="n"/>
      <c r="E116" s="67" t="n"/>
      <c r="F116" s="67" t="n"/>
      <c r="G116" s="67" t="n"/>
      <c r="H116" s="67" t="n"/>
      <c r="I116" s="67" t="n"/>
    </row>
    <row r="117">
      <c r="B117" s="67" t="n"/>
      <c r="D117" s="67" t="n"/>
      <c r="E117" s="67" t="n"/>
      <c r="F117" s="67" t="n"/>
      <c r="G117" s="67" t="n"/>
      <c r="H117" s="67" t="n"/>
      <c r="I117" s="67" t="n"/>
    </row>
    <row r="118">
      <c r="B118" s="67" t="n"/>
      <c r="D118" s="67" t="n"/>
      <c r="E118" s="67" t="n"/>
      <c r="F118" s="67" t="n"/>
      <c r="G118" s="67" t="n"/>
      <c r="H118" s="67" t="n"/>
      <c r="I118" s="67" t="n"/>
    </row>
    <row r="119">
      <c r="B119" s="67" t="n"/>
      <c r="D119" s="67" t="n"/>
      <c r="E119" s="67" t="n"/>
      <c r="F119" s="67" t="n"/>
      <c r="G119" s="67" t="n"/>
      <c r="H119" s="67" t="n"/>
      <c r="I119" s="67" t="n"/>
    </row>
    <row r="120">
      <c r="B120" s="67" t="n"/>
      <c r="D120" s="67" t="n"/>
      <c r="E120" s="67" t="n"/>
      <c r="F120" s="67" t="n"/>
      <c r="G120" s="67" t="n"/>
      <c r="H120" s="67" t="n"/>
      <c r="I120" s="67" t="n"/>
    </row>
    <row r="121">
      <c r="B121" s="67" t="n"/>
      <c r="D121" s="67" t="n"/>
      <c r="E121" s="67" t="n"/>
      <c r="F121" s="67" t="n"/>
      <c r="G121" s="67" t="n"/>
      <c r="H121" s="67" t="n"/>
      <c r="I121" s="67" t="n"/>
    </row>
    <row r="122">
      <c r="B122" s="67" t="n"/>
      <c r="D122" s="67" t="n"/>
      <c r="E122" s="67" t="n"/>
      <c r="F122" s="67" t="n"/>
      <c r="G122" s="67" t="n"/>
      <c r="H122" s="67" t="n"/>
      <c r="I122" s="67" t="n"/>
    </row>
    <row r="123">
      <c r="B123" s="67" t="n"/>
      <c r="D123" s="67" t="n"/>
      <c r="E123" s="67" t="n"/>
      <c r="F123" s="67" t="n"/>
      <c r="G123" s="67" t="n"/>
      <c r="H123" s="67" t="n"/>
      <c r="I123" s="67" t="n"/>
    </row>
    <row r="124">
      <c r="B124" s="67" t="n"/>
      <c r="D124" s="67" t="n"/>
      <c r="E124" s="67" t="n"/>
      <c r="F124" s="67" t="n"/>
      <c r="G124" s="67" t="n"/>
      <c r="H124" s="67" t="n"/>
      <c r="I124" s="67" t="n"/>
    </row>
    <row r="125">
      <c r="B125" s="67" t="n"/>
      <c r="D125" s="67" t="n"/>
      <c r="E125" s="67" t="n"/>
      <c r="F125" s="67" t="n"/>
      <c r="G125" s="67" t="n"/>
      <c r="H125" s="67" t="n"/>
      <c r="I125" s="67" t="n"/>
    </row>
    <row r="126">
      <c r="B126" s="67" t="n"/>
      <c r="D126" s="67" t="n"/>
      <c r="E126" s="67" t="n"/>
      <c r="F126" s="67" t="n"/>
      <c r="G126" s="67" t="n"/>
      <c r="H126" s="67" t="n"/>
      <c r="I126" s="67" t="n"/>
    </row>
    <row r="127">
      <c r="B127" s="67" t="n"/>
      <c r="D127" s="67" t="n"/>
      <c r="E127" s="67" t="n"/>
      <c r="F127" s="67" t="n"/>
      <c r="G127" s="67" t="n"/>
      <c r="H127" s="67" t="n"/>
      <c r="I127" s="67" t="n"/>
    </row>
    <row r="128">
      <c r="B128" s="67" t="n"/>
      <c r="D128" s="67" t="n"/>
      <c r="E128" s="67" t="n"/>
      <c r="F128" s="67" t="n"/>
      <c r="G128" s="67" t="n"/>
      <c r="H128" s="67" t="n"/>
      <c r="I128" s="67" t="n"/>
    </row>
    <row r="129">
      <c r="B129" s="67" t="n"/>
      <c r="D129" s="67" t="n"/>
      <c r="E129" s="67" t="n"/>
      <c r="F129" s="67" t="n"/>
      <c r="G129" s="67" t="n"/>
      <c r="H129" s="67" t="n"/>
      <c r="I129" s="67" t="n"/>
    </row>
    <row r="130">
      <c r="B130" s="67" t="n"/>
      <c r="D130" s="67" t="n"/>
      <c r="E130" s="67" t="n"/>
      <c r="F130" s="67" t="n"/>
      <c r="G130" s="67" t="n"/>
      <c r="H130" s="67" t="n"/>
      <c r="I130" s="67" t="n"/>
    </row>
    <row r="131">
      <c r="B131" s="67" t="n"/>
      <c r="D131" s="67" t="n"/>
      <c r="E131" s="67" t="n"/>
      <c r="F131" s="67" t="n"/>
      <c r="G131" s="67" t="n"/>
      <c r="H131" s="67" t="n"/>
      <c r="I131" s="67" t="n"/>
    </row>
    <row r="132">
      <c r="B132" s="67" t="n"/>
      <c r="D132" s="67" t="n"/>
      <c r="E132" s="67" t="n"/>
      <c r="F132" s="67" t="n"/>
      <c r="G132" s="67" t="n"/>
      <c r="H132" s="67" t="n"/>
      <c r="I132" s="67" t="n"/>
    </row>
    <row r="133">
      <c r="B133" s="67" t="n"/>
      <c r="D133" s="67" t="n"/>
      <c r="E133" s="67" t="n"/>
      <c r="F133" s="67" t="n"/>
      <c r="G133" s="67" t="n"/>
      <c r="H133" s="67" t="n"/>
      <c r="I133" s="67" t="n"/>
    </row>
    <row r="134">
      <c r="B134" s="67" t="n"/>
      <c r="D134" s="67" t="n"/>
      <c r="E134" s="67" t="n"/>
      <c r="F134" s="67" t="n"/>
      <c r="G134" s="67" t="n"/>
      <c r="H134" s="67" t="n"/>
      <c r="I134" s="67" t="n"/>
    </row>
    <row r="135">
      <c r="B135" s="67" t="n"/>
      <c r="D135" s="67" t="n"/>
      <c r="E135" s="67" t="n"/>
      <c r="F135" s="67" t="n"/>
      <c r="G135" s="67" t="n"/>
      <c r="H135" s="67" t="n"/>
      <c r="I135" s="67" t="n"/>
    </row>
    <row r="136">
      <c r="B136" s="67" t="n"/>
      <c r="D136" s="67" t="n"/>
      <c r="E136" s="67" t="n"/>
      <c r="F136" s="67" t="n"/>
      <c r="G136" s="67" t="n"/>
      <c r="H136" s="67" t="n"/>
      <c r="I136" s="67" t="n"/>
    </row>
    <row r="137">
      <c r="B137" s="67" t="n"/>
      <c r="D137" s="67" t="n"/>
      <c r="E137" s="67" t="n"/>
      <c r="F137" s="67" t="n"/>
      <c r="G137" s="67" t="n"/>
      <c r="H137" s="67" t="n"/>
      <c r="I137" s="67" t="n"/>
    </row>
    <row r="138">
      <c r="B138" s="67" t="n"/>
      <c r="D138" s="67" t="n"/>
      <c r="E138" s="67" t="n"/>
      <c r="F138" s="67" t="n"/>
      <c r="G138" s="67" t="n"/>
      <c r="H138" s="67" t="n"/>
      <c r="I138" s="67" t="n"/>
    </row>
    <row r="139">
      <c r="B139" s="67" t="n"/>
      <c r="D139" s="67" t="n"/>
      <c r="E139" s="67" t="n"/>
      <c r="F139" s="67" t="n"/>
      <c r="G139" s="67" t="n"/>
      <c r="H139" s="67" t="n"/>
      <c r="I139" s="67" t="n"/>
    </row>
    <row r="140">
      <c r="B140" s="67" t="n"/>
      <c r="D140" s="67" t="n"/>
      <c r="E140" s="67" t="n"/>
      <c r="F140" s="67" t="n"/>
      <c r="G140" s="67" t="n"/>
      <c r="H140" s="67" t="n"/>
      <c r="I140" s="67" t="n"/>
    </row>
    <row r="141">
      <c r="B141" s="67" t="n"/>
      <c r="D141" s="67" t="n"/>
      <c r="E141" s="67" t="n"/>
      <c r="F141" s="67" t="n"/>
      <c r="G141" s="67" t="n"/>
      <c r="H141" s="67" t="n"/>
      <c r="I141" s="67" t="n"/>
    </row>
    <row r="142">
      <c r="B142" s="67" t="n"/>
      <c r="D142" s="67" t="n"/>
      <c r="E142" s="67" t="n"/>
      <c r="F142" s="67" t="n"/>
      <c r="G142" s="67" t="n"/>
      <c r="H142" s="67" t="n"/>
      <c r="I142" s="67" t="n"/>
    </row>
    <row r="143">
      <c r="B143" s="67" t="n"/>
      <c r="D143" s="67" t="n"/>
      <c r="E143" s="67" t="n"/>
      <c r="F143" s="67" t="n"/>
      <c r="G143" s="67" t="n"/>
      <c r="H143" s="67" t="n"/>
      <c r="I143" s="67" t="n"/>
    </row>
    <row r="144">
      <c r="B144" s="67" t="n"/>
      <c r="D144" s="67" t="n"/>
      <c r="E144" s="67" t="n"/>
      <c r="F144" s="67" t="n"/>
      <c r="G144" s="67" t="n"/>
      <c r="H144" s="67" t="n"/>
      <c r="I144" s="67" t="n"/>
    </row>
    <row r="145">
      <c r="B145" s="67" t="n"/>
      <c r="D145" s="67" t="n"/>
      <c r="E145" s="67" t="n"/>
      <c r="F145" s="67" t="n"/>
      <c r="G145" s="67" t="n"/>
      <c r="H145" s="67" t="n"/>
      <c r="I145" s="67" t="n"/>
    </row>
    <row r="146">
      <c r="B146" s="67" t="n"/>
      <c r="D146" s="67" t="n"/>
      <c r="E146" s="67" t="n"/>
      <c r="F146" s="67" t="n"/>
      <c r="G146" s="67" t="n"/>
      <c r="H146" s="67" t="n"/>
      <c r="I146" s="67" t="n"/>
    </row>
    <row r="147">
      <c r="B147" s="67" t="n"/>
      <c r="D147" s="67" t="n"/>
      <c r="E147" s="67" t="n"/>
      <c r="F147" s="67" t="n"/>
      <c r="G147" s="67" t="n"/>
      <c r="H147" s="67" t="n"/>
      <c r="I147" s="67" t="n"/>
    </row>
    <row r="148">
      <c r="B148" s="67" t="n"/>
      <c r="D148" s="67" t="n"/>
      <c r="E148" s="67" t="n"/>
      <c r="F148" s="67" t="n"/>
      <c r="G148" s="67" t="n"/>
      <c r="H148" s="67" t="n"/>
      <c r="I148" s="67" t="n"/>
    </row>
    <row r="149">
      <c r="B149" s="67" t="n"/>
      <c r="D149" s="67" t="n"/>
      <c r="E149" s="67" t="n"/>
      <c r="F149" s="67" t="n"/>
      <c r="G149" s="67" t="n"/>
      <c r="H149" s="67" t="n"/>
      <c r="I149" s="67" t="n"/>
    </row>
    <row r="150">
      <c r="B150" s="67" t="n"/>
      <c r="D150" s="67" t="n"/>
      <c r="E150" s="67" t="n"/>
      <c r="F150" s="67" t="n"/>
      <c r="G150" s="67" t="n"/>
      <c r="H150" s="67" t="n"/>
      <c r="I150" s="67" t="n"/>
    </row>
    <row r="151">
      <c r="B151" s="67" t="n"/>
      <c r="D151" s="67" t="n"/>
      <c r="E151" s="67" t="n"/>
      <c r="F151" s="67" t="n"/>
      <c r="G151" s="67" t="n"/>
      <c r="H151" s="67" t="n"/>
      <c r="I151" s="67" t="n"/>
    </row>
    <row r="152">
      <c r="B152" s="67" t="n"/>
      <c r="D152" s="67" t="n"/>
      <c r="E152" s="67" t="n"/>
      <c r="F152" s="67" t="n"/>
      <c r="G152" s="67" t="n"/>
      <c r="H152" s="67" t="n"/>
      <c r="I152" s="67" t="n"/>
    </row>
    <row r="153">
      <c r="B153" s="67" t="n"/>
      <c r="D153" s="67" t="n"/>
      <c r="E153" s="67" t="n"/>
      <c r="F153" s="67" t="n"/>
      <c r="G153" s="67" t="n"/>
      <c r="H153" s="67" t="n"/>
      <c r="I153" s="67" t="n"/>
    </row>
    <row r="154">
      <c r="B154" s="67" t="n"/>
      <c r="D154" s="67" t="n"/>
      <c r="E154" s="67" t="n"/>
      <c r="F154" s="67" t="n"/>
      <c r="G154" s="67" t="n"/>
      <c r="H154" s="67" t="n"/>
      <c r="I154" s="67" t="n"/>
    </row>
    <row r="155">
      <c r="B155" s="67" t="n"/>
      <c r="D155" s="67" t="n"/>
      <c r="E155" s="67" t="n"/>
      <c r="F155" s="67" t="n"/>
      <c r="G155" s="67" t="n"/>
      <c r="H155" s="67" t="n"/>
      <c r="I155" s="67" t="n"/>
    </row>
    <row r="156">
      <c r="B156" s="67" t="n"/>
      <c r="D156" s="67" t="n"/>
      <c r="E156" s="67" t="n"/>
      <c r="F156" s="67" t="n"/>
      <c r="G156" s="67" t="n"/>
      <c r="H156" s="67" t="n"/>
      <c r="I156" s="67" t="n"/>
    </row>
    <row r="157">
      <c r="B157" s="67" t="n"/>
      <c r="D157" s="67" t="n"/>
      <c r="E157" s="67" t="n"/>
      <c r="F157" s="67" t="n"/>
      <c r="G157" s="67" t="n"/>
      <c r="H157" s="67" t="n"/>
      <c r="I157" s="67" t="n"/>
    </row>
    <row r="158">
      <c r="B158" s="67" t="n"/>
      <c r="D158" s="67" t="n"/>
      <c r="E158" s="67" t="n"/>
      <c r="F158" s="67" t="n"/>
      <c r="G158" s="67" t="n"/>
      <c r="H158" s="67" t="n"/>
      <c r="I158" s="67" t="n"/>
    </row>
    <row r="159">
      <c r="B159" s="67" t="n"/>
      <c r="D159" s="67" t="n"/>
      <c r="E159" s="67" t="n"/>
      <c r="F159" s="67" t="n"/>
      <c r="G159" s="67" t="n"/>
      <c r="H159" s="67" t="n"/>
      <c r="I159" s="67" t="n"/>
    </row>
    <row r="160">
      <c r="B160" s="67" t="n"/>
      <c r="D160" s="67" t="n"/>
      <c r="E160" s="67" t="n"/>
      <c r="F160" s="67" t="n"/>
      <c r="G160" s="67" t="n"/>
      <c r="H160" s="67" t="n"/>
      <c r="I160" s="67" t="n"/>
    </row>
    <row r="161">
      <c r="B161" s="67" t="n"/>
      <c r="D161" s="67" t="n"/>
      <c r="E161" s="67" t="n"/>
      <c r="F161" s="67" t="n"/>
      <c r="G161" s="67" t="n"/>
      <c r="H161" s="67" t="n"/>
      <c r="I161" s="67" t="n"/>
    </row>
    <row r="162">
      <c r="B162" s="67" t="n"/>
      <c r="D162" s="67" t="n"/>
      <c r="E162" s="67" t="n"/>
      <c r="F162" s="67" t="n"/>
      <c r="G162" s="67" t="n"/>
      <c r="H162" s="67" t="n"/>
      <c r="I162" s="67" t="n"/>
    </row>
    <row r="163">
      <c r="B163" s="67" t="n"/>
      <c r="D163" s="67" t="n"/>
      <c r="E163" s="67" t="n"/>
      <c r="F163" s="67" t="n"/>
      <c r="G163" s="67" t="n"/>
      <c r="H163" s="67" t="n"/>
      <c r="I163" s="67" t="n"/>
    </row>
    <row r="164">
      <c r="B164" s="67" t="n"/>
      <c r="D164" s="67" t="n"/>
      <c r="E164" s="67" t="n"/>
      <c r="F164" s="67" t="n"/>
      <c r="G164" s="67" t="n"/>
      <c r="H164" s="67" t="n"/>
      <c r="I164" s="67" t="n"/>
    </row>
    <row r="165">
      <c r="B165" s="67" t="n"/>
      <c r="D165" s="67" t="n"/>
      <c r="E165" s="67" t="n"/>
      <c r="F165" s="67" t="n"/>
      <c r="G165" s="67" t="n"/>
      <c r="H165" s="67" t="n"/>
      <c r="I165" s="67" t="n"/>
    </row>
    <row r="166">
      <c r="B166" s="67" t="n"/>
      <c r="D166" s="67" t="n"/>
      <c r="E166" s="67" t="n"/>
      <c r="F166" s="67" t="n"/>
      <c r="G166" s="67" t="n"/>
      <c r="H166" s="67" t="n"/>
      <c r="I166" s="67" t="n"/>
    </row>
    <row r="167">
      <c r="B167" s="67" t="n"/>
      <c r="D167" s="67" t="n"/>
      <c r="E167" s="67" t="n"/>
      <c r="F167" s="67" t="n"/>
      <c r="G167" s="67" t="n"/>
      <c r="H167" s="67" t="n"/>
      <c r="I167" s="67" t="n"/>
    </row>
    <row r="168">
      <c r="B168" s="67" t="n"/>
      <c r="D168" s="67" t="n"/>
      <c r="E168" s="67" t="n"/>
      <c r="F168" s="67" t="n"/>
      <c r="G168" s="67" t="n"/>
      <c r="H168" s="67" t="n"/>
      <c r="I168" s="67" t="n"/>
    </row>
    <row r="169">
      <c r="B169" s="67" t="n"/>
      <c r="D169" s="67" t="n"/>
      <c r="E169" s="67" t="n"/>
      <c r="F169" s="67" t="n"/>
      <c r="G169" s="67" t="n"/>
      <c r="H169" s="67" t="n"/>
      <c r="I169" s="67" t="n"/>
    </row>
    <row r="170">
      <c r="B170" s="67" t="n"/>
      <c r="D170" s="67" t="n"/>
      <c r="E170" s="67" t="n"/>
      <c r="F170" s="67" t="n"/>
      <c r="G170" s="67" t="n"/>
      <c r="H170" s="67" t="n"/>
      <c r="I170" s="67" t="n"/>
    </row>
    <row r="171">
      <c r="B171" s="67" t="n"/>
      <c r="D171" s="67" t="n"/>
      <c r="E171" s="67" t="n"/>
      <c r="F171" s="67" t="n"/>
      <c r="G171" s="67" t="n"/>
      <c r="H171" s="67" t="n"/>
      <c r="I171" s="67" t="n"/>
    </row>
    <row r="172">
      <c r="B172" s="67" t="n"/>
      <c r="D172" s="67" t="n"/>
      <c r="E172" s="67" t="n"/>
      <c r="F172" s="67" t="n"/>
      <c r="G172" s="67" t="n"/>
      <c r="H172" s="67" t="n"/>
      <c r="I172" s="67" t="n"/>
    </row>
    <row r="173">
      <c r="B173" s="67" t="n"/>
      <c r="D173" s="67" t="n"/>
      <c r="E173" s="67" t="n"/>
      <c r="F173" s="67" t="n"/>
      <c r="G173" s="67" t="n"/>
      <c r="H173" s="67" t="n"/>
      <c r="I173" s="67" t="n"/>
    </row>
    <row r="174">
      <c r="B174" s="67" t="n"/>
      <c r="D174" s="67" t="n"/>
      <c r="E174" s="67" t="n"/>
      <c r="F174" s="67" t="n"/>
      <c r="G174" s="67" t="n"/>
      <c r="H174" s="67" t="n"/>
      <c r="I174" s="67" t="n"/>
    </row>
    <row r="175">
      <c r="B175" s="67" t="n"/>
      <c r="D175" s="67" t="n"/>
      <c r="E175" s="67" t="n"/>
      <c r="F175" s="67" t="n"/>
      <c r="G175" s="67" t="n"/>
      <c r="H175" s="67" t="n"/>
      <c r="I175" s="67" t="n"/>
    </row>
    <row r="176">
      <c r="B176" s="67" t="n"/>
      <c r="D176" s="67" t="n"/>
      <c r="E176" s="67" t="n"/>
      <c r="F176" s="67" t="n"/>
      <c r="G176" s="67" t="n"/>
      <c r="H176" s="67" t="n"/>
      <c r="I176" s="67" t="n"/>
    </row>
    <row r="177">
      <c r="B177" s="67" t="n"/>
      <c r="D177" s="67" t="n"/>
      <c r="E177" s="67" t="n"/>
      <c r="F177" s="67" t="n"/>
      <c r="G177" s="67" t="n"/>
      <c r="H177" s="67" t="n"/>
      <c r="I177" s="67" t="n"/>
    </row>
    <row r="178">
      <c r="B178" s="67" t="n"/>
      <c r="D178" s="67" t="n"/>
      <c r="E178" s="67" t="n"/>
      <c r="F178" s="67" t="n"/>
      <c r="G178" s="67" t="n"/>
      <c r="H178" s="67" t="n"/>
      <c r="I178" s="67" t="n"/>
    </row>
    <row r="179">
      <c r="B179" s="67" t="n"/>
      <c r="D179" s="67" t="n"/>
      <c r="E179" s="67" t="n"/>
      <c r="F179" s="67" t="n"/>
      <c r="G179" s="67" t="n"/>
      <c r="H179" s="67" t="n"/>
      <c r="I179" s="67" t="n"/>
    </row>
    <row r="180">
      <c r="B180" s="67" t="n"/>
      <c r="D180" s="67" t="n"/>
      <c r="E180" s="67" t="n"/>
      <c r="F180" s="67" t="n"/>
      <c r="G180" s="67" t="n"/>
      <c r="H180" s="67" t="n"/>
      <c r="I180" s="67" t="n"/>
    </row>
    <row r="181">
      <c r="B181" s="67" t="n"/>
      <c r="D181" s="67" t="n"/>
      <c r="E181" s="67" t="n"/>
      <c r="F181" s="67" t="n"/>
      <c r="G181" s="67" t="n"/>
      <c r="H181" s="67" t="n"/>
      <c r="I181" s="67" t="n"/>
    </row>
    <row r="182">
      <c r="B182" s="67" t="n"/>
      <c r="D182" s="67" t="n"/>
      <c r="E182" s="67" t="n"/>
      <c r="F182" s="67" t="n"/>
      <c r="G182" s="67" t="n"/>
      <c r="H182" s="67" t="n"/>
      <c r="I182" s="67" t="n"/>
    </row>
    <row r="183">
      <c r="B183" s="67" t="n"/>
      <c r="D183" s="67" t="n"/>
      <c r="E183" s="67" t="n"/>
      <c r="F183" s="67" t="n"/>
      <c r="G183" s="67" t="n"/>
      <c r="H183" s="67" t="n"/>
      <c r="I183" s="67" t="n"/>
    </row>
    <row r="184">
      <c r="B184" s="67" t="n"/>
      <c r="D184" s="67" t="n"/>
      <c r="E184" s="67" t="n"/>
      <c r="F184" s="67" t="n"/>
      <c r="G184" s="67" t="n"/>
      <c r="H184" s="67" t="n"/>
      <c r="I184" s="67" t="n"/>
    </row>
    <row r="185">
      <c r="B185" s="67" t="n"/>
      <c r="D185" s="67" t="n"/>
      <c r="E185" s="67" t="n"/>
      <c r="F185" s="67" t="n"/>
      <c r="G185" s="67" t="n"/>
      <c r="H185" s="67" t="n"/>
      <c r="I185" s="67" t="n"/>
    </row>
    <row r="186">
      <c r="B186" s="67" t="n"/>
      <c r="D186" s="67" t="n"/>
      <c r="E186" s="67" t="n"/>
      <c r="F186" s="67" t="n"/>
      <c r="G186" s="67" t="n"/>
      <c r="H186" s="67" t="n"/>
      <c r="I186" s="67" t="n"/>
    </row>
    <row r="187">
      <c r="B187" s="67" t="n"/>
      <c r="D187" s="67" t="n"/>
      <c r="E187" s="67" t="n"/>
      <c r="F187" s="67" t="n"/>
      <c r="G187" s="67" t="n"/>
      <c r="H187" s="67" t="n"/>
      <c r="I187" s="67" t="n"/>
    </row>
    <row r="188">
      <c r="B188" s="67" t="n"/>
      <c r="D188" s="67" t="n"/>
      <c r="E188" s="67" t="n"/>
      <c r="F188" s="67" t="n"/>
      <c r="G188" s="67" t="n"/>
      <c r="H188" s="67" t="n"/>
      <c r="I188" s="67" t="n"/>
    </row>
    <row r="189">
      <c r="B189" s="67" t="n"/>
      <c r="D189" s="67" t="n"/>
      <c r="E189" s="67" t="n"/>
      <c r="F189" s="67" t="n"/>
      <c r="G189" s="67" t="n"/>
      <c r="H189" s="67" t="n"/>
      <c r="I189" s="67" t="n"/>
    </row>
    <row r="190">
      <c r="B190" s="67" t="n"/>
      <c r="D190" s="67" t="n"/>
      <c r="E190" s="67" t="n"/>
      <c r="F190" s="67" t="n"/>
      <c r="G190" s="67" t="n"/>
      <c r="H190" s="67" t="n"/>
      <c r="I190" s="67" t="n"/>
    </row>
    <row r="191">
      <c r="B191" s="67" t="n"/>
      <c r="D191" s="67" t="n"/>
      <c r="E191" s="67" t="n"/>
      <c r="F191" s="67" t="n"/>
      <c r="G191" s="67" t="n"/>
      <c r="H191" s="67" t="n"/>
      <c r="I191" s="67" t="n"/>
    </row>
    <row r="192">
      <c r="B192" s="67" t="n"/>
      <c r="D192" s="67" t="n"/>
      <c r="E192" s="67" t="n"/>
      <c r="F192" s="67" t="n"/>
      <c r="G192" s="67" t="n"/>
      <c r="H192" s="67" t="n"/>
      <c r="I192" s="67" t="n"/>
    </row>
    <row r="193">
      <c r="B193" s="67" t="n"/>
      <c r="D193" s="67" t="n"/>
      <c r="E193" s="67" t="n"/>
      <c r="F193" s="67" t="n"/>
      <c r="G193" s="67" t="n"/>
      <c r="H193" s="67" t="n"/>
      <c r="I193" s="67" t="n"/>
    </row>
    <row r="194">
      <c r="B194" s="67" t="n"/>
      <c r="D194" s="67" t="n"/>
      <c r="E194" s="67" t="n"/>
      <c r="F194" s="67" t="n"/>
      <c r="G194" s="67" t="n"/>
      <c r="H194" s="67" t="n"/>
      <c r="I194" s="67" t="n"/>
    </row>
    <row r="195">
      <c r="B195" s="67" t="n"/>
      <c r="D195" s="67" t="n"/>
      <c r="E195" s="67" t="n"/>
      <c r="F195" s="67" t="n"/>
      <c r="G195" s="67" t="n"/>
      <c r="H195" s="67" t="n"/>
      <c r="I195" s="67" t="n"/>
    </row>
    <row r="196">
      <c r="B196" s="67" t="n"/>
      <c r="D196" s="67" t="n"/>
      <c r="E196" s="67" t="n"/>
      <c r="F196" s="67" t="n"/>
      <c r="G196" s="67" t="n"/>
      <c r="H196" s="67" t="n"/>
      <c r="I196" s="67" t="n"/>
    </row>
    <row r="197">
      <c r="B197" s="67" t="n"/>
      <c r="D197" s="67" t="n"/>
      <c r="E197" s="67" t="n"/>
      <c r="F197" s="67" t="n"/>
      <c r="G197" s="67" t="n"/>
      <c r="H197" s="67" t="n"/>
      <c r="I197" s="67" t="n"/>
    </row>
    <row r="198">
      <c r="B198" s="67" t="n"/>
      <c r="D198" s="67" t="n"/>
      <c r="E198" s="67" t="n"/>
      <c r="F198" s="67" t="n"/>
      <c r="G198" s="67" t="n"/>
      <c r="H198" s="67" t="n"/>
      <c r="I198" s="67" t="n"/>
    </row>
    <row r="199">
      <c r="B199" s="67" t="n"/>
      <c r="D199" s="67" t="n"/>
      <c r="E199" s="67" t="n"/>
      <c r="F199" s="67" t="n"/>
      <c r="G199" s="67" t="n"/>
      <c r="H199" s="67" t="n"/>
      <c r="I199" s="67" t="n"/>
    </row>
    <row r="200">
      <c r="B200" s="67" t="n"/>
      <c r="D200" s="67" t="n"/>
      <c r="E200" s="67" t="n"/>
      <c r="F200" s="67" t="n"/>
      <c r="G200" s="67" t="n"/>
      <c r="H200" s="67" t="n"/>
      <c r="I200" s="67" t="n"/>
    </row>
    <row r="201">
      <c r="B201" s="67" t="n"/>
      <c r="D201" s="67" t="n"/>
      <c r="E201" s="67" t="n"/>
      <c r="F201" s="67" t="n"/>
      <c r="G201" s="67" t="n"/>
      <c r="H201" s="67" t="n"/>
      <c r="I201" s="67" t="n"/>
    </row>
    <row r="202">
      <c r="B202" s="67" t="n"/>
      <c r="D202" s="67" t="n"/>
      <c r="E202" s="67" t="n"/>
      <c r="F202" s="67" t="n"/>
      <c r="G202" s="67" t="n"/>
      <c r="H202" s="67" t="n"/>
      <c r="I202" s="67" t="n"/>
    </row>
    <row r="203">
      <c r="B203" s="67" t="n"/>
      <c r="D203" s="67" t="n"/>
      <c r="E203" s="67" t="n"/>
      <c r="F203" s="67" t="n"/>
      <c r="G203" s="67" t="n"/>
      <c r="H203" s="67" t="n"/>
      <c r="I203" s="67" t="n"/>
    </row>
    <row r="204">
      <c r="B204" s="67" t="n"/>
      <c r="D204" s="67" t="n"/>
      <c r="E204" s="67" t="n"/>
      <c r="F204" s="67" t="n"/>
      <c r="G204" s="67" t="n"/>
      <c r="H204" s="67" t="n"/>
      <c r="I204" s="67" t="n"/>
    </row>
    <row r="205">
      <c r="B205" s="67" t="n"/>
      <c r="D205" s="67" t="n"/>
      <c r="E205" s="67" t="n"/>
      <c r="F205" s="67" t="n"/>
      <c r="G205" s="67" t="n"/>
      <c r="H205" s="67" t="n"/>
      <c r="I205" s="67" t="n"/>
    </row>
    <row r="206">
      <c r="B206" s="67" t="n"/>
      <c r="D206" s="67" t="n"/>
      <c r="E206" s="67" t="n"/>
      <c r="F206" s="67" t="n"/>
      <c r="G206" s="67" t="n"/>
      <c r="H206" s="67" t="n"/>
      <c r="I206" s="67" t="n"/>
    </row>
    <row r="207">
      <c r="B207" s="67" t="n"/>
      <c r="D207" s="67" t="n"/>
      <c r="E207" s="67" t="n"/>
      <c r="F207" s="67" t="n"/>
      <c r="G207" s="67" t="n"/>
      <c r="H207" s="67" t="n"/>
      <c r="I207" s="67" t="n"/>
    </row>
    <row r="208">
      <c r="B208" s="67" t="n"/>
      <c r="D208" s="67" t="n"/>
      <c r="E208" s="67" t="n"/>
      <c r="F208" s="67" t="n"/>
      <c r="G208" s="67" t="n"/>
      <c r="H208" s="67" t="n"/>
      <c r="I208" s="67" t="n"/>
    </row>
    <row r="209">
      <c r="B209" s="67" t="n"/>
      <c r="D209" s="67" t="n"/>
      <c r="E209" s="67" t="n"/>
      <c r="F209" s="67" t="n"/>
      <c r="G209" s="67" t="n"/>
      <c r="H209" s="67" t="n"/>
      <c r="I209" s="67" t="n"/>
    </row>
    <row r="210">
      <c r="B210" s="67" t="n"/>
      <c r="D210" s="67" t="n"/>
      <c r="E210" s="67" t="n"/>
      <c r="F210" s="67" t="n"/>
      <c r="G210" s="67" t="n"/>
      <c r="H210" s="67" t="n"/>
      <c r="I210" s="67" t="n"/>
    </row>
    <row r="211">
      <c r="B211" s="67" t="n"/>
      <c r="D211" s="67" t="n"/>
      <c r="E211" s="67" t="n"/>
      <c r="F211" s="67" t="n"/>
      <c r="G211" s="67" t="n"/>
      <c r="H211" s="67" t="n"/>
      <c r="I211" s="67" t="n"/>
    </row>
    <row r="212">
      <c r="B212" s="67" t="n"/>
      <c r="D212" s="67" t="n"/>
      <c r="E212" s="67" t="n"/>
      <c r="F212" s="67" t="n"/>
      <c r="G212" s="67" t="n"/>
      <c r="H212" s="67" t="n"/>
      <c r="I212" s="67" t="n"/>
    </row>
    <row r="213">
      <c r="B213" s="67" t="n"/>
      <c r="D213" s="67" t="n"/>
      <c r="E213" s="67" t="n"/>
      <c r="F213" s="67" t="n"/>
      <c r="G213" s="67" t="n"/>
      <c r="H213" s="67" t="n"/>
      <c r="I213" s="67" t="n"/>
    </row>
    <row r="214">
      <c r="B214" s="67" t="n"/>
      <c r="D214" s="67" t="n"/>
      <c r="E214" s="67" t="n"/>
      <c r="F214" s="67" t="n"/>
      <c r="G214" s="67" t="n"/>
      <c r="H214" s="67" t="n"/>
      <c r="I214" s="67" t="n"/>
    </row>
    <row r="215">
      <c r="B215" s="67" t="n"/>
      <c r="D215" s="67" t="n"/>
      <c r="E215" s="67" t="n"/>
      <c r="F215" s="67" t="n"/>
      <c r="G215" s="67" t="n"/>
      <c r="H215" s="67" t="n"/>
      <c r="I215" s="67" t="n"/>
    </row>
    <row r="216">
      <c r="B216" s="67" t="n"/>
      <c r="D216" s="67" t="n"/>
      <c r="E216" s="67" t="n"/>
      <c r="F216" s="67" t="n"/>
      <c r="G216" s="67" t="n"/>
      <c r="H216" s="67" t="n"/>
      <c r="I216" s="67" t="n"/>
    </row>
    <row r="217">
      <c r="B217" s="67" t="n"/>
      <c r="D217" s="67" t="n"/>
      <c r="E217" s="67" t="n"/>
      <c r="F217" s="67" t="n"/>
      <c r="G217" s="67" t="n"/>
      <c r="H217" s="67" t="n"/>
      <c r="I217" s="67" t="n"/>
    </row>
    <row r="218">
      <c r="B218" s="67" t="n"/>
      <c r="D218" s="67" t="n"/>
      <c r="E218" s="67" t="n"/>
      <c r="F218" s="67" t="n"/>
      <c r="G218" s="67" t="n"/>
      <c r="H218" s="67" t="n"/>
      <c r="I218" s="67" t="n"/>
    </row>
    <row r="219">
      <c r="B219" s="67" t="n"/>
      <c r="D219" s="67" t="n"/>
      <c r="E219" s="67" t="n"/>
      <c r="F219" s="67" t="n"/>
      <c r="G219" s="67" t="n"/>
      <c r="H219" s="67" t="n"/>
      <c r="I219" s="67" t="n"/>
    </row>
    <row r="220">
      <c r="B220" s="67" t="n"/>
      <c r="D220" s="67" t="n"/>
      <c r="E220" s="67" t="n"/>
      <c r="F220" s="67" t="n"/>
      <c r="G220" s="67" t="n"/>
      <c r="H220" s="67" t="n"/>
      <c r="I220" s="67"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20:B220">
    <cfRule type="expression" priority="2" dxfId="6">
      <formula>AND(LEN($B20&amp;$C20&amp;$D20&amp;$E20&amp;$F20&amp;$G20&amp;$H20&amp;$I20)&gt;0,B20="")</formula>
    </cfRule>
  </conditionalFormatting>
  <conditionalFormatting sqref="C20:C220">
    <cfRule type="expression" priority="3" dxfId="6">
      <formula>AND(LEN($B20&amp;$C20&amp;$D20&amp;$E20&amp;$F20&amp;$G20&amp;$H20&amp;$I20)&gt;0,C20="")</formula>
    </cfRule>
  </conditionalFormatting>
  <conditionalFormatting sqref="D20:D220">
    <cfRule type="expression" priority="4" dxfId="6">
      <formula>AND(LEN($B20&amp;$C20&amp;$D20&amp;$E20&amp;$F20&amp;$G20&amp;$H20&amp;$I20)&gt;0,D20="")</formula>
    </cfRule>
  </conditionalFormatting>
  <conditionalFormatting sqref="G20:G220">
    <cfRule type="expression" priority="5" dxfId="6">
      <formula>AND(LEN($B20&amp;$C20&amp;$D20&amp;$E20&amp;$F20&amp;$G20&amp;$H20&amp;$I20)&gt;0,G20="")</formula>
    </cfRule>
  </conditionalFormatting>
  <dataValidations count="1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I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package_code" error="At most 20 characters." promptTitle="legacy_package_code" prompt="Yes. Legacy package code Allowed: Free entry, up to 20 characters" type="textLength" operator="lessThanOrEqual">
      <formula1>20</formula1>
    </dataValidation>
    <dataValidation sqref="C20:C220" showDropDown="0" showInputMessage="1" showErrorMessage="1" allowBlank="1" errorTitle="legacy_package_version" error="Enter a whole number." promptTitle="legacy_package_version" prompt="Yes. Version of the legacy package Allowed: A whole number" type="whole" operator="greaterThanOrEqual">
      <formula1>-1E+15</formula1>
    </dataValidation>
    <dataValidation sqref="D20:D220" showDropDown="0" showInputMessage="1" showErrorMessage="1" allowBlank="1" errorTitle="legacy_package_name" error="At most 200 characters." promptTitle="legacy_package_name" prompt="Yes. Package name in legacy Allowed: Free entry, up to 200 characters" type="textLength" operator="lessThanOrEqual">
      <formula1>200</formula1>
    </dataValidation>
    <dataValidation sqref="E20:E220" showDropDown="0" showInputMessage="1" showErrorMessage="1" allowBlank="1" errorTitle="qualifier" error="Choose a value of the list R06 qualifier (sheet Reference lists)." promptTitle="qualifier" prompt="No. Attribute that splits one legacy package into several BIBS packages Allowed: RISK_CODE, INSURER, SI_BAND (list R06 qualifier)" type="list" errorStyle="stop">
      <formula1>=LIST_R06_QUALIFIER</formula1>
    </dataValidation>
    <dataValidation sqref="F20:F220" showDropDown="0" showInputMessage="1" showErrorMessage="1" allowBlank="1" errorTitle="qualifier_value" error="At most 60 characters." promptTitle="qualifier_value" prompt="Conditional: Mandatory with a qualifier; bands of one legacy package do not overlap. Value of the qualifier (risk code, insurer code, or sum-insured band as from-to) Allowed: Free entry, up to 60 characters" type="textLength" operator="lessThanOrEqual">
      <formula1>60</formula1>
    </dataValidation>
    <dataValidation sqref="G20:G220" showDropDown="0" showInputMessage="1" showErrorMessage="1" allowBlank="1" errorTitle="action" error="Choose a value of the list R06 action (sheet Reference lists)." promptTitle="action" prompt="Yes. MAP to a BIBS package version, or REJECT (no BIBS package) Allowed: MAP, REJECT (list R06 action)" type="list" errorStyle="stop">
      <formula1>=LIST_R06_ACTION</formula1>
    </dataValidation>
    <dataValidation sqref="H20:H220" showDropDown="0" showInputMessage="1" showErrorMessage="1" allowBlank="1" errorTitle="bibs_package_version" error="At most 40 characters." promptTitle="bibs_package_version" prompt="Conditional: Mandatory for MAP; active in Product Maintenance. BIBS package version maintained by TSU Allowed: Active package versions in Product Maintenance" type="textLength" operator="lessThanOrEqual">
      <formula1>40</formula1>
    </dataValidation>
    <dataValidation sqref="I20:I220" showDropDown="0" showInputMessage="1" showErrorMessage="1" allowBlank="1" errorTitle="remarks" error="At most 250 characters." promptTitle="remarks" prompt="No. Why the entry maps as it does Allowed: Free entry, up to 250 characters" type="textLength" operator="lessThanOrEqual">
      <formula1>250</formula1>
    </dataValidation>
  </dataValidations>
  <hyperlinks>
    <hyperlink ref="A2" location="'Load templates'!A1"/>
    <hyperlink ref="I2" location="'Comments log'!A1"/>
    <hyperlink ref="E17" location="'Reference lists'!A14"/>
    <hyperlink ref="G17" location="'Reference lists'!A17"/>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tabColor rgb="00004EA8"/>
    <outlinePr summaryBelow="0" summaryRight="1"/>
    <pageSetUpPr fitToPage="1"/>
  </sheetPr>
  <dimension ref="A1:G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5.90909090909091" customWidth="1" min="3" max="3"/>
    <col width="14.09090909090909" customWidth="1" min="4" max="4"/>
    <col width="19" customWidth="1" min="5" max="5"/>
    <col width="17" customWidth="1" min="6" max="6"/>
    <col width="12" customWidth="1" min="7" max="7"/>
  </cols>
  <sheetData>
    <row r="1" ht="26" customHeight="1">
      <c r="A1" s="44" t="inlineStr">
        <is>
          <t>R07 Commission rates by insurer and product</t>
        </is>
      </c>
      <c r="G1" s="45" t="inlineStr">
        <is>
          <t>Step 8 of 29</t>
        </is>
      </c>
    </row>
    <row r="2">
      <c r="A2" s="46" t="inlineStr">
        <is>
          <t>← Back to Load templates</t>
        </is>
      </c>
      <c r="B2" s="47" t="inlineStr">
        <is>
          <t>Step 8 of 29. Fill in one row per record below the column headers; the guide above each column says what to enter.</t>
        </is>
      </c>
      <c r="G2" s="48" t="inlineStr">
        <is>
          <t>Ask a question →</t>
        </is>
      </c>
    </row>
    <row r="3" outlineLevel="1" ht="40.5" customHeight="1">
      <c r="A3" s="49" t="inlineStr">
        <is>
          <t>Purpose</t>
        </is>
      </c>
      <c r="B3" s="50" t="inlineStr">
        <is>
          <t>One row per record of Commission rates by insurer and product as extracted from QPS, EBIX. Key insurer_code, risk_code, effective_from. Sent as the file R07_template.csv (CSV, header row as below) with its control file (row count, row count).</t>
        </is>
      </c>
    </row>
    <row r="4" outlineLevel="1" ht="15.5" customHeight="1">
      <c r="A4" s="49" t="inlineStr">
        <is>
          <t>Provided by</t>
        </is>
      </c>
      <c r="B4" s="50" t="inlineStr">
        <is>
          <t>Operations data steward (to name); approved by Head, Operations; extracted by BDOI IT</t>
        </is>
      </c>
    </row>
    <row r="5" outlineLevel="1" ht="15.5" customHeight="1">
      <c r="A5" s="49" t="inlineStr">
        <is>
          <t>Due</t>
        </is>
      </c>
      <c r="B5" s="51" t="inlineStr">
        <is>
          <t>M3 (29 Jan 2027)</t>
        </is>
      </c>
    </row>
    <row r="6" outlineLevel="1" ht="28" customHeight="1">
      <c r="A6" s="49" t="inlineStr">
        <is>
          <t>How it is loaded</t>
        </is>
      </c>
      <c r="B6" s="50" t="inlineStr">
        <is>
          <t>Data migration object R07 (Migrate), layout R07 version 1, through the Migration Console; lands in: Commission rates of the product catalogue</t>
        </is>
      </c>
    </row>
    <row r="7" outlineLevel="1" ht="15.5" customHeight="1">
      <c r="A7" s="49" t="inlineStr">
        <is>
          <t>Source</t>
        </is>
      </c>
      <c r="B7" s="50" t="inlineStr">
        <is>
          <t>QPS, EBIX</t>
        </is>
      </c>
    </row>
    <row r="8" outlineLevel="1" ht="15" customHeight="1">
      <c r="A8" s="49" t="inlineStr">
        <is>
          <t>Depends on</t>
        </is>
      </c>
      <c r="B8" s="68" t="inlineStr">
        <is>
          <t>R04 Insurers →</t>
        </is>
      </c>
      <c r="D8" s="68" t="inlineStr">
        <is>
          <t>R04B Insurer branches →</t>
        </is>
      </c>
    </row>
    <row r="9" ht="26" customHeight="1">
      <c r="A9" s="53" t="inlineStr">
        <is>
          <t>Progress</t>
        </is>
      </c>
      <c r="B9" s="54" t="inlineStr">
        <is>
          <t>Rows entered</t>
        </is>
      </c>
      <c r="C9" s="55">
        <f>SUMPRODUCT(((ROW($B$20:$B$220)&gt;20)+($B$20&lt;&gt;"MAL")&gt;0)*(LEN($B$20:$B$220&amp;$C$20:$C$220&amp;$D$20:$D$220&amp;$E$20:$E$220&amp;$F$20:$F$220)&gt;0))</f>
        <v/>
      </c>
      <c r="D9" s="54" t="inlineStr">
        <is>
          <t>Mandatory cells missing</t>
        </is>
      </c>
      <c r="E9" s="55">
        <f>SUMPRODUCT(((ROW($B$20:$B$220)&gt;20)+($B$20&lt;&gt;"MAL")&gt;0)*(LEN($B$20:$B$220&amp;$C$20:$C$220&amp;$D$20:$D$220&amp;$E$20:$E$220&amp;$F$20:$F$220)&gt;0)*(($B$20:$B$220="")+($C$20:$C$220="")+($D$20:$D$220="")+($E$20:$E$220="")))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row>
    <row r="12" ht="30" customHeight="1">
      <c r="A12" s="59" t="inlineStr">
        <is>
          <t>BU review</t>
        </is>
      </c>
      <c r="B12" s="60" t="n"/>
      <c r="C12" s="60" t="n"/>
      <c r="D12" s="60" t="n"/>
      <c r="E12" s="60" t="n"/>
      <c r="F12" s="60" t="n"/>
    </row>
    <row r="13" ht="30" customHeight="1">
      <c r="A13" s="59" t="inlineStr">
        <is>
          <t>BU comment</t>
        </is>
      </c>
      <c r="B13" s="60" t="n"/>
      <c r="C13" s="60" t="n"/>
      <c r="D13" s="60" t="n"/>
      <c r="E13" s="60" t="n"/>
      <c r="F13" s="60" t="n"/>
    </row>
    <row r="14" ht="43" customHeight="1">
      <c r="A14" s="59" t="inlineStr">
        <is>
          <t>Check when loaded</t>
        </is>
      </c>
      <c r="B14" s="61" t="inlineStr">
        <is>
          <t>Mapped</t>
        </is>
      </c>
      <c r="C14" s="61" t="inlineStr">
        <is>
          <t>Mapped</t>
        </is>
      </c>
      <c r="D14" s="61" t="inlineStr">
        <is>
          <t>0 to 100</t>
        </is>
      </c>
      <c r="E14" s="61" t="inlineStr">
        <is>
          <t>Valid date</t>
        </is>
      </c>
      <c r="F14" s="61" t="inlineStr">
        <is>
          <t>No overlap for the same insurer and product</t>
        </is>
      </c>
    </row>
    <row r="15" ht="17" customHeight="1">
      <c r="A15" s="59" t="inlineStr">
        <is>
          <t>Mandatory</t>
        </is>
      </c>
      <c r="B15" s="62" t="inlineStr">
        <is>
          <t>Yes</t>
        </is>
      </c>
      <c r="C15" s="62" t="inlineStr">
        <is>
          <t>Yes</t>
        </is>
      </c>
      <c r="D15" s="62" t="inlineStr">
        <is>
          <t>Yes</t>
        </is>
      </c>
      <c r="E15" s="62" t="inlineStr">
        <is>
          <t>Yes</t>
        </is>
      </c>
      <c r="F15" s="61" t="inlineStr">
        <is>
          <t>No</t>
        </is>
      </c>
    </row>
    <row r="16" ht="30" customHeight="1">
      <c r="A16" s="59" t="inlineStr">
        <is>
          <t>Format</t>
        </is>
      </c>
      <c r="B16" s="61" t="inlineStr">
        <is>
          <t>Code, up to 30; As stored in legacy</t>
        </is>
      </c>
      <c r="C16" s="61" t="inlineStr">
        <is>
          <t>Code, up to 20; As stored in legacy</t>
        </is>
      </c>
      <c r="D16" s="61" t="inlineStr">
        <is>
          <t>Decimal, up to 9,4; Dot decimal</t>
        </is>
      </c>
      <c r="E16" s="61" t="inlineStr">
        <is>
          <t>Date, up to 10; yyyy-MM-dd</t>
        </is>
      </c>
      <c r="F16" s="61" t="inlineStr">
        <is>
          <t>Date, up to 10; yyyy-MM-dd</t>
        </is>
      </c>
    </row>
    <row r="17" ht="56" customHeight="1">
      <c r="A17" s="59" t="inlineStr">
        <is>
          <t>Allowed values</t>
        </is>
      </c>
      <c r="B17" s="69" t="inlineStr">
        <is>
          <t>The legacy code; mapped by the code map INSURER (sheet Code maps)</t>
        </is>
      </c>
      <c r="C17" s="69" t="inlineStr">
        <is>
          <t>The legacy code; mapped by the code map PRODUCT (sheet Code maps)</t>
        </is>
      </c>
      <c r="D17" s="61" t="inlineStr">
        <is>
          <t>A number</t>
        </is>
      </c>
      <c r="E17" s="61" t="inlineStr">
        <is>
          <t>Free entry</t>
        </is>
      </c>
      <c r="F17" s="61" t="inlineStr">
        <is>
          <t>Free entry</t>
        </is>
      </c>
    </row>
    <row r="18" ht="30" customHeight="1">
      <c r="A18" s="59" t="inlineStr">
        <is>
          <t>What to enter</t>
        </is>
      </c>
      <c r="B18" s="61" t="inlineStr">
        <is>
          <t>Legacy insurer code</t>
        </is>
      </c>
      <c r="C18" s="61" t="inlineStr">
        <is>
          <t>Legacy product / risk code</t>
        </is>
      </c>
      <c r="D18" s="61" t="inlineStr">
        <is>
          <t>Commission rate in percent</t>
        </is>
      </c>
      <c r="E18" s="61" t="inlineStr">
        <is>
          <t>Rate valid from</t>
        </is>
      </c>
      <c r="F18" s="61" t="inlineStr">
        <is>
          <t>Rate valid to</t>
        </is>
      </c>
    </row>
    <row r="19" ht="30" customHeight="1">
      <c r="A19" s="63" t="inlineStr">
        <is>
          <t>Row</t>
        </is>
      </c>
      <c r="B19" s="24" t="inlineStr">
        <is>
          <t>insurer_code *</t>
        </is>
      </c>
      <c r="C19" s="24" t="inlineStr">
        <is>
          <t>risk_code *</t>
        </is>
      </c>
      <c r="D19" s="24" t="inlineStr">
        <is>
          <t>rate_pct *</t>
        </is>
      </c>
      <c r="E19" s="24" t="inlineStr">
        <is>
          <t>effective_from *</t>
        </is>
      </c>
      <c r="F19" s="24" t="inlineStr">
        <is>
          <t>effective_to</t>
        </is>
      </c>
    </row>
    <row r="20" ht="18" customHeight="1">
      <c r="A20" s="64" t="inlineStr">
        <is>
          <t>Example – overwrite or delete</t>
        </is>
      </c>
      <c r="B20" s="65" t="inlineStr">
        <is>
          <t>MAL</t>
        </is>
      </c>
      <c r="C20" s="65" t="inlineStr">
        <is>
          <t>MC-PC-COMP</t>
        </is>
      </c>
      <c r="D20" s="66" t="n">
        <v>20</v>
      </c>
      <c r="E20" s="65" t="inlineStr">
        <is>
          <t>2026-01-01</t>
        </is>
      </c>
      <c r="F20" s="65" t="n"/>
    </row>
    <row r="21">
      <c r="B21" s="67" t="n"/>
      <c r="C21" s="67" t="n"/>
      <c r="E21" s="67" t="n"/>
      <c r="F21" s="67" t="n"/>
    </row>
    <row r="22">
      <c r="B22" s="67" t="n"/>
      <c r="C22" s="67" t="n"/>
      <c r="E22" s="67" t="n"/>
      <c r="F22" s="67" t="n"/>
    </row>
    <row r="23">
      <c r="B23" s="67" t="n"/>
      <c r="C23" s="67" t="n"/>
      <c r="E23" s="67" t="n"/>
      <c r="F23" s="67" t="n"/>
    </row>
    <row r="24">
      <c r="B24" s="67" t="n"/>
      <c r="C24" s="67" t="n"/>
      <c r="E24" s="67" t="n"/>
      <c r="F24" s="67" t="n"/>
    </row>
    <row r="25">
      <c r="B25" s="67" t="n"/>
      <c r="C25" s="67" t="n"/>
      <c r="E25" s="67" t="n"/>
      <c r="F25" s="67" t="n"/>
    </row>
    <row r="26">
      <c r="B26" s="67" t="n"/>
      <c r="C26" s="67" t="n"/>
      <c r="E26" s="67" t="n"/>
      <c r="F26" s="67" t="n"/>
    </row>
    <row r="27">
      <c r="B27" s="67" t="n"/>
      <c r="C27" s="67" t="n"/>
      <c r="E27" s="67" t="n"/>
      <c r="F27" s="67" t="n"/>
    </row>
    <row r="28">
      <c r="B28" s="67" t="n"/>
      <c r="C28" s="67" t="n"/>
      <c r="E28" s="67" t="n"/>
      <c r="F28" s="67" t="n"/>
    </row>
    <row r="29">
      <c r="B29" s="67" t="n"/>
      <c r="C29" s="67" t="n"/>
      <c r="E29" s="67" t="n"/>
      <c r="F29" s="67" t="n"/>
    </row>
    <row r="30">
      <c r="B30" s="67" t="n"/>
      <c r="C30" s="67" t="n"/>
      <c r="E30" s="67" t="n"/>
      <c r="F30" s="67" t="n"/>
    </row>
    <row r="31">
      <c r="B31" s="67" t="n"/>
      <c r="C31" s="67" t="n"/>
      <c r="E31" s="67" t="n"/>
      <c r="F31" s="67" t="n"/>
    </row>
    <row r="32">
      <c r="B32" s="67" t="n"/>
      <c r="C32" s="67" t="n"/>
      <c r="E32" s="67" t="n"/>
      <c r="F32" s="67" t="n"/>
    </row>
    <row r="33">
      <c r="B33" s="67" t="n"/>
      <c r="C33" s="67" t="n"/>
      <c r="E33" s="67" t="n"/>
      <c r="F33" s="67" t="n"/>
    </row>
    <row r="34">
      <c r="B34" s="67" t="n"/>
      <c r="C34" s="67" t="n"/>
      <c r="E34" s="67" t="n"/>
      <c r="F34" s="67" t="n"/>
    </row>
    <row r="35">
      <c r="B35" s="67" t="n"/>
      <c r="C35" s="67" t="n"/>
      <c r="E35" s="67" t="n"/>
      <c r="F35" s="67" t="n"/>
    </row>
    <row r="36">
      <c r="B36" s="67" t="n"/>
      <c r="C36" s="67" t="n"/>
      <c r="E36" s="67" t="n"/>
      <c r="F36" s="67" t="n"/>
    </row>
    <row r="37">
      <c r="B37" s="67" t="n"/>
      <c r="C37" s="67" t="n"/>
      <c r="E37" s="67" t="n"/>
      <c r="F37" s="67" t="n"/>
    </row>
    <row r="38">
      <c r="B38" s="67" t="n"/>
      <c r="C38" s="67" t="n"/>
      <c r="E38" s="67" t="n"/>
      <c r="F38" s="67" t="n"/>
    </row>
    <row r="39">
      <c r="B39" s="67" t="n"/>
      <c r="C39" s="67" t="n"/>
      <c r="E39" s="67" t="n"/>
      <c r="F39" s="67" t="n"/>
    </row>
    <row r="40">
      <c r="B40" s="67" t="n"/>
      <c r="C40" s="67" t="n"/>
      <c r="E40" s="67" t="n"/>
      <c r="F40" s="67" t="n"/>
    </row>
    <row r="41">
      <c r="B41" s="67" t="n"/>
      <c r="C41" s="67" t="n"/>
      <c r="E41" s="67" t="n"/>
      <c r="F41" s="67" t="n"/>
    </row>
    <row r="42">
      <c r="B42" s="67" t="n"/>
      <c r="C42" s="67" t="n"/>
      <c r="E42" s="67" t="n"/>
      <c r="F42" s="67" t="n"/>
    </row>
    <row r="43">
      <c r="B43" s="67" t="n"/>
      <c r="C43" s="67" t="n"/>
      <c r="E43" s="67" t="n"/>
      <c r="F43" s="67" t="n"/>
    </row>
    <row r="44">
      <c r="B44" s="67" t="n"/>
      <c r="C44" s="67" t="n"/>
      <c r="E44" s="67" t="n"/>
      <c r="F44" s="67" t="n"/>
    </row>
    <row r="45">
      <c r="B45" s="67" t="n"/>
      <c r="C45" s="67" t="n"/>
      <c r="E45" s="67" t="n"/>
      <c r="F45" s="67" t="n"/>
    </row>
    <row r="46">
      <c r="B46" s="67" t="n"/>
      <c r="C46" s="67" t="n"/>
      <c r="E46" s="67" t="n"/>
      <c r="F46" s="67" t="n"/>
    </row>
    <row r="47">
      <c r="B47" s="67" t="n"/>
      <c r="C47" s="67" t="n"/>
      <c r="E47" s="67" t="n"/>
      <c r="F47" s="67" t="n"/>
    </row>
    <row r="48">
      <c r="B48" s="67" t="n"/>
      <c r="C48" s="67" t="n"/>
      <c r="E48" s="67" t="n"/>
      <c r="F48" s="67" t="n"/>
    </row>
    <row r="49">
      <c r="B49" s="67" t="n"/>
      <c r="C49" s="67" t="n"/>
      <c r="E49" s="67" t="n"/>
      <c r="F49" s="67" t="n"/>
    </row>
    <row r="50">
      <c r="B50" s="67" t="n"/>
      <c r="C50" s="67" t="n"/>
      <c r="E50" s="67" t="n"/>
      <c r="F50" s="67" t="n"/>
    </row>
    <row r="51">
      <c r="B51" s="67" t="n"/>
      <c r="C51" s="67" t="n"/>
      <c r="E51" s="67" t="n"/>
      <c r="F51" s="67" t="n"/>
    </row>
    <row r="52">
      <c r="B52" s="67" t="n"/>
      <c r="C52" s="67" t="n"/>
      <c r="E52" s="67" t="n"/>
      <c r="F52" s="67" t="n"/>
    </row>
    <row r="53">
      <c r="B53" s="67" t="n"/>
      <c r="C53" s="67" t="n"/>
      <c r="E53" s="67" t="n"/>
      <c r="F53" s="67" t="n"/>
    </row>
    <row r="54">
      <c r="B54" s="67" t="n"/>
      <c r="C54" s="67" t="n"/>
      <c r="E54" s="67" t="n"/>
      <c r="F54" s="67" t="n"/>
    </row>
    <row r="55">
      <c r="B55" s="67" t="n"/>
      <c r="C55" s="67" t="n"/>
      <c r="E55" s="67" t="n"/>
      <c r="F55" s="67" t="n"/>
    </row>
    <row r="56">
      <c r="B56" s="67" t="n"/>
      <c r="C56" s="67" t="n"/>
      <c r="E56" s="67" t="n"/>
      <c r="F56" s="67" t="n"/>
    </row>
    <row r="57">
      <c r="B57" s="67" t="n"/>
      <c r="C57" s="67" t="n"/>
      <c r="E57" s="67" t="n"/>
      <c r="F57" s="67" t="n"/>
    </row>
    <row r="58">
      <c r="B58" s="67" t="n"/>
      <c r="C58" s="67" t="n"/>
      <c r="E58" s="67" t="n"/>
      <c r="F58" s="67" t="n"/>
    </row>
    <row r="59">
      <c r="B59" s="67" t="n"/>
      <c r="C59" s="67" t="n"/>
      <c r="E59" s="67" t="n"/>
      <c r="F59" s="67" t="n"/>
    </row>
    <row r="60">
      <c r="B60" s="67" t="n"/>
      <c r="C60" s="67" t="n"/>
      <c r="E60" s="67" t="n"/>
      <c r="F60" s="67" t="n"/>
    </row>
    <row r="61">
      <c r="B61" s="67" t="n"/>
      <c r="C61" s="67" t="n"/>
      <c r="E61" s="67" t="n"/>
      <c r="F61" s="67" t="n"/>
    </row>
    <row r="62">
      <c r="B62" s="67" t="n"/>
      <c r="C62" s="67" t="n"/>
      <c r="E62" s="67" t="n"/>
      <c r="F62" s="67" t="n"/>
    </row>
    <row r="63">
      <c r="B63" s="67" t="n"/>
      <c r="C63" s="67" t="n"/>
      <c r="E63" s="67" t="n"/>
      <c r="F63" s="67" t="n"/>
    </row>
    <row r="64">
      <c r="B64" s="67" t="n"/>
      <c r="C64" s="67" t="n"/>
      <c r="E64" s="67" t="n"/>
      <c r="F64" s="67" t="n"/>
    </row>
    <row r="65">
      <c r="B65" s="67" t="n"/>
      <c r="C65" s="67" t="n"/>
      <c r="E65" s="67" t="n"/>
      <c r="F65" s="67" t="n"/>
    </row>
    <row r="66">
      <c r="B66" s="67" t="n"/>
      <c r="C66" s="67" t="n"/>
      <c r="E66" s="67" t="n"/>
      <c r="F66" s="67" t="n"/>
    </row>
    <row r="67">
      <c r="B67" s="67" t="n"/>
      <c r="C67" s="67" t="n"/>
      <c r="E67" s="67" t="n"/>
      <c r="F67" s="67" t="n"/>
    </row>
    <row r="68">
      <c r="B68" s="67" t="n"/>
      <c r="C68" s="67" t="n"/>
      <c r="E68" s="67" t="n"/>
      <c r="F68" s="67" t="n"/>
    </row>
    <row r="69">
      <c r="B69" s="67" t="n"/>
      <c r="C69" s="67" t="n"/>
      <c r="E69" s="67" t="n"/>
      <c r="F69" s="67" t="n"/>
    </row>
    <row r="70">
      <c r="B70" s="67" t="n"/>
      <c r="C70" s="67" t="n"/>
      <c r="E70" s="67" t="n"/>
      <c r="F70" s="67" t="n"/>
    </row>
    <row r="71">
      <c r="B71" s="67" t="n"/>
      <c r="C71" s="67" t="n"/>
      <c r="E71" s="67" t="n"/>
      <c r="F71" s="67" t="n"/>
    </row>
    <row r="72">
      <c r="B72" s="67" t="n"/>
      <c r="C72" s="67" t="n"/>
      <c r="E72" s="67" t="n"/>
      <c r="F72" s="67" t="n"/>
    </row>
    <row r="73">
      <c r="B73" s="67" t="n"/>
      <c r="C73" s="67" t="n"/>
      <c r="E73" s="67" t="n"/>
      <c r="F73" s="67" t="n"/>
    </row>
    <row r="74">
      <c r="B74" s="67" t="n"/>
      <c r="C74" s="67" t="n"/>
      <c r="E74" s="67" t="n"/>
      <c r="F74" s="67" t="n"/>
    </row>
    <row r="75">
      <c r="B75" s="67" t="n"/>
      <c r="C75" s="67" t="n"/>
      <c r="E75" s="67" t="n"/>
      <c r="F75" s="67" t="n"/>
    </row>
    <row r="76">
      <c r="B76" s="67" t="n"/>
      <c r="C76" s="67" t="n"/>
      <c r="E76" s="67" t="n"/>
      <c r="F76" s="67" t="n"/>
    </row>
    <row r="77">
      <c r="B77" s="67" t="n"/>
      <c r="C77" s="67" t="n"/>
      <c r="E77" s="67" t="n"/>
      <c r="F77" s="67" t="n"/>
    </row>
    <row r="78">
      <c r="B78" s="67" t="n"/>
      <c r="C78" s="67" t="n"/>
      <c r="E78" s="67" t="n"/>
      <c r="F78" s="67" t="n"/>
    </row>
    <row r="79">
      <c r="B79" s="67" t="n"/>
      <c r="C79" s="67" t="n"/>
      <c r="E79" s="67" t="n"/>
      <c r="F79" s="67" t="n"/>
    </row>
    <row r="80">
      <c r="B80" s="67" t="n"/>
      <c r="C80" s="67" t="n"/>
      <c r="E80" s="67" t="n"/>
      <c r="F80" s="67" t="n"/>
    </row>
    <row r="81">
      <c r="B81" s="67" t="n"/>
      <c r="C81" s="67" t="n"/>
      <c r="E81" s="67" t="n"/>
      <c r="F81" s="67" t="n"/>
    </row>
    <row r="82">
      <c r="B82" s="67" t="n"/>
      <c r="C82" s="67" t="n"/>
      <c r="E82" s="67" t="n"/>
      <c r="F82" s="67" t="n"/>
    </row>
    <row r="83">
      <c r="B83" s="67" t="n"/>
      <c r="C83" s="67" t="n"/>
      <c r="E83" s="67" t="n"/>
      <c r="F83" s="67" t="n"/>
    </row>
    <row r="84">
      <c r="B84" s="67" t="n"/>
      <c r="C84" s="67" t="n"/>
      <c r="E84" s="67" t="n"/>
      <c r="F84" s="67" t="n"/>
    </row>
    <row r="85">
      <c r="B85" s="67" t="n"/>
      <c r="C85" s="67" t="n"/>
      <c r="E85" s="67" t="n"/>
      <c r="F85" s="67" t="n"/>
    </row>
    <row r="86">
      <c r="B86" s="67" t="n"/>
      <c r="C86" s="67" t="n"/>
      <c r="E86" s="67" t="n"/>
      <c r="F86" s="67" t="n"/>
    </row>
    <row r="87">
      <c r="B87" s="67" t="n"/>
      <c r="C87" s="67" t="n"/>
      <c r="E87" s="67" t="n"/>
      <c r="F87" s="67" t="n"/>
    </row>
    <row r="88">
      <c r="B88" s="67" t="n"/>
      <c r="C88" s="67" t="n"/>
      <c r="E88" s="67" t="n"/>
      <c r="F88" s="67" t="n"/>
    </row>
    <row r="89">
      <c r="B89" s="67" t="n"/>
      <c r="C89" s="67" t="n"/>
      <c r="E89" s="67" t="n"/>
      <c r="F89" s="67" t="n"/>
    </row>
    <row r="90">
      <c r="B90" s="67" t="n"/>
      <c r="C90" s="67" t="n"/>
      <c r="E90" s="67" t="n"/>
      <c r="F90" s="67" t="n"/>
    </row>
    <row r="91">
      <c r="B91" s="67" t="n"/>
      <c r="C91" s="67" t="n"/>
      <c r="E91" s="67" t="n"/>
      <c r="F91" s="67" t="n"/>
    </row>
    <row r="92">
      <c r="B92" s="67" t="n"/>
      <c r="C92" s="67" t="n"/>
      <c r="E92" s="67" t="n"/>
      <c r="F92" s="67" t="n"/>
    </row>
    <row r="93">
      <c r="B93" s="67" t="n"/>
      <c r="C93" s="67" t="n"/>
      <c r="E93" s="67" t="n"/>
      <c r="F93" s="67" t="n"/>
    </row>
    <row r="94">
      <c r="B94" s="67" t="n"/>
      <c r="C94" s="67" t="n"/>
      <c r="E94" s="67" t="n"/>
      <c r="F94" s="67" t="n"/>
    </row>
    <row r="95">
      <c r="B95" s="67" t="n"/>
      <c r="C95" s="67" t="n"/>
      <c r="E95" s="67" t="n"/>
      <c r="F95" s="67" t="n"/>
    </row>
    <row r="96">
      <c r="B96" s="67" t="n"/>
      <c r="C96" s="67" t="n"/>
      <c r="E96" s="67" t="n"/>
      <c r="F96" s="67" t="n"/>
    </row>
    <row r="97">
      <c r="B97" s="67" t="n"/>
      <c r="C97" s="67" t="n"/>
      <c r="E97" s="67" t="n"/>
      <c r="F97" s="67" t="n"/>
    </row>
    <row r="98">
      <c r="B98" s="67" t="n"/>
      <c r="C98" s="67" t="n"/>
      <c r="E98" s="67" t="n"/>
      <c r="F98" s="67" t="n"/>
    </row>
    <row r="99">
      <c r="B99" s="67" t="n"/>
      <c r="C99" s="67" t="n"/>
      <c r="E99" s="67" t="n"/>
      <c r="F99" s="67" t="n"/>
    </row>
    <row r="100">
      <c r="B100" s="67" t="n"/>
      <c r="C100" s="67" t="n"/>
      <c r="E100" s="67" t="n"/>
      <c r="F100" s="67" t="n"/>
    </row>
    <row r="101">
      <c r="B101" s="67" t="n"/>
      <c r="C101" s="67" t="n"/>
      <c r="E101" s="67" t="n"/>
      <c r="F101" s="67" t="n"/>
    </row>
    <row r="102">
      <c r="B102" s="67" t="n"/>
      <c r="C102" s="67" t="n"/>
      <c r="E102" s="67" t="n"/>
      <c r="F102" s="67" t="n"/>
    </row>
    <row r="103">
      <c r="B103" s="67" t="n"/>
      <c r="C103" s="67" t="n"/>
      <c r="E103" s="67" t="n"/>
      <c r="F103" s="67" t="n"/>
    </row>
    <row r="104">
      <c r="B104" s="67" t="n"/>
      <c r="C104" s="67" t="n"/>
      <c r="E104" s="67" t="n"/>
      <c r="F104" s="67" t="n"/>
    </row>
    <row r="105">
      <c r="B105" s="67" t="n"/>
      <c r="C105" s="67" t="n"/>
      <c r="E105" s="67" t="n"/>
      <c r="F105" s="67" t="n"/>
    </row>
    <row r="106">
      <c r="B106" s="67" t="n"/>
      <c r="C106" s="67" t="n"/>
      <c r="E106" s="67" t="n"/>
      <c r="F106" s="67" t="n"/>
    </row>
    <row r="107">
      <c r="B107" s="67" t="n"/>
      <c r="C107" s="67" t="n"/>
      <c r="E107" s="67" t="n"/>
      <c r="F107" s="67" t="n"/>
    </row>
    <row r="108">
      <c r="B108" s="67" t="n"/>
      <c r="C108" s="67" t="n"/>
      <c r="E108" s="67" t="n"/>
      <c r="F108" s="67" t="n"/>
    </row>
    <row r="109">
      <c r="B109" s="67" t="n"/>
      <c r="C109" s="67" t="n"/>
      <c r="E109" s="67" t="n"/>
      <c r="F109" s="67" t="n"/>
    </row>
    <row r="110">
      <c r="B110" s="67" t="n"/>
      <c r="C110" s="67" t="n"/>
      <c r="E110" s="67" t="n"/>
      <c r="F110" s="67" t="n"/>
    </row>
    <row r="111">
      <c r="B111" s="67" t="n"/>
      <c r="C111" s="67" t="n"/>
      <c r="E111" s="67" t="n"/>
      <c r="F111" s="67" t="n"/>
    </row>
    <row r="112">
      <c r="B112" s="67" t="n"/>
      <c r="C112" s="67" t="n"/>
      <c r="E112" s="67" t="n"/>
      <c r="F112" s="67" t="n"/>
    </row>
    <row r="113">
      <c r="B113" s="67" t="n"/>
      <c r="C113" s="67" t="n"/>
      <c r="E113" s="67" t="n"/>
      <c r="F113" s="67" t="n"/>
    </row>
    <row r="114">
      <c r="B114" s="67" t="n"/>
      <c r="C114" s="67" t="n"/>
      <c r="E114" s="67" t="n"/>
      <c r="F114" s="67" t="n"/>
    </row>
    <row r="115">
      <c r="B115" s="67" t="n"/>
      <c r="C115" s="67" t="n"/>
      <c r="E115" s="67" t="n"/>
      <c r="F115" s="67" t="n"/>
    </row>
    <row r="116">
      <c r="B116" s="67" t="n"/>
      <c r="C116" s="67" t="n"/>
      <c r="E116" s="67" t="n"/>
      <c r="F116" s="67" t="n"/>
    </row>
    <row r="117">
      <c r="B117" s="67" t="n"/>
      <c r="C117" s="67" t="n"/>
      <c r="E117" s="67" t="n"/>
      <c r="F117" s="67" t="n"/>
    </row>
    <row r="118">
      <c r="B118" s="67" t="n"/>
      <c r="C118" s="67" t="n"/>
      <c r="E118" s="67" t="n"/>
      <c r="F118" s="67" t="n"/>
    </row>
    <row r="119">
      <c r="B119" s="67" t="n"/>
      <c r="C119" s="67" t="n"/>
      <c r="E119" s="67" t="n"/>
      <c r="F119" s="67" t="n"/>
    </row>
    <row r="120">
      <c r="B120" s="67" t="n"/>
      <c r="C120" s="67" t="n"/>
      <c r="E120" s="67" t="n"/>
      <c r="F120" s="67" t="n"/>
    </row>
    <row r="121">
      <c r="B121" s="67" t="n"/>
      <c r="C121" s="67" t="n"/>
      <c r="E121" s="67" t="n"/>
      <c r="F121" s="67" t="n"/>
    </row>
    <row r="122">
      <c r="B122" s="67" t="n"/>
      <c r="C122" s="67" t="n"/>
      <c r="E122" s="67" t="n"/>
      <c r="F122" s="67" t="n"/>
    </row>
    <row r="123">
      <c r="B123" s="67" t="n"/>
      <c r="C123" s="67" t="n"/>
      <c r="E123" s="67" t="n"/>
      <c r="F123" s="67" t="n"/>
    </row>
    <row r="124">
      <c r="B124" s="67" t="n"/>
      <c r="C124" s="67" t="n"/>
      <c r="E124" s="67" t="n"/>
      <c r="F124" s="67" t="n"/>
    </row>
    <row r="125">
      <c r="B125" s="67" t="n"/>
      <c r="C125" s="67" t="n"/>
      <c r="E125" s="67" t="n"/>
      <c r="F125" s="67" t="n"/>
    </row>
    <row r="126">
      <c r="B126" s="67" t="n"/>
      <c r="C126" s="67" t="n"/>
      <c r="E126" s="67" t="n"/>
      <c r="F126" s="67" t="n"/>
    </row>
    <row r="127">
      <c r="B127" s="67" t="n"/>
      <c r="C127" s="67" t="n"/>
      <c r="E127" s="67" t="n"/>
      <c r="F127" s="67" t="n"/>
    </row>
    <row r="128">
      <c r="B128" s="67" t="n"/>
      <c r="C128" s="67" t="n"/>
      <c r="E128" s="67" t="n"/>
      <c r="F128" s="67" t="n"/>
    </row>
    <row r="129">
      <c r="B129" s="67" t="n"/>
      <c r="C129" s="67" t="n"/>
      <c r="E129" s="67" t="n"/>
      <c r="F129" s="67" t="n"/>
    </row>
    <row r="130">
      <c r="B130" s="67" t="n"/>
      <c r="C130" s="67" t="n"/>
      <c r="E130" s="67" t="n"/>
      <c r="F130" s="67" t="n"/>
    </row>
    <row r="131">
      <c r="B131" s="67" t="n"/>
      <c r="C131" s="67" t="n"/>
      <c r="E131" s="67" t="n"/>
      <c r="F131" s="67" t="n"/>
    </row>
    <row r="132">
      <c r="B132" s="67" t="n"/>
      <c r="C132" s="67" t="n"/>
      <c r="E132" s="67" t="n"/>
      <c r="F132" s="67" t="n"/>
    </row>
    <row r="133">
      <c r="B133" s="67" t="n"/>
      <c r="C133" s="67" t="n"/>
      <c r="E133" s="67" t="n"/>
      <c r="F133" s="67" t="n"/>
    </row>
    <row r="134">
      <c r="B134" s="67" t="n"/>
      <c r="C134" s="67" t="n"/>
      <c r="E134" s="67" t="n"/>
      <c r="F134" s="67" t="n"/>
    </row>
    <row r="135">
      <c r="B135" s="67" t="n"/>
      <c r="C135" s="67" t="n"/>
      <c r="E135" s="67" t="n"/>
      <c r="F135" s="67" t="n"/>
    </row>
    <row r="136">
      <c r="B136" s="67" t="n"/>
      <c r="C136" s="67" t="n"/>
      <c r="E136" s="67" t="n"/>
      <c r="F136" s="67" t="n"/>
    </row>
    <row r="137">
      <c r="B137" s="67" t="n"/>
      <c r="C137" s="67" t="n"/>
      <c r="E137" s="67" t="n"/>
      <c r="F137" s="67" t="n"/>
    </row>
    <row r="138">
      <c r="B138" s="67" t="n"/>
      <c r="C138" s="67" t="n"/>
      <c r="E138" s="67" t="n"/>
      <c r="F138" s="67" t="n"/>
    </row>
    <row r="139">
      <c r="B139" s="67" t="n"/>
      <c r="C139" s="67" t="n"/>
      <c r="E139" s="67" t="n"/>
      <c r="F139" s="67" t="n"/>
    </row>
    <row r="140">
      <c r="B140" s="67" t="n"/>
      <c r="C140" s="67" t="n"/>
      <c r="E140" s="67" t="n"/>
      <c r="F140" s="67" t="n"/>
    </row>
    <row r="141">
      <c r="B141" s="67" t="n"/>
      <c r="C141" s="67" t="n"/>
      <c r="E141" s="67" t="n"/>
      <c r="F141" s="67" t="n"/>
    </row>
    <row r="142">
      <c r="B142" s="67" t="n"/>
      <c r="C142" s="67" t="n"/>
      <c r="E142" s="67" t="n"/>
      <c r="F142" s="67" t="n"/>
    </row>
    <row r="143">
      <c r="B143" s="67" t="n"/>
      <c r="C143" s="67" t="n"/>
      <c r="E143" s="67" t="n"/>
      <c r="F143" s="67" t="n"/>
    </row>
    <row r="144">
      <c r="B144" s="67" t="n"/>
      <c r="C144" s="67" t="n"/>
      <c r="E144" s="67" t="n"/>
      <c r="F144" s="67" t="n"/>
    </row>
    <row r="145">
      <c r="B145" s="67" t="n"/>
      <c r="C145" s="67" t="n"/>
      <c r="E145" s="67" t="n"/>
      <c r="F145" s="67" t="n"/>
    </row>
    <row r="146">
      <c r="B146" s="67" t="n"/>
      <c r="C146" s="67" t="n"/>
      <c r="E146" s="67" t="n"/>
      <c r="F146" s="67" t="n"/>
    </row>
    <row r="147">
      <c r="B147" s="67" t="n"/>
      <c r="C147" s="67" t="n"/>
      <c r="E147" s="67" t="n"/>
      <c r="F147" s="67" t="n"/>
    </row>
    <row r="148">
      <c r="B148" s="67" t="n"/>
      <c r="C148" s="67" t="n"/>
      <c r="E148" s="67" t="n"/>
      <c r="F148" s="67" t="n"/>
    </row>
    <row r="149">
      <c r="B149" s="67" t="n"/>
      <c r="C149" s="67" t="n"/>
      <c r="E149" s="67" t="n"/>
      <c r="F149" s="67" t="n"/>
    </row>
    <row r="150">
      <c r="B150" s="67" t="n"/>
      <c r="C150" s="67" t="n"/>
      <c r="E150" s="67" t="n"/>
      <c r="F150" s="67" t="n"/>
    </row>
    <row r="151">
      <c r="B151" s="67" t="n"/>
      <c r="C151" s="67" t="n"/>
      <c r="E151" s="67" t="n"/>
      <c r="F151" s="67" t="n"/>
    </row>
    <row r="152">
      <c r="B152" s="67" t="n"/>
      <c r="C152" s="67" t="n"/>
      <c r="E152" s="67" t="n"/>
      <c r="F152" s="67" t="n"/>
    </row>
    <row r="153">
      <c r="B153" s="67" t="n"/>
      <c r="C153" s="67" t="n"/>
      <c r="E153" s="67" t="n"/>
      <c r="F153" s="67" t="n"/>
    </row>
    <row r="154">
      <c r="B154" s="67" t="n"/>
      <c r="C154" s="67" t="n"/>
      <c r="E154" s="67" t="n"/>
      <c r="F154" s="67" t="n"/>
    </row>
    <row r="155">
      <c r="B155" s="67" t="n"/>
      <c r="C155" s="67" t="n"/>
      <c r="E155" s="67" t="n"/>
      <c r="F155" s="67" t="n"/>
    </row>
    <row r="156">
      <c r="B156" s="67" t="n"/>
      <c r="C156" s="67" t="n"/>
      <c r="E156" s="67" t="n"/>
      <c r="F156" s="67" t="n"/>
    </row>
    <row r="157">
      <c r="B157" s="67" t="n"/>
      <c r="C157" s="67" t="n"/>
      <c r="E157" s="67" t="n"/>
      <c r="F157" s="67" t="n"/>
    </row>
    <row r="158">
      <c r="B158" s="67" t="n"/>
      <c r="C158" s="67" t="n"/>
      <c r="E158" s="67" t="n"/>
      <c r="F158" s="67" t="n"/>
    </row>
    <row r="159">
      <c r="B159" s="67" t="n"/>
      <c r="C159" s="67" t="n"/>
      <c r="E159" s="67" t="n"/>
      <c r="F159" s="67" t="n"/>
    </row>
    <row r="160">
      <c r="B160" s="67" t="n"/>
      <c r="C160" s="67" t="n"/>
      <c r="E160" s="67" t="n"/>
      <c r="F160" s="67" t="n"/>
    </row>
    <row r="161">
      <c r="B161" s="67" t="n"/>
      <c r="C161" s="67" t="n"/>
      <c r="E161" s="67" t="n"/>
      <c r="F161" s="67" t="n"/>
    </row>
    <row r="162">
      <c r="B162" s="67" t="n"/>
      <c r="C162" s="67" t="n"/>
      <c r="E162" s="67" t="n"/>
      <c r="F162" s="67" t="n"/>
    </row>
    <row r="163">
      <c r="B163" s="67" t="n"/>
      <c r="C163" s="67" t="n"/>
      <c r="E163" s="67" t="n"/>
      <c r="F163" s="67" t="n"/>
    </row>
    <row r="164">
      <c r="B164" s="67" t="n"/>
      <c r="C164" s="67" t="n"/>
      <c r="E164" s="67" t="n"/>
      <c r="F164" s="67" t="n"/>
    </row>
    <row r="165">
      <c r="B165" s="67" t="n"/>
      <c r="C165" s="67" t="n"/>
      <c r="E165" s="67" t="n"/>
      <c r="F165" s="67" t="n"/>
    </row>
    <row r="166">
      <c r="B166" s="67" t="n"/>
      <c r="C166" s="67" t="n"/>
      <c r="E166" s="67" t="n"/>
      <c r="F166" s="67" t="n"/>
    </row>
    <row r="167">
      <c r="B167" s="67" t="n"/>
      <c r="C167" s="67" t="n"/>
      <c r="E167" s="67" t="n"/>
      <c r="F167" s="67" t="n"/>
    </row>
    <row r="168">
      <c r="B168" s="67" t="n"/>
      <c r="C168" s="67" t="n"/>
      <c r="E168" s="67" t="n"/>
      <c r="F168" s="67" t="n"/>
    </row>
    <row r="169">
      <c r="B169" s="67" t="n"/>
      <c r="C169" s="67" t="n"/>
      <c r="E169" s="67" t="n"/>
      <c r="F169" s="67" t="n"/>
    </row>
    <row r="170">
      <c r="B170" s="67" t="n"/>
      <c r="C170" s="67" t="n"/>
      <c r="E170" s="67" t="n"/>
      <c r="F170" s="67" t="n"/>
    </row>
    <row r="171">
      <c r="B171" s="67" t="n"/>
      <c r="C171" s="67" t="n"/>
      <c r="E171" s="67" t="n"/>
      <c r="F171" s="67" t="n"/>
    </row>
    <row r="172">
      <c r="B172" s="67" t="n"/>
      <c r="C172" s="67" t="n"/>
      <c r="E172" s="67" t="n"/>
      <c r="F172" s="67" t="n"/>
    </row>
    <row r="173">
      <c r="B173" s="67" t="n"/>
      <c r="C173" s="67" t="n"/>
      <c r="E173" s="67" t="n"/>
      <c r="F173" s="67" t="n"/>
    </row>
    <row r="174">
      <c r="B174" s="67" t="n"/>
      <c r="C174" s="67" t="n"/>
      <c r="E174" s="67" t="n"/>
      <c r="F174" s="67" t="n"/>
    </row>
    <row r="175">
      <c r="B175" s="67" t="n"/>
      <c r="C175" s="67" t="n"/>
      <c r="E175" s="67" t="n"/>
      <c r="F175" s="67" t="n"/>
    </row>
    <row r="176">
      <c r="B176" s="67" t="n"/>
      <c r="C176" s="67" t="n"/>
      <c r="E176" s="67" t="n"/>
      <c r="F176" s="67" t="n"/>
    </row>
    <row r="177">
      <c r="B177" s="67" t="n"/>
      <c r="C177" s="67" t="n"/>
      <c r="E177" s="67" t="n"/>
      <c r="F177" s="67" t="n"/>
    </row>
    <row r="178">
      <c r="B178" s="67" t="n"/>
      <c r="C178" s="67" t="n"/>
      <c r="E178" s="67" t="n"/>
      <c r="F178" s="67" t="n"/>
    </row>
    <row r="179">
      <c r="B179" s="67" t="n"/>
      <c r="C179" s="67" t="n"/>
      <c r="E179" s="67" t="n"/>
      <c r="F179" s="67" t="n"/>
    </row>
    <row r="180">
      <c r="B180" s="67" t="n"/>
      <c r="C180" s="67" t="n"/>
      <c r="E180" s="67" t="n"/>
      <c r="F180" s="67" t="n"/>
    </row>
    <row r="181">
      <c r="B181" s="67" t="n"/>
      <c r="C181" s="67" t="n"/>
      <c r="E181" s="67" t="n"/>
      <c r="F181" s="67" t="n"/>
    </row>
    <row r="182">
      <c r="B182" s="67" t="n"/>
      <c r="C182" s="67" t="n"/>
      <c r="E182" s="67" t="n"/>
      <c r="F182" s="67" t="n"/>
    </row>
    <row r="183">
      <c r="B183" s="67" t="n"/>
      <c r="C183" s="67" t="n"/>
      <c r="E183" s="67" t="n"/>
      <c r="F183" s="67" t="n"/>
    </row>
    <row r="184">
      <c r="B184" s="67" t="n"/>
      <c r="C184" s="67" t="n"/>
      <c r="E184" s="67" t="n"/>
      <c r="F184" s="67" t="n"/>
    </row>
    <row r="185">
      <c r="B185" s="67" t="n"/>
      <c r="C185" s="67" t="n"/>
      <c r="E185" s="67" t="n"/>
      <c r="F185" s="67" t="n"/>
    </row>
    <row r="186">
      <c r="B186" s="67" t="n"/>
      <c r="C186" s="67" t="n"/>
      <c r="E186" s="67" t="n"/>
      <c r="F186" s="67" t="n"/>
    </row>
    <row r="187">
      <c r="B187" s="67" t="n"/>
      <c r="C187" s="67" t="n"/>
      <c r="E187" s="67" t="n"/>
      <c r="F187" s="67" t="n"/>
    </row>
    <row r="188">
      <c r="B188" s="67" t="n"/>
      <c r="C188" s="67" t="n"/>
      <c r="E188" s="67" t="n"/>
      <c r="F188" s="67" t="n"/>
    </row>
    <row r="189">
      <c r="B189" s="67" t="n"/>
      <c r="C189" s="67" t="n"/>
      <c r="E189" s="67" t="n"/>
      <c r="F189" s="67" t="n"/>
    </row>
    <row r="190">
      <c r="B190" s="67" t="n"/>
      <c r="C190" s="67" t="n"/>
      <c r="E190" s="67" t="n"/>
      <c r="F190" s="67" t="n"/>
    </row>
    <row r="191">
      <c r="B191" s="67" t="n"/>
      <c r="C191" s="67" t="n"/>
      <c r="E191" s="67" t="n"/>
      <c r="F191" s="67" t="n"/>
    </row>
    <row r="192">
      <c r="B192" s="67" t="n"/>
      <c r="C192" s="67" t="n"/>
      <c r="E192" s="67" t="n"/>
      <c r="F192" s="67" t="n"/>
    </row>
    <row r="193">
      <c r="B193" s="67" t="n"/>
      <c r="C193" s="67" t="n"/>
      <c r="E193" s="67" t="n"/>
      <c r="F193" s="67" t="n"/>
    </row>
    <row r="194">
      <c r="B194" s="67" t="n"/>
      <c r="C194" s="67" t="n"/>
      <c r="E194" s="67" t="n"/>
      <c r="F194" s="67" t="n"/>
    </row>
    <row r="195">
      <c r="B195" s="67" t="n"/>
      <c r="C195" s="67" t="n"/>
      <c r="E195" s="67" t="n"/>
      <c r="F195" s="67" t="n"/>
    </row>
    <row r="196">
      <c r="B196" s="67" t="n"/>
      <c r="C196" s="67" t="n"/>
      <c r="E196" s="67" t="n"/>
      <c r="F196" s="67" t="n"/>
    </row>
    <row r="197">
      <c r="B197" s="67" t="n"/>
      <c r="C197" s="67" t="n"/>
      <c r="E197" s="67" t="n"/>
      <c r="F197" s="67" t="n"/>
    </row>
    <row r="198">
      <c r="B198" s="67" t="n"/>
      <c r="C198" s="67" t="n"/>
      <c r="E198" s="67" t="n"/>
      <c r="F198" s="67" t="n"/>
    </row>
    <row r="199">
      <c r="B199" s="67" t="n"/>
      <c r="C199" s="67" t="n"/>
      <c r="E199" s="67" t="n"/>
      <c r="F199" s="67" t="n"/>
    </row>
    <row r="200">
      <c r="B200" s="67" t="n"/>
      <c r="C200" s="67" t="n"/>
      <c r="E200" s="67" t="n"/>
      <c r="F200" s="67" t="n"/>
    </row>
    <row r="201">
      <c r="B201" s="67" t="n"/>
      <c r="C201" s="67" t="n"/>
      <c r="E201" s="67" t="n"/>
      <c r="F201" s="67" t="n"/>
    </row>
    <row r="202">
      <c r="B202" s="67" t="n"/>
      <c r="C202" s="67" t="n"/>
      <c r="E202" s="67" t="n"/>
      <c r="F202" s="67" t="n"/>
    </row>
    <row r="203">
      <c r="B203" s="67" t="n"/>
      <c r="C203" s="67" t="n"/>
      <c r="E203" s="67" t="n"/>
      <c r="F203" s="67" t="n"/>
    </row>
    <row r="204">
      <c r="B204" s="67" t="n"/>
      <c r="C204" s="67" t="n"/>
      <c r="E204" s="67" t="n"/>
      <c r="F204" s="67" t="n"/>
    </row>
    <row r="205">
      <c r="B205" s="67" t="n"/>
      <c r="C205" s="67" t="n"/>
      <c r="E205" s="67" t="n"/>
      <c r="F205" s="67" t="n"/>
    </row>
    <row r="206">
      <c r="B206" s="67" t="n"/>
      <c r="C206" s="67" t="n"/>
      <c r="E206" s="67" t="n"/>
      <c r="F206" s="67" t="n"/>
    </row>
    <row r="207">
      <c r="B207" s="67" t="n"/>
      <c r="C207" s="67" t="n"/>
      <c r="E207" s="67" t="n"/>
      <c r="F207" s="67" t="n"/>
    </row>
    <row r="208">
      <c r="B208" s="67" t="n"/>
      <c r="C208" s="67" t="n"/>
      <c r="E208" s="67" t="n"/>
      <c r="F208" s="67" t="n"/>
    </row>
    <row r="209">
      <c r="B209" s="67" t="n"/>
      <c r="C209" s="67" t="n"/>
      <c r="E209" s="67" t="n"/>
      <c r="F209" s="67" t="n"/>
    </row>
    <row r="210">
      <c r="B210" s="67" t="n"/>
      <c r="C210" s="67" t="n"/>
      <c r="E210" s="67" t="n"/>
      <c r="F210" s="67" t="n"/>
    </row>
    <row r="211">
      <c r="B211" s="67" t="n"/>
      <c r="C211" s="67" t="n"/>
      <c r="E211" s="67" t="n"/>
      <c r="F211" s="67" t="n"/>
    </row>
    <row r="212">
      <c r="B212" s="67" t="n"/>
      <c r="C212" s="67" t="n"/>
      <c r="E212" s="67" t="n"/>
      <c r="F212" s="67" t="n"/>
    </row>
    <row r="213">
      <c r="B213" s="67" t="n"/>
      <c r="C213" s="67" t="n"/>
      <c r="E213" s="67" t="n"/>
      <c r="F213" s="67" t="n"/>
    </row>
    <row r="214">
      <c r="B214" s="67" t="n"/>
      <c r="C214" s="67" t="n"/>
      <c r="E214" s="67" t="n"/>
      <c r="F214" s="67" t="n"/>
    </row>
    <row r="215">
      <c r="B215" s="67" t="n"/>
      <c r="C215" s="67" t="n"/>
      <c r="E215" s="67" t="n"/>
      <c r="F215" s="67" t="n"/>
    </row>
    <row r="216">
      <c r="B216" s="67" t="n"/>
      <c r="C216" s="67" t="n"/>
      <c r="E216" s="67" t="n"/>
      <c r="F216" s="67" t="n"/>
    </row>
    <row r="217">
      <c r="B217" s="67" t="n"/>
      <c r="C217" s="67" t="n"/>
      <c r="E217" s="67" t="n"/>
      <c r="F217" s="67" t="n"/>
    </row>
    <row r="218">
      <c r="B218" s="67" t="n"/>
      <c r="C218" s="67" t="n"/>
      <c r="E218" s="67" t="n"/>
      <c r="F218" s="67" t="n"/>
    </row>
    <row r="219">
      <c r="B219" s="67" t="n"/>
      <c r="C219" s="67" t="n"/>
      <c r="E219" s="67" t="n"/>
      <c r="F219" s="67" t="n"/>
    </row>
    <row r="220">
      <c r="B220" s="67" t="n"/>
      <c r="C220" s="67" t="n"/>
      <c r="E220" s="67" t="n"/>
      <c r="F220" s="67" t="n"/>
    </row>
  </sheetData>
  <mergeCells count="8">
    <mergeCell ref="B3:G3"/>
    <mergeCell ref="B5:G5"/>
    <mergeCell ref="D8:G8"/>
    <mergeCell ref="B10:C10"/>
    <mergeCell ref="B4:G4"/>
    <mergeCell ref="B8:C8"/>
    <mergeCell ref="B7:G7"/>
    <mergeCell ref="B6:G6"/>
  </mergeCells>
  <conditionalFormatting sqref="E9">
    <cfRule type="cellIs" priority="1" operator="greaterThan" dxfId="5">
      <formula>0</formula>
    </cfRule>
  </conditionalFormatting>
  <conditionalFormatting sqref="B20:B220">
    <cfRule type="expression" priority="2" dxfId="6">
      <formula>AND(LEN($B20&amp;$C20&amp;$D20&amp;$E20&amp;$F20)&gt;0,B20="")</formula>
    </cfRule>
  </conditionalFormatting>
  <conditionalFormatting sqref="C20:C220">
    <cfRule type="expression" priority="3" dxfId="6">
      <formula>AND(LEN($B20&amp;$C20&amp;$D20&amp;$E20&amp;$F20)&gt;0,C20="")</formula>
    </cfRule>
  </conditionalFormatting>
  <conditionalFormatting sqref="D20:D220">
    <cfRule type="expression" priority="4" dxfId="6">
      <formula>AND(LEN($B20&amp;$C20&amp;$D20&amp;$E20&amp;$F20)&gt;0,D20="")</formula>
    </cfRule>
  </conditionalFormatting>
  <conditionalFormatting sqref="E20:E220">
    <cfRule type="expression" priority="5" dxfId="6">
      <formula>AND(LEN($B20&amp;$C20&amp;$D20&amp;$E20&amp;$F20)&gt;0,E20="")</formula>
    </cfRule>
  </conditionalFormatting>
  <dataValidations count="7">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F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insurer_code" error="At most 30 characters." promptTitle="insurer_code" prompt="Yes. Legacy insurer code Allowed: The legacy code; mapped by the code map INSURER (sheet Code maps)" type="textLength" operator="lessThanOrEqual">
      <formula1>30</formula1>
    </dataValidation>
    <dataValidation sqref="C20:C220" showDropDown="0" showInputMessage="1" showErrorMessage="1" allowBlank="1" errorTitle="risk_code" error="At most 20 characters." promptTitle="risk_code" prompt="Yes. Legacy product / risk code Allowed: The legacy code; mapped by the code map PRODUCT (sheet Code maps)" type="textLength" operator="lessThanOrEqual">
      <formula1>20</formula1>
    </dataValidation>
    <dataValidation sqref="D20:D220" showDropDown="0" showInputMessage="1" showErrorMessage="1" allowBlank="1" errorTitle="rate_pct" error="Enter a number." promptTitle="rate_pct" prompt="Yes. Commission rate in percent Allowed: A number" type="decimal" operator="greaterThanOrEqual">
      <formula1>-1E+15</formula1>
    </dataValidation>
    <dataValidation sqref="E20:E220" showDropDown="0" showInputMessage="1" showErrorMessage="0" allowBlank="1" promptTitle="effective_from" prompt="Yes. Rate valid from"/>
    <dataValidation sqref="F20:F220" showDropDown="0" showInputMessage="1" showErrorMessage="0" allowBlank="1" promptTitle="effective_to" prompt="No. Rate valid to"/>
  </dataValidations>
  <hyperlinks>
    <hyperlink ref="A2" location="'Load templates'!A1"/>
    <hyperlink ref="G2" location="'Comments log'!A1"/>
    <hyperlink ref="B8" location="'R04 Insurers'!A1"/>
    <hyperlink ref="D8" location="'R04B Insurer branches'!A1"/>
    <hyperlink ref="B17" location="'Code maps'!A1"/>
    <hyperlink ref="C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tabColor rgb="00004EA8"/>
    <outlinePr summaryBelow="0" summaryRight="1"/>
    <pageSetUpPr fitToPage="1"/>
  </sheetPr>
  <dimension ref="A1:I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7" customWidth="1" min="3" max="3"/>
    <col width="17" customWidth="1" min="4" max="4"/>
    <col width="19" customWidth="1" min="5" max="5"/>
    <col width="24" customWidth="1" min="6" max="6"/>
    <col width="40" customWidth="1" min="7" max="7"/>
    <col width="25" customWidth="1" min="8" max="8"/>
    <col width="21" customWidth="1" min="9" max="9"/>
  </cols>
  <sheetData>
    <row r="1" ht="26" customHeight="1">
      <c r="A1" s="44" t="inlineStr">
        <is>
          <t>R08 Chart of accounts mapping</t>
        </is>
      </c>
      <c r="I1" s="45" t="inlineStr">
        <is>
          <t>Step 9 of 29</t>
        </is>
      </c>
    </row>
    <row r="2">
      <c r="A2" s="46" t="inlineStr">
        <is>
          <t>← Back to Load templates</t>
        </is>
      </c>
      <c r="B2" s="47" t="inlineStr">
        <is>
          <t>Step 9 of 29. Fill in one row per record below the column headers; the guide above each column says what to enter.</t>
        </is>
      </c>
      <c r="I2" s="48" t="inlineStr">
        <is>
          <t>Ask a question →</t>
        </is>
      </c>
    </row>
    <row r="3" outlineLevel="1" ht="28" customHeight="1">
      <c r="A3" s="49" t="inlineStr">
        <is>
          <t>Purpose</t>
        </is>
      </c>
      <c r="B3" s="50" t="inlineStr">
        <is>
          <t>One row per record of Chart of accounts mapping (legacy GL account to BIBS account) as extracted from EBIX, ISYS GL. Key legacy_account_code. Sent as the file R08_template.csv (CSV, header row as below) with its control file (row count, count of distinct keys).</t>
        </is>
      </c>
    </row>
    <row r="4" outlineLevel="1" ht="15.5" customHeight="1">
      <c r="A4" s="49" t="inlineStr">
        <is>
          <t>Provided by</t>
        </is>
      </c>
      <c r="B4" s="50" t="inlineStr">
        <is>
          <t>Comptrollership data steward (to name); approved by Head, Comptrollership; Product Owner FRBS and ACSL; extracted by BDOI IT</t>
        </is>
      </c>
    </row>
    <row r="5" outlineLevel="1" ht="15.5" customHeight="1">
      <c r="A5" s="49" t="inlineStr">
        <is>
          <t>Due</t>
        </is>
      </c>
      <c r="B5" s="51" t="inlineStr">
        <is>
          <t>M3 (29 Jan 2027)</t>
        </is>
      </c>
    </row>
    <row r="6" outlineLevel="1" ht="15.5" customHeight="1">
      <c r="A6" s="49" t="inlineStr">
        <is>
          <t>How it is loaded</t>
        </is>
      </c>
      <c r="B6" s="50" t="inlineStr">
        <is>
          <t>Data migration object R08 (Migrate), layout R08 version 1, through the Migration Console; lands in: GL account code map to the BIBS chart of accounts (chart configured by Comptrollership)</t>
        </is>
      </c>
    </row>
    <row r="7" outlineLevel="1" ht="15.5" customHeight="1">
      <c r="A7" s="49" t="inlineStr">
        <is>
          <t>Source</t>
        </is>
      </c>
      <c r="B7" s="50" t="inlineStr">
        <is>
          <t>EBIX, ISYS GL</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SUMPRODUCT(((ROW($B$20:$B$220)&gt;20)+($B$20&lt;&gt;"1101-02")&gt;0)*(LEN($B$20:$B$220&amp;$C$20:$C$220&amp;$D$20:$D$220&amp;$E$20:$E$220&amp;$F$20:$F$220&amp;$G$20:$G$220&amp;$H$20:$H$220&amp;$I$20:$I$220)&gt;0))</f>
        <v/>
      </c>
      <c r="D9" s="54" t="inlineStr">
        <is>
          <t>Mandatory cells missing</t>
        </is>
      </c>
      <c r="E9" s="55">
        <f>SUMPRODUCT(((ROW($B$20:$B$220)&gt;20)+($B$20&lt;&gt;"1101-02")&gt;0)*(LEN($B$20:$B$220&amp;$C$20:$C$220&amp;$D$20:$D$220&amp;$E$20:$E$220&amp;$F$20:$F$220&amp;$G$20:$G$220&amp;$H$20:$H$220&amp;$I$20:$I$220)&gt;0)*(($B$20:$B$220="")+($C$20:$C$220="")+($D$20:$D$220="")+($E$20:$E$220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row>
    <row r="12" ht="30" customHeight="1">
      <c r="A12" s="59" t="inlineStr">
        <is>
          <t>BU review</t>
        </is>
      </c>
      <c r="B12" s="60" t="n"/>
      <c r="C12" s="60" t="n"/>
      <c r="D12" s="60" t="n"/>
      <c r="E12" s="60" t="n"/>
      <c r="F12" s="60" t="n"/>
      <c r="G12" s="60" t="n"/>
      <c r="H12" s="60" t="n"/>
      <c r="I12" s="60" t="n"/>
    </row>
    <row r="13" ht="30" customHeight="1">
      <c r="A13" s="59" t="inlineStr">
        <is>
          <t>BU comment</t>
        </is>
      </c>
      <c r="B13" s="60" t="n"/>
      <c r="C13" s="60" t="n"/>
      <c r="D13" s="60" t="n"/>
      <c r="E13" s="60" t="n"/>
      <c r="F13" s="60" t="n"/>
      <c r="G13" s="60" t="n"/>
      <c r="H13" s="60" t="n"/>
      <c r="I13" s="60" t="n"/>
    </row>
    <row r="14" ht="30" customHeight="1">
      <c r="A14" s="59" t="inlineStr">
        <is>
          <t>Check when loaded</t>
        </is>
      </c>
      <c r="B14" s="61" t="inlineStr">
        <is>
          <t>Unique</t>
        </is>
      </c>
      <c r="C14" s="61" t="inlineStr">
        <is>
          <t>Not blank</t>
        </is>
      </c>
      <c r="D14" s="61" t="inlineStr">
        <is>
          <t>In the list</t>
        </is>
      </c>
      <c r="E14" s="61" t="inlineStr">
        <is>
          <t>In the list</t>
        </is>
      </c>
      <c r="F14" s="61" t="inlineStr">
        <is>
          <t>In the list</t>
        </is>
      </c>
      <c r="G14" s="61" t="inlineStr">
        <is>
          <t>Mandatory when legacy_control_type is NONE; exists and active in BIBS</t>
        </is>
      </c>
      <c r="H14" s="61" t="inlineStr">
        <is>
          <t>Y or N</t>
        </is>
      </c>
      <c r="I14" s="61" t="inlineStr">
        <is>
          <t>-</t>
        </is>
      </c>
    </row>
    <row r="15" ht="30" customHeight="1">
      <c r="A15" s="59" t="inlineStr">
        <is>
          <t>Mandatory</t>
        </is>
      </c>
      <c r="B15" s="62" t="inlineStr">
        <is>
          <t>Yes</t>
        </is>
      </c>
      <c r="C15" s="62" t="inlineStr">
        <is>
          <t>Yes</t>
        </is>
      </c>
      <c r="D15" s="62" t="inlineStr">
        <is>
          <t>Yes</t>
        </is>
      </c>
      <c r="E15" s="62" t="inlineStr">
        <is>
          <t>Yes</t>
        </is>
      </c>
      <c r="F15" s="61" t="inlineStr">
        <is>
          <t>No</t>
        </is>
      </c>
      <c r="G15" s="61" t="inlineStr">
        <is>
          <t>Conditional: Mandatory when legacy_control_type is NONE; exists and active in BIBS</t>
        </is>
      </c>
      <c r="H15" s="61" t="inlineStr">
        <is>
          <t>No</t>
        </is>
      </c>
      <c r="I15" s="61" t="inlineStr">
        <is>
          <t>No</t>
        </is>
      </c>
    </row>
    <row r="16" ht="30" customHeight="1">
      <c r="A16" s="59" t="inlineStr">
        <is>
          <t>Format</t>
        </is>
      </c>
      <c r="B16" s="61" t="inlineStr">
        <is>
          <t>Code, up to 30; As stored in legacy</t>
        </is>
      </c>
      <c r="C16" s="61" t="inlineStr">
        <is>
          <t>Text, up to 200; Free text</t>
        </is>
      </c>
      <c r="D16" s="61" t="inlineStr">
        <is>
          <t>Code, up to 12; Upper case</t>
        </is>
      </c>
      <c r="E16" s="61" t="inlineStr">
        <is>
          <t>Code, up to 2; Upper case</t>
        </is>
      </c>
      <c r="F16" s="61" t="inlineStr">
        <is>
          <t>Code, up to 20; Upper case</t>
        </is>
      </c>
      <c r="G16" s="61" t="inlineStr">
        <is>
          <t>Code, up to 30; As in the BIBS chart</t>
        </is>
      </c>
      <c r="H16" s="61" t="inlineStr">
        <is>
          <t>Flag, up to 1; Y or N</t>
        </is>
      </c>
      <c r="I16" s="61" t="inlineStr">
        <is>
          <t>Text, up to 300; Free text</t>
        </is>
      </c>
    </row>
    <row r="17" ht="56" customHeight="1">
      <c r="A17" s="59" t="inlineStr">
        <is>
          <t>Allowed values</t>
        </is>
      </c>
      <c r="B17" s="61" t="inlineStr">
        <is>
          <t>Free entry, up to 30 characters</t>
        </is>
      </c>
      <c r="C17" s="61" t="inlineStr">
        <is>
          <t>Free entry, up to 200 characters</t>
        </is>
      </c>
      <c r="D17" s="69" t="inlineStr">
        <is>
          <t>ASSET, LIABILITY, EQUITY, INCOME, EXPENSE (list R08 account_type)</t>
        </is>
      </c>
      <c r="E17" s="69" t="inlineStr">
        <is>
          <t>DR, CR (list R08 normal_balance)</t>
        </is>
      </c>
      <c r="F17" s="69" t="inlineStr">
        <is>
          <t>List R08 legacy_control_type: 8 values, see Reference lists</t>
        </is>
      </c>
      <c r="G17" s="61" t="inlineStr">
        <is>
          <t>Account codes of the BIBS chart of accounts</t>
        </is>
      </c>
      <c r="H17" s="61" t="inlineStr">
        <is>
          <t>Y or N</t>
        </is>
      </c>
      <c r="I17" s="61" t="inlineStr">
        <is>
          <t>Free entry, up to 300 characters</t>
        </is>
      </c>
    </row>
    <row r="18" ht="43" customHeight="1">
      <c r="A18" s="59" t="inlineStr">
        <is>
          <t>What to enter</t>
        </is>
      </c>
      <c r="B18" s="61" t="inlineStr">
        <is>
          <t>Legacy GL account code</t>
        </is>
      </c>
      <c r="C18" s="61" t="inlineStr">
        <is>
          <t>Legacy account name</t>
        </is>
      </c>
      <c r="D18" s="61" t="inlineStr">
        <is>
          <t>Account type</t>
        </is>
      </c>
      <c r="E18" s="61" t="inlineStr">
        <is>
          <t>Normal balance side</t>
        </is>
      </c>
      <c r="F18" s="61" t="inlineStr">
        <is>
          <t>Marks the legacy control accounts whose balance F01 or F02 carries in detail</t>
        </is>
      </c>
      <c r="G18" s="61" t="inlineStr">
        <is>
          <t>BIBS account the legacy account maps to (filled by Comptrollership)</t>
        </is>
      </c>
      <c r="H18" s="61" t="inlineStr">
        <is>
          <t>Balances are kept per branch</t>
        </is>
      </c>
      <c r="I18" s="61" t="inlineStr">
        <is>
          <t>Mapping remarks</t>
        </is>
      </c>
    </row>
    <row r="19" ht="30" customHeight="1">
      <c r="A19" s="63" t="inlineStr">
        <is>
          <t>Row</t>
        </is>
      </c>
      <c r="B19" s="24" t="inlineStr">
        <is>
          <t>legacy_account_code *</t>
        </is>
      </c>
      <c r="C19" s="24" t="inlineStr">
        <is>
          <t>legacy_account_name *</t>
        </is>
      </c>
      <c r="D19" s="24" t="inlineStr">
        <is>
          <t>account_type *</t>
        </is>
      </c>
      <c r="E19" s="24" t="inlineStr">
        <is>
          <t>normal_balance *</t>
        </is>
      </c>
      <c r="F19" s="24" t="inlineStr">
        <is>
          <t>legacy_control_type</t>
        </is>
      </c>
      <c r="G19" s="24" t="inlineStr">
        <is>
          <t>bibs_account_code</t>
        </is>
      </c>
      <c r="H19" s="24" t="inlineStr">
        <is>
          <t>branch_specific_flag</t>
        </is>
      </c>
      <c r="I19" s="24" t="inlineStr">
        <is>
          <t>remarks</t>
        </is>
      </c>
    </row>
    <row r="20" ht="18" customHeight="1">
      <c r="A20" s="64" t="inlineStr">
        <is>
          <t>Example – overwrite or delete</t>
        </is>
      </c>
      <c r="B20" s="65" t="inlineStr">
        <is>
          <t>1101-02</t>
        </is>
      </c>
      <c r="C20" s="65" t="inlineStr">
        <is>
          <t>Cash in Bank - BDO Makati</t>
        </is>
      </c>
      <c r="D20" s="65" t="inlineStr">
        <is>
          <t>ASSET</t>
        </is>
      </c>
      <c r="E20" s="65" t="inlineStr">
        <is>
          <t>DR</t>
        </is>
      </c>
      <c r="F20" s="65" t="inlineStr">
        <is>
          <t>NONE</t>
        </is>
      </c>
      <c r="G20" s="65" t="inlineStr">
        <is>
          <t>X102.03 (illustrative code, not in use)</t>
        </is>
      </c>
      <c r="H20" s="65" t="inlineStr">
        <is>
          <t>Y</t>
        </is>
      </c>
      <c r="I20" s="65" t="inlineStr">
        <is>
          <t>Merged with 1201-01</t>
        </is>
      </c>
    </row>
    <row r="21">
      <c r="B21" s="67" t="n"/>
      <c r="C21" s="67" t="n"/>
      <c r="D21" s="67" t="n"/>
      <c r="E21" s="67" t="n"/>
      <c r="F21" s="67" t="n"/>
      <c r="G21" s="67" t="n"/>
      <c r="H21" s="67" t="n"/>
      <c r="I21" s="67" t="n"/>
    </row>
    <row r="22">
      <c r="B22" s="67" t="n"/>
      <c r="C22" s="67" t="n"/>
      <c r="D22" s="67" t="n"/>
      <c r="E22" s="67" t="n"/>
      <c r="F22" s="67" t="n"/>
      <c r="G22" s="67" t="n"/>
      <c r="H22" s="67" t="n"/>
      <c r="I22" s="67" t="n"/>
    </row>
    <row r="23">
      <c r="B23" s="67" t="n"/>
      <c r="C23" s="67" t="n"/>
      <c r="D23" s="67" t="n"/>
      <c r="E23" s="67" t="n"/>
      <c r="F23" s="67" t="n"/>
      <c r="G23" s="67" t="n"/>
      <c r="H23" s="67" t="n"/>
      <c r="I23" s="67" t="n"/>
    </row>
    <row r="24">
      <c r="B24" s="67" t="n"/>
      <c r="C24" s="67" t="n"/>
      <c r="D24" s="67" t="n"/>
      <c r="E24" s="67" t="n"/>
      <c r="F24" s="67" t="n"/>
      <c r="G24" s="67" t="n"/>
      <c r="H24" s="67" t="n"/>
      <c r="I24" s="67" t="n"/>
    </row>
    <row r="25">
      <c r="B25" s="67" t="n"/>
      <c r="C25" s="67" t="n"/>
      <c r="D25" s="67" t="n"/>
      <c r="E25" s="67" t="n"/>
      <c r="F25" s="67" t="n"/>
      <c r="G25" s="67" t="n"/>
      <c r="H25" s="67" t="n"/>
      <c r="I25" s="67" t="n"/>
    </row>
    <row r="26">
      <c r="B26" s="67" t="n"/>
      <c r="C26" s="67" t="n"/>
      <c r="D26" s="67" t="n"/>
      <c r="E26" s="67" t="n"/>
      <c r="F26" s="67" t="n"/>
      <c r="G26" s="67" t="n"/>
      <c r="H26" s="67" t="n"/>
      <c r="I26" s="67" t="n"/>
    </row>
    <row r="27">
      <c r="B27" s="67" t="n"/>
      <c r="C27" s="67" t="n"/>
      <c r="D27" s="67" t="n"/>
      <c r="E27" s="67" t="n"/>
      <c r="F27" s="67" t="n"/>
      <c r="G27" s="67" t="n"/>
      <c r="H27" s="67" t="n"/>
      <c r="I27" s="67" t="n"/>
    </row>
    <row r="28">
      <c r="B28" s="67" t="n"/>
      <c r="C28" s="67" t="n"/>
      <c r="D28" s="67" t="n"/>
      <c r="E28" s="67" t="n"/>
      <c r="F28" s="67" t="n"/>
      <c r="G28" s="67" t="n"/>
      <c r="H28" s="67" t="n"/>
      <c r="I28" s="67" t="n"/>
    </row>
    <row r="29">
      <c r="B29" s="67" t="n"/>
      <c r="C29" s="67" t="n"/>
      <c r="D29" s="67" t="n"/>
      <c r="E29" s="67" t="n"/>
      <c r="F29" s="67" t="n"/>
      <c r="G29" s="67" t="n"/>
      <c r="H29" s="67" t="n"/>
      <c r="I29" s="67" t="n"/>
    </row>
    <row r="30">
      <c r="B30" s="67" t="n"/>
      <c r="C30" s="67" t="n"/>
      <c r="D30" s="67" t="n"/>
      <c r="E30" s="67" t="n"/>
      <c r="F30" s="67" t="n"/>
      <c r="G30" s="67" t="n"/>
      <c r="H30" s="67" t="n"/>
      <c r="I30" s="67" t="n"/>
    </row>
    <row r="31">
      <c r="B31" s="67" t="n"/>
      <c r="C31" s="67" t="n"/>
      <c r="D31" s="67" t="n"/>
      <c r="E31" s="67" t="n"/>
      <c r="F31" s="67" t="n"/>
      <c r="G31" s="67" t="n"/>
      <c r="H31" s="67" t="n"/>
      <c r="I31" s="67" t="n"/>
    </row>
    <row r="32">
      <c r="B32" s="67" t="n"/>
      <c r="C32" s="67" t="n"/>
      <c r="D32" s="67" t="n"/>
      <c r="E32" s="67" t="n"/>
      <c r="F32" s="67" t="n"/>
      <c r="G32" s="67" t="n"/>
      <c r="H32" s="67" t="n"/>
      <c r="I32" s="67" t="n"/>
    </row>
    <row r="33">
      <c r="B33" s="67" t="n"/>
      <c r="C33" s="67" t="n"/>
      <c r="D33" s="67" t="n"/>
      <c r="E33" s="67" t="n"/>
      <c r="F33" s="67" t="n"/>
      <c r="G33" s="67" t="n"/>
      <c r="H33" s="67" t="n"/>
      <c r="I33" s="67" t="n"/>
    </row>
    <row r="34">
      <c r="B34" s="67" t="n"/>
      <c r="C34" s="67" t="n"/>
      <c r="D34" s="67" t="n"/>
      <c r="E34" s="67" t="n"/>
      <c r="F34" s="67" t="n"/>
      <c r="G34" s="67" t="n"/>
      <c r="H34" s="67" t="n"/>
      <c r="I34" s="67" t="n"/>
    </row>
    <row r="35">
      <c r="B35" s="67" t="n"/>
      <c r="C35" s="67" t="n"/>
      <c r="D35" s="67" t="n"/>
      <c r="E35" s="67" t="n"/>
      <c r="F35" s="67" t="n"/>
      <c r="G35" s="67" t="n"/>
      <c r="H35" s="67" t="n"/>
      <c r="I35" s="67" t="n"/>
    </row>
    <row r="36">
      <c r="B36" s="67" t="n"/>
      <c r="C36" s="67" t="n"/>
      <c r="D36" s="67" t="n"/>
      <c r="E36" s="67" t="n"/>
      <c r="F36" s="67" t="n"/>
      <c r="G36" s="67" t="n"/>
      <c r="H36" s="67" t="n"/>
      <c r="I36" s="67" t="n"/>
    </row>
    <row r="37">
      <c r="B37" s="67" t="n"/>
      <c r="C37" s="67" t="n"/>
      <c r="D37" s="67" t="n"/>
      <c r="E37" s="67" t="n"/>
      <c r="F37" s="67" t="n"/>
      <c r="G37" s="67" t="n"/>
      <c r="H37" s="67" t="n"/>
      <c r="I37" s="67" t="n"/>
    </row>
    <row r="38">
      <c r="B38" s="67" t="n"/>
      <c r="C38" s="67" t="n"/>
      <c r="D38" s="67" t="n"/>
      <c r="E38" s="67" t="n"/>
      <c r="F38" s="67" t="n"/>
      <c r="G38" s="67" t="n"/>
      <c r="H38" s="67" t="n"/>
      <c r="I38" s="67" t="n"/>
    </row>
    <row r="39">
      <c r="B39" s="67" t="n"/>
      <c r="C39" s="67" t="n"/>
      <c r="D39" s="67" t="n"/>
      <c r="E39" s="67" t="n"/>
      <c r="F39" s="67" t="n"/>
      <c r="G39" s="67" t="n"/>
      <c r="H39" s="67" t="n"/>
      <c r="I39" s="67" t="n"/>
    </row>
    <row r="40">
      <c r="B40" s="67" t="n"/>
      <c r="C40" s="67" t="n"/>
      <c r="D40" s="67" t="n"/>
      <c r="E40" s="67" t="n"/>
      <c r="F40" s="67" t="n"/>
      <c r="G40" s="67" t="n"/>
      <c r="H40" s="67" t="n"/>
      <c r="I40" s="67" t="n"/>
    </row>
    <row r="41">
      <c r="B41" s="67" t="n"/>
      <c r="C41" s="67" t="n"/>
      <c r="D41" s="67" t="n"/>
      <c r="E41" s="67" t="n"/>
      <c r="F41" s="67" t="n"/>
      <c r="G41" s="67" t="n"/>
      <c r="H41" s="67" t="n"/>
      <c r="I41" s="67" t="n"/>
    </row>
    <row r="42">
      <c r="B42" s="67" t="n"/>
      <c r="C42" s="67" t="n"/>
      <c r="D42" s="67" t="n"/>
      <c r="E42" s="67" t="n"/>
      <c r="F42" s="67" t="n"/>
      <c r="G42" s="67" t="n"/>
      <c r="H42" s="67" t="n"/>
      <c r="I42" s="67" t="n"/>
    </row>
    <row r="43">
      <c r="B43" s="67" t="n"/>
      <c r="C43" s="67" t="n"/>
      <c r="D43" s="67" t="n"/>
      <c r="E43" s="67" t="n"/>
      <c r="F43" s="67" t="n"/>
      <c r="G43" s="67" t="n"/>
      <c r="H43" s="67" t="n"/>
      <c r="I43" s="67" t="n"/>
    </row>
    <row r="44">
      <c r="B44" s="67" t="n"/>
      <c r="C44" s="67" t="n"/>
      <c r="D44" s="67" t="n"/>
      <c r="E44" s="67" t="n"/>
      <c r="F44" s="67" t="n"/>
      <c r="G44" s="67" t="n"/>
      <c r="H44" s="67" t="n"/>
      <c r="I44" s="67" t="n"/>
    </row>
    <row r="45">
      <c r="B45" s="67" t="n"/>
      <c r="C45" s="67" t="n"/>
      <c r="D45" s="67" t="n"/>
      <c r="E45" s="67" t="n"/>
      <c r="F45" s="67" t="n"/>
      <c r="G45" s="67" t="n"/>
      <c r="H45" s="67" t="n"/>
      <c r="I45" s="67" t="n"/>
    </row>
    <row r="46">
      <c r="B46" s="67" t="n"/>
      <c r="C46" s="67" t="n"/>
      <c r="D46" s="67" t="n"/>
      <c r="E46" s="67" t="n"/>
      <c r="F46" s="67" t="n"/>
      <c r="G46" s="67" t="n"/>
      <c r="H46" s="67" t="n"/>
      <c r="I46" s="67" t="n"/>
    </row>
    <row r="47">
      <c r="B47" s="67" t="n"/>
      <c r="C47" s="67" t="n"/>
      <c r="D47" s="67" t="n"/>
      <c r="E47" s="67" t="n"/>
      <c r="F47" s="67" t="n"/>
      <c r="G47" s="67" t="n"/>
      <c r="H47" s="67" t="n"/>
      <c r="I47" s="67" t="n"/>
    </row>
    <row r="48">
      <c r="B48" s="67" t="n"/>
      <c r="C48" s="67" t="n"/>
      <c r="D48" s="67" t="n"/>
      <c r="E48" s="67" t="n"/>
      <c r="F48" s="67" t="n"/>
      <c r="G48" s="67" t="n"/>
      <c r="H48" s="67" t="n"/>
      <c r="I48" s="67" t="n"/>
    </row>
    <row r="49">
      <c r="B49" s="67" t="n"/>
      <c r="C49" s="67" t="n"/>
      <c r="D49" s="67" t="n"/>
      <c r="E49" s="67" t="n"/>
      <c r="F49" s="67" t="n"/>
      <c r="G49" s="67" t="n"/>
      <c r="H49" s="67" t="n"/>
      <c r="I49" s="67" t="n"/>
    </row>
    <row r="50">
      <c r="B50" s="67" t="n"/>
      <c r="C50" s="67" t="n"/>
      <c r="D50" s="67" t="n"/>
      <c r="E50" s="67" t="n"/>
      <c r="F50" s="67" t="n"/>
      <c r="G50" s="67" t="n"/>
      <c r="H50" s="67" t="n"/>
      <c r="I50" s="67" t="n"/>
    </row>
    <row r="51">
      <c r="B51" s="67" t="n"/>
      <c r="C51" s="67" t="n"/>
      <c r="D51" s="67" t="n"/>
      <c r="E51" s="67" t="n"/>
      <c r="F51" s="67" t="n"/>
      <c r="G51" s="67" t="n"/>
      <c r="H51" s="67" t="n"/>
      <c r="I51" s="67" t="n"/>
    </row>
    <row r="52">
      <c r="B52" s="67" t="n"/>
      <c r="C52" s="67" t="n"/>
      <c r="D52" s="67" t="n"/>
      <c r="E52" s="67" t="n"/>
      <c r="F52" s="67" t="n"/>
      <c r="G52" s="67" t="n"/>
      <c r="H52" s="67" t="n"/>
      <c r="I52" s="67" t="n"/>
    </row>
    <row r="53">
      <c r="B53" s="67" t="n"/>
      <c r="C53" s="67" t="n"/>
      <c r="D53" s="67" t="n"/>
      <c r="E53" s="67" t="n"/>
      <c r="F53" s="67" t="n"/>
      <c r="G53" s="67" t="n"/>
      <c r="H53" s="67" t="n"/>
      <c r="I53" s="67" t="n"/>
    </row>
    <row r="54">
      <c r="B54" s="67" t="n"/>
      <c r="C54" s="67" t="n"/>
      <c r="D54" s="67" t="n"/>
      <c r="E54" s="67" t="n"/>
      <c r="F54" s="67" t="n"/>
      <c r="G54" s="67" t="n"/>
      <c r="H54" s="67" t="n"/>
      <c r="I54" s="67" t="n"/>
    </row>
    <row r="55">
      <c r="B55" s="67" t="n"/>
      <c r="C55" s="67" t="n"/>
      <c r="D55" s="67" t="n"/>
      <c r="E55" s="67" t="n"/>
      <c r="F55" s="67" t="n"/>
      <c r="G55" s="67" t="n"/>
      <c r="H55" s="67" t="n"/>
      <c r="I55" s="67" t="n"/>
    </row>
    <row r="56">
      <c r="B56" s="67" t="n"/>
      <c r="C56" s="67" t="n"/>
      <c r="D56" s="67" t="n"/>
      <c r="E56" s="67" t="n"/>
      <c r="F56" s="67" t="n"/>
      <c r="G56" s="67" t="n"/>
      <c r="H56" s="67" t="n"/>
      <c r="I56" s="67" t="n"/>
    </row>
    <row r="57">
      <c r="B57" s="67" t="n"/>
      <c r="C57" s="67" t="n"/>
      <c r="D57" s="67" t="n"/>
      <c r="E57" s="67" t="n"/>
      <c r="F57" s="67" t="n"/>
      <c r="G57" s="67" t="n"/>
      <c r="H57" s="67" t="n"/>
      <c r="I57" s="67" t="n"/>
    </row>
    <row r="58">
      <c r="B58" s="67" t="n"/>
      <c r="C58" s="67" t="n"/>
      <c r="D58" s="67" t="n"/>
      <c r="E58" s="67" t="n"/>
      <c r="F58" s="67" t="n"/>
      <c r="G58" s="67" t="n"/>
      <c r="H58" s="67" t="n"/>
      <c r="I58" s="67" t="n"/>
    </row>
    <row r="59">
      <c r="B59" s="67" t="n"/>
      <c r="C59" s="67" t="n"/>
      <c r="D59" s="67" t="n"/>
      <c r="E59" s="67" t="n"/>
      <c r="F59" s="67" t="n"/>
      <c r="G59" s="67" t="n"/>
      <c r="H59" s="67" t="n"/>
      <c r="I59" s="67" t="n"/>
    </row>
    <row r="60">
      <c r="B60" s="67" t="n"/>
      <c r="C60" s="67" t="n"/>
      <c r="D60" s="67" t="n"/>
      <c r="E60" s="67" t="n"/>
      <c r="F60" s="67" t="n"/>
      <c r="G60" s="67" t="n"/>
      <c r="H60" s="67" t="n"/>
      <c r="I60" s="67" t="n"/>
    </row>
    <row r="61">
      <c r="B61" s="67" t="n"/>
      <c r="C61" s="67" t="n"/>
      <c r="D61" s="67" t="n"/>
      <c r="E61" s="67" t="n"/>
      <c r="F61" s="67" t="n"/>
      <c r="G61" s="67" t="n"/>
      <c r="H61" s="67" t="n"/>
      <c r="I61" s="67" t="n"/>
    </row>
    <row r="62">
      <c r="B62" s="67" t="n"/>
      <c r="C62" s="67" t="n"/>
      <c r="D62" s="67" t="n"/>
      <c r="E62" s="67" t="n"/>
      <c r="F62" s="67" t="n"/>
      <c r="G62" s="67" t="n"/>
      <c r="H62" s="67" t="n"/>
      <c r="I62" s="67" t="n"/>
    </row>
    <row r="63">
      <c r="B63" s="67" t="n"/>
      <c r="C63" s="67" t="n"/>
      <c r="D63" s="67" t="n"/>
      <c r="E63" s="67" t="n"/>
      <c r="F63" s="67" t="n"/>
      <c r="G63" s="67" t="n"/>
      <c r="H63" s="67" t="n"/>
      <c r="I63" s="67" t="n"/>
    </row>
    <row r="64">
      <c r="B64" s="67" t="n"/>
      <c r="C64" s="67" t="n"/>
      <c r="D64" s="67" t="n"/>
      <c r="E64" s="67" t="n"/>
      <c r="F64" s="67" t="n"/>
      <c r="G64" s="67" t="n"/>
      <c r="H64" s="67" t="n"/>
      <c r="I64" s="67" t="n"/>
    </row>
    <row r="65">
      <c r="B65" s="67" t="n"/>
      <c r="C65" s="67" t="n"/>
      <c r="D65" s="67" t="n"/>
      <c r="E65" s="67" t="n"/>
      <c r="F65" s="67" t="n"/>
      <c r="G65" s="67" t="n"/>
      <c r="H65" s="67" t="n"/>
      <c r="I65" s="67" t="n"/>
    </row>
    <row r="66">
      <c r="B66" s="67" t="n"/>
      <c r="C66" s="67" t="n"/>
      <c r="D66" s="67" t="n"/>
      <c r="E66" s="67" t="n"/>
      <c r="F66" s="67" t="n"/>
      <c r="G66" s="67" t="n"/>
      <c r="H66" s="67" t="n"/>
      <c r="I66" s="67" t="n"/>
    </row>
    <row r="67">
      <c r="B67" s="67" t="n"/>
      <c r="C67" s="67" t="n"/>
      <c r="D67" s="67" t="n"/>
      <c r="E67" s="67" t="n"/>
      <c r="F67" s="67" t="n"/>
      <c r="G67" s="67" t="n"/>
      <c r="H67" s="67" t="n"/>
      <c r="I67" s="67" t="n"/>
    </row>
    <row r="68">
      <c r="B68" s="67" t="n"/>
      <c r="C68" s="67" t="n"/>
      <c r="D68" s="67" t="n"/>
      <c r="E68" s="67" t="n"/>
      <c r="F68" s="67" t="n"/>
      <c r="G68" s="67" t="n"/>
      <c r="H68" s="67" t="n"/>
      <c r="I68" s="67" t="n"/>
    </row>
    <row r="69">
      <c r="B69" s="67" t="n"/>
      <c r="C69" s="67" t="n"/>
      <c r="D69" s="67" t="n"/>
      <c r="E69" s="67" t="n"/>
      <c r="F69" s="67" t="n"/>
      <c r="G69" s="67" t="n"/>
      <c r="H69" s="67" t="n"/>
      <c r="I69" s="67" t="n"/>
    </row>
    <row r="70">
      <c r="B70" s="67" t="n"/>
      <c r="C70" s="67" t="n"/>
      <c r="D70" s="67" t="n"/>
      <c r="E70" s="67" t="n"/>
      <c r="F70" s="67" t="n"/>
      <c r="G70" s="67" t="n"/>
      <c r="H70" s="67" t="n"/>
      <c r="I70" s="67" t="n"/>
    </row>
    <row r="71">
      <c r="B71" s="67" t="n"/>
      <c r="C71" s="67" t="n"/>
      <c r="D71" s="67" t="n"/>
      <c r="E71" s="67" t="n"/>
      <c r="F71" s="67" t="n"/>
      <c r="G71" s="67" t="n"/>
      <c r="H71" s="67" t="n"/>
      <c r="I71" s="67" t="n"/>
    </row>
    <row r="72">
      <c r="B72" s="67" t="n"/>
      <c r="C72" s="67" t="n"/>
      <c r="D72" s="67" t="n"/>
      <c r="E72" s="67" t="n"/>
      <c r="F72" s="67" t="n"/>
      <c r="G72" s="67" t="n"/>
      <c r="H72" s="67" t="n"/>
      <c r="I72" s="67" t="n"/>
    </row>
    <row r="73">
      <c r="B73" s="67" t="n"/>
      <c r="C73" s="67" t="n"/>
      <c r="D73" s="67" t="n"/>
      <c r="E73" s="67" t="n"/>
      <c r="F73" s="67" t="n"/>
      <c r="G73" s="67" t="n"/>
      <c r="H73" s="67" t="n"/>
      <c r="I73" s="67" t="n"/>
    </row>
    <row r="74">
      <c r="B74" s="67" t="n"/>
      <c r="C74" s="67" t="n"/>
      <c r="D74" s="67" t="n"/>
      <c r="E74" s="67" t="n"/>
      <c r="F74" s="67" t="n"/>
      <c r="G74" s="67" t="n"/>
      <c r="H74" s="67" t="n"/>
      <c r="I74" s="67" t="n"/>
    </row>
    <row r="75">
      <c r="B75" s="67" t="n"/>
      <c r="C75" s="67" t="n"/>
      <c r="D75" s="67" t="n"/>
      <c r="E75" s="67" t="n"/>
      <c r="F75" s="67" t="n"/>
      <c r="G75" s="67" t="n"/>
      <c r="H75" s="67" t="n"/>
      <c r="I75" s="67" t="n"/>
    </row>
    <row r="76">
      <c r="B76" s="67" t="n"/>
      <c r="C76" s="67" t="n"/>
      <c r="D76" s="67" t="n"/>
      <c r="E76" s="67" t="n"/>
      <c r="F76" s="67" t="n"/>
      <c r="G76" s="67" t="n"/>
      <c r="H76" s="67" t="n"/>
      <c r="I76" s="67" t="n"/>
    </row>
    <row r="77">
      <c r="B77" s="67" t="n"/>
      <c r="C77" s="67" t="n"/>
      <c r="D77" s="67" t="n"/>
      <c r="E77" s="67" t="n"/>
      <c r="F77" s="67" t="n"/>
      <c r="G77" s="67" t="n"/>
      <c r="H77" s="67" t="n"/>
      <c r="I77" s="67" t="n"/>
    </row>
    <row r="78">
      <c r="B78" s="67" t="n"/>
      <c r="C78" s="67" t="n"/>
      <c r="D78" s="67" t="n"/>
      <c r="E78" s="67" t="n"/>
      <c r="F78" s="67" t="n"/>
      <c r="G78" s="67" t="n"/>
      <c r="H78" s="67" t="n"/>
      <c r="I78" s="67" t="n"/>
    </row>
    <row r="79">
      <c r="B79" s="67" t="n"/>
      <c r="C79" s="67" t="n"/>
      <c r="D79" s="67" t="n"/>
      <c r="E79" s="67" t="n"/>
      <c r="F79" s="67" t="n"/>
      <c r="G79" s="67" t="n"/>
      <c r="H79" s="67" t="n"/>
      <c r="I79" s="67" t="n"/>
    </row>
    <row r="80">
      <c r="B80" s="67" t="n"/>
      <c r="C80" s="67" t="n"/>
      <c r="D80" s="67" t="n"/>
      <c r="E80" s="67" t="n"/>
      <c r="F80" s="67" t="n"/>
      <c r="G80" s="67" t="n"/>
      <c r="H80" s="67" t="n"/>
      <c r="I80" s="67" t="n"/>
    </row>
    <row r="81">
      <c r="B81" s="67" t="n"/>
      <c r="C81" s="67" t="n"/>
      <c r="D81" s="67" t="n"/>
      <c r="E81" s="67" t="n"/>
      <c r="F81" s="67" t="n"/>
      <c r="G81" s="67" t="n"/>
      <c r="H81" s="67" t="n"/>
      <c r="I81" s="67" t="n"/>
    </row>
    <row r="82">
      <c r="B82" s="67" t="n"/>
      <c r="C82" s="67" t="n"/>
      <c r="D82" s="67" t="n"/>
      <c r="E82" s="67" t="n"/>
      <c r="F82" s="67" t="n"/>
      <c r="G82" s="67" t="n"/>
      <c r="H82" s="67" t="n"/>
      <c r="I82" s="67" t="n"/>
    </row>
    <row r="83">
      <c r="B83" s="67" t="n"/>
      <c r="C83" s="67" t="n"/>
      <c r="D83" s="67" t="n"/>
      <c r="E83" s="67" t="n"/>
      <c r="F83" s="67" t="n"/>
      <c r="G83" s="67" t="n"/>
      <c r="H83" s="67" t="n"/>
      <c r="I83" s="67" t="n"/>
    </row>
    <row r="84">
      <c r="B84" s="67" t="n"/>
      <c r="C84" s="67" t="n"/>
      <c r="D84" s="67" t="n"/>
      <c r="E84" s="67" t="n"/>
      <c r="F84" s="67" t="n"/>
      <c r="G84" s="67" t="n"/>
      <c r="H84" s="67" t="n"/>
      <c r="I84" s="67" t="n"/>
    </row>
    <row r="85">
      <c r="B85" s="67" t="n"/>
      <c r="C85" s="67" t="n"/>
      <c r="D85" s="67" t="n"/>
      <c r="E85" s="67" t="n"/>
      <c r="F85" s="67" t="n"/>
      <c r="G85" s="67" t="n"/>
      <c r="H85" s="67" t="n"/>
      <c r="I85" s="67" t="n"/>
    </row>
    <row r="86">
      <c r="B86" s="67" t="n"/>
      <c r="C86" s="67" t="n"/>
      <c r="D86" s="67" t="n"/>
      <c r="E86" s="67" t="n"/>
      <c r="F86" s="67" t="n"/>
      <c r="G86" s="67" t="n"/>
      <c r="H86" s="67" t="n"/>
      <c r="I86" s="67" t="n"/>
    </row>
    <row r="87">
      <c r="B87" s="67" t="n"/>
      <c r="C87" s="67" t="n"/>
      <c r="D87" s="67" t="n"/>
      <c r="E87" s="67" t="n"/>
      <c r="F87" s="67" t="n"/>
      <c r="G87" s="67" t="n"/>
      <c r="H87" s="67" t="n"/>
      <c r="I87" s="67" t="n"/>
    </row>
    <row r="88">
      <c r="B88" s="67" t="n"/>
      <c r="C88" s="67" t="n"/>
      <c r="D88" s="67" t="n"/>
      <c r="E88" s="67" t="n"/>
      <c r="F88" s="67" t="n"/>
      <c r="G88" s="67" t="n"/>
      <c r="H88" s="67" t="n"/>
      <c r="I88" s="67" t="n"/>
    </row>
    <row r="89">
      <c r="B89" s="67" t="n"/>
      <c r="C89" s="67" t="n"/>
      <c r="D89" s="67" t="n"/>
      <c r="E89" s="67" t="n"/>
      <c r="F89" s="67" t="n"/>
      <c r="G89" s="67" t="n"/>
      <c r="H89" s="67" t="n"/>
      <c r="I89" s="67" t="n"/>
    </row>
    <row r="90">
      <c r="B90" s="67" t="n"/>
      <c r="C90" s="67" t="n"/>
      <c r="D90" s="67" t="n"/>
      <c r="E90" s="67" t="n"/>
      <c r="F90" s="67" t="n"/>
      <c r="G90" s="67" t="n"/>
      <c r="H90" s="67" t="n"/>
      <c r="I90" s="67" t="n"/>
    </row>
    <row r="91">
      <c r="B91" s="67" t="n"/>
      <c r="C91" s="67" t="n"/>
      <c r="D91" s="67" t="n"/>
      <c r="E91" s="67" t="n"/>
      <c r="F91" s="67" t="n"/>
      <c r="G91" s="67" t="n"/>
      <c r="H91" s="67" t="n"/>
      <c r="I91" s="67" t="n"/>
    </row>
    <row r="92">
      <c r="B92" s="67" t="n"/>
      <c r="C92" s="67" t="n"/>
      <c r="D92" s="67" t="n"/>
      <c r="E92" s="67" t="n"/>
      <c r="F92" s="67" t="n"/>
      <c r="G92" s="67" t="n"/>
      <c r="H92" s="67" t="n"/>
      <c r="I92" s="67" t="n"/>
    </row>
    <row r="93">
      <c r="B93" s="67" t="n"/>
      <c r="C93" s="67" t="n"/>
      <c r="D93" s="67" t="n"/>
      <c r="E93" s="67" t="n"/>
      <c r="F93" s="67" t="n"/>
      <c r="G93" s="67" t="n"/>
      <c r="H93" s="67" t="n"/>
      <c r="I93" s="67" t="n"/>
    </row>
    <row r="94">
      <c r="B94" s="67" t="n"/>
      <c r="C94" s="67" t="n"/>
      <c r="D94" s="67" t="n"/>
      <c r="E94" s="67" t="n"/>
      <c r="F94" s="67" t="n"/>
      <c r="G94" s="67" t="n"/>
      <c r="H94" s="67" t="n"/>
      <c r="I94" s="67" t="n"/>
    </row>
    <row r="95">
      <c r="B95" s="67" t="n"/>
      <c r="C95" s="67" t="n"/>
      <c r="D95" s="67" t="n"/>
      <c r="E95" s="67" t="n"/>
      <c r="F95" s="67" t="n"/>
      <c r="G95" s="67" t="n"/>
      <c r="H95" s="67" t="n"/>
      <c r="I95" s="67" t="n"/>
    </row>
    <row r="96">
      <c r="B96" s="67" t="n"/>
      <c r="C96" s="67" t="n"/>
      <c r="D96" s="67" t="n"/>
      <c r="E96" s="67" t="n"/>
      <c r="F96" s="67" t="n"/>
      <c r="G96" s="67" t="n"/>
      <c r="H96" s="67" t="n"/>
      <c r="I96" s="67" t="n"/>
    </row>
    <row r="97">
      <c r="B97" s="67" t="n"/>
      <c r="C97" s="67" t="n"/>
      <c r="D97" s="67" t="n"/>
      <c r="E97" s="67" t="n"/>
      <c r="F97" s="67" t="n"/>
      <c r="G97" s="67" t="n"/>
      <c r="H97" s="67" t="n"/>
      <c r="I97" s="67" t="n"/>
    </row>
    <row r="98">
      <c r="B98" s="67" t="n"/>
      <c r="C98" s="67" t="n"/>
      <c r="D98" s="67" t="n"/>
      <c r="E98" s="67" t="n"/>
      <c r="F98" s="67" t="n"/>
      <c r="G98" s="67" t="n"/>
      <c r="H98" s="67" t="n"/>
      <c r="I98" s="67" t="n"/>
    </row>
    <row r="99">
      <c r="B99" s="67" t="n"/>
      <c r="C99" s="67" t="n"/>
      <c r="D99" s="67" t="n"/>
      <c r="E99" s="67" t="n"/>
      <c r="F99" s="67" t="n"/>
      <c r="G99" s="67" t="n"/>
      <c r="H99" s="67" t="n"/>
      <c r="I99" s="67" t="n"/>
    </row>
    <row r="100">
      <c r="B100" s="67" t="n"/>
      <c r="C100" s="67" t="n"/>
      <c r="D100" s="67" t="n"/>
      <c r="E100" s="67" t="n"/>
      <c r="F100" s="67" t="n"/>
      <c r="G100" s="67" t="n"/>
      <c r="H100" s="67" t="n"/>
      <c r="I100" s="67" t="n"/>
    </row>
    <row r="101">
      <c r="B101" s="67" t="n"/>
      <c r="C101" s="67" t="n"/>
      <c r="D101" s="67" t="n"/>
      <c r="E101" s="67" t="n"/>
      <c r="F101" s="67" t="n"/>
      <c r="G101" s="67" t="n"/>
      <c r="H101" s="67" t="n"/>
      <c r="I101" s="67" t="n"/>
    </row>
    <row r="102">
      <c r="B102" s="67" t="n"/>
      <c r="C102" s="67" t="n"/>
      <c r="D102" s="67" t="n"/>
      <c r="E102" s="67" t="n"/>
      <c r="F102" s="67" t="n"/>
      <c r="G102" s="67" t="n"/>
      <c r="H102" s="67" t="n"/>
      <c r="I102" s="67" t="n"/>
    </row>
    <row r="103">
      <c r="B103" s="67" t="n"/>
      <c r="C103" s="67" t="n"/>
      <c r="D103" s="67" t="n"/>
      <c r="E103" s="67" t="n"/>
      <c r="F103" s="67" t="n"/>
      <c r="G103" s="67" t="n"/>
      <c r="H103" s="67" t="n"/>
      <c r="I103" s="67" t="n"/>
    </row>
    <row r="104">
      <c r="B104" s="67" t="n"/>
      <c r="C104" s="67" t="n"/>
      <c r="D104" s="67" t="n"/>
      <c r="E104" s="67" t="n"/>
      <c r="F104" s="67" t="n"/>
      <c r="G104" s="67" t="n"/>
      <c r="H104" s="67" t="n"/>
      <c r="I104" s="67" t="n"/>
    </row>
    <row r="105">
      <c r="B105" s="67" t="n"/>
      <c r="C105" s="67" t="n"/>
      <c r="D105" s="67" t="n"/>
      <c r="E105" s="67" t="n"/>
      <c r="F105" s="67" t="n"/>
      <c r="G105" s="67" t="n"/>
      <c r="H105" s="67" t="n"/>
      <c r="I105" s="67" t="n"/>
    </row>
    <row r="106">
      <c r="B106" s="67" t="n"/>
      <c r="C106" s="67" t="n"/>
      <c r="D106" s="67" t="n"/>
      <c r="E106" s="67" t="n"/>
      <c r="F106" s="67" t="n"/>
      <c r="G106" s="67" t="n"/>
      <c r="H106" s="67" t="n"/>
      <c r="I106" s="67" t="n"/>
    </row>
    <row r="107">
      <c r="B107" s="67" t="n"/>
      <c r="C107" s="67" t="n"/>
      <c r="D107" s="67" t="n"/>
      <c r="E107" s="67" t="n"/>
      <c r="F107" s="67" t="n"/>
      <c r="G107" s="67" t="n"/>
      <c r="H107" s="67" t="n"/>
      <c r="I107" s="67" t="n"/>
    </row>
    <row r="108">
      <c r="B108" s="67" t="n"/>
      <c r="C108" s="67" t="n"/>
      <c r="D108" s="67" t="n"/>
      <c r="E108" s="67" t="n"/>
      <c r="F108" s="67" t="n"/>
      <c r="G108" s="67" t="n"/>
      <c r="H108" s="67" t="n"/>
      <c r="I108" s="67" t="n"/>
    </row>
    <row r="109">
      <c r="B109" s="67" t="n"/>
      <c r="C109" s="67" t="n"/>
      <c r="D109" s="67" t="n"/>
      <c r="E109" s="67" t="n"/>
      <c r="F109" s="67" t="n"/>
      <c r="G109" s="67" t="n"/>
      <c r="H109" s="67" t="n"/>
      <c r="I109" s="67" t="n"/>
    </row>
    <row r="110">
      <c r="B110" s="67" t="n"/>
      <c r="C110" s="67" t="n"/>
      <c r="D110" s="67" t="n"/>
      <c r="E110" s="67" t="n"/>
      <c r="F110" s="67" t="n"/>
      <c r="G110" s="67" t="n"/>
      <c r="H110" s="67" t="n"/>
      <c r="I110" s="67" t="n"/>
    </row>
    <row r="111">
      <c r="B111" s="67" t="n"/>
      <c r="C111" s="67" t="n"/>
      <c r="D111" s="67" t="n"/>
      <c r="E111" s="67" t="n"/>
      <c r="F111" s="67" t="n"/>
      <c r="G111" s="67" t="n"/>
      <c r="H111" s="67" t="n"/>
      <c r="I111" s="67" t="n"/>
    </row>
    <row r="112">
      <c r="B112" s="67" t="n"/>
      <c r="C112" s="67" t="n"/>
      <c r="D112" s="67" t="n"/>
      <c r="E112" s="67" t="n"/>
      <c r="F112" s="67" t="n"/>
      <c r="G112" s="67" t="n"/>
      <c r="H112" s="67" t="n"/>
      <c r="I112" s="67" t="n"/>
    </row>
    <row r="113">
      <c r="B113" s="67" t="n"/>
      <c r="C113" s="67" t="n"/>
      <c r="D113" s="67" t="n"/>
      <c r="E113" s="67" t="n"/>
      <c r="F113" s="67" t="n"/>
      <c r="G113" s="67" t="n"/>
      <c r="H113" s="67" t="n"/>
      <c r="I113" s="67" t="n"/>
    </row>
    <row r="114">
      <c r="B114" s="67" t="n"/>
      <c r="C114" s="67" t="n"/>
      <c r="D114" s="67" t="n"/>
      <c r="E114" s="67" t="n"/>
      <c r="F114" s="67" t="n"/>
      <c r="G114" s="67" t="n"/>
      <c r="H114" s="67" t="n"/>
      <c r="I114" s="67" t="n"/>
    </row>
    <row r="115">
      <c r="B115" s="67" t="n"/>
      <c r="C115" s="67" t="n"/>
      <c r="D115" s="67" t="n"/>
      <c r="E115" s="67" t="n"/>
      <c r="F115" s="67" t="n"/>
      <c r="G115" s="67" t="n"/>
      <c r="H115" s="67" t="n"/>
      <c r="I115" s="67" t="n"/>
    </row>
    <row r="116">
      <c r="B116" s="67" t="n"/>
      <c r="C116" s="67" t="n"/>
      <c r="D116" s="67" t="n"/>
      <c r="E116" s="67" t="n"/>
      <c r="F116" s="67" t="n"/>
      <c r="G116" s="67" t="n"/>
      <c r="H116" s="67" t="n"/>
      <c r="I116" s="67" t="n"/>
    </row>
    <row r="117">
      <c r="B117" s="67" t="n"/>
      <c r="C117" s="67" t="n"/>
      <c r="D117" s="67" t="n"/>
      <c r="E117" s="67" t="n"/>
      <c r="F117" s="67" t="n"/>
      <c r="G117" s="67" t="n"/>
      <c r="H117" s="67" t="n"/>
      <c r="I117" s="67" t="n"/>
    </row>
    <row r="118">
      <c r="B118" s="67" t="n"/>
      <c r="C118" s="67" t="n"/>
      <c r="D118" s="67" t="n"/>
      <c r="E118" s="67" t="n"/>
      <c r="F118" s="67" t="n"/>
      <c r="G118" s="67" t="n"/>
      <c r="H118" s="67" t="n"/>
      <c r="I118" s="67" t="n"/>
    </row>
    <row r="119">
      <c r="B119" s="67" t="n"/>
      <c r="C119" s="67" t="n"/>
      <c r="D119" s="67" t="n"/>
      <c r="E119" s="67" t="n"/>
      <c r="F119" s="67" t="n"/>
      <c r="G119" s="67" t="n"/>
      <c r="H119" s="67" t="n"/>
      <c r="I119" s="67" t="n"/>
    </row>
    <row r="120">
      <c r="B120" s="67" t="n"/>
      <c r="C120" s="67" t="n"/>
      <c r="D120" s="67" t="n"/>
      <c r="E120" s="67" t="n"/>
      <c r="F120" s="67" t="n"/>
      <c r="G120" s="67" t="n"/>
      <c r="H120" s="67" t="n"/>
      <c r="I120" s="67" t="n"/>
    </row>
    <row r="121">
      <c r="B121" s="67" t="n"/>
      <c r="C121" s="67" t="n"/>
      <c r="D121" s="67" t="n"/>
      <c r="E121" s="67" t="n"/>
      <c r="F121" s="67" t="n"/>
      <c r="G121" s="67" t="n"/>
      <c r="H121" s="67" t="n"/>
      <c r="I121" s="67" t="n"/>
    </row>
    <row r="122">
      <c r="B122" s="67" t="n"/>
      <c r="C122" s="67" t="n"/>
      <c r="D122" s="67" t="n"/>
      <c r="E122" s="67" t="n"/>
      <c r="F122" s="67" t="n"/>
      <c r="G122" s="67" t="n"/>
      <c r="H122" s="67" t="n"/>
      <c r="I122" s="67" t="n"/>
    </row>
    <row r="123">
      <c r="B123" s="67" t="n"/>
      <c r="C123" s="67" t="n"/>
      <c r="D123" s="67" t="n"/>
      <c r="E123" s="67" t="n"/>
      <c r="F123" s="67" t="n"/>
      <c r="G123" s="67" t="n"/>
      <c r="H123" s="67" t="n"/>
      <c r="I123" s="67" t="n"/>
    </row>
    <row r="124">
      <c r="B124" s="67" t="n"/>
      <c r="C124" s="67" t="n"/>
      <c r="D124" s="67" t="n"/>
      <c r="E124" s="67" t="n"/>
      <c r="F124" s="67" t="n"/>
      <c r="G124" s="67" t="n"/>
      <c r="H124" s="67" t="n"/>
      <c r="I124" s="67" t="n"/>
    </row>
    <row r="125">
      <c r="B125" s="67" t="n"/>
      <c r="C125" s="67" t="n"/>
      <c r="D125" s="67" t="n"/>
      <c r="E125" s="67" t="n"/>
      <c r="F125" s="67" t="n"/>
      <c r="G125" s="67" t="n"/>
      <c r="H125" s="67" t="n"/>
      <c r="I125" s="67" t="n"/>
    </row>
    <row r="126">
      <c r="B126" s="67" t="n"/>
      <c r="C126" s="67" t="n"/>
      <c r="D126" s="67" t="n"/>
      <c r="E126" s="67" t="n"/>
      <c r="F126" s="67" t="n"/>
      <c r="G126" s="67" t="n"/>
      <c r="H126" s="67" t="n"/>
      <c r="I126" s="67" t="n"/>
    </row>
    <row r="127">
      <c r="B127" s="67" t="n"/>
      <c r="C127" s="67" t="n"/>
      <c r="D127" s="67" t="n"/>
      <c r="E127" s="67" t="n"/>
      <c r="F127" s="67" t="n"/>
      <c r="G127" s="67" t="n"/>
      <c r="H127" s="67" t="n"/>
      <c r="I127" s="67" t="n"/>
    </row>
    <row r="128">
      <c r="B128" s="67" t="n"/>
      <c r="C128" s="67" t="n"/>
      <c r="D128" s="67" t="n"/>
      <c r="E128" s="67" t="n"/>
      <c r="F128" s="67" t="n"/>
      <c r="G128" s="67" t="n"/>
      <c r="H128" s="67" t="n"/>
      <c r="I128" s="67" t="n"/>
    </row>
    <row r="129">
      <c r="B129" s="67" t="n"/>
      <c r="C129" s="67" t="n"/>
      <c r="D129" s="67" t="n"/>
      <c r="E129" s="67" t="n"/>
      <c r="F129" s="67" t="n"/>
      <c r="G129" s="67" t="n"/>
      <c r="H129" s="67" t="n"/>
      <c r="I129" s="67" t="n"/>
    </row>
    <row r="130">
      <c r="B130" s="67" t="n"/>
      <c r="C130" s="67" t="n"/>
      <c r="D130" s="67" t="n"/>
      <c r="E130" s="67" t="n"/>
      <c r="F130" s="67" t="n"/>
      <c r="G130" s="67" t="n"/>
      <c r="H130" s="67" t="n"/>
      <c r="I130" s="67" t="n"/>
    </row>
    <row r="131">
      <c r="B131" s="67" t="n"/>
      <c r="C131" s="67" t="n"/>
      <c r="D131" s="67" t="n"/>
      <c r="E131" s="67" t="n"/>
      <c r="F131" s="67" t="n"/>
      <c r="G131" s="67" t="n"/>
      <c r="H131" s="67" t="n"/>
      <c r="I131" s="67" t="n"/>
    </row>
    <row r="132">
      <c r="B132" s="67" t="n"/>
      <c r="C132" s="67" t="n"/>
      <c r="D132" s="67" t="n"/>
      <c r="E132" s="67" t="n"/>
      <c r="F132" s="67" t="n"/>
      <c r="G132" s="67" t="n"/>
      <c r="H132" s="67" t="n"/>
      <c r="I132" s="67" t="n"/>
    </row>
    <row r="133">
      <c r="B133" s="67" t="n"/>
      <c r="C133" s="67" t="n"/>
      <c r="D133" s="67" t="n"/>
      <c r="E133" s="67" t="n"/>
      <c r="F133" s="67" t="n"/>
      <c r="G133" s="67" t="n"/>
      <c r="H133" s="67" t="n"/>
      <c r="I133" s="67" t="n"/>
    </row>
    <row r="134">
      <c r="B134" s="67" t="n"/>
      <c r="C134" s="67" t="n"/>
      <c r="D134" s="67" t="n"/>
      <c r="E134" s="67" t="n"/>
      <c r="F134" s="67" t="n"/>
      <c r="G134" s="67" t="n"/>
      <c r="H134" s="67" t="n"/>
      <c r="I134" s="67" t="n"/>
    </row>
    <row r="135">
      <c r="B135" s="67" t="n"/>
      <c r="C135" s="67" t="n"/>
      <c r="D135" s="67" t="n"/>
      <c r="E135" s="67" t="n"/>
      <c r="F135" s="67" t="n"/>
      <c r="G135" s="67" t="n"/>
      <c r="H135" s="67" t="n"/>
      <c r="I135" s="67" t="n"/>
    </row>
    <row r="136">
      <c r="B136" s="67" t="n"/>
      <c r="C136" s="67" t="n"/>
      <c r="D136" s="67" t="n"/>
      <c r="E136" s="67" t="n"/>
      <c r="F136" s="67" t="n"/>
      <c r="G136" s="67" t="n"/>
      <c r="H136" s="67" t="n"/>
      <c r="I136" s="67" t="n"/>
    </row>
    <row r="137">
      <c r="B137" s="67" t="n"/>
      <c r="C137" s="67" t="n"/>
      <c r="D137" s="67" t="n"/>
      <c r="E137" s="67" t="n"/>
      <c r="F137" s="67" t="n"/>
      <c r="G137" s="67" t="n"/>
      <c r="H137" s="67" t="n"/>
      <c r="I137" s="67" t="n"/>
    </row>
    <row r="138">
      <c r="B138" s="67" t="n"/>
      <c r="C138" s="67" t="n"/>
      <c r="D138" s="67" t="n"/>
      <c r="E138" s="67" t="n"/>
      <c r="F138" s="67" t="n"/>
      <c r="G138" s="67" t="n"/>
      <c r="H138" s="67" t="n"/>
      <c r="I138" s="67" t="n"/>
    </row>
    <row r="139">
      <c r="B139" s="67" t="n"/>
      <c r="C139" s="67" t="n"/>
      <c r="D139" s="67" t="n"/>
      <c r="E139" s="67" t="n"/>
      <c r="F139" s="67" t="n"/>
      <c r="G139" s="67" t="n"/>
      <c r="H139" s="67" t="n"/>
      <c r="I139" s="67" t="n"/>
    </row>
    <row r="140">
      <c r="B140" s="67" t="n"/>
      <c r="C140" s="67" t="n"/>
      <c r="D140" s="67" t="n"/>
      <c r="E140" s="67" t="n"/>
      <c r="F140" s="67" t="n"/>
      <c r="G140" s="67" t="n"/>
      <c r="H140" s="67" t="n"/>
      <c r="I140" s="67" t="n"/>
    </row>
    <row r="141">
      <c r="B141" s="67" t="n"/>
      <c r="C141" s="67" t="n"/>
      <c r="D141" s="67" t="n"/>
      <c r="E141" s="67" t="n"/>
      <c r="F141" s="67" t="n"/>
      <c r="G141" s="67" t="n"/>
      <c r="H141" s="67" t="n"/>
      <c r="I141" s="67" t="n"/>
    </row>
    <row r="142">
      <c r="B142" s="67" t="n"/>
      <c r="C142" s="67" t="n"/>
      <c r="D142" s="67" t="n"/>
      <c r="E142" s="67" t="n"/>
      <c r="F142" s="67" t="n"/>
      <c r="G142" s="67" t="n"/>
      <c r="H142" s="67" t="n"/>
      <c r="I142" s="67" t="n"/>
    </row>
    <row r="143">
      <c r="B143" s="67" t="n"/>
      <c r="C143" s="67" t="n"/>
      <c r="D143" s="67" t="n"/>
      <c r="E143" s="67" t="n"/>
      <c r="F143" s="67" t="n"/>
      <c r="G143" s="67" t="n"/>
      <c r="H143" s="67" t="n"/>
      <c r="I143" s="67" t="n"/>
    </row>
    <row r="144">
      <c r="B144" s="67" t="n"/>
      <c r="C144" s="67" t="n"/>
      <c r="D144" s="67" t="n"/>
      <c r="E144" s="67" t="n"/>
      <c r="F144" s="67" t="n"/>
      <c r="G144" s="67" t="n"/>
      <c r="H144" s="67" t="n"/>
      <c r="I144" s="67" t="n"/>
    </row>
    <row r="145">
      <c r="B145" s="67" t="n"/>
      <c r="C145" s="67" t="n"/>
      <c r="D145" s="67" t="n"/>
      <c r="E145" s="67" t="n"/>
      <c r="F145" s="67" t="n"/>
      <c r="G145" s="67" t="n"/>
      <c r="H145" s="67" t="n"/>
      <c r="I145" s="67" t="n"/>
    </row>
    <row r="146">
      <c r="B146" s="67" t="n"/>
      <c r="C146" s="67" t="n"/>
      <c r="D146" s="67" t="n"/>
      <c r="E146" s="67" t="n"/>
      <c r="F146" s="67" t="n"/>
      <c r="G146" s="67" t="n"/>
      <c r="H146" s="67" t="n"/>
      <c r="I146" s="67" t="n"/>
    </row>
    <row r="147">
      <c r="B147" s="67" t="n"/>
      <c r="C147" s="67" t="n"/>
      <c r="D147" s="67" t="n"/>
      <c r="E147" s="67" t="n"/>
      <c r="F147" s="67" t="n"/>
      <c r="G147" s="67" t="n"/>
      <c r="H147" s="67" t="n"/>
      <c r="I147" s="67" t="n"/>
    </row>
    <row r="148">
      <c r="B148" s="67" t="n"/>
      <c r="C148" s="67" t="n"/>
      <c r="D148" s="67" t="n"/>
      <c r="E148" s="67" t="n"/>
      <c r="F148" s="67" t="n"/>
      <c r="G148" s="67" t="n"/>
      <c r="H148" s="67" t="n"/>
      <c r="I148" s="67" t="n"/>
    </row>
    <row r="149">
      <c r="B149" s="67" t="n"/>
      <c r="C149" s="67" t="n"/>
      <c r="D149" s="67" t="n"/>
      <c r="E149" s="67" t="n"/>
      <c r="F149" s="67" t="n"/>
      <c r="G149" s="67" t="n"/>
      <c r="H149" s="67" t="n"/>
      <c r="I149" s="67" t="n"/>
    </row>
    <row r="150">
      <c r="B150" s="67" t="n"/>
      <c r="C150" s="67" t="n"/>
      <c r="D150" s="67" t="n"/>
      <c r="E150" s="67" t="n"/>
      <c r="F150" s="67" t="n"/>
      <c r="G150" s="67" t="n"/>
      <c r="H150" s="67" t="n"/>
      <c r="I150" s="67" t="n"/>
    </row>
    <row r="151">
      <c r="B151" s="67" t="n"/>
      <c r="C151" s="67" t="n"/>
      <c r="D151" s="67" t="n"/>
      <c r="E151" s="67" t="n"/>
      <c r="F151" s="67" t="n"/>
      <c r="G151" s="67" t="n"/>
      <c r="H151" s="67" t="n"/>
      <c r="I151" s="67" t="n"/>
    </row>
    <row r="152">
      <c r="B152" s="67" t="n"/>
      <c r="C152" s="67" t="n"/>
      <c r="D152" s="67" t="n"/>
      <c r="E152" s="67" t="n"/>
      <c r="F152" s="67" t="n"/>
      <c r="G152" s="67" t="n"/>
      <c r="H152" s="67" t="n"/>
      <c r="I152" s="67" t="n"/>
    </row>
    <row r="153">
      <c r="B153" s="67" t="n"/>
      <c r="C153" s="67" t="n"/>
      <c r="D153" s="67" t="n"/>
      <c r="E153" s="67" t="n"/>
      <c r="F153" s="67" t="n"/>
      <c r="G153" s="67" t="n"/>
      <c r="H153" s="67" t="n"/>
      <c r="I153" s="67" t="n"/>
    </row>
    <row r="154">
      <c r="B154" s="67" t="n"/>
      <c r="C154" s="67" t="n"/>
      <c r="D154" s="67" t="n"/>
      <c r="E154" s="67" t="n"/>
      <c r="F154" s="67" t="n"/>
      <c r="G154" s="67" t="n"/>
      <c r="H154" s="67" t="n"/>
      <c r="I154" s="67" t="n"/>
    </row>
    <row r="155">
      <c r="B155" s="67" t="n"/>
      <c r="C155" s="67" t="n"/>
      <c r="D155" s="67" t="n"/>
      <c r="E155" s="67" t="n"/>
      <c r="F155" s="67" t="n"/>
      <c r="G155" s="67" t="n"/>
      <c r="H155" s="67" t="n"/>
      <c r="I155" s="67" t="n"/>
    </row>
    <row r="156">
      <c r="B156" s="67" t="n"/>
      <c r="C156" s="67" t="n"/>
      <c r="D156" s="67" t="n"/>
      <c r="E156" s="67" t="n"/>
      <c r="F156" s="67" t="n"/>
      <c r="G156" s="67" t="n"/>
      <c r="H156" s="67" t="n"/>
      <c r="I156" s="67" t="n"/>
    </row>
    <row r="157">
      <c r="B157" s="67" t="n"/>
      <c r="C157" s="67" t="n"/>
      <c r="D157" s="67" t="n"/>
      <c r="E157" s="67" t="n"/>
      <c r="F157" s="67" t="n"/>
      <c r="G157" s="67" t="n"/>
      <c r="H157" s="67" t="n"/>
      <c r="I157" s="67" t="n"/>
    </row>
    <row r="158">
      <c r="B158" s="67" t="n"/>
      <c r="C158" s="67" t="n"/>
      <c r="D158" s="67" t="n"/>
      <c r="E158" s="67" t="n"/>
      <c r="F158" s="67" t="n"/>
      <c r="G158" s="67" t="n"/>
      <c r="H158" s="67" t="n"/>
      <c r="I158" s="67" t="n"/>
    </row>
    <row r="159">
      <c r="B159" s="67" t="n"/>
      <c r="C159" s="67" t="n"/>
      <c r="D159" s="67" t="n"/>
      <c r="E159" s="67" t="n"/>
      <c r="F159" s="67" t="n"/>
      <c r="G159" s="67" t="n"/>
      <c r="H159" s="67" t="n"/>
      <c r="I159" s="67" t="n"/>
    </row>
    <row r="160">
      <c r="B160" s="67" t="n"/>
      <c r="C160" s="67" t="n"/>
      <c r="D160" s="67" t="n"/>
      <c r="E160" s="67" t="n"/>
      <c r="F160" s="67" t="n"/>
      <c r="G160" s="67" t="n"/>
      <c r="H160" s="67" t="n"/>
      <c r="I160" s="67" t="n"/>
    </row>
    <row r="161">
      <c r="B161" s="67" t="n"/>
      <c r="C161" s="67" t="n"/>
      <c r="D161" s="67" t="n"/>
      <c r="E161" s="67" t="n"/>
      <c r="F161" s="67" t="n"/>
      <c r="G161" s="67" t="n"/>
      <c r="H161" s="67" t="n"/>
      <c r="I161" s="67" t="n"/>
    </row>
    <row r="162">
      <c r="B162" s="67" t="n"/>
      <c r="C162" s="67" t="n"/>
      <c r="D162" s="67" t="n"/>
      <c r="E162" s="67" t="n"/>
      <c r="F162" s="67" t="n"/>
      <c r="G162" s="67" t="n"/>
      <c r="H162" s="67" t="n"/>
      <c r="I162" s="67" t="n"/>
    </row>
    <row r="163">
      <c r="B163" s="67" t="n"/>
      <c r="C163" s="67" t="n"/>
      <c r="D163" s="67" t="n"/>
      <c r="E163" s="67" t="n"/>
      <c r="F163" s="67" t="n"/>
      <c r="G163" s="67" t="n"/>
      <c r="H163" s="67" t="n"/>
      <c r="I163" s="67" t="n"/>
    </row>
    <row r="164">
      <c r="B164" s="67" t="n"/>
      <c r="C164" s="67" t="n"/>
      <c r="D164" s="67" t="n"/>
      <c r="E164" s="67" t="n"/>
      <c r="F164" s="67" t="n"/>
      <c r="G164" s="67" t="n"/>
      <c r="H164" s="67" t="n"/>
      <c r="I164" s="67" t="n"/>
    </row>
    <row r="165">
      <c r="B165" s="67" t="n"/>
      <c r="C165" s="67" t="n"/>
      <c r="D165" s="67" t="n"/>
      <c r="E165" s="67" t="n"/>
      <c r="F165" s="67" t="n"/>
      <c r="G165" s="67" t="n"/>
      <c r="H165" s="67" t="n"/>
      <c r="I165" s="67" t="n"/>
    </row>
    <row r="166">
      <c r="B166" s="67" t="n"/>
      <c r="C166" s="67" t="n"/>
      <c r="D166" s="67" t="n"/>
      <c r="E166" s="67" t="n"/>
      <c r="F166" s="67" t="n"/>
      <c r="G166" s="67" t="n"/>
      <c r="H166" s="67" t="n"/>
      <c r="I166" s="67" t="n"/>
    </row>
    <row r="167">
      <c r="B167" s="67" t="n"/>
      <c r="C167" s="67" t="n"/>
      <c r="D167" s="67" t="n"/>
      <c r="E167" s="67" t="n"/>
      <c r="F167" s="67" t="n"/>
      <c r="G167" s="67" t="n"/>
      <c r="H167" s="67" t="n"/>
      <c r="I167" s="67" t="n"/>
    </row>
    <row r="168">
      <c r="B168" s="67" t="n"/>
      <c r="C168" s="67" t="n"/>
      <c r="D168" s="67" t="n"/>
      <c r="E168" s="67" t="n"/>
      <c r="F168" s="67" t="n"/>
      <c r="G168" s="67" t="n"/>
      <c r="H168" s="67" t="n"/>
      <c r="I168" s="67" t="n"/>
    </row>
    <row r="169">
      <c r="B169" s="67" t="n"/>
      <c r="C169" s="67" t="n"/>
      <c r="D169" s="67" t="n"/>
      <c r="E169" s="67" t="n"/>
      <c r="F169" s="67" t="n"/>
      <c r="G169" s="67" t="n"/>
      <c r="H169" s="67" t="n"/>
      <c r="I169" s="67" t="n"/>
    </row>
    <row r="170">
      <c r="B170" s="67" t="n"/>
      <c r="C170" s="67" t="n"/>
      <c r="D170" s="67" t="n"/>
      <c r="E170" s="67" t="n"/>
      <c r="F170" s="67" t="n"/>
      <c r="G170" s="67" t="n"/>
      <c r="H170" s="67" t="n"/>
      <c r="I170" s="67" t="n"/>
    </row>
    <row r="171">
      <c r="B171" s="67" t="n"/>
      <c r="C171" s="67" t="n"/>
      <c r="D171" s="67" t="n"/>
      <c r="E171" s="67" t="n"/>
      <c r="F171" s="67" t="n"/>
      <c r="G171" s="67" t="n"/>
      <c r="H171" s="67" t="n"/>
      <c r="I171" s="67" t="n"/>
    </row>
    <row r="172">
      <c r="B172" s="67" t="n"/>
      <c r="C172" s="67" t="n"/>
      <c r="D172" s="67" t="n"/>
      <c r="E172" s="67" t="n"/>
      <c r="F172" s="67" t="n"/>
      <c r="G172" s="67" t="n"/>
      <c r="H172" s="67" t="n"/>
      <c r="I172" s="67" t="n"/>
    </row>
    <row r="173">
      <c r="B173" s="67" t="n"/>
      <c r="C173" s="67" t="n"/>
      <c r="D173" s="67" t="n"/>
      <c r="E173" s="67" t="n"/>
      <c r="F173" s="67" t="n"/>
      <c r="G173" s="67" t="n"/>
      <c r="H173" s="67" t="n"/>
      <c r="I173" s="67" t="n"/>
    </row>
    <row r="174">
      <c r="B174" s="67" t="n"/>
      <c r="C174" s="67" t="n"/>
      <c r="D174" s="67" t="n"/>
      <c r="E174" s="67" t="n"/>
      <c r="F174" s="67" t="n"/>
      <c r="G174" s="67" t="n"/>
      <c r="H174" s="67" t="n"/>
      <c r="I174" s="67" t="n"/>
    </row>
    <row r="175">
      <c r="B175" s="67" t="n"/>
      <c r="C175" s="67" t="n"/>
      <c r="D175" s="67" t="n"/>
      <c r="E175" s="67" t="n"/>
      <c r="F175" s="67" t="n"/>
      <c r="G175" s="67" t="n"/>
      <c r="H175" s="67" t="n"/>
      <c r="I175" s="67" t="n"/>
    </row>
    <row r="176">
      <c r="B176" s="67" t="n"/>
      <c r="C176" s="67" t="n"/>
      <c r="D176" s="67" t="n"/>
      <c r="E176" s="67" t="n"/>
      <c r="F176" s="67" t="n"/>
      <c r="G176" s="67" t="n"/>
      <c r="H176" s="67" t="n"/>
      <c r="I176" s="67" t="n"/>
    </row>
    <row r="177">
      <c r="B177" s="67" t="n"/>
      <c r="C177" s="67" t="n"/>
      <c r="D177" s="67" t="n"/>
      <c r="E177" s="67" t="n"/>
      <c r="F177" s="67" t="n"/>
      <c r="G177" s="67" t="n"/>
      <c r="H177" s="67" t="n"/>
      <c r="I177" s="67" t="n"/>
    </row>
    <row r="178">
      <c r="B178" s="67" t="n"/>
      <c r="C178" s="67" t="n"/>
      <c r="D178" s="67" t="n"/>
      <c r="E178" s="67" t="n"/>
      <c r="F178" s="67" t="n"/>
      <c r="G178" s="67" t="n"/>
      <c r="H178" s="67" t="n"/>
      <c r="I178" s="67" t="n"/>
    </row>
    <row r="179">
      <c r="B179" s="67" t="n"/>
      <c r="C179" s="67" t="n"/>
      <c r="D179" s="67" t="n"/>
      <c r="E179" s="67" t="n"/>
      <c r="F179" s="67" t="n"/>
      <c r="G179" s="67" t="n"/>
      <c r="H179" s="67" t="n"/>
      <c r="I179" s="67" t="n"/>
    </row>
    <row r="180">
      <c r="B180" s="67" t="n"/>
      <c r="C180" s="67" t="n"/>
      <c r="D180" s="67" t="n"/>
      <c r="E180" s="67" t="n"/>
      <c r="F180" s="67" t="n"/>
      <c r="G180" s="67" t="n"/>
      <c r="H180" s="67" t="n"/>
      <c r="I180" s="67" t="n"/>
    </row>
    <row r="181">
      <c r="B181" s="67" t="n"/>
      <c r="C181" s="67" t="n"/>
      <c r="D181" s="67" t="n"/>
      <c r="E181" s="67" t="n"/>
      <c r="F181" s="67" t="n"/>
      <c r="G181" s="67" t="n"/>
      <c r="H181" s="67" t="n"/>
      <c r="I181" s="67" t="n"/>
    </row>
    <row r="182">
      <c r="B182" s="67" t="n"/>
      <c r="C182" s="67" t="n"/>
      <c r="D182" s="67" t="n"/>
      <c r="E182" s="67" t="n"/>
      <c r="F182" s="67" t="n"/>
      <c r="G182" s="67" t="n"/>
      <c r="H182" s="67" t="n"/>
      <c r="I182" s="67" t="n"/>
    </row>
    <row r="183">
      <c r="B183" s="67" t="n"/>
      <c r="C183" s="67" t="n"/>
      <c r="D183" s="67" t="n"/>
      <c r="E183" s="67" t="n"/>
      <c r="F183" s="67" t="n"/>
      <c r="G183" s="67" t="n"/>
      <c r="H183" s="67" t="n"/>
      <c r="I183" s="67" t="n"/>
    </row>
    <row r="184">
      <c r="B184" s="67" t="n"/>
      <c r="C184" s="67" t="n"/>
      <c r="D184" s="67" t="n"/>
      <c r="E184" s="67" t="n"/>
      <c r="F184" s="67" t="n"/>
      <c r="G184" s="67" t="n"/>
      <c r="H184" s="67" t="n"/>
      <c r="I184" s="67" t="n"/>
    </row>
    <row r="185">
      <c r="B185" s="67" t="n"/>
      <c r="C185" s="67" t="n"/>
      <c r="D185" s="67" t="n"/>
      <c r="E185" s="67" t="n"/>
      <c r="F185" s="67" t="n"/>
      <c r="G185" s="67" t="n"/>
      <c r="H185" s="67" t="n"/>
      <c r="I185" s="67" t="n"/>
    </row>
    <row r="186">
      <c r="B186" s="67" t="n"/>
      <c r="C186" s="67" t="n"/>
      <c r="D186" s="67" t="n"/>
      <c r="E186" s="67" t="n"/>
      <c r="F186" s="67" t="n"/>
      <c r="G186" s="67" t="n"/>
      <c r="H186" s="67" t="n"/>
      <c r="I186" s="67" t="n"/>
    </row>
    <row r="187">
      <c r="B187" s="67" t="n"/>
      <c r="C187" s="67" t="n"/>
      <c r="D187" s="67" t="n"/>
      <c r="E187" s="67" t="n"/>
      <c r="F187" s="67" t="n"/>
      <c r="G187" s="67" t="n"/>
      <c r="H187" s="67" t="n"/>
      <c r="I187" s="67" t="n"/>
    </row>
    <row r="188">
      <c r="B188" s="67" t="n"/>
      <c r="C188" s="67" t="n"/>
      <c r="D188" s="67" t="n"/>
      <c r="E188" s="67" t="n"/>
      <c r="F188" s="67" t="n"/>
      <c r="G188" s="67" t="n"/>
      <c r="H188" s="67" t="n"/>
      <c r="I188" s="67" t="n"/>
    </row>
    <row r="189">
      <c r="B189" s="67" t="n"/>
      <c r="C189" s="67" t="n"/>
      <c r="D189" s="67" t="n"/>
      <c r="E189" s="67" t="n"/>
      <c r="F189" s="67" t="n"/>
      <c r="G189" s="67" t="n"/>
      <c r="H189" s="67" t="n"/>
      <c r="I189" s="67" t="n"/>
    </row>
    <row r="190">
      <c r="B190" s="67" t="n"/>
      <c r="C190" s="67" t="n"/>
      <c r="D190" s="67" t="n"/>
      <c r="E190" s="67" t="n"/>
      <c r="F190" s="67" t="n"/>
      <c r="G190" s="67" t="n"/>
      <c r="H190" s="67" t="n"/>
      <c r="I190" s="67" t="n"/>
    </row>
    <row r="191">
      <c r="B191" s="67" t="n"/>
      <c r="C191" s="67" t="n"/>
      <c r="D191" s="67" t="n"/>
      <c r="E191" s="67" t="n"/>
      <c r="F191" s="67" t="n"/>
      <c r="G191" s="67" t="n"/>
      <c r="H191" s="67" t="n"/>
      <c r="I191" s="67" t="n"/>
    </row>
    <row r="192">
      <c r="B192" s="67" t="n"/>
      <c r="C192" s="67" t="n"/>
      <c r="D192" s="67" t="n"/>
      <c r="E192" s="67" t="n"/>
      <c r="F192" s="67" t="n"/>
      <c r="G192" s="67" t="n"/>
      <c r="H192" s="67" t="n"/>
      <c r="I192" s="67" t="n"/>
    </row>
    <row r="193">
      <c r="B193" s="67" t="n"/>
      <c r="C193" s="67" t="n"/>
      <c r="D193" s="67" t="n"/>
      <c r="E193" s="67" t="n"/>
      <c r="F193" s="67" t="n"/>
      <c r="G193" s="67" t="n"/>
      <c r="H193" s="67" t="n"/>
      <c r="I193" s="67" t="n"/>
    </row>
    <row r="194">
      <c r="B194" s="67" t="n"/>
      <c r="C194" s="67" t="n"/>
      <c r="D194" s="67" t="n"/>
      <c r="E194" s="67" t="n"/>
      <c r="F194" s="67" t="n"/>
      <c r="G194" s="67" t="n"/>
      <c r="H194" s="67" t="n"/>
      <c r="I194" s="67" t="n"/>
    </row>
    <row r="195">
      <c r="B195" s="67" t="n"/>
      <c r="C195" s="67" t="n"/>
      <c r="D195" s="67" t="n"/>
      <c r="E195" s="67" t="n"/>
      <c r="F195" s="67" t="n"/>
      <c r="G195" s="67" t="n"/>
      <c r="H195" s="67" t="n"/>
      <c r="I195" s="67" t="n"/>
    </row>
    <row r="196">
      <c r="B196" s="67" t="n"/>
      <c r="C196" s="67" t="n"/>
      <c r="D196" s="67" t="n"/>
      <c r="E196" s="67" t="n"/>
      <c r="F196" s="67" t="n"/>
      <c r="G196" s="67" t="n"/>
      <c r="H196" s="67" t="n"/>
      <c r="I196" s="67" t="n"/>
    </row>
    <row r="197">
      <c r="B197" s="67" t="n"/>
      <c r="C197" s="67" t="n"/>
      <c r="D197" s="67" t="n"/>
      <c r="E197" s="67" t="n"/>
      <c r="F197" s="67" t="n"/>
      <c r="G197" s="67" t="n"/>
      <c r="H197" s="67" t="n"/>
      <c r="I197" s="67" t="n"/>
    </row>
    <row r="198">
      <c r="B198" s="67" t="n"/>
      <c r="C198" s="67" t="n"/>
      <c r="D198" s="67" t="n"/>
      <c r="E198" s="67" t="n"/>
      <c r="F198" s="67" t="n"/>
      <c r="G198" s="67" t="n"/>
      <c r="H198" s="67" t="n"/>
      <c r="I198" s="67" t="n"/>
    </row>
    <row r="199">
      <c r="B199" s="67" t="n"/>
      <c r="C199" s="67" t="n"/>
      <c r="D199" s="67" t="n"/>
      <c r="E199" s="67" t="n"/>
      <c r="F199" s="67" t="n"/>
      <c r="G199" s="67" t="n"/>
      <c r="H199" s="67" t="n"/>
      <c r="I199" s="67" t="n"/>
    </row>
    <row r="200">
      <c r="B200" s="67" t="n"/>
      <c r="C200" s="67" t="n"/>
      <c r="D200" s="67" t="n"/>
      <c r="E200" s="67" t="n"/>
      <c r="F200" s="67" t="n"/>
      <c r="G200" s="67" t="n"/>
      <c r="H200" s="67" t="n"/>
      <c r="I200" s="67" t="n"/>
    </row>
    <row r="201">
      <c r="B201" s="67" t="n"/>
      <c r="C201" s="67" t="n"/>
      <c r="D201" s="67" t="n"/>
      <c r="E201" s="67" t="n"/>
      <c r="F201" s="67" t="n"/>
      <c r="G201" s="67" t="n"/>
      <c r="H201" s="67" t="n"/>
      <c r="I201" s="67" t="n"/>
    </row>
    <row r="202">
      <c r="B202" s="67" t="n"/>
      <c r="C202" s="67" t="n"/>
      <c r="D202" s="67" t="n"/>
      <c r="E202" s="67" t="n"/>
      <c r="F202" s="67" t="n"/>
      <c r="G202" s="67" t="n"/>
      <c r="H202" s="67" t="n"/>
      <c r="I202" s="67" t="n"/>
    </row>
    <row r="203">
      <c r="B203" s="67" t="n"/>
      <c r="C203" s="67" t="n"/>
      <c r="D203" s="67" t="n"/>
      <c r="E203" s="67" t="n"/>
      <c r="F203" s="67" t="n"/>
      <c r="G203" s="67" t="n"/>
      <c r="H203" s="67" t="n"/>
      <c r="I203" s="67" t="n"/>
    </row>
    <row r="204">
      <c r="B204" s="67" t="n"/>
      <c r="C204" s="67" t="n"/>
      <c r="D204" s="67" t="n"/>
      <c r="E204" s="67" t="n"/>
      <c r="F204" s="67" t="n"/>
      <c r="G204" s="67" t="n"/>
      <c r="H204" s="67" t="n"/>
      <c r="I204" s="67" t="n"/>
    </row>
    <row r="205">
      <c r="B205" s="67" t="n"/>
      <c r="C205" s="67" t="n"/>
      <c r="D205" s="67" t="n"/>
      <c r="E205" s="67" t="n"/>
      <c r="F205" s="67" t="n"/>
      <c r="G205" s="67" t="n"/>
      <c r="H205" s="67" t="n"/>
      <c r="I205" s="67" t="n"/>
    </row>
    <row r="206">
      <c r="B206" s="67" t="n"/>
      <c r="C206" s="67" t="n"/>
      <c r="D206" s="67" t="n"/>
      <c r="E206" s="67" t="n"/>
      <c r="F206" s="67" t="n"/>
      <c r="G206" s="67" t="n"/>
      <c r="H206" s="67" t="n"/>
      <c r="I206" s="67" t="n"/>
    </row>
    <row r="207">
      <c r="B207" s="67" t="n"/>
      <c r="C207" s="67" t="n"/>
      <c r="D207" s="67" t="n"/>
      <c r="E207" s="67" t="n"/>
      <c r="F207" s="67" t="n"/>
      <c r="G207" s="67" t="n"/>
      <c r="H207" s="67" t="n"/>
      <c r="I207" s="67" t="n"/>
    </row>
    <row r="208">
      <c r="B208" s="67" t="n"/>
      <c r="C208" s="67" t="n"/>
      <c r="D208" s="67" t="n"/>
      <c r="E208" s="67" t="n"/>
      <c r="F208" s="67" t="n"/>
      <c r="G208" s="67" t="n"/>
      <c r="H208" s="67" t="n"/>
      <c r="I208" s="67" t="n"/>
    </row>
    <row r="209">
      <c r="B209" s="67" t="n"/>
      <c r="C209" s="67" t="n"/>
      <c r="D209" s="67" t="n"/>
      <c r="E209" s="67" t="n"/>
      <c r="F209" s="67" t="n"/>
      <c r="G209" s="67" t="n"/>
      <c r="H209" s="67" t="n"/>
      <c r="I209" s="67" t="n"/>
    </row>
    <row r="210">
      <c r="B210" s="67" t="n"/>
      <c r="C210" s="67" t="n"/>
      <c r="D210" s="67" t="n"/>
      <c r="E210" s="67" t="n"/>
      <c r="F210" s="67" t="n"/>
      <c r="G210" s="67" t="n"/>
      <c r="H210" s="67" t="n"/>
      <c r="I210" s="67" t="n"/>
    </row>
    <row r="211">
      <c r="B211" s="67" t="n"/>
      <c r="C211" s="67" t="n"/>
      <c r="D211" s="67" t="n"/>
      <c r="E211" s="67" t="n"/>
      <c r="F211" s="67" t="n"/>
      <c r="G211" s="67" t="n"/>
      <c r="H211" s="67" t="n"/>
      <c r="I211" s="67" t="n"/>
    </row>
    <row r="212">
      <c r="B212" s="67" t="n"/>
      <c r="C212" s="67" t="n"/>
      <c r="D212" s="67" t="n"/>
      <c r="E212" s="67" t="n"/>
      <c r="F212" s="67" t="n"/>
      <c r="G212" s="67" t="n"/>
      <c r="H212" s="67" t="n"/>
      <c r="I212" s="67" t="n"/>
    </row>
    <row r="213">
      <c r="B213" s="67" t="n"/>
      <c r="C213" s="67" t="n"/>
      <c r="D213" s="67" t="n"/>
      <c r="E213" s="67" t="n"/>
      <c r="F213" s="67" t="n"/>
      <c r="G213" s="67" t="n"/>
      <c r="H213" s="67" t="n"/>
      <c r="I213" s="67" t="n"/>
    </row>
    <row r="214">
      <c r="B214" s="67" t="n"/>
      <c r="C214" s="67" t="n"/>
      <c r="D214" s="67" t="n"/>
      <c r="E214" s="67" t="n"/>
      <c r="F214" s="67" t="n"/>
      <c r="G214" s="67" t="n"/>
      <c r="H214" s="67" t="n"/>
      <c r="I214" s="67" t="n"/>
    </row>
    <row r="215">
      <c r="B215" s="67" t="n"/>
      <c r="C215" s="67" t="n"/>
      <c r="D215" s="67" t="n"/>
      <c r="E215" s="67" t="n"/>
      <c r="F215" s="67" t="n"/>
      <c r="G215" s="67" t="n"/>
      <c r="H215" s="67" t="n"/>
      <c r="I215" s="67" t="n"/>
    </row>
    <row r="216">
      <c r="B216" s="67" t="n"/>
      <c r="C216" s="67" t="n"/>
      <c r="D216" s="67" t="n"/>
      <c r="E216" s="67" t="n"/>
      <c r="F216" s="67" t="n"/>
      <c r="G216" s="67" t="n"/>
      <c r="H216" s="67" t="n"/>
      <c r="I216" s="67" t="n"/>
    </row>
    <row r="217">
      <c r="B217" s="67" t="n"/>
      <c r="C217" s="67" t="n"/>
      <c r="D217" s="67" t="n"/>
      <c r="E217" s="67" t="n"/>
      <c r="F217" s="67" t="n"/>
      <c r="G217" s="67" t="n"/>
      <c r="H217" s="67" t="n"/>
      <c r="I217" s="67" t="n"/>
    </row>
    <row r="218">
      <c r="B218" s="67" t="n"/>
      <c r="C218" s="67" t="n"/>
      <c r="D218" s="67" t="n"/>
      <c r="E218" s="67" t="n"/>
      <c r="F218" s="67" t="n"/>
      <c r="G218" s="67" t="n"/>
      <c r="H218" s="67" t="n"/>
      <c r="I218" s="67" t="n"/>
    </row>
    <row r="219">
      <c r="B219" s="67" t="n"/>
      <c r="C219" s="67" t="n"/>
      <c r="D219" s="67" t="n"/>
      <c r="E219" s="67" t="n"/>
      <c r="F219" s="67" t="n"/>
      <c r="G219" s="67" t="n"/>
      <c r="H219" s="67" t="n"/>
      <c r="I219" s="67" t="n"/>
    </row>
    <row r="220">
      <c r="B220" s="67" t="n"/>
      <c r="C220" s="67" t="n"/>
      <c r="D220" s="67" t="n"/>
      <c r="E220" s="67" t="n"/>
      <c r="F220" s="67" t="n"/>
      <c r="G220" s="67" t="n"/>
      <c r="H220" s="67" t="n"/>
      <c r="I220" s="67"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20:B220">
    <cfRule type="expression" priority="2" dxfId="6">
      <formula>AND(LEN($B20&amp;$C20&amp;$D20&amp;$E20&amp;$F20&amp;$G20&amp;$H20&amp;$I20)&gt;0,B20="")</formula>
    </cfRule>
  </conditionalFormatting>
  <conditionalFormatting sqref="C20:C220">
    <cfRule type="expression" priority="3" dxfId="6">
      <formula>AND(LEN($B20&amp;$C20&amp;$D20&amp;$E20&amp;$F20&amp;$G20&amp;$H20&amp;$I20)&gt;0,C20="")</formula>
    </cfRule>
  </conditionalFormatting>
  <conditionalFormatting sqref="D20:D220">
    <cfRule type="expression" priority="4" dxfId="6">
      <formula>AND(LEN($B20&amp;$C20&amp;$D20&amp;$E20&amp;$F20&amp;$G20&amp;$H20&amp;$I20)&gt;0,D20="")</formula>
    </cfRule>
  </conditionalFormatting>
  <conditionalFormatting sqref="E20:E220">
    <cfRule type="expression" priority="5" dxfId="6">
      <formula>AND(LEN($B20&amp;$C20&amp;$D20&amp;$E20&amp;$F20&amp;$G20&amp;$H20&amp;$I20)&gt;0,E20="")</formula>
    </cfRule>
  </conditionalFormatting>
  <dataValidations count="1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I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account_code" error="At most 30 characters." promptTitle="legacy_account_code" prompt="Yes. Legacy GL account code Allowed: Free entry, up to 30 characters" type="textLength" operator="lessThanOrEqual">
      <formula1>30</formula1>
    </dataValidation>
    <dataValidation sqref="C20:C220" showDropDown="0" showInputMessage="1" showErrorMessage="1" allowBlank="1" errorTitle="legacy_account_name" error="At most 200 characters." promptTitle="legacy_account_name" prompt="Yes. Legacy account name Allowed: Free entry, up to 200 characters" type="textLength" operator="lessThanOrEqual">
      <formula1>200</formula1>
    </dataValidation>
    <dataValidation sqref="D20:D220" showDropDown="0" showInputMessage="1" showErrorMessage="1" allowBlank="1" errorTitle="account_type" error="Choose a value of the list R08 account_type (sheet Reference lists)." promptTitle="account_type" prompt="Yes. Account type Allowed: ASSET, LIABILITY, EQUITY, INCOME, EXPENSE (list R08 account_type)" type="list" errorStyle="stop">
      <formula1>=LIST_R08_ACCOUNT_TYPE</formula1>
    </dataValidation>
    <dataValidation sqref="E20:E220" showDropDown="0" showInputMessage="1" showErrorMessage="1" allowBlank="1" errorTitle="normal_balance" error="Choose a value of the list R08 normal_balance (sheet Reference lists)." promptTitle="normal_balance" prompt="Yes. Normal balance side Allowed: DR, CR (list R08 normal_balance)" type="list" errorStyle="stop">
      <formula1>=LIST_R08_NORMAL_BALANCE</formula1>
    </dataValidation>
    <dataValidation sqref="F20:F220" showDropDown="0" showInputMessage="1" showErrorMessage="1" allowBlank="1" errorTitle="legacy_control_type" error="Choose a value of the list R08 legacy_control_type (sheet Reference lists)." promptTitle="legacy_control_type" prompt="No. Marks the legacy control accounts whose balance F01 or F02 carries in detail Allowed: List R08 legacy_control_type: 8 values, see Reference lists" type="list" errorStyle="stop">
      <formula1>=LIST_R08_LEGACY_CONTROL_TYPE</formula1>
    </dataValidation>
    <dataValidation sqref="G20:G220" showDropDown="0" showInputMessage="1" showErrorMessage="1" allowBlank="1" errorTitle="bibs_account_code" error="At most 30 characters." promptTitle="bibs_account_code" prompt="Conditional: Mandatory when legacy_control_type is NONE; exists and active in BIBS. BIBS account the legacy account maps to (filled by Comptrollership) Allowed: Account codes of the BIBS chart of accounts" type="textLength" operator="lessThanOrEqual">
      <formula1>30</formula1>
    </dataValidation>
    <dataValidation sqref="H20:H220" showDropDown="0" showInputMessage="1" showErrorMessage="1" allowBlank="1" errorTitle="branch_specific_flag" error="Choose a value of the list Yes or no (sheet Reference lists)." promptTitle="branch_specific_flag" prompt="No. Balances are kept per branch Allowed: Y or N" type="list" errorStyle="stop">
      <formula1>=LIST_YES_NO</formula1>
    </dataValidation>
    <dataValidation sqref="I20:I220" showDropDown="0" showInputMessage="1" showErrorMessage="1" allowBlank="1" errorTitle="remarks" error="At most 300 characters." promptTitle="remarks" prompt="No. Mapping remarks Allowed: Free entry, up to 300 characters" type="textLength" operator="lessThanOrEqual">
      <formula1>300</formula1>
    </dataValidation>
  </dataValidations>
  <hyperlinks>
    <hyperlink ref="A2" location="'Load templates'!A1"/>
    <hyperlink ref="I2" location="'Comments log'!A1"/>
    <hyperlink ref="D17" location="'Reference lists'!A19"/>
    <hyperlink ref="E17" location="'Reference lists'!A24"/>
    <hyperlink ref="F17" location="'Reference lists'!A26"/>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9.xml><?xml version="1.0" encoding="utf-8"?>
<worksheet xmlns="http://schemas.openxmlformats.org/spreadsheetml/2006/main">
  <sheetPr>
    <tabColor rgb="00004EA8"/>
    <outlinePr summaryBelow="0" summaryRight="1"/>
    <pageSetUpPr fitToPage="1"/>
  </sheetPr>
  <dimension ref="A1:L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5.90909090909091" customWidth="1" min="2" max="2"/>
    <col width="16" customWidth="1" min="3" max="3"/>
    <col width="20" customWidth="1" min="4" max="4"/>
    <col width="13" customWidth="1" min="5" max="5"/>
    <col width="17" customWidth="1" min="6" max="6"/>
    <col width="17" customWidth="1" min="7" max="7"/>
    <col width="17" customWidth="1" min="8" max="8"/>
    <col width="18" customWidth="1" min="9" max="9"/>
    <col width="13" customWidth="1" min="10" max="10"/>
    <col width="13" customWidth="1" min="11" max="11"/>
    <col width="15" customWidth="1" min="12" max="12"/>
  </cols>
  <sheetData>
    <row r="1" ht="26" customHeight="1">
      <c r="A1" s="44" t="inlineStr">
        <is>
          <t>R09 Payees</t>
        </is>
      </c>
      <c r="L1" s="45" t="inlineStr">
        <is>
          <t>Step 10 of 29</t>
        </is>
      </c>
    </row>
    <row r="2">
      <c r="A2" s="46" t="inlineStr">
        <is>
          <t>← Back to Load templates</t>
        </is>
      </c>
      <c r="B2" s="47" t="inlineStr">
        <is>
          <t>Step 10 of 29. Fill in one row per record below the column headers; the guide above each column says what to enter.</t>
        </is>
      </c>
      <c r="L2" s="48" t="inlineStr">
        <is>
          <t>Ask a question →</t>
        </is>
      </c>
    </row>
    <row r="3" outlineLevel="1" ht="15.5" customHeight="1">
      <c r="A3" s="49" t="inlineStr">
        <is>
          <t>Purpose</t>
        </is>
      </c>
      <c r="B3" s="50" t="inlineStr">
        <is>
          <t>One row per record of Payees as extracted from EBIX, Disbursement files. Key payee_code. Sent as the file R09_template.csv (CSV, header row as below) with its control file (row count, count of distinct keys).</t>
        </is>
      </c>
    </row>
    <row r="4" outlineLevel="1" ht="15.5" customHeight="1">
      <c r="A4" s="49" t="inlineStr">
        <is>
          <t>Provided by</t>
        </is>
      </c>
      <c r="B4" s="50" t="inlineStr">
        <is>
          <t>Disbursement data steward (to name); approved by Product Owner, Comptrollership - Disbursement; extracted by BDOI IT</t>
        </is>
      </c>
    </row>
    <row r="5" outlineLevel="1" ht="15.5" customHeight="1">
      <c r="A5" s="49" t="inlineStr">
        <is>
          <t>Due</t>
        </is>
      </c>
      <c r="B5" s="51" t="inlineStr">
        <is>
          <t>M3 (29 Jan 2027)</t>
        </is>
      </c>
    </row>
    <row r="6" outlineLevel="1" ht="15.5" customHeight="1">
      <c r="A6" s="49" t="inlineStr">
        <is>
          <t>How it is loaded</t>
        </is>
      </c>
      <c r="B6" s="50" t="inlineStr">
        <is>
          <t>Data migration object R09 (Conditional), layout R09 version 1, through the Migration Console; lands in: Payees (party and payee records, loaded by the payee migration)</t>
        </is>
      </c>
    </row>
    <row r="7" outlineLevel="1" ht="15.5" customHeight="1">
      <c r="A7" s="49" t="inlineStr">
        <is>
          <t>Source</t>
        </is>
      </c>
      <c r="B7" s="50" t="inlineStr">
        <is>
          <t>EBIX, Disbursement files</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SUMPRODUCT(((ROW($B$20:$B$220)&gt;20)+($B$20&lt;&gt;"SUP-0001")&gt;0)*(LEN($B$20:$B$220&amp;$C$20:$C$220&amp;$D$20:$D$220&amp;$E$20:$E$220&amp;$F$20:$F$220&amp;$G$20:$G$220&amp;$H$20:$H$220&amp;$I$20:$I$220&amp;$J$20:$J$220&amp;$K$20:$K$220&amp;$L$20:$L$220)&gt;0))</f>
        <v/>
      </c>
      <c r="D9" s="54" t="inlineStr">
        <is>
          <t>Mandatory cells missing</t>
        </is>
      </c>
      <c r="E9" s="55">
        <f>SUMPRODUCT(((ROW($B$20:$B$220)&gt;20)+($B$20&lt;&gt;"SUP-0001")&gt;0)*(LEN($B$20:$B$220&amp;$C$20:$C$220&amp;$D$20:$D$220&amp;$E$20:$E$220&amp;$F$20:$F$220&amp;$G$20:$G$220&amp;$H$20:$H$220&amp;$I$20:$I$220&amp;$J$20:$J$220&amp;$K$20:$K$220&amp;$L$20:$L$220)&gt;0)*(($B$20:$B$220="")+($C$20:$C$220="")+($D$20:$D$220="")+($H$20:$H$220="")+($I$20:$I$220="")+($J$20:$J$220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row>
    <row r="12" ht="30" customHeight="1">
      <c r="A12" s="59" t="inlineStr">
        <is>
          <t>BU review</t>
        </is>
      </c>
      <c r="B12" s="60" t="n"/>
      <c r="C12" s="60" t="n"/>
      <c r="D12" s="60" t="n"/>
      <c r="E12" s="60" t="n"/>
      <c r="F12" s="60" t="n"/>
      <c r="G12" s="60" t="n"/>
      <c r="H12" s="60" t="n"/>
      <c r="I12" s="60" t="n"/>
      <c r="J12" s="60" t="n"/>
      <c r="K12" s="60" t="n"/>
      <c r="L12" s="60" t="n"/>
    </row>
    <row r="13" ht="30" customHeight="1">
      <c r="A13" s="59" t="inlineStr">
        <is>
          <t>BU comment</t>
        </is>
      </c>
      <c r="B13" s="60" t="n"/>
      <c r="C13" s="60" t="n"/>
      <c r="D13" s="60" t="n"/>
      <c r="E13" s="60" t="n"/>
      <c r="F13" s="60" t="n"/>
      <c r="G13" s="60" t="n"/>
      <c r="H13" s="60" t="n"/>
      <c r="I13" s="60" t="n"/>
      <c r="J13" s="60" t="n"/>
      <c r="K13" s="60" t="n"/>
      <c r="L13" s="60" t="n"/>
    </row>
    <row r="14" ht="30" customHeight="1">
      <c r="A14" s="59" t="inlineStr">
        <is>
          <t>Check when loaded</t>
        </is>
      </c>
      <c r="B14" s="61" t="inlineStr">
        <is>
          <t>Unique</t>
        </is>
      </c>
      <c r="C14" s="61" t="inlineStr">
        <is>
          <t>In the list</t>
        </is>
      </c>
      <c r="D14" s="61" t="inlineStr">
        <is>
          <t>Not blank</t>
        </is>
      </c>
      <c r="E14" s="61" t="inlineStr">
        <is>
          <t>-</t>
        </is>
      </c>
      <c r="F14" s="61" t="inlineStr">
        <is>
          <t>Valid e-mail</t>
        </is>
      </c>
      <c r="G14" s="61" t="inlineStr">
        <is>
          <t>9 to 12 digits</t>
        </is>
      </c>
      <c r="H14" s="61" t="inlineStr">
        <is>
          <t>One of allowed_modes</t>
        </is>
      </c>
      <c r="I14" s="61" t="inlineStr">
        <is>
          <t>CTA</t>
        </is>
      </c>
      <c r="J14" s="61" t="inlineStr">
        <is>
          <t>Valid code</t>
        </is>
      </c>
      <c r="K14" s="61" t="inlineStr">
        <is>
          <t>Mapped</t>
        </is>
      </c>
      <c r="L14" s="61" t="inlineStr">
        <is>
          <t>Mandatory for CTA</t>
        </is>
      </c>
    </row>
    <row r="15" ht="30" customHeight="1">
      <c r="A15" s="59" t="inlineStr">
        <is>
          <t>Mandatory</t>
        </is>
      </c>
      <c r="B15" s="62" t="inlineStr">
        <is>
          <t>Yes</t>
        </is>
      </c>
      <c r="C15" s="62" t="inlineStr">
        <is>
          <t>Yes</t>
        </is>
      </c>
      <c r="D15" s="62" t="inlineStr">
        <is>
          <t>Yes</t>
        </is>
      </c>
      <c r="E15" s="61" t="inlineStr">
        <is>
          <t>No</t>
        </is>
      </c>
      <c r="F15" s="61" t="inlineStr">
        <is>
          <t>No</t>
        </is>
      </c>
      <c r="G15" s="61" t="inlineStr">
        <is>
          <t>No</t>
        </is>
      </c>
      <c r="H15" s="62" t="inlineStr">
        <is>
          <t>Yes</t>
        </is>
      </c>
      <c r="I15" s="62" t="inlineStr">
        <is>
          <t>Yes</t>
        </is>
      </c>
      <c r="J15" s="62" t="inlineStr">
        <is>
          <t>Yes</t>
        </is>
      </c>
      <c r="K15" s="61" t="inlineStr">
        <is>
          <t>No</t>
        </is>
      </c>
      <c r="L15" s="61" t="inlineStr">
        <is>
          <t>Conditional: Mandatory for CTA</t>
        </is>
      </c>
    </row>
    <row r="16" ht="30" customHeight="1">
      <c r="A16" s="59" t="inlineStr">
        <is>
          <t>Format</t>
        </is>
      </c>
      <c r="B16" s="61" t="inlineStr">
        <is>
          <t>Code, up to 30; As stored in legacy</t>
        </is>
      </c>
      <c r="C16" s="61" t="inlineStr">
        <is>
          <t>Code, up to 20; Upper case</t>
        </is>
      </c>
      <c r="D16" s="61" t="inlineStr">
        <is>
          <t>Text, up to 250; Free text</t>
        </is>
      </c>
      <c r="E16" s="61" t="inlineStr">
        <is>
          <t>Text, up to 300; Free text</t>
        </is>
      </c>
      <c r="F16" s="61" t="inlineStr">
        <is>
          <t>Text, up to 120; name@domain</t>
        </is>
      </c>
      <c r="G16" s="61" t="inlineStr">
        <is>
          <t>Text, up to 20; 000-000-000-000</t>
        </is>
      </c>
      <c r="H16" s="61" t="inlineStr">
        <is>
          <t>Code, up to 20; Upper case</t>
        </is>
      </c>
      <c r="I16" s="61" t="inlineStr">
        <is>
          <t>Text, up to 100; MODE\</t>
        </is>
      </c>
      <c r="J16" s="61" t="inlineStr">
        <is>
          <t>Code, up to 3; Upper case</t>
        </is>
      </c>
      <c r="K16" s="61" t="inlineStr">
        <is>
          <t>Text, up to 120; Free text</t>
        </is>
      </c>
      <c r="L16" s="61" t="inlineStr">
        <is>
          <t>Text, up to 40; Digits</t>
        </is>
      </c>
    </row>
    <row r="17" ht="69" customHeight="1">
      <c r="A17" s="59" t="inlineStr">
        <is>
          <t>Allowed values</t>
        </is>
      </c>
      <c r="B17" s="61" t="inlineStr">
        <is>
          <t>Free entry, up to 30 characters</t>
        </is>
      </c>
      <c r="C17" s="61" t="inlineStr">
        <is>
          <t>LOV PAYEE_CLASS</t>
        </is>
      </c>
      <c r="D17" s="61" t="inlineStr">
        <is>
          <t>Free entry, up to 250 characters</t>
        </is>
      </c>
      <c r="E17" s="61" t="inlineStr">
        <is>
          <t>Free entry, up to 300 characters</t>
        </is>
      </c>
      <c r="F17" s="61" t="inlineStr">
        <is>
          <t>Free entry, up to 120 characters</t>
        </is>
      </c>
      <c r="G17" s="61" t="inlineStr">
        <is>
          <t>Free entry, up to 20 characters</t>
        </is>
      </c>
      <c r="H17" s="69" t="inlineStr">
        <is>
          <t>List R09 default_mode: 7 values, see Reference lists</t>
        </is>
      </c>
      <c r="I17" s="61" t="inlineStr">
        <is>
          <t>Same list as default_mode</t>
        </is>
      </c>
      <c r="J17" s="61" t="inlineStr">
        <is>
          <t>ISO 4217</t>
        </is>
      </c>
      <c r="K17" s="69" t="inlineStr">
        <is>
          <t>The legacy code; mapped by the code map BANK (sheet Code maps)</t>
        </is>
      </c>
      <c r="L17" s="61" t="inlineStr">
        <is>
          <t>Free entry, up to 40 characters</t>
        </is>
      </c>
    </row>
    <row r="18" ht="43" customHeight="1">
      <c r="A18" s="59" t="inlineStr">
        <is>
          <t>What to enter</t>
        </is>
      </c>
      <c r="B18" s="61" t="inlineStr">
        <is>
          <t>Legacy payee code</t>
        </is>
      </c>
      <c r="C18" s="61" t="inlineStr">
        <is>
          <t>Payee class</t>
        </is>
      </c>
      <c r="D18" s="61" t="inlineStr">
        <is>
          <t>Payee name</t>
        </is>
      </c>
      <c r="E18" s="61" t="inlineStr">
        <is>
          <t>Address</t>
        </is>
      </c>
      <c r="F18" s="61" t="inlineStr">
        <is>
          <t>E-mail for payment advices</t>
        </is>
      </c>
      <c r="G18" s="61" t="inlineStr">
        <is>
          <t>Tax identification number</t>
        </is>
      </c>
      <c r="H18" s="61" t="inlineStr">
        <is>
          <t>Default payment mode</t>
        </is>
      </c>
      <c r="I18" s="61" t="inlineStr">
        <is>
          <t>Allowed payment modes separated by a vertical bar</t>
        </is>
      </c>
      <c r="J18" s="61" t="inlineStr">
        <is>
          <t>Currency</t>
        </is>
      </c>
      <c r="K18" s="61" t="inlineStr">
        <is>
          <t>Bank of the payee account</t>
        </is>
      </c>
      <c r="L18" s="61" t="inlineStr">
        <is>
          <t>Payee account number</t>
        </is>
      </c>
    </row>
    <row r="19" ht="30" customHeight="1">
      <c r="A19" s="63" t="inlineStr">
        <is>
          <t>Row</t>
        </is>
      </c>
      <c r="B19" s="24" t="inlineStr">
        <is>
          <t>payee_code *</t>
        </is>
      </c>
      <c r="C19" s="24" t="inlineStr">
        <is>
          <t>payee_class *</t>
        </is>
      </c>
      <c r="D19" s="24" t="inlineStr">
        <is>
          <t>name *</t>
        </is>
      </c>
      <c r="E19" s="24" t="inlineStr">
        <is>
          <t>address</t>
        </is>
      </c>
      <c r="F19" s="24" t="inlineStr">
        <is>
          <t>email</t>
        </is>
      </c>
      <c r="G19" s="24" t="inlineStr">
        <is>
          <t>tin</t>
        </is>
      </c>
      <c r="H19" s="24" t="inlineStr">
        <is>
          <t>default_mode *</t>
        </is>
      </c>
      <c r="I19" s="24" t="inlineStr">
        <is>
          <t>allowed_modes *</t>
        </is>
      </c>
      <c r="J19" s="24" t="inlineStr">
        <is>
          <t>currency *</t>
        </is>
      </c>
      <c r="K19" s="24" t="inlineStr">
        <is>
          <t>bank</t>
        </is>
      </c>
      <c r="L19" s="24" t="inlineStr">
        <is>
          <t>account_no</t>
        </is>
      </c>
    </row>
    <row r="20" ht="18" customHeight="1">
      <c r="A20" s="64" t="inlineStr">
        <is>
          <t>Example – overwrite or delete</t>
        </is>
      </c>
      <c r="B20" s="65" t="inlineStr">
        <is>
          <t>SUP-0001</t>
        </is>
      </c>
      <c r="C20" s="65" t="inlineStr">
        <is>
          <t>SUPPLIER</t>
        </is>
      </c>
      <c r="D20" s="65" t="inlineStr">
        <is>
          <t>Acme Office Supply</t>
        </is>
      </c>
      <c r="E20" s="65" t="inlineStr">
        <is>
          <t>Makati City</t>
        </is>
      </c>
      <c r="F20" s="65" t="inlineStr">
        <is>
          <t>ap@acme.example</t>
        </is>
      </c>
      <c r="G20" s="65" t="inlineStr">
        <is>
          <t>123-456-789-000</t>
        </is>
      </c>
      <c r="H20" s="65" t="inlineStr">
        <is>
          <t>CHECK</t>
        </is>
      </c>
      <c r="I20" s="65" t="inlineStr">
        <is>
          <t>MODE</t>
        </is>
      </c>
      <c r="J20" s="65" t="inlineStr">
        <is>
          <t>PHP</t>
        </is>
      </c>
      <c r="K20" s="65" t="inlineStr">
        <is>
          <t>BDO Unibank</t>
        </is>
      </c>
      <c r="L20" s="65" t="inlineStr">
        <is>
          <t>001234567890</t>
        </is>
      </c>
    </row>
    <row r="21">
      <c r="B21" s="67" t="n"/>
      <c r="C21" s="67" t="n"/>
      <c r="D21" s="67" t="n"/>
      <c r="E21" s="67" t="n"/>
      <c r="F21" s="67" t="n"/>
      <c r="G21" s="67" t="n"/>
      <c r="H21" s="67" t="n"/>
      <c r="I21" s="67" t="n"/>
      <c r="J21" s="67" t="n"/>
      <c r="K21" s="67" t="n"/>
      <c r="L21" s="67" t="n"/>
    </row>
    <row r="22">
      <c r="B22" s="67" t="n"/>
      <c r="C22" s="67" t="n"/>
      <c r="D22" s="67" t="n"/>
      <c r="E22" s="67" t="n"/>
      <c r="F22" s="67" t="n"/>
      <c r="G22" s="67" t="n"/>
      <c r="H22" s="67" t="n"/>
      <c r="I22" s="67" t="n"/>
      <c r="J22" s="67" t="n"/>
      <c r="K22" s="67" t="n"/>
      <c r="L22" s="67" t="n"/>
    </row>
    <row r="23">
      <c r="B23" s="67" t="n"/>
      <c r="C23" s="67" t="n"/>
      <c r="D23" s="67" t="n"/>
      <c r="E23" s="67" t="n"/>
      <c r="F23" s="67" t="n"/>
      <c r="G23" s="67" t="n"/>
      <c r="H23" s="67" t="n"/>
      <c r="I23" s="67" t="n"/>
      <c r="J23" s="67" t="n"/>
      <c r="K23" s="67" t="n"/>
      <c r="L23" s="67" t="n"/>
    </row>
    <row r="24">
      <c r="B24" s="67" t="n"/>
      <c r="C24" s="67" t="n"/>
      <c r="D24" s="67" t="n"/>
      <c r="E24" s="67" t="n"/>
      <c r="F24" s="67" t="n"/>
      <c r="G24" s="67" t="n"/>
      <c r="H24" s="67" t="n"/>
      <c r="I24" s="67" t="n"/>
      <c r="J24" s="67" t="n"/>
      <c r="K24" s="67" t="n"/>
      <c r="L24" s="67" t="n"/>
    </row>
    <row r="25">
      <c r="B25" s="67" t="n"/>
      <c r="C25" s="67" t="n"/>
      <c r="D25" s="67" t="n"/>
      <c r="E25" s="67" t="n"/>
      <c r="F25" s="67" t="n"/>
      <c r="G25" s="67" t="n"/>
      <c r="H25" s="67" t="n"/>
      <c r="I25" s="67" t="n"/>
      <c r="J25" s="67" t="n"/>
      <c r="K25" s="67" t="n"/>
      <c r="L25" s="67" t="n"/>
    </row>
    <row r="26">
      <c r="B26" s="67" t="n"/>
      <c r="C26" s="67" t="n"/>
      <c r="D26" s="67" t="n"/>
      <c r="E26" s="67" t="n"/>
      <c r="F26" s="67" t="n"/>
      <c r="G26" s="67" t="n"/>
      <c r="H26" s="67" t="n"/>
      <c r="I26" s="67" t="n"/>
      <c r="J26" s="67" t="n"/>
      <c r="K26" s="67" t="n"/>
      <c r="L26" s="67" t="n"/>
    </row>
    <row r="27">
      <c r="B27" s="67" t="n"/>
      <c r="C27" s="67" t="n"/>
      <c r="D27" s="67" t="n"/>
      <c r="E27" s="67" t="n"/>
      <c r="F27" s="67" t="n"/>
      <c r="G27" s="67" t="n"/>
      <c r="H27" s="67" t="n"/>
      <c r="I27" s="67" t="n"/>
      <c r="J27" s="67" t="n"/>
      <c r="K27" s="67" t="n"/>
      <c r="L27" s="67" t="n"/>
    </row>
    <row r="28">
      <c r="B28" s="67" t="n"/>
      <c r="C28" s="67" t="n"/>
      <c r="D28" s="67" t="n"/>
      <c r="E28" s="67" t="n"/>
      <c r="F28" s="67" t="n"/>
      <c r="G28" s="67" t="n"/>
      <c r="H28" s="67" t="n"/>
      <c r="I28" s="67" t="n"/>
      <c r="J28" s="67" t="n"/>
      <c r="K28" s="67" t="n"/>
      <c r="L28" s="67" t="n"/>
    </row>
    <row r="29">
      <c r="B29" s="67" t="n"/>
      <c r="C29" s="67" t="n"/>
      <c r="D29" s="67" t="n"/>
      <c r="E29" s="67" t="n"/>
      <c r="F29" s="67" t="n"/>
      <c r="G29" s="67" t="n"/>
      <c r="H29" s="67" t="n"/>
      <c r="I29" s="67" t="n"/>
      <c r="J29" s="67" t="n"/>
      <c r="K29" s="67" t="n"/>
      <c r="L29" s="67" t="n"/>
    </row>
    <row r="30">
      <c r="B30" s="67" t="n"/>
      <c r="C30" s="67" t="n"/>
      <c r="D30" s="67" t="n"/>
      <c r="E30" s="67" t="n"/>
      <c r="F30" s="67" t="n"/>
      <c r="G30" s="67" t="n"/>
      <c r="H30" s="67" t="n"/>
      <c r="I30" s="67" t="n"/>
      <c r="J30" s="67" t="n"/>
      <c r="K30" s="67" t="n"/>
      <c r="L30" s="67" t="n"/>
    </row>
    <row r="31">
      <c r="B31" s="67" t="n"/>
      <c r="C31" s="67" t="n"/>
      <c r="D31" s="67" t="n"/>
      <c r="E31" s="67" t="n"/>
      <c r="F31" s="67" t="n"/>
      <c r="G31" s="67" t="n"/>
      <c r="H31" s="67" t="n"/>
      <c r="I31" s="67" t="n"/>
      <c r="J31" s="67" t="n"/>
      <c r="K31" s="67" t="n"/>
      <c r="L31" s="67" t="n"/>
    </row>
    <row r="32">
      <c r="B32" s="67" t="n"/>
      <c r="C32" s="67" t="n"/>
      <c r="D32" s="67" t="n"/>
      <c r="E32" s="67" t="n"/>
      <c r="F32" s="67" t="n"/>
      <c r="G32" s="67" t="n"/>
      <c r="H32" s="67" t="n"/>
      <c r="I32" s="67" t="n"/>
      <c r="J32" s="67" t="n"/>
      <c r="K32" s="67" t="n"/>
      <c r="L32" s="67" t="n"/>
    </row>
    <row r="33">
      <c r="B33" s="67" t="n"/>
      <c r="C33" s="67" t="n"/>
      <c r="D33" s="67" t="n"/>
      <c r="E33" s="67" t="n"/>
      <c r="F33" s="67" t="n"/>
      <c r="G33" s="67" t="n"/>
      <c r="H33" s="67" t="n"/>
      <c r="I33" s="67" t="n"/>
      <c r="J33" s="67" t="n"/>
      <c r="K33" s="67" t="n"/>
      <c r="L33" s="67" t="n"/>
    </row>
    <row r="34">
      <c r="B34" s="67" t="n"/>
      <c r="C34" s="67" t="n"/>
      <c r="D34" s="67" t="n"/>
      <c r="E34" s="67" t="n"/>
      <c r="F34" s="67" t="n"/>
      <c r="G34" s="67" t="n"/>
      <c r="H34" s="67" t="n"/>
      <c r="I34" s="67" t="n"/>
      <c r="J34" s="67" t="n"/>
      <c r="K34" s="67" t="n"/>
      <c r="L34" s="67" t="n"/>
    </row>
    <row r="35">
      <c r="B35" s="67" t="n"/>
      <c r="C35" s="67" t="n"/>
      <c r="D35" s="67" t="n"/>
      <c r="E35" s="67" t="n"/>
      <c r="F35" s="67" t="n"/>
      <c r="G35" s="67" t="n"/>
      <c r="H35" s="67" t="n"/>
      <c r="I35" s="67" t="n"/>
      <c r="J35" s="67" t="n"/>
      <c r="K35" s="67" t="n"/>
      <c r="L35" s="67" t="n"/>
    </row>
    <row r="36">
      <c r="B36" s="67" t="n"/>
      <c r="C36" s="67" t="n"/>
      <c r="D36" s="67" t="n"/>
      <c r="E36" s="67" t="n"/>
      <c r="F36" s="67" t="n"/>
      <c r="G36" s="67" t="n"/>
      <c r="H36" s="67" t="n"/>
      <c r="I36" s="67" t="n"/>
      <c r="J36" s="67" t="n"/>
      <c r="K36" s="67" t="n"/>
      <c r="L36" s="67" t="n"/>
    </row>
    <row r="37">
      <c r="B37" s="67" t="n"/>
      <c r="C37" s="67" t="n"/>
      <c r="D37" s="67" t="n"/>
      <c r="E37" s="67" t="n"/>
      <c r="F37" s="67" t="n"/>
      <c r="G37" s="67" t="n"/>
      <c r="H37" s="67" t="n"/>
      <c r="I37" s="67" t="n"/>
      <c r="J37" s="67" t="n"/>
      <c r="K37" s="67" t="n"/>
      <c r="L37" s="67" t="n"/>
    </row>
    <row r="38">
      <c r="B38" s="67" t="n"/>
      <c r="C38" s="67" t="n"/>
      <c r="D38" s="67" t="n"/>
      <c r="E38" s="67" t="n"/>
      <c r="F38" s="67" t="n"/>
      <c r="G38" s="67" t="n"/>
      <c r="H38" s="67" t="n"/>
      <c r="I38" s="67" t="n"/>
      <c r="J38" s="67" t="n"/>
      <c r="K38" s="67" t="n"/>
      <c r="L38" s="67" t="n"/>
    </row>
    <row r="39">
      <c r="B39" s="67" t="n"/>
      <c r="C39" s="67" t="n"/>
      <c r="D39" s="67" t="n"/>
      <c r="E39" s="67" t="n"/>
      <c r="F39" s="67" t="n"/>
      <c r="G39" s="67" t="n"/>
      <c r="H39" s="67" t="n"/>
      <c r="I39" s="67" t="n"/>
      <c r="J39" s="67" t="n"/>
      <c r="K39" s="67" t="n"/>
      <c r="L39" s="67" t="n"/>
    </row>
    <row r="40">
      <c r="B40" s="67" t="n"/>
      <c r="C40" s="67" t="n"/>
      <c r="D40" s="67" t="n"/>
      <c r="E40" s="67" t="n"/>
      <c r="F40" s="67" t="n"/>
      <c r="G40" s="67" t="n"/>
      <c r="H40" s="67" t="n"/>
      <c r="I40" s="67" t="n"/>
      <c r="J40" s="67" t="n"/>
      <c r="K40" s="67" t="n"/>
      <c r="L40" s="67" t="n"/>
    </row>
    <row r="41">
      <c r="B41" s="67" t="n"/>
      <c r="C41" s="67" t="n"/>
      <c r="D41" s="67" t="n"/>
      <c r="E41" s="67" t="n"/>
      <c r="F41" s="67" t="n"/>
      <c r="G41" s="67" t="n"/>
      <c r="H41" s="67" t="n"/>
      <c r="I41" s="67" t="n"/>
      <c r="J41" s="67" t="n"/>
      <c r="K41" s="67" t="n"/>
      <c r="L41" s="67" t="n"/>
    </row>
    <row r="42">
      <c r="B42" s="67" t="n"/>
      <c r="C42" s="67" t="n"/>
      <c r="D42" s="67" t="n"/>
      <c r="E42" s="67" t="n"/>
      <c r="F42" s="67" t="n"/>
      <c r="G42" s="67" t="n"/>
      <c r="H42" s="67" t="n"/>
      <c r="I42" s="67" t="n"/>
      <c r="J42" s="67" t="n"/>
      <c r="K42" s="67" t="n"/>
      <c r="L42" s="67" t="n"/>
    </row>
    <row r="43">
      <c r="B43" s="67" t="n"/>
      <c r="C43" s="67" t="n"/>
      <c r="D43" s="67" t="n"/>
      <c r="E43" s="67" t="n"/>
      <c r="F43" s="67" t="n"/>
      <c r="G43" s="67" t="n"/>
      <c r="H43" s="67" t="n"/>
      <c r="I43" s="67" t="n"/>
      <c r="J43" s="67" t="n"/>
      <c r="K43" s="67" t="n"/>
      <c r="L43" s="67" t="n"/>
    </row>
    <row r="44">
      <c r="B44" s="67" t="n"/>
      <c r="C44" s="67" t="n"/>
      <c r="D44" s="67" t="n"/>
      <c r="E44" s="67" t="n"/>
      <c r="F44" s="67" t="n"/>
      <c r="G44" s="67" t="n"/>
      <c r="H44" s="67" t="n"/>
      <c r="I44" s="67" t="n"/>
      <c r="J44" s="67" t="n"/>
      <c r="K44" s="67" t="n"/>
      <c r="L44" s="67" t="n"/>
    </row>
    <row r="45">
      <c r="B45" s="67" t="n"/>
      <c r="C45" s="67" t="n"/>
      <c r="D45" s="67" t="n"/>
      <c r="E45" s="67" t="n"/>
      <c r="F45" s="67" t="n"/>
      <c r="G45" s="67" t="n"/>
      <c r="H45" s="67" t="n"/>
      <c r="I45" s="67" t="n"/>
      <c r="J45" s="67" t="n"/>
      <c r="K45" s="67" t="n"/>
      <c r="L45" s="67" t="n"/>
    </row>
    <row r="46">
      <c r="B46" s="67" t="n"/>
      <c r="C46" s="67" t="n"/>
      <c r="D46" s="67" t="n"/>
      <c r="E46" s="67" t="n"/>
      <c r="F46" s="67" t="n"/>
      <c r="G46" s="67" t="n"/>
      <c r="H46" s="67" t="n"/>
      <c r="I46" s="67" t="n"/>
      <c r="J46" s="67" t="n"/>
      <c r="K46" s="67" t="n"/>
      <c r="L46" s="67" t="n"/>
    </row>
    <row r="47">
      <c r="B47" s="67" t="n"/>
      <c r="C47" s="67" t="n"/>
      <c r="D47" s="67" t="n"/>
      <c r="E47" s="67" t="n"/>
      <c r="F47" s="67" t="n"/>
      <c r="G47" s="67" t="n"/>
      <c r="H47" s="67" t="n"/>
      <c r="I47" s="67" t="n"/>
      <c r="J47" s="67" t="n"/>
      <c r="K47" s="67" t="n"/>
      <c r="L47" s="67" t="n"/>
    </row>
    <row r="48">
      <c r="B48" s="67" t="n"/>
      <c r="C48" s="67" t="n"/>
      <c r="D48" s="67" t="n"/>
      <c r="E48" s="67" t="n"/>
      <c r="F48" s="67" t="n"/>
      <c r="G48" s="67" t="n"/>
      <c r="H48" s="67" t="n"/>
      <c r="I48" s="67" t="n"/>
      <c r="J48" s="67" t="n"/>
      <c r="K48" s="67" t="n"/>
      <c r="L48" s="67" t="n"/>
    </row>
    <row r="49">
      <c r="B49" s="67" t="n"/>
      <c r="C49" s="67" t="n"/>
      <c r="D49" s="67" t="n"/>
      <c r="E49" s="67" t="n"/>
      <c r="F49" s="67" t="n"/>
      <c r="G49" s="67" t="n"/>
      <c r="H49" s="67" t="n"/>
      <c r="I49" s="67" t="n"/>
      <c r="J49" s="67" t="n"/>
      <c r="K49" s="67" t="n"/>
      <c r="L49" s="67" t="n"/>
    </row>
    <row r="50">
      <c r="B50" s="67" t="n"/>
      <c r="C50" s="67" t="n"/>
      <c r="D50" s="67" t="n"/>
      <c r="E50" s="67" t="n"/>
      <c r="F50" s="67" t="n"/>
      <c r="G50" s="67" t="n"/>
      <c r="H50" s="67" t="n"/>
      <c r="I50" s="67" t="n"/>
      <c r="J50" s="67" t="n"/>
      <c r="K50" s="67" t="n"/>
      <c r="L50" s="67" t="n"/>
    </row>
    <row r="51">
      <c r="B51" s="67" t="n"/>
      <c r="C51" s="67" t="n"/>
      <c r="D51" s="67" t="n"/>
      <c r="E51" s="67" t="n"/>
      <c r="F51" s="67" t="n"/>
      <c r="G51" s="67" t="n"/>
      <c r="H51" s="67" t="n"/>
      <c r="I51" s="67" t="n"/>
      <c r="J51" s="67" t="n"/>
      <c r="K51" s="67" t="n"/>
      <c r="L51" s="67" t="n"/>
    </row>
    <row r="52">
      <c r="B52" s="67" t="n"/>
      <c r="C52" s="67" t="n"/>
      <c r="D52" s="67" t="n"/>
      <c r="E52" s="67" t="n"/>
      <c r="F52" s="67" t="n"/>
      <c r="G52" s="67" t="n"/>
      <c r="H52" s="67" t="n"/>
      <c r="I52" s="67" t="n"/>
      <c r="J52" s="67" t="n"/>
      <c r="K52" s="67" t="n"/>
      <c r="L52" s="67" t="n"/>
    </row>
    <row r="53">
      <c r="B53" s="67" t="n"/>
      <c r="C53" s="67" t="n"/>
      <c r="D53" s="67" t="n"/>
      <c r="E53" s="67" t="n"/>
      <c r="F53" s="67" t="n"/>
      <c r="G53" s="67" t="n"/>
      <c r="H53" s="67" t="n"/>
      <c r="I53" s="67" t="n"/>
      <c r="J53" s="67" t="n"/>
      <c r="K53" s="67" t="n"/>
      <c r="L53" s="67" t="n"/>
    </row>
    <row r="54">
      <c r="B54" s="67" t="n"/>
      <c r="C54" s="67" t="n"/>
      <c r="D54" s="67" t="n"/>
      <c r="E54" s="67" t="n"/>
      <c r="F54" s="67" t="n"/>
      <c r="G54" s="67" t="n"/>
      <c r="H54" s="67" t="n"/>
      <c r="I54" s="67" t="n"/>
      <c r="J54" s="67" t="n"/>
      <c r="K54" s="67" t="n"/>
      <c r="L54" s="67" t="n"/>
    </row>
    <row r="55">
      <c r="B55" s="67" t="n"/>
      <c r="C55" s="67" t="n"/>
      <c r="D55" s="67" t="n"/>
      <c r="E55" s="67" t="n"/>
      <c r="F55" s="67" t="n"/>
      <c r="G55" s="67" t="n"/>
      <c r="H55" s="67" t="n"/>
      <c r="I55" s="67" t="n"/>
      <c r="J55" s="67" t="n"/>
      <c r="K55" s="67" t="n"/>
      <c r="L55" s="67" t="n"/>
    </row>
    <row r="56">
      <c r="B56" s="67" t="n"/>
      <c r="C56" s="67" t="n"/>
      <c r="D56" s="67" t="n"/>
      <c r="E56" s="67" t="n"/>
      <c r="F56" s="67" t="n"/>
      <c r="G56" s="67" t="n"/>
      <c r="H56" s="67" t="n"/>
      <c r="I56" s="67" t="n"/>
      <c r="J56" s="67" t="n"/>
      <c r="K56" s="67" t="n"/>
      <c r="L56" s="67" t="n"/>
    </row>
    <row r="57">
      <c r="B57" s="67" t="n"/>
      <c r="C57" s="67" t="n"/>
      <c r="D57" s="67" t="n"/>
      <c r="E57" s="67" t="n"/>
      <c r="F57" s="67" t="n"/>
      <c r="G57" s="67" t="n"/>
      <c r="H57" s="67" t="n"/>
      <c r="I57" s="67" t="n"/>
      <c r="J57" s="67" t="n"/>
      <c r="K57" s="67" t="n"/>
      <c r="L57" s="67" t="n"/>
    </row>
    <row r="58">
      <c r="B58" s="67" t="n"/>
      <c r="C58" s="67" t="n"/>
      <c r="D58" s="67" t="n"/>
      <c r="E58" s="67" t="n"/>
      <c r="F58" s="67" t="n"/>
      <c r="G58" s="67" t="n"/>
      <c r="H58" s="67" t="n"/>
      <c r="I58" s="67" t="n"/>
      <c r="J58" s="67" t="n"/>
      <c r="K58" s="67" t="n"/>
      <c r="L58" s="67" t="n"/>
    </row>
    <row r="59">
      <c r="B59" s="67" t="n"/>
      <c r="C59" s="67" t="n"/>
      <c r="D59" s="67" t="n"/>
      <c r="E59" s="67" t="n"/>
      <c r="F59" s="67" t="n"/>
      <c r="G59" s="67" t="n"/>
      <c r="H59" s="67" t="n"/>
      <c r="I59" s="67" t="n"/>
      <c r="J59" s="67" t="n"/>
      <c r="K59" s="67" t="n"/>
      <c r="L59" s="67" t="n"/>
    </row>
    <row r="60">
      <c r="B60" s="67" t="n"/>
      <c r="C60" s="67" t="n"/>
      <c r="D60" s="67" t="n"/>
      <c r="E60" s="67" t="n"/>
      <c r="F60" s="67" t="n"/>
      <c r="G60" s="67" t="n"/>
      <c r="H60" s="67" t="n"/>
      <c r="I60" s="67" t="n"/>
      <c r="J60" s="67" t="n"/>
      <c r="K60" s="67" t="n"/>
      <c r="L60" s="67" t="n"/>
    </row>
    <row r="61">
      <c r="B61" s="67" t="n"/>
      <c r="C61" s="67" t="n"/>
      <c r="D61" s="67" t="n"/>
      <c r="E61" s="67" t="n"/>
      <c r="F61" s="67" t="n"/>
      <c r="G61" s="67" t="n"/>
      <c r="H61" s="67" t="n"/>
      <c r="I61" s="67" t="n"/>
      <c r="J61" s="67" t="n"/>
      <c r="K61" s="67" t="n"/>
      <c r="L61" s="67" t="n"/>
    </row>
    <row r="62">
      <c r="B62" s="67" t="n"/>
      <c r="C62" s="67" t="n"/>
      <c r="D62" s="67" t="n"/>
      <c r="E62" s="67" t="n"/>
      <c r="F62" s="67" t="n"/>
      <c r="G62" s="67" t="n"/>
      <c r="H62" s="67" t="n"/>
      <c r="I62" s="67" t="n"/>
      <c r="J62" s="67" t="n"/>
      <c r="K62" s="67" t="n"/>
      <c r="L62" s="67" t="n"/>
    </row>
    <row r="63">
      <c r="B63" s="67" t="n"/>
      <c r="C63" s="67" t="n"/>
      <c r="D63" s="67" t="n"/>
      <c r="E63" s="67" t="n"/>
      <c r="F63" s="67" t="n"/>
      <c r="G63" s="67" t="n"/>
      <c r="H63" s="67" t="n"/>
      <c r="I63" s="67" t="n"/>
      <c r="J63" s="67" t="n"/>
      <c r="K63" s="67" t="n"/>
      <c r="L63" s="67" t="n"/>
    </row>
    <row r="64">
      <c r="B64" s="67" t="n"/>
      <c r="C64" s="67" t="n"/>
      <c r="D64" s="67" t="n"/>
      <c r="E64" s="67" t="n"/>
      <c r="F64" s="67" t="n"/>
      <c r="G64" s="67" t="n"/>
      <c r="H64" s="67" t="n"/>
      <c r="I64" s="67" t="n"/>
      <c r="J64" s="67" t="n"/>
      <c r="K64" s="67" t="n"/>
      <c r="L64" s="67" t="n"/>
    </row>
    <row r="65">
      <c r="B65" s="67" t="n"/>
      <c r="C65" s="67" t="n"/>
      <c r="D65" s="67" t="n"/>
      <c r="E65" s="67" t="n"/>
      <c r="F65" s="67" t="n"/>
      <c r="G65" s="67" t="n"/>
      <c r="H65" s="67" t="n"/>
      <c r="I65" s="67" t="n"/>
      <c r="J65" s="67" t="n"/>
      <c r="K65" s="67" t="n"/>
      <c r="L65" s="67" t="n"/>
    </row>
    <row r="66">
      <c r="B66" s="67" t="n"/>
      <c r="C66" s="67" t="n"/>
      <c r="D66" s="67" t="n"/>
      <c r="E66" s="67" t="n"/>
      <c r="F66" s="67" t="n"/>
      <c r="G66" s="67" t="n"/>
      <c r="H66" s="67" t="n"/>
      <c r="I66" s="67" t="n"/>
      <c r="J66" s="67" t="n"/>
      <c r="K66" s="67" t="n"/>
      <c r="L66" s="67" t="n"/>
    </row>
    <row r="67">
      <c r="B67" s="67" t="n"/>
      <c r="C67" s="67" t="n"/>
      <c r="D67" s="67" t="n"/>
      <c r="E67" s="67" t="n"/>
      <c r="F67" s="67" t="n"/>
      <c r="G67" s="67" t="n"/>
      <c r="H67" s="67" t="n"/>
      <c r="I67" s="67" t="n"/>
      <c r="J67" s="67" t="n"/>
      <c r="K67" s="67" t="n"/>
      <c r="L67" s="67" t="n"/>
    </row>
    <row r="68">
      <c r="B68" s="67" t="n"/>
      <c r="C68" s="67" t="n"/>
      <c r="D68" s="67" t="n"/>
      <c r="E68" s="67" t="n"/>
      <c r="F68" s="67" t="n"/>
      <c r="G68" s="67" t="n"/>
      <c r="H68" s="67" t="n"/>
      <c r="I68" s="67" t="n"/>
      <c r="J68" s="67" t="n"/>
      <c r="K68" s="67" t="n"/>
      <c r="L68" s="67" t="n"/>
    </row>
    <row r="69">
      <c r="B69" s="67" t="n"/>
      <c r="C69" s="67" t="n"/>
      <c r="D69" s="67" t="n"/>
      <c r="E69" s="67" t="n"/>
      <c r="F69" s="67" t="n"/>
      <c r="G69" s="67" t="n"/>
      <c r="H69" s="67" t="n"/>
      <c r="I69" s="67" t="n"/>
      <c r="J69" s="67" t="n"/>
      <c r="K69" s="67" t="n"/>
      <c r="L69" s="67" t="n"/>
    </row>
    <row r="70">
      <c r="B70" s="67" t="n"/>
      <c r="C70" s="67" t="n"/>
      <c r="D70" s="67" t="n"/>
      <c r="E70" s="67" t="n"/>
      <c r="F70" s="67" t="n"/>
      <c r="G70" s="67" t="n"/>
      <c r="H70" s="67" t="n"/>
      <c r="I70" s="67" t="n"/>
      <c r="J70" s="67" t="n"/>
      <c r="K70" s="67" t="n"/>
      <c r="L70" s="67" t="n"/>
    </row>
    <row r="71">
      <c r="B71" s="67" t="n"/>
      <c r="C71" s="67" t="n"/>
      <c r="D71" s="67" t="n"/>
      <c r="E71" s="67" t="n"/>
      <c r="F71" s="67" t="n"/>
      <c r="G71" s="67" t="n"/>
      <c r="H71" s="67" t="n"/>
      <c r="I71" s="67" t="n"/>
      <c r="J71" s="67" t="n"/>
      <c r="K71" s="67" t="n"/>
      <c r="L71" s="67" t="n"/>
    </row>
    <row r="72">
      <c r="B72" s="67" t="n"/>
      <c r="C72" s="67" t="n"/>
      <c r="D72" s="67" t="n"/>
      <c r="E72" s="67" t="n"/>
      <c r="F72" s="67" t="n"/>
      <c r="G72" s="67" t="n"/>
      <c r="H72" s="67" t="n"/>
      <c r="I72" s="67" t="n"/>
      <c r="J72" s="67" t="n"/>
      <c r="K72" s="67" t="n"/>
      <c r="L72" s="67" t="n"/>
    </row>
    <row r="73">
      <c r="B73" s="67" t="n"/>
      <c r="C73" s="67" t="n"/>
      <c r="D73" s="67" t="n"/>
      <c r="E73" s="67" t="n"/>
      <c r="F73" s="67" t="n"/>
      <c r="G73" s="67" t="n"/>
      <c r="H73" s="67" t="n"/>
      <c r="I73" s="67" t="n"/>
      <c r="J73" s="67" t="n"/>
      <c r="K73" s="67" t="n"/>
      <c r="L73" s="67" t="n"/>
    </row>
    <row r="74">
      <c r="B74" s="67" t="n"/>
      <c r="C74" s="67" t="n"/>
      <c r="D74" s="67" t="n"/>
      <c r="E74" s="67" t="n"/>
      <c r="F74" s="67" t="n"/>
      <c r="G74" s="67" t="n"/>
      <c r="H74" s="67" t="n"/>
      <c r="I74" s="67" t="n"/>
      <c r="J74" s="67" t="n"/>
      <c r="K74" s="67" t="n"/>
      <c r="L74" s="67" t="n"/>
    </row>
    <row r="75">
      <c r="B75" s="67" t="n"/>
      <c r="C75" s="67" t="n"/>
      <c r="D75" s="67" t="n"/>
      <c r="E75" s="67" t="n"/>
      <c r="F75" s="67" t="n"/>
      <c r="G75" s="67" t="n"/>
      <c r="H75" s="67" t="n"/>
      <c r="I75" s="67" t="n"/>
      <c r="J75" s="67" t="n"/>
      <c r="K75" s="67" t="n"/>
      <c r="L75" s="67" t="n"/>
    </row>
    <row r="76">
      <c r="B76" s="67" t="n"/>
      <c r="C76" s="67" t="n"/>
      <c r="D76" s="67" t="n"/>
      <c r="E76" s="67" t="n"/>
      <c r="F76" s="67" t="n"/>
      <c r="G76" s="67" t="n"/>
      <c r="H76" s="67" t="n"/>
      <c r="I76" s="67" t="n"/>
      <c r="J76" s="67" t="n"/>
      <c r="K76" s="67" t="n"/>
      <c r="L76" s="67" t="n"/>
    </row>
    <row r="77">
      <c r="B77" s="67" t="n"/>
      <c r="C77" s="67" t="n"/>
      <c r="D77" s="67" t="n"/>
      <c r="E77" s="67" t="n"/>
      <c r="F77" s="67" t="n"/>
      <c r="G77" s="67" t="n"/>
      <c r="H77" s="67" t="n"/>
      <c r="I77" s="67" t="n"/>
      <c r="J77" s="67" t="n"/>
      <c r="K77" s="67" t="n"/>
      <c r="L77" s="67" t="n"/>
    </row>
    <row r="78">
      <c r="B78" s="67" t="n"/>
      <c r="C78" s="67" t="n"/>
      <c r="D78" s="67" t="n"/>
      <c r="E78" s="67" t="n"/>
      <c r="F78" s="67" t="n"/>
      <c r="G78" s="67" t="n"/>
      <c r="H78" s="67" t="n"/>
      <c r="I78" s="67" t="n"/>
      <c r="J78" s="67" t="n"/>
      <c r="K78" s="67" t="n"/>
      <c r="L78" s="67" t="n"/>
    </row>
    <row r="79">
      <c r="B79" s="67" t="n"/>
      <c r="C79" s="67" t="n"/>
      <c r="D79" s="67" t="n"/>
      <c r="E79" s="67" t="n"/>
      <c r="F79" s="67" t="n"/>
      <c r="G79" s="67" t="n"/>
      <c r="H79" s="67" t="n"/>
      <c r="I79" s="67" t="n"/>
      <c r="J79" s="67" t="n"/>
      <c r="K79" s="67" t="n"/>
      <c r="L79" s="67" t="n"/>
    </row>
    <row r="80">
      <c r="B80" s="67" t="n"/>
      <c r="C80" s="67" t="n"/>
      <c r="D80" s="67" t="n"/>
      <c r="E80" s="67" t="n"/>
      <c r="F80" s="67" t="n"/>
      <c r="G80" s="67" t="n"/>
      <c r="H80" s="67" t="n"/>
      <c r="I80" s="67" t="n"/>
      <c r="J80" s="67" t="n"/>
      <c r="K80" s="67" t="n"/>
      <c r="L80" s="67" t="n"/>
    </row>
    <row r="81">
      <c r="B81" s="67" t="n"/>
      <c r="C81" s="67" t="n"/>
      <c r="D81" s="67" t="n"/>
      <c r="E81" s="67" t="n"/>
      <c r="F81" s="67" t="n"/>
      <c r="G81" s="67" t="n"/>
      <c r="H81" s="67" t="n"/>
      <c r="I81" s="67" t="n"/>
      <c r="J81" s="67" t="n"/>
      <c r="K81" s="67" t="n"/>
      <c r="L81" s="67" t="n"/>
    </row>
    <row r="82">
      <c r="B82" s="67" t="n"/>
      <c r="C82" s="67" t="n"/>
      <c r="D82" s="67" t="n"/>
      <c r="E82" s="67" t="n"/>
      <c r="F82" s="67" t="n"/>
      <c r="G82" s="67" t="n"/>
      <c r="H82" s="67" t="n"/>
      <c r="I82" s="67" t="n"/>
      <c r="J82" s="67" t="n"/>
      <c r="K82" s="67" t="n"/>
      <c r="L82" s="67" t="n"/>
    </row>
    <row r="83">
      <c r="B83" s="67" t="n"/>
      <c r="C83" s="67" t="n"/>
      <c r="D83" s="67" t="n"/>
      <c r="E83" s="67" t="n"/>
      <c r="F83" s="67" t="n"/>
      <c r="G83" s="67" t="n"/>
      <c r="H83" s="67" t="n"/>
      <c r="I83" s="67" t="n"/>
      <c r="J83" s="67" t="n"/>
      <c r="K83" s="67" t="n"/>
      <c r="L83" s="67" t="n"/>
    </row>
    <row r="84">
      <c r="B84" s="67" t="n"/>
      <c r="C84" s="67" t="n"/>
      <c r="D84" s="67" t="n"/>
      <c r="E84" s="67" t="n"/>
      <c r="F84" s="67" t="n"/>
      <c r="G84" s="67" t="n"/>
      <c r="H84" s="67" t="n"/>
      <c r="I84" s="67" t="n"/>
      <c r="J84" s="67" t="n"/>
      <c r="K84" s="67" t="n"/>
      <c r="L84" s="67" t="n"/>
    </row>
    <row r="85">
      <c r="B85" s="67" t="n"/>
      <c r="C85" s="67" t="n"/>
      <c r="D85" s="67" t="n"/>
      <c r="E85" s="67" t="n"/>
      <c r="F85" s="67" t="n"/>
      <c r="G85" s="67" t="n"/>
      <c r="H85" s="67" t="n"/>
      <c r="I85" s="67" t="n"/>
      <c r="J85" s="67" t="n"/>
      <c r="K85" s="67" t="n"/>
      <c r="L85" s="67" t="n"/>
    </row>
    <row r="86">
      <c r="B86" s="67" t="n"/>
      <c r="C86" s="67" t="n"/>
      <c r="D86" s="67" t="n"/>
      <c r="E86" s="67" t="n"/>
      <c r="F86" s="67" t="n"/>
      <c r="G86" s="67" t="n"/>
      <c r="H86" s="67" t="n"/>
      <c r="I86" s="67" t="n"/>
      <c r="J86" s="67" t="n"/>
      <c r="K86" s="67" t="n"/>
      <c r="L86" s="67" t="n"/>
    </row>
    <row r="87">
      <c r="B87" s="67" t="n"/>
      <c r="C87" s="67" t="n"/>
      <c r="D87" s="67" t="n"/>
      <c r="E87" s="67" t="n"/>
      <c r="F87" s="67" t="n"/>
      <c r="G87" s="67" t="n"/>
      <c r="H87" s="67" t="n"/>
      <c r="I87" s="67" t="n"/>
      <c r="J87" s="67" t="n"/>
      <c r="K87" s="67" t="n"/>
      <c r="L87" s="67" t="n"/>
    </row>
    <row r="88">
      <c r="B88" s="67" t="n"/>
      <c r="C88" s="67" t="n"/>
      <c r="D88" s="67" t="n"/>
      <c r="E88" s="67" t="n"/>
      <c r="F88" s="67" t="n"/>
      <c r="G88" s="67" t="n"/>
      <c r="H88" s="67" t="n"/>
      <c r="I88" s="67" t="n"/>
      <c r="J88" s="67" t="n"/>
      <c r="K88" s="67" t="n"/>
      <c r="L88" s="67" t="n"/>
    </row>
    <row r="89">
      <c r="B89" s="67" t="n"/>
      <c r="C89" s="67" t="n"/>
      <c r="D89" s="67" t="n"/>
      <c r="E89" s="67" t="n"/>
      <c r="F89" s="67" t="n"/>
      <c r="G89" s="67" t="n"/>
      <c r="H89" s="67" t="n"/>
      <c r="I89" s="67" t="n"/>
      <c r="J89" s="67" t="n"/>
      <c r="K89" s="67" t="n"/>
      <c r="L89" s="67" t="n"/>
    </row>
    <row r="90">
      <c r="B90" s="67" t="n"/>
      <c r="C90" s="67" t="n"/>
      <c r="D90" s="67" t="n"/>
      <c r="E90" s="67" t="n"/>
      <c r="F90" s="67" t="n"/>
      <c r="G90" s="67" t="n"/>
      <c r="H90" s="67" t="n"/>
      <c r="I90" s="67" t="n"/>
      <c r="J90" s="67" t="n"/>
      <c r="K90" s="67" t="n"/>
      <c r="L90" s="67" t="n"/>
    </row>
    <row r="91">
      <c r="B91" s="67" t="n"/>
      <c r="C91" s="67" t="n"/>
      <c r="D91" s="67" t="n"/>
      <c r="E91" s="67" t="n"/>
      <c r="F91" s="67" t="n"/>
      <c r="G91" s="67" t="n"/>
      <c r="H91" s="67" t="n"/>
      <c r="I91" s="67" t="n"/>
      <c r="J91" s="67" t="n"/>
      <c r="K91" s="67" t="n"/>
      <c r="L91" s="67" t="n"/>
    </row>
    <row r="92">
      <c r="B92" s="67" t="n"/>
      <c r="C92" s="67" t="n"/>
      <c r="D92" s="67" t="n"/>
      <c r="E92" s="67" t="n"/>
      <c r="F92" s="67" t="n"/>
      <c r="G92" s="67" t="n"/>
      <c r="H92" s="67" t="n"/>
      <c r="I92" s="67" t="n"/>
      <c r="J92" s="67" t="n"/>
      <c r="K92" s="67" t="n"/>
      <c r="L92" s="67" t="n"/>
    </row>
    <row r="93">
      <c r="B93" s="67" t="n"/>
      <c r="C93" s="67" t="n"/>
      <c r="D93" s="67" t="n"/>
      <c r="E93" s="67" t="n"/>
      <c r="F93" s="67" t="n"/>
      <c r="G93" s="67" t="n"/>
      <c r="H93" s="67" t="n"/>
      <c r="I93" s="67" t="n"/>
      <c r="J93" s="67" t="n"/>
      <c r="K93" s="67" t="n"/>
      <c r="L93" s="67" t="n"/>
    </row>
    <row r="94">
      <c r="B94" s="67" t="n"/>
      <c r="C94" s="67" t="n"/>
      <c r="D94" s="67" t="n"/>
      <c r="E94" s="67" t="n"/>
      <c r="F94" s="67" t="n"/>
      <c r="G94" s="67" t="n"/>
      <c r="H94" s="67" t="n"/>
      <c r="I94" s="67" t="n"/>
      <c r="J94" s="67" t="n"/>
      <c r="K94" s="67" t="n"/>
      <c r="L94" s="67" t="n"/>
    </row>
    <row r="95">
      <c r="B95" s="67" t="n"/>
      <c r="C95" s="67" t="n"/>
      <c r="D95" s="67" t="n"/>
      <c r="E95" s="67" t="n"/>
      <c r="F95" s="67" t="n"/>
      <c r="G95" s="67" t="n"/>
      <c r="H95" s="67" t="n"/>
      <c r="I95" s="67" t="n"/>
      <c r="J95" s="67" t="n"/>
      <c r="K95" s="67" t="n"/>
      <c r="L95" s="67" t="n"/>
    </row>
    <row r="96">
      <c r="B96" s="67" t="n"/>
      <c r="C96" s="67" t="n"/>
      <c r="D96" s="67" t="n"/>
      <c r="E96" s="67" t="n"/>
      <c r="F96" s="67" t="n"/>
      <c r="G96" s="67" t="n"/>
      <c r="H96" s="67" t="n"/>
      <c r="I96" s="67" t="n"/>
      <c r="J96" s="67" t="n"/>
      <c r="K96" s="67" t="n"/>
      <c r="L96" s="67" t="n"/>
    </row>
    <row r="97">
      <c r="B97" s="67" t="n"/>
      <c r="C97" s="67" t="n"/>
      <c r="D97" s="67" t="n"/>
      <c r="E97" s="67" t="n"/>
      <c r="F97" s="67" t="n"/>
      <c r="G97" s="67" t="n"/>
      <c r="H97" s="67" t="n"/>
      <c r="I97" s="67" t="n"/>
      <c r="J97" s="67" t="n"/>
      <c r="K97" s="67" t="n"/>
      <c r="L97" s="67" t="n"/>
    </row>
    <row r="98">
      <c r="B98" s="67" t="n"/>
      <c r="C98" s="67" t="n"/>
      <c r="D98" s="67" t="n"/>
      <c r="E98" s="67" t="n"/>
      <c r="F98" s="67" t="n"/>
      <c r="G98" s="67" t="n"/>
      <c r="H98" s="67" t="n"/>
      <c r="I98" s="67" t="n"/>
      <c r="J98" s="67" t="n"/>
      <c r="K98" s="67" t="n"/>
      <c r="L98" s="67" t="n"/>
    </row>
    <row r="99">
      <c r="B99" s="67" t="n"/>
      <c r="C99" s="67" t="n"/>
      <c r="D99" s="67" t="n"/>
      <c r="E99" s="67" t="n"/>
      <c r="F99" s="67" t="n"/>
      <c r="G99" s="67" t="n"/>
      <c r="H99" s="67" t="n"/>
      <c r="I99" s="67" t="n"/>
      <c r="J99" s="67" t="n"/>
      <c r="K99" s="67" t="n"/>
      <c r="L99" s="67" t="n"/>
    </row>
    <row r="100">
      <c r="B100" s="67" t="n"/>
      <c r="C100" s="67" t="n"/>
      <c r="D100" s="67" t="n"/>
      <c r="E100" s="67" t="n"/>
      <c r="F100" s="67" t="n"/>
      <c r="G100" s="67" t="n"/>
      <c r="H100" s="67" t="n"/>
      <c r="I100" s="67" t="n"/>
      <c r="J100" s="67" t="n"/>
      <c r="K100" s="67" t="n"/>
      <c r="L100" s="67" t="n"/>
    </row>
    <row r="101">
      <c r="B101" s="67" t="n"/>
      <c r="C101" s="67" t="n"/>
      <c r="D101" s="67" t="n"/>
      <c r="E101" s="67" t="n"/>
      <c r="F101" s="67" t="n"/>
      <c r="G101" s="67" t="n"/>
      <c r="H101" s="67" t="n"/>
      <c r="I101" s="67" t="n"/>
      <c r="J101" s="67" t="n"/>
      <c r="K101" s="67" t="n"/>
      <c r="L101" s="67" t="n"/>
    </row>
    <row r="102">
      <c r="B102" s="67" t="n"/>
      <c r="C102" s="67" t="n"/>
      <c r="D102" s="67" t="n"/>
      <c r="E102" s="67" t="n"/>
      <c r="F102" s="67" t="n"/>
      <c r="G102" s="67" t="n"/>
      <c r="H102" s="67" t="n"/>
      <c r="I102" s="67" t="n"/>
      <c r="J102" s="67" t="n"/>
      <c r="K102" s="67" t="n"/>
      <c r="L102" s="67" t="n"/>
    </row>
    <row r="103">
      <c r="B103" s="67" t="n"/>
      <c r="C103" s="67" t="n"/>
      <c r="D103" s="67" t="n"/>
      <c r="E103" s="67" t="n"/>
      <c r="F103" s="67" t="n"/>
      <c r="G103" s="67" t="n"/>
      <c r="H103" s="67" t="n"/>
      <c r="I103" s="67" t="n"/>
      <c r="J103" s="67" t="n"/>
      <c r="K103" s="67" t="n"/>
      <c r="L103" s="67" t="n"/>
    </row>
    <row r="104">
      <c r="B104" s="67" t="n"/>
      <c r="C104" s="67" t="n"/>
      <c r="D104" s="67" t="n"/>
      <c r="E104" s="67" t="n"/>
      <c r="F104" s="67" t="n"/>
      <c r="G104" s="67" t="n"/>
      <c r="H104" s="67" t="n"/>
      <c r="I104" s="67" t="n"/>
      <c r="J104" s="67" t="n"/>
      <c r="K104" s="67" t="n"/>
      <c r="L104" s="67" t="n"/>
    </row>
    <row r="105">
      <c r="B105" s="67" t="n"/>
      <c r="C105" s="67" t="n"/>
      <c r="D105" s="67" t="n"/>
      <c r="E105" s="67" t="n"/>
      <c r="F105" s="67" t="n"/>
      <c r="G105" s="67" t="n"/>
      <c r="H105" s="67" t="n"/>
      <c r="I105" s="67" t="n"/>
      <c r="J105" s="67" t="n"/>
      <c r="K105" s="67" t="n"/>
      <c r="L105" s="67" t="n"/>
    </row>
    <row r="106">
      <c r="B106" s="67" t="n"/>
      <c r="C106" s="67" t="n"/>
      <c r="D106" s="67" t="n"/>
      <c r="E106" s="67" t="n"/>
      <c r="F106" s="67" t="n"/>
      <c r="G106" s="67" t="n"/>
      <c r="H106" s="67" t="n"/>
      <c r="I106" s="67" t="n"/>
      <c r="J106" s="67" t="n"/>
      <c r="K106" s="67" t="n"/>
      <c r="L106" s="67" t="n"/>
    </row>
    <row r="107">
      <c r="B107" s="67" t="n"/>
      <c r="C107" s="67" t="n"/>
      <c r="D107" s="67" t="n"/>
      <c r="E107" s="67" t="n"/>
      <c r="F107" s="67" t="n"/>
      <c r="G107" s="67" t="n"/>
      <c r="H107" s="67" t="n"/>
      <c r="I107" s="67" t="n"/>
      <c r="J107" s="67" t="n"/>
      <c r="K107" s="67" t="n"/>
      <c r="L107" s="67" t="n"/>
    </row>
    <row r="108">
      <c r="B108" s="67" t="n"/>
      <c r="C108" s="67" t="n"/>
      <c r="D108" s="67" t="n"/>
      <c r="E108" s="67" t="n"/>
      <c r="F108" s="67" t="n"/>
      <c r="G108" s="67" t="n"/>
      <c r="H108" s="67" t="n"/>
      <c r="I108" s="67" t="n"/>
      <c r="J108" s="67" t="n"/>
      <c r="K108" s="67" t="n"/>
      <c r="L108" s="67" t="n"/>
    </row>
    <row r="109">
      <c r="B109" s="67" t="n"/>
      <c r="C109" s="67" t="n"/>
      <c r="D109" s="67" t="n"/>
      <c r="E109" s="67" t="n"/>
      <c r="F109" s="67" t="n"/>
      <c r="G109" s="67" t="n"/>
      <c r="H109" s="67" t="n"/>
      <c r="I109" s="67" t="n"/>
      <c r="J109" s="67" t="n"/>
      <c r="K109" s="67" t="n"/>
      <c r="L109" s="67" t="n"/>
    </row>
    <row r="110">
      <c r="B110" s="67" t="n"/>
      <c r="C110" s="67" t="n"/>
      <c r="D110" s="67" t="n"/>
      <c r="E110" s="67" t="n"/>
      <c r="F110" s="67" t="n"/>
      <c r="G110" s="67" t="n"/>
      <c r="H110" s="67" t="n"/>
      <c r="I110" s="67" t="n"/>
      <c r="J110" s="67" t="n"/>
      <c r="K110" s="67" t="n"/>
      <c r="L110" s="67" t="n"/>
    </row>
    <row r="111">
      <c r="B111" s="67" t="n"/>
      <c r="C111" s="67" t="n"/>
      <c r="D111" s="67" t="n"/>
      <c r="E111" s="67" t="n"/>
      <c r="F111" s="67" t="n"/>
      <c r="G111" s="67" t="n"/>
      <c r="H111" s="67" t="n"/>
      <c r="I111" s="67" t="n"/>
      <c r="J111" s="67" t="n"/>
      <c r="K111" s="67" t="n"/>
      <c r="L111" s="67" t="n"/>
    </row>
    <row r="112">
      <c r="B112" s="67" t="n"/>
      <c r="C112" s="67" t="n"/>
      <c r="D112" s="67" t="n"/>
      <c r="E112" s="67" t="n"/>
      <c r="F112" s="67" t="n"/>
      <c r="G112" s="67" t="n"/>
      <c r="H112" s="67" t="n"/>
      <c r="I112" s="67" t="n"/>
      <c r="J112" s="67" t="n"/>
      <c r="K112" s="67" t="n"/>
      <c r="L112" s="67" t="n"/>
    </row>
    <row r="113">
      <c r="B113" s="67" t="n"/>
      <c r="C113" s="67" t="n"/>
      <c r="D113" s="67" t="n"/>
      <c r="E113" s="67" t="n"/>
      <c r="F113" s="67" t="n"/>
      <c r="G113" s="67" t="n"/>
      <c r="H113" s="67" t="n"/>
      <c r="I113" s="67" t="n"/>
      <c r="J113" s="67" t="n"/>
      <c r="K113" s="67" t="n"/>
      <c r="L113" s="67" t="n"/>
    </row>
    <row r="114">
      <c r="B114" s="67" t="n"/>
      <c r="C114" s="67" t="n"/>
      <c r="D114" s="67" t="n"/>
      <c r="E114" s="67" t="n"/>
      <c r="F114" s="67" t="n"/>
      <c r="G114" s="67" t="n"/>
      <c r="H114" s="67" t="n"/>
      <c r="I114" s="67" t="n"/>
      <c r="J114" s="67" t="n"/>
      <c r="K114" s="67" t="n"/>
      <c r="L114" s="67" t="n"/>
    </row>
    <row r="115">
      <c r="B115" s="67" t="n"/>
      <c r="C115" s="67" t="n"/>
      <c r="D115" s="67" t="n"/>
      <c r="E115" s="67" t="n"/>
      <c r="F115" s="67" t="n"/>
      <c r="G115" s="67" t="n"/>
      <c r="H115" s="67" t="n"/>
      <c r="I115" s="67" t="n"/>
      <c r="J115" s="67" t="n"/>
      <c r="K115" s="67" t="n"/>
      <c r="L115" s="67" t="n"/>
    </row>
    <row r="116">
      <c r="B116" s="67" t="n"/>
      <c r="C116" s="67" t="n"/>
      <c r="D116" s="67" t="n"/>
      <c r="E116" s="67" t="n"/>
      <c r="F116" s="67" t="n"/>
      <c r="G116" s="67" t="n"/>
      <c r="H116" s="67" t="n"/>
      <c r="I116" s="67" t="n"/>
      <c r="J116" s="67" t="n"/>
      <c r="K116" s="67" t="n"/>
      <c r="L116" s="67" t="n"/>
    </row>
    <row r="117">
      <c r="B117" s="67" t="n"/>
      <c r="C117" s="67" t="n"/>
      <c r="D117" s="67" t="n"/>
      <c r="E117" s="67" t="n"/>
      <c r="F117" s="67" t="n"/>
      <c r="G117" s="67" t="n"/>
      <c r="H117" s="67" t="n"/>
      <c r="I117" s="67" t="n"/>
      <c r="J117" s="67" t="n"/>
      <c r="K117" s="67" t="n"/>
      <c r="L117" s="67" t="n"/>
    </row>
    <row r="118">
      <c r="B118" s="67" t="n"/>
      <c r="C118" s="67" t="n"/>
      <c r="D118" s="67" t="n"/>
      <c r="E118" s="67" t="n"/>
      <c r="F118" s="67" t="n"/>
      <c r="G118" s="67" t="n"/>
      <c r="H118" s="67" t="n"/>
      <c r="I118" s="67" t="n"/>
      <c r="J118" s="67" t="n"/>
      <c r="K118" s="67" t="n"/>
      <c r="L118" s="67" t="n"/>
    </row>
    <row r="119">
      <c r="B119" s="67" t="n"/>
      <c r="C119" s="67" t="n"/>
      <c r="D119" s="67" t="n"/>
      <c r="E119" s="67" t="n"/>
      <c r="F119" s="67" t="n"/>
      <c r="G119" s="67" t="n"/>
      <c r="H119" s="67" t="n"/>
      <c r="I119" s="67" t="n"/>
      <c r="J119" s="67" t="n"/>
      <c r="K119" s="67" t="n"/>
      <c r="L119" s="67" t="n"/>
    </row>
    <row r="120">
      <c r="B120" s="67" t="n"/>
      <c r="C120" s="67" t="n"/>
      <c r="D120" s="67" t="n"/>
      <c r="E120" s="67" t="n"/>
      <c r="F120" s="67" t="n"/>
      <c r="G120" s="67" t="n"/>
      <c r="H120" s="67" t="n"/>
      <c r="I120" s="67" t="n"/>
      <c r="J120" s="67" t="n"/>
      <c r="K120" s="67" t="n"/>
      <c r="L120" s="67" t="n"/>
    </row>
    <row r="121">
      <c r="B121" s="67" t="n"/>
      <c r="C121" s="67" t="n"/>
      <c r="D121" s="67" t="n"/>
      <c r="E121" s="67" t="n"/>
      <c r="F121" s="67" t="n"/>
      <c r="G121" s="67" t="n"/>
      <c r="H121" s="67" t="n"/>
      <c r="I121" s="67" t="n"/>
      <c r="J121" s="67" t="n"/>
      <c r="K121" s="67" t="n"/>
      <c r="L121" s="67" t="n"/>
    </row>
    <row r="122">
      <c r="B122" s="67" t="n"/>
      <c r="C122" s="67" t="n"/>
      <c r="D122" s="67" t="n"/>
      <c r="E122" s="67" t="n"/>
      <c r="F122" s="67" t="n"/>
      <c r="G122" s="67" t="n"/>
      <c r="H122" s="67" t="n"/>
      <c r="I122" s="67" t="n"/>
      <c r="J122" s="67" t="n"/>
      <c r="K122" s="67" t="n"/>
      <c r="L122" s="67" t="n"/>
    </row>
    <row r="123">
      <c r="B123" s="67" t="n"/>
      <c r="C123" s="67" t="n"/>
      <c r="D123" s="67" t="n"/>
      <c r="E123" s="67" t="n"/>
      <c r="F123" s="67" t="n"/>
      <c r="G123" s="67" t="n"/>
      <c r="H123" s="67" t="n"/>
      <c r="I123" s="67" t="n"/>
      <c r="J123" s="67" t="n"/>
      <c r="K123" s="67" t="n"/>
      <c r="L123" s="67" t="n"/>
    </row>
    <row r="124">
      <c r="B124" s="67" t="n"/>
      <c r="C124" s="67" t="n"/>
      <c r="D124" s="67" t="n"/>
      <c r="E124" s="67" t="n"/>
      <c r="F124" s="67" t="n"/>
      <c r="G124" s="67" t="n"/>
      <c r="H124" s="67" t="n"/>
      <c r="I124" s="67" t="n"/>
      <c r="J124" s="67" t="n"/>
      <c r="K124" s="67" t="n"/>
      <c r="L124" s="67" t="n"/>
    </row>
    <row r="125">
      <c r="B125" s="67" t="n"/>
      <c r="C125" s="67" t="n"/>
      <c r="D125" s="67" t="n"/>
      <c r="E125" s="67" t="n"/>
      <c r="F125" s="67" t="n"/>
      <c r="G125" s="67" t="n"/>
      <c r="H125" s="67" t="n"/>
      <c r="I125" s="67" t="n"/>
      <c r="J125" s="67" t="n"/>
      <c r="K125" s="67" t="n"/>
      <c r="L125" s="67" t="n"/>
    </row>
    <row r="126">
      <c r="B126" s="67" t="n"/>
      <c r="C126" s="67" t="n"/>
      <c r="D126" s="67" t="n"/>
      <c r="E126" s="67" t="n"/>
      <c r="F126" s="67" t="n"/>
      <c r="G126" s="67" t="n"/>
      <c r="H126" s="67" t="n"/>
      <c r="I126" s="67" t="n"/>
      <c r="J126" s="67" t="n"/>
      <c r="K126" s="67" t="n"/>
      <c r="L126" s="67" t="n"/>
    </row>
    <row r="127">
      <c r="B127" s="67" t="n"/>
      <c r="C127" s="67" t="n"/>
      <c r="D127" s="67" t="n"/>
      <c r="E127" s="67" t="n"/>
      <c r="F127" s="67" t="n"/>
      <c r="G127" s="67" t="n"/>
      <c r="H127" s="67" t="n"/>
      <c r="I127" s="67" t="n"/>
      <c r="J127" s="67" t="n"/>
      <c r="K127" s="67" t="n"/>
      <c r="L127" s="67" t="n"/>
    </row>
    <row r="128">
      <c r="B128" s="67" t="n"/>
      <c r="C128" s="67" t="n"/>
      <c r="D128" s="67" t="n"/>
      <c r="E128" s="67" t="n"/>
      <c r="F128" s="67" t="n"/>
      <c r="G128" s="67" t="n"/>
      <c r="H128" s="67" t="n"/>
      <c r="I128" s="67" t="n"/>
      <c r="J128" s="67" t="n"/>
      <c r="K128" s="67" t="n"/>
      <c r="L128" s="67" t="n"/>
    </row>
    <row r="129">
      <c r="B129" s="67" t="n"/>
      <c r="C129" s="67" t="n"/>
      <c r="D129" s="67" t="n"/>
      <c r="E129" s="67" t="n"/>
      <c r="F129" s="67" t="n"/>
      <c r="G129" s="67" t="n"/>
      <c r="H129" s="67" t="n"/>
      <c r="I129" s="67" t="n"/>
      <c r="J129" s="67" t="n"/>
      <c r="K129" s="67" t="n"/>
      <c r="L129" s="67" t="n"/>
    </row>
    <row r="130">
      <c r="B130" s="67" t="n"/>
      <c r="C130" s="67" t="n"/>
      <c r="D130" s="67" t="n"/>
      <c r="E130" s="67" t="n"/>
      <c r="F130" s="67" t="n"/>
      <c r="G130" s="67" t="n"/>
      <c r="H130" s="67" t="n"/>
      <c r="I130" s="67" t="n"/>
      <c r="J130" s="67" t="n"/>
      <c r="K130" s="67" t="n"/>
      <c r="L130" s="67" t="n"/>
    </row>
    <row r="131">
      <c r="B131" s="67" t="n"/>
      <c r="C131" s="67" t="n"/>
      <c r="D131" s="67" t="n"/>
      <c r="E131" s="67" t="n"/>
      <c r="F131" s="67" t="n"/>
      <c r="G131" s="67" t="n"/>
      <c r="H131" s="67" t="n"/>
      <c r="I131" s="67" t="n"/>
      <c r="J131" s="67" t="n"/>
      <c r="K131" s="67" t="n"/>
      <c r="L131" s="67" t="n"/>
    </row>
    <row r="132">
      <c r="B132" s="67" t="n"/>
      <c r="C132" s="67" t="n"/>
      <c r="D132" s="67" t="n"/>
      <c r="E132" s="67" t="n"/>
      <c r="F132" s="67" t="n"/>
      <c r="G132" s="67" t="n"/>
      <c r="H132" s="67" t="n"/>
      <c r="I132" s="67" t="n"/>
      <c r="J132" s="67" t="n"/>
      <c r="K132" s="67" t="n"/>
      <c r="L132" s="67" t="n"/>
    </row>
    <row r="133">
      <c r="B133" s="67" t="n"/>
      <c r="C133" s="67" t="n"/>
      <c r="D133" s="67" t="n"/>
      <c r="E133" s="67" t="n"/>
      <c r="F133" s="67" t="n"/>
      <c r="G133" s="67" t="n"/>
      <c r="H133" s="67" t="n"/>
      <c r="I133" s="67" t="n"/>
      <c r="J133" s="67" t="n"/>
      <c r="K133" s="67" t="n"/>
      <c r="L133" s="67" t="n"/>
    </row>
    <row r="134">
      <c r="B134" s="67" t="n"/>
      <c r="C134" s="67" t="n"/>
      <c r="D134" s="67" t="n"/>
      <c r="E134" s="67" t="n"/>
      <c r="F134" s="67" t="n"/>
      <c r="G134" s="67" t="n"/>
      <c r="H134" s="67" t="n"/>
      <c r="I134" s="67" t="n"/>
      <c r="J134" s="67" t="n"/>
      <c r="K134" s="67" t="n"/>
      <c r="L134" s="67" t="n"/>
    </row>
    <row r="135">
      <c r="B135" s="67" t="n"/>
      <c r="C135" s="67" t="n"/>
      <c r="D135" s="67" t="n"/>
      <c r="E135" s="67" t="n"/>
      <c r="F135" s="67" t="n"/>
      <c r="G135" s="67" t="n"/>
      <c r="H135" s="67" t="n"/>
      <c r="I135" s="67" t="n"/>
      <c r="J135" s="67" t="n"/>
      <c r="K135" s="67" t="n"/>
      <c r="L135" s="67" t="n"/>
    </row>
    <row r="136">
      <c r="B136" s="67" t="n"/>
      <c r="C136" s="67" t="n"/>
      <c r="D136" s="67" t="n"/>
      <c r="E136" s="67" t="n"/>
      <c r="F136" s="67" t="n"/>
      <c r="G136" s="67" t="n"/>
      <c r="H136" s="67" t="n"/>
      <c r="I136" s="67" t="n"/>
      <c r="J136" s="67" t="n"/>
      <c r="K136" s="67" t="n"/>
      <c r="L136" s="67" t="n"/>
    </row>
    <row r="137">
      <c r="B137" s="67" t="n"/>
      <c r="C137" s="67" t="n"/>
      <c r="D137" s="67" t="n"/>
      <c r="E137" s="67" t="n"/>
      <c r="F137" s="67" t="n"/>
      <c r="G137" s="67" t="n"/>
      <c r="H137" s="67" t="n"/>
      <c r="I137" s="67" t="n"/>
      <c r="J137" s="67" t="n"/>
      <c r="K137" s="67" t="n"/>
      <c r="L137" s="67" t="n"/>
    </row>
    <row r="138">
      <c r="B138" s="67" t="n"/>
      <c r="C138" s="67" t="n"/>
      <c r="D138" s="67" t="n"/>
      <c r="E138" s="67" t="n"/>
      <c r="F138" s="67" t="n"/>
      <c r="G138" s="67" t="n"/>
      <c r="H138" s="67" t="n"/>
      <c r="I138" s="67" t="n"/>
      <c r="J138" s="67" t="n"/>
      <c r="K138" s="67" t="n"/>
      <c r="L138" s="67" t="n"/>
    </row>
    <row r="139">
      <c r="B139" s="67" t="n"/>
      <c r="C139" s="67" t="n"/>
      <c r="D139" s="67" t="n"/>
      <c r="E139" s="67" t="n"/>
      <c r="F139" s="67" t="n"/>
      <c r="G139" s="67" t="n"/>
      <c r="H139" s="67" t="n"/>
      <c r="I139" s="67" t="n"/>
      <c r="J139" s="67" t="n"/>
      <c r="K139" s="67" t="n"/>
      <c r="L139" s="67" t="n"/>
    </row>
    <row r="140">
      <c r="B140" s="67" t="n"/>
      <c r="C140" s="67" t="n"/>
      <c r="D140" s="67" t="n"/>
      <c r="E140" s="67" t="n"/>
      <c r="F140" s="67" t="n"/>
      <c r="G140" s="67" t="n"/>
      <c r="H140" s="67" t="n"/>
      <c r="I140" s="67" t="n"/>
      <c r="J140" s="67" t="n"/>
      <c r="K140" s="67" t="n"/>
      <c r="L140" s="67" t="n"/>
    </row>
    <row r="141">
      <c r="B141" s="67" t="n"/>
      <c r="C141" s="67" t="n"/>
      <c r="D141" s="67" t="n"/>
      <c r="E141" s="67" t="n"/>
      <c r="F141" s="67" t="n"/>
      <c r="G141" s="67" t="n"/>
      <c r="H141" s="67" t="n"/>
      <c r="I141" s="67" t="n"/>
      <c r="J141" s="67" t="n"/>
      <c r="K141" s="67" t="n"/>
      <c r="L141" s="67" t="n"/>
    </row>
    <row r="142">
      <c r="B142" s="67" t="n"/>
      <c r="C142" s="67" t="n"/>
      <c r="D142" s="67" t="n"/>
      <c r="E142" s="67" t="n"/>
      <c r="F142" s="67" t="n"/>
      <c r="G142" s="67" t="n"/>
      <c r="H142" s="67" t="n"/>
      <c r="I142" s="67" t="n"/>
      <c r="J142" s="67" t="n"/>
      <c r="K142" s="67" t="n"/>
      <c r="L142" s="67" t="n"/>
    </row>
    <row r="143">
      <c r="B143" s="67" t="n"/>
      <c r="C143" s="67" t="n"/>
      <c r="D143" s="67" t="n"/>
      <c r="E143" s="67" t="n"/>
      <c r="F143" s="67" t="n"/>
      <c r="G143" s="67" t="n"/>
      <c r="H143" s="67" t="n"/>
      <c r="I143" s="67" t="n"/>
      <c r="J143" s="67" t="n"/>
      <c r="K143" s="67" t="n"/>
      <c r="L143" s="67" t="n"/>
    </row>
    <row r="144">
      <c r="B144" s="67" t="n"/>
      <c r="C144" s="67" t="n"/>
      <c r="D144" s="67" t="n"/>
      <c r="E144" s="67" t="n"/>
      <c r="F144" s="67" t="n"/>
      <c r="G144" s="67" t="n"/>
      <c r="H144" s="67" t="n"/>
      <c r="I144" s="67" t="n"/>
      <c r="J144" s="67" t="n"/>
      <c r="K144" s="67" t="n"/>
      <c r="L144" s="67" t="n"/>
    </row>
    <row r="145">
      <c r="B145" s="67" t="n"/>
      <c r="C145" s="67" t="n"/>
      <c r="D145" s="67" t="n"/>
      <c r="E145" s="67" t="n"/>
      <c r="F145" s="67" t="n"/>
      <c r="G145" s="67" t="n"/>
      <c r="H145" s="67" t="n"/>
      <c r="I145" s="67" t="n"/>
      <c r="J145" s="67" t="n"/>
      <c r="K145" s="67" t="n"/>
      <c r="L145" s="67" t="n"/>
    </row>
    <row r="146">
      <c r="B146" s="67" t="n"/>
      <c r="C146" s="67" t="n"/>
      <c r="D146" s="67" t="n"/>
      <c r="E146" s="67" t="n"/>
      <c r="F146" s="67" t="n"/>
      <c r="G146" s="67" t="n"/>
      <c r="H146" s="67" t="n"/>
      <c r="I146" s="67" t="n"/>
      <c r="J146" s="67" t="n"/>
      <c r="K146" s="67" t="n"/>
      <c r="L146" s="67" t="n"/>
    </row>
    <row r="147">
      <c r="B147" s="67" t="n"/>
      <c r="C147" s="67" t="n"/>
      <c r="D147" s="67" t="n"/>
      <c r="E147" s="67" t="n"/>
      <c r="F147" s="67" t="n"/>
      <c r="G147" s="67" t="n"/>
      <c r="H147" s="67" t="n"/>
      <c r="I147" s="67" t="n"/>
      <c r="J147" s="67" t="n"/>
      <c r="K147" s="67" t="n"/>
      <c r="L147" s="67" t="n"/>
    </row>
    <row r="148">
      <c r="B148" s="67" t="n"/>
      <c r="C148" s="67" t="n"/>
      <c r="D148" s="67" t="n"/>
      <c r="E148" s="67" t="n"/>
      <c r="F148" s="67" t="n"/>
      <c r="G148" s="67" t="n"/>
      <c r="H148" s="67" t="n"/>
      <c r="I148" s="67" t="n"/>
      <c r="J148" s="67" t="n"/>
      <c r="K148" s="67" t="n"/>
      <c r="L148" s="67" t="n"/>
    </row>
    <row r="149">
      <c r="B149" s="67" t="n"/>
      <c r="C149" s="67" t="n"/>
      <c r="D149" s="67" t="n"/>
      <c r="E149" s="67" t="n"/>
      <c r="F149" s="67" t="n"/>
      <c r="G149" s="67" t="n"/>
      <c r="H149" s="67" t="n"/>
      <c r="I149" s="67" t="n"/>
      <c r="J149" s="67" t="n"/>
      <c r="K149" s="67" t="n"/>
      <c r="L149" s="67" t="n"/>
    </row>
    <row r="150">
      <c r="B150" s="67" t="n"/>
      <c r="C150" s="67" t="n"/>
      <c r="D150" s="67" t="n"/>
      <c r="E150" s="67" t="n"/>
      <c r="F150" s="67" t="n"/>
      <c r="G150" s="67" t="n"/>
      <c r="H150" s="67" t="n"/>
      <c r="I150" s="67" t="n"/>
      <c r="J150" s="67" t="n"/>
      <c r="K150" s="67" t="n"/>
      <c r="L150" s="67" t="n"/>
    </row>
    <row r="151">
      <c r="B151" s="67" t="n"/>
      <c r="C151" s="67" t="n"/>
      <c r="D151" s="67" t="n"/>
      <c r="E151" s="67" t="n"/>
      <c r="F151" s="67" t="n"/>
      <c r="G151" s="67" t="n"/>
      <c r="H151" s="67" t="n"/>
      <c r="I151" s="67" t="n"/>
      <c r="J151" s="67" t="n"/>
      <c r="K151" s="67" t="n"/>
      <c r="L151" s="67" t="n"/>
    </row>
    <row r="152">
      <c r="B152" s="67" t="n"/>
      <c r="C152" s="67" t="n"/>
      <c r="D152" s="67" t="n"/>
      <c r="E152" s="67" t="n"/>
      <c r="F152" s="67" t="n"/>
      <c r="G152" s="67" t="n"/>
      <c r="H152" s="67" t="n"/>
      <c r="I152" s="67" t="n"/>
      <c r="J152" s="67" t="n"/>
      <c r="K152" s="67" t="n"/>
      <c r="L152" s="67" t="n"/>
    </row>
    <row r="153">
      <c r="B153" s="67" t="n"/>
      <c r="C153" s="67" t="n"/>
      <c r="D153" s="67" t="n"/>
      <c r="E153" s="67" t="n"/>
      <c r="F153" s="67" t="n"/>
      <c r="G153" s="67" t="n"/>
      <c r="H153" s="67" t="n"/>
      <c r="I153" s="67" t="n"/>
      <c r="J153" s="67" t="n"/>
      <c r="K153" s="67" t="n"/>
      <c r="L153" s="67" t="n"/>
    </row>
    <row r="154">
      <c r="B154" s="67" t="n"/>
      <c r="C154" s="67" t="n"/>
      <c r="D154" s="67" t="n"/>
      <c r="E154" s="67" t="n"/>
      <c r="F154" s="67" t="n"/>
      <c r="G154" s="67" t="n"/>
      <c r="H154" s="67" t="n"/>
      <c r="I154" s="67" t="n"/>
      <c r="J154" s="67" t="n"/>
      <c r="K154" s="67" t="n"/>
      <c r="L154" s="67" t="n"/>
    </row>
    <row r="155">
      <c r="B155" s="67" t="n"/>
      <c r="C155" s="67" t="n"/>
      <c r="D155" s="67" t="n"/>
      <c r="E155" s="67" t="n"/>
      <c r="F155" s="67" t="n"/>
      <c r="G155" s="67" t="n"/>
      <c r="H155" s="67" t="n"/>
      <c r="I155" s="67" t="n"/>
      <c r="J155" s="67" t="n"/>
      <c r="K155" s="67" t="n"/>
      <c r="L155" s="67" t="n"/>
    </row>
    <row r="156">
      <c r="B156" s="67" t="n"/>
      <c r="C156" s="67" t="n"/>
      <c r="D156" s="67" t="n"/>
      <c r="E156" s="67" t="n"/>
      <c r="F156" s="67" t="n"/>
      <c r="G156" s="67" t="n"/>
      <c r="H156" s="67" t="n"/>
      <c r="I156" s="67" t="n"/>
      <c r="J156" s="67" t="n"/>
      <c r="K156" s="67" t="n"/>
      <c r="L156" s="67" t="n"/>
    </row>
    <row r="157">
      <c r="B157" s="67" t="n"/>
      <c r="C157" s="67" t="n"/>
      <c r="D157" s="67" t="n"/>
      <c r="E157" s="67" t="n"/>
      <c r="F157" s="67" t="n"/>
      <c r="G157" s="67" t="n"/>
      <c r="H157" s="67" t="n"/>
      <c r="I157" s="67" t="n"/>
      <c r="J157" s="67" t="n"/>
      <c r="K157" s="67" t="n"/>
      <c r="L157" s="67" t="n"/>
    </row>
    <row r="158">
      <c r="B158" s="67" t="n"/>
      <c r="C158" s="67" t="n"/>
      <c r="D158" s="67" t="n"/>
      <c r="E158" s="67" t="n"/>
      <c r="F158" s="67" t="n"/>
      <c r="G158" s="67" t="n"/>
      <c r="H158" s="67" t="n"/>
      <c r="I158" s="67" t="n"/>
      <c r="J158" s="67" t="n"/>
      <c r="K158" s="67" t="n"/>
      <c r="L158" s="67" t="n"/>
    </row>
    <row r="159">
      <c r="B159" s="67" t="n"/>
      <c r="C159" s="67" t="n"/>
      <c r="D159" s="67" t="n"/>
      <c r="E159" s="67" t="n"/>
      <c r="F159" s="67" t="n"/>
      <c r="G159" s="67" t="n"/>
      <c r="H159" s="67" t="n"/>
      <c r="I159" s="67" t="n"/>
      <c r="J159" s="67" t="n"/>
      <c r="K159" s="67" t="n"/>
      <c r="L159" s="67" t="n"/>
    </row>
    <row r="160">
      <c r="B160" s="67" t="n"/>
      <c r="C160" s="67" t="n"/>
      <c r="D160" s="67" t="n"/>
      <c r="E160" s="67" t="n"/>
      <c r="F160" s="67" t="n"/>
      <c r="G160" s="67" t="n"/>
      <c r="H160" s="67" t="n"/>
      <c r="I160" s="67" t="n"/>
      <c r="J160" s="67" t="n"/>
      <c r="K160" s="67" t="n"/>
      <c r="L160" s="67" t="n"/>
    </row>
    <row r="161">
      <c r="B161" s="67" t="n"/>
      <c r="C161" s="67" t="n"/>
      <c r="D161" s="67" t="n"/>
      <c r="E161" s="67" t="n"/>
      <c r="F161" s="67" t="n"/>
      <c r="G161" s="67" t="n"/>
      <c r="H161" s="67" t="n"/>
      <c r="I161" s="67" t="n"/>
      <c r="J161" s="67" t="n"/>
      <c r="K161" s="67" t="n"/>
      <c r="L161" s="67" t="n"/>
    </row>
    <row r="162">
      <c r="B162" s="67" t="n"/>
      <c r="C162" s="67" t="n"/>
      <c r="D162" s="67" t="n"/>
      <c r="E162" s="67" t="n"/>
      <c r="F162" s="67" t="n"/>
      <c r="G162" s="67" t="n"/>
      <c r="H162" s="67" t="n"/>
      <c r="I162" s="67" t="n"/>
      <c r="J162" s="67" t="n"/>
      <c r="K162" s="67" t="n"/>
      <c r="L162" s="67" t="n"/>
    </row>
    <row r="163">
      <c r="B163" s="67" t="n"/>
      <c r="C163" s="67" t="n"/>
      <c r="D163" s="67" t="n"/>
      <c r="E163" s="67" t="n"/>
      <c r="F163" s="67" t="n"/>
      <c r="G163" s="67" t="n"/>
      <c r="H163" s="67" t="n"/>
      <c r="I163" s="67" t="n"/>
      <c r="J163" s="67" t="n"/>
      <c r="K163" s="67" t="n"/>
      <c r="L163" s="67" t="n"/>
    </row>
    <row r="164">
      <c r="B164" s="67" t="n"/>
      <c r="C164" s="67" t="n"/>
      <c r="D164" s="67" t="n"/>
      <c r="E164" s="67" t="n"/>
      <c r="F164" s="67" t="n"/>
      <c r="G164" s="67" t="n"/>
      <c r="H164" s="67" t="n"/>
      <c r="I164" s="67" t="n"/>
      <c r="J164" s="67" t="n"/>
      <c r="K164" s="67" t="n"/>
      <c r="L164" s="67" t="n"/>
    </row>
    <row r="165">
      <c r="B165" s="67" t="n"/>
      <c r="C165" s="67" t="n"/>
      <c r="D165" s="67" t="n"/>
      <c r="E165" s="67" t="n"/>
      <c r="F165" s="67" t="n"/>
      <c r="G165" s="67" t="n"/>
      <c r="H165" s="67" t="n"/>
      <c r="I165" s="67" t="n"/>
      <c r="J165" s="67" t="n"/>
      <c r="K165" s="67" t="n"/>
      <c r="L165" s="67" t="n"/>
    </row>
    <row r="166">
      <c r="B166" s="67" t="n"/>
      <c r="C166" s="67" t="n"/>
      <c r="D166" s="67" t="n"/>
      <c r="E166" s="67" t="n"/>
      <c r="F166" s="67" t="n"/>
      <c r="G166" s="67" t="n"/>
      <c r="H166" s="67" t="n"/>
      <c r="I166" s="67" t="n"/>
      <c r="J166" s="67" t="n"/>
      <c r="K166" s="67" t="n"/>
      <c r="L166" s="67" t="n"/>
    </row>
    <row r="167">
      <c r="B167" s="67" t="n"/>
      <c r="C167" s="67" t="n"/>
      <c r="D167" s="67" t="n"/>
      <c r="E167" s="67" t="n"/>
      <c r="F167" s="67" t="n"/>
      <c r="G167" s="67" t="n"/>
      <c r="H167" s="67" t="n"/>
      <c r="I167" s="67" t="n"/>
      <c r="J167" s="67" t="n"/>
      <c r="K167" s="67" t="n"/>
      <c r="L167" s="67" t="n"/>
    </row>
    <row r="168">
      <c r="B168" s="67" t="n"/>
      <c r="C168" s="67" t="n"/>
      <c r="D168" s="67" t="n"/>
      <c r="E168" s="67" t="n"/>
      <c r="F168" s="67" t="n"/>
      <c r="G168" s="67" t="n"/>
      <c r="H168" s="67" t="n"/>
      <c r="I168" s="67" t="n"/>
      <c r="J168" s="67" t="n"/>
      <c r="K168" s="67" t="n"/>
      <c r="L168" s="67" t="n"/>
    </row>
    <row r="169">
      <c r="B169" s="67" t="n"/>
      <c r="C169" s="67" t="n"/>
      <c r="D169" s="67" t="n"/>
      <c r="E169" s="67" t="n"/>
      <c r="F169" s="67" t="n"/>
      <c r="G169" s="67" t="n"/>
      <c r="H169" s="67" t="n"/>
      <c r="I169" s="67" t="n"/>
      <c r="J169" s="67" t="n"/>
      <c r="K169" s="67" t="n"/>
      <c r="L169" s="67" t="n"/>
    </row>
    <row r="170">
      <c r="B170" s="67" t="n"/>
      <c r="C170" s="67" t="n"/>
      <c r="D170" s="67" t="n"/>
      <c r="E170" s="67" t="n"/>
      <c r="F170" s="67" t="n"/>
      <c r="G170" s="67" t="n"/>
      <c r="H170" s="67" t="n"/>
      <c r="I170" s="67" t="n"/>
      <c r="J170" s="67" t="n"/>
      <c r="K170" s="67" t="n"/>
      <c r="L170" s="67" t="n"/>
    </row>
    <row r="171">
      <c r="B171" s="67" t="n"/>
      <c r="C171" s="67" t="n"/>
      <c r="D171" s="67" t="n"/>
      <c r="E171" s="67" t="n"/>
      <c r="F171" s="67" t="n"/>
      <c r="G171" s="67" t="n"/>
      <c r="H171" s="67" t="n"/>
      <c r="I171" s="67" t="n"/>
      <c r="J171" s="67" t="n"/>
      <c r="K171" s="67" t="n"/>
      <c r="L171" s="67" t="n"/>
    </row>
    <row r="172">
      <c r="B172" s="67" t="n"/>
      <c r="C172" s="67" t="n"/>
      <c r="D172" s="67" t="n"/>
      <c r="E172" s="67" t="n"/>
      <c r="F172" s="67" t="n"/>
      <c r="G172" s="67" t="n"/>
      <c r="H172" s="67" t="n"/>
      <c r="I172" s="67" t="n"/>
      <c r="J172" s="67" t="n"/>
      <c r="K172" s="67" t="n"/>
      <c r="L172" s="67" t="n"/>
    </row>
    <row r="173">
      <c r="B173" s="67" t="n"/>
      <c r="C173" s="67" t="n"/>
      <c r="D173" s="67" t="n"/>
      <c r="E173" s="67" t="n"/>
      <c r="F173" s="67" t="n"/>
      <c r="G173" s="67" t="n"/>
      <c r="H173" s="67" t="n"/>
      <c r="I173" s="67" t="n"/>
      <c r="J173" s="67" t="n"/>
      <c r="K173" s="67" t="n"/>
      <c r="L173" s="67" t="n"/>
    </row>
    <row r="174">
      <c r="B174" s="67" t="n"/>
      <c r="C174" s="67" t="n"/>
      <c r="D174" s="67" t="n"/>
      <c r="E174" s="67" t="n"/>
      <c r="F174" s="67" t="n"/>
      <c r="G174" s="67" t="n"/>
      <c r="H174" s="67" t="n"/>
      <c r="I174" s="67" t="n"/>
      <c r="J174" s="67" t="n"/>
      <c r="K174" s="67" t="n"/>
      <c r="L174" s="67" t="n"/>
    </row>
    <row r="175">
      <c r="B175" s="67" t="n"/>
      <c r="C175" s="67" t="n"/>
      <c r="D175" s="67" t="n"/>
      <c r="E175" s="67" t="n"/>
      <c r="F175" s="67" t="n"/>
      <c r="G175" s="67" t="n"/>
      <c r="H175" s="67" t="n"/>
      <c r="I175" s="67" t="n"/>
      <c r="J175" s="67" t="n"/>
      <c r="K175" s="67" t="n"/>
      <c r="L175" s="67" t="n"/>
    </row>
    <row r="176">
      <c r="B176" s="67" t="n"/>
      <c r="C176" s="67" t="n"/>
      <c r="D176" s="67" t="n"/>
      <c r="E176" s="67" t="n"/>
      <c r="F176" s="67" t="n"/>
      <c r="G176" s="67" t="n"/>
      <c r="H176" s="67" t="n"/>
      <c r="I176" s="67" t="n"/>
      <c r="J176" s="67" t="n"/>
      <c r="K176" s="67" t="n"/>
      <c r="L176" s="67" t="n"/>
    </row>
    <row r="177">
      <c r="B177" s="67" t="n"/>
      <c r="C177" s="67" t="n"/>
      <c r="D177" s="67" t="n"/>
      <c r="E177" s="67" t="n"/>
      <c r="F177" s="67" t="n"/>
      <c r="G177" s="67" t="n"/>
      <c r="H177" s="67" t="n"/>
      <c r="I177" s="67" t="n"/>
      <c r="J177" s="67" t="n"/>
      <c r="K177" s="67" t="n"/>
      <c r="L177" s="67" t="n"/>
    </row>
    <row r="178">
      <c r="B178" s="67" t="n"/>
      <c r="C178" s="67" t="n"/>
      <c r="D178" s="67" t="n"/>
      <c r="E178" s="67" t="n"/>
      <c r="F178" s="67" t="n"/>
      <c r="G178" s="67" t="n"/>
      <c r="H178" s="67" t="n"/>
      <c r="I178" s="67" t="n"/>
      <c r="J178" s="67" t="n"/>
      <c r="K178" s="67" t="n"/>
      <c r="L178" s="67" t="n"/>
    </row>
    <row r="179">
      <c r="B179" s="67" t="n"/>
      <c r="C179" s="67" t="n"/>
      <c r="D179" s="67" t="n"/>
      <c r="E179" s="67" t="n"/>
      <c r="F179" s="67" t="n"/>
      <c r="G179" s="67" t="n"/>
      <c r="H179" s="67" t="n"/>
      <c r="I179" s="67" t="n"/>
      <c r="J179" s="67" t="n"/>
      <c r="K179" s="67" t="n"/>
      <c r="L179" s="67" t="n"/>
    </row>
    <row r="180">
      <c r="B180" s="67" t="n"/>
      <c r="C180" s="67" t="n"/>
      <c r="D180" s="67" t="n"/>
      <c r="E180" s="67" t="n"/>
      <c r="F180" s="67" t="n"/>
      <c r="G180" s="67" t="n"/>
      <c r="H180" s="67" t="n"/>
      <c r="I180" s="67" t="n"/>
      <c r="J180" s="67" t="n"/>
      <c r="K180" s="67" t="n"/>
      <c r="L180" s="67" t="n"/>
    </row>
    <row r="181">
      <c r="B181" s="67" t="n"/>
      <c r="C181" s="67" t="n"/>
      <c r="D181" s="67" t="n"/>
      <c r="E181" s="67" t="n"/>
      <c r="F181" s="67" t="n"/>
      <c r="G181" s="67" t="n"/>
      <c r="H181" s="67" t="n"/>
      <c r="I181" s="67" t="n"/>
      <c r="J181" s="67" t="n"/>
      <c r="K181" s="67" t="n"/>
      <c r="L181" s="67" t="n"/>
    </row>
    <row r="182">
      <c r="B182" s="67" t="n"/>
      <c r="C182" s="67" t="n"/>
      <c r="D182" s="67" t="n"/>
      <c r="E182" s="67" t="n"/>
      <c r="F182" s="67" t="n"/>
      <c r="G182" s="67" t="n"/>
      <c r="H182" s="67" t="n"/>
      <c r="I182" s="67" t="n"/>
      <c r="J182" s="67" t="n"/>
      <c r="K182" s="67" t="n"/>
      <c r="L182" s="67" t="n"/>
    </row>
    <row r="183">
      <c r="B183" s="67" t="n"/>
      <c r="C183" s="67" t="n"/>
      <c r="D183" s="67" t="n"/>
      <c r="E183" s="67" t="n"/>
      <c r="F183" s="67" t="n"/>
      <c r="G183" s="67" t="n"/>
      <c r="H183" s="67" t="n"/>
      <c r="I183" s="67" t="n"/>
      <c r="J183" s="67" t="n"/>
      <c r="K183" s="67" t="n"/>
      <c r="L183" s="67" t="n"/>
    </row>
    <row r="184">
      <c r="B184" s="67" t="n"/>
      <c r="C184" s="67" t="n"/>
      <c r="D184" s="67" t="n"/>
      <c r="E184" s="67" t="n"/>
      <c r="F184" s="67" t="n"/>
      <c r="G184" s="67" t="n"/>
      <c r="H184" s="67" t="n"/>
      <c r="I184" s="67" t="n"/>
      <c r="J184" s="67" t="n"/>
      <c r="K184" s="67" t="n"/>
      <c r="L184" s="67" t="n"/>
    </row>
    <row r="185">
      <c r="B185" s="67" t="n"/>
      <c r="C185" s="67" t="n"/>
      <c r="D185" s="67" t="n"/>
      <c r="E185" s="67" t="n"/>
      <c r="F185" s="67" t="n"/>
      <c r="G185" s="67" t="n"/>
      <c r="H185" s="67" t="n"/>
      <c r="I185" s="67" t="n"/>
      <c r="J185" s="67" t="n"/>
      <c r="K185" s="67" t="n"/>
      <c r="L185" s="67" t="n"/>
    </row>
    <row r="186">
      <c r="B186" s="67" t="n"/>
      <c r="C186" s="67" t="n"/>
      <c r="D186" s="67" t="n"/>
      <c r="E186" s="67" t="n"/>
      <c r="F186" s="67" t="n"/>
      <c r="G186" s="67" t="n"/>
      <c r="H186" s="67" t="n"/>
      <c r="I186" s="67" t="n"/>
      <c r="J186" s="67" t="n"/>
      <c r="K186" s="67" t="n"/>
      <c r="L186" s="67" t="n"/>
    </row>
    <row r="187">
      <c r="B187" s="67" t="n"/>
      <c r="C187" s="67" t="n"/>
      <c r="D187" s="67" t="n"/>
      <c r="E187" s="67" t="n"/>
      <c r="F187" s="67" t="n"/>
      <c r="G187" s="67" t="n"/>
      <c r="H187" s="67" t="n"/>
      <c r="I187" s="67" t="n"/>
      <c r="J187" s="67" t="n"/>
      <c r="K187" s="67" t="n"/>
      <c r="L187" s="67" t="n"/>
    </row>
    <row r="188">
      <c r="B188" s="67" t="n"/>
      <c r="C188" s="67" t="n"/>
      <c r="D188" s="67" t="n"/>
      <c r="E188" s="67" t="n"/>
      <c r="F188" s="67" t="n"/>
      <c r="G188" s="67" t="n"/>
      <c r="H188" s="67" t="n"/>
      <c r="I188" s="67" t="n"/>
      <c r="J188" s="67" t="n"/>
      <c r="K188" s="67" t="n"/>
      <c r="L188" s="67" t="n"/>
    </row>
    <row r="189">
      <c r="B189" s="67" t="n"/>
      <c r="C189" s="67" t="n"/>
      <c r="D189" s="67" t="n"/>
      <c r="E189" s="67" t="n"/>
      <c r="F189" s="67" t="n"/>
      <c r="G189" s="67" t="n"/>
      <c r="H189" s="67" t="n"/>
      <c r="I189" s="67" t="n"/>
      <c r="J189" s="67" t="n"/>
      <c r="K189" s="67" t="n"/>
      <c r="L189" s="67" t="n"/>
    </row>
    <row r="190">
      <c r="B190" s="67" t="n"/>
      <c r="C190" s="67" t="n"/>
      <c r="D190" s="67" t="n"/>
      <c r="E190" s="67" t="n"/>
      <c r="F190" s="67" t="n"/>
      <c r="G190" s="67" t="n"/>
      <c r="H190" s="67" t="n"/>
      <c r="I190" s="67" t="n"/>
      <c r="J190" s="67" t="n"/>
      <c r="K190" s="67" t="n"/>
      <c r="L190" s="67" t="n"/>
    </row>
    <row r="191">
      <c r="B191" s="67" t="n"/>
      <c r="C191" s="67" t="n"/>
      <c r="D191" s="67" t="n"/>
      <c r="E191" s="67" t="n"/>
      <c r="F191" s="67" t="n"/>
      <c r="G191" s="67" t="n"/>
      <c r="H191" s="67" t="n"/>
      <c r="I191" s="67" t="n"/>
      <c r="J191" s="67" t="n"/>
      <c r="K191" s="67" t="n"/>
      <c r="L191" s="67" t="n"/>
    </row>
    <row r="192">
      <c r="B192" s="67" t="n"/>
      <c r="C192" s="67" t="n"/>
      <c r="D192" s="67" t="n"/>
      <c r="E192" s="67" t="n"/>
      <c r="F192" s="67" t="n"/>
      <c r="G192" s="67" t="n"/>
      <c r="H192" s="67" t="n"/>
      <c r="I192" s="67" t="n"/>
      <c r="J192" s="67" t="n"/>
      <c r="K192" s="67" t="n"/>
      <c r="L192" s="67" t="n"/>
    </row>
    <row r="193">
      <c r="B193" s="67" t="n"/>
      <c r="C193" s="67" t="n"/>
      <c r="D193" s="67" t="n"/>
      <c r="E193" s="67" t="n"/>
      <c r="F193" s="67" t="n"/>
      <c r="G193" s="67" t="n"/>
      <c r="H193" s="67" t="n"/>
      <c r="I193" s="67" t="n"/>
      <c r="J193" s="67" t="n"/>
      <c r="K193" s="67" t="n"/>
      <c r="L193" s="67" t="n"/>
    </row>
    <row r="194">
      <c r="B194" s="67" t="n"/>
      <c r="C194" s="67" t="n"/>
      <c r="D194" s="67" t="n"/>
      <c r="E194" s="67" t="n"/>
      <c r="F194" s="67" t="n"/>
      <c r="G194" s="67" t="n"/>
      <c r="H194" s="67" t="n"/>
      <c r="I194" s="67" t="n"/>
      <c r="J194" s="67" t="n"/>
      <c r="K194" s="67" t="n"/>
      <c r="L194" s="67" t="n"/>
    </row>
    <row r="195">
      <c r="B195" s="67" t="n"/>
      <c r="C195" s="67" t="n"/>
      <c r="D195" s="67" t="n"/>
      <c r="E195" s="67" t="n"/>
      <c r="F195" s="67" t="n"/>
      <c r="G195" s="67" t="n"/>
      <c r="H195" s="67" t="n"/>
      <c r="I195" s="67" t="n"/>
      <c r="J195" s="67" t="n"/>
      <c r="K195" s="67" t="n"/>
      <c r="L195" s="67" t="n"/>
    </row>
    <row r="196">
      <c r="B196" s="67" t="n"/>
      <c r="C196" s="67" t="n"/>
      <c r="D196" s="67" t="n"/>
      <c r="E196" s="67" t="n"/>
      <c r="F196" s="67" t="n"/>
      <c r="G196" s="67" t="n"/>
      <c r="H196" s="67" t="n"/>
      <c r="I196" s="67" t="n"/>
      <c r="J196" s="67" t="n"/>
      <c r="K196" s="67" t="n"/>
      <c r="L196" s="67" t="n"/>
    </row>
    <row r="197">
      <c r="B197" s="67" t="n"/>
      <c r="C197" s="67" t="n"/>
      <c r="D197" s="67" t="n"/>
      <c r="E197" s="67" t="n"/>
      <c r="F197" s="67" t="n"/>
      <c r="G197" s="67" t="n"/>
      <c r="H197" s="67" t="n"/>
      <c r="I197" s="67" t="n"/>
      <c r="J197" s="67" t="n"/>
      <c r="K197" s="67" t="n"/>
      <c r="L197" s="67" t="n"/>
    </row>
    <row r="198">
      <c r="B198" s="67" t="n"/>
      <c r="C198" s="67" t="n"/>
      <c r="D198" s="67" t="n"/>
      <c r="E198" s="67" t="n"/>
      <c r="F198" s="67" t="n"/>
      <c r="G198" s="67" t="n"/>
      <c r="H198" s="67" t="n"/>
      <c r="I198" s="67" t="n"/>
      <c r="J198" s="67" t="n"/>
      <c r="K198" s="67" t="n"/>
      <c r="L198" s="67" t="n"/>
    </row>
    <row r="199">
      <c r="B199" s="67" t="n"/>
      <c r="C199" s="67" t="n"/>
      <c r="D199" s="67" t="n"/>
      <c r="E199" s="67" t="n"/>
      <c r="F199" s="67" t="n"/>
      <c r="G199" s="67" t="n"/>
      <c r="H199" s="67" t="n"/>
      <c r="I199" s="67" t="n"/>
      <c r="J199" s="67" t="n"/>
      <c r="K199" s="67" t="n"/>
      <c r="L199" s="67" t="n"/>
    </row>
    <row r="200">
      <c r="B200" s="67" t="n"/>
      <c r="C200" s="67" t="n"/>
      <c r="D200" s="67" t="n"/>
      <c r="E200" s="67" t="n"/>
      <c r="F200" s="67" t="n"/>
      <c r="G200" s="67" t="n"/>
      <c r="H200" s="67" t="n"/>
      <c r="I200" s="67" t="n"/>
      <c r="J200" s="67" t="n"/>
      <c r="K200" s="67" t="n"/>
      <c r="L200" s="67" t="n"/>
    </row>
    <row r="201">
      <c r="B201" s="67" t="n"/>
      <c r="C201" s="67" t="n"/>
      <c r="D201" s="67" t="n"/>
      <c r="E201" s="67" t="n"/>
      <c r="F201" s="67" t="n"/>
      <c r="G201" s="67" t="n"/>
      <c r="H201" s="67" t="n"/>
      <c r="I201" s="67" t="n"/>
      <c r="J201" s="67" t="n"/>
      <c r="K201" s="67" t="n"/>
      <c r="L201" s="67" t="n"/>
    </row>
    <row r="202">
      <c r="B202" s="67" t="n"/>
      <c r="C202" s="67" t="n"/>
      <c r="D202" s="67" t="n"/>
      <c r="E202" s="67" t="n"/>
      <c r="F202" s="67" t="n"/>
      <c r="G202" s="67" t="n"/>
      <c r="H202" s="67" t="n"/>
      <c r="I202" s="67" t="n"/>
      <c r="J202" s="67" t="n"/>
      <c r="K202" s="67" t="n"/>
      <c r="L202" s="67" t="n"/>
    </row>
    <row r="203">
      <c r="B203" s="67" t="n"/>
      <c r="C203" s="67" t="n"/>
      <c r="D203" s="67" t="n"/>
      <c r="E203" s="67" t="n"/>
      <c r="F203" s="67" t="n"/>
      <c r="G203" s="67" t="n"/>
      <c r="H203" s="67" t="n"/>
      <c r="I203" s="67" t="n"/>
      <c r="J203" s="67" t="n"/>
      <c r="K203" s="67" t="n"/>
      <c r="L203" s="67" t="n"/>
    </row>
    <row r="204">
      <c r="B204" s="67" t="n"/>
      <c r="C204" s="67" t="n"/>
      <c r="D204" s="67" t="n"/>
      <c r="E204" s="67" t="n"/>
      <c r="F204" s="67" t="n"/>
      <c r="G204" s="67" t="n"/>
      <c r="H204" s="67" t="n"/>
      <c r="I204" s="67" t="n"/>
      <c r="J204" s="67" t="n"/>
      <c r="K204" s="67" t="n"/>
      <c r="L204" s="67" t="n"/>
    </row>
    <row r="205">
      <c r="B205" s="67" t="n"/>
      <c r="C205" s="67" t="n"/>
      <c r="D205" s="67" t="n"/>
      <c r="E205" s="67" t="n"/>
      <c r="F205" s="67" t="n"/>
      <c r="G205" s="67" t="n"/>
      <c r="H205" s="67" t="n"/>
      <c r="I205" s="67" t="n"/>
      <c r="J205" s="67" t="n"/>
      <c r="K205" s="67" t="n"/>
      <c r="L205" s="67" t="n"/>
    </row>
    <row r="206">
      <c r="B206" s="67" t="n"/>
      <c r="C206" s="67" t="n"/>
      <c r="D206" s="67" t="n"/>
      <c r="E206" s="67" t="n"/>
      <c r="F206" s="67" t="n"/>
      <c r="G206" s="67" t="n"/>
      <c r="H206" s="67" t="n"/>
      <c r="I206" s="67" t="n"/>
      <c r="J206" s="67" t="n"/>
      <c r="K206" s="67" t="n"/>
      <c r="L206" s="67" t="n"/>
    </row>
    <row r="207">
      <c r="B207" s="67" t="n"/>
      <c r="C207" s="67" t="n"/>
      <c r="D207" s="67" t="n"/>
      <c r="E207" s="67" t="n"/>
      <c r="F207" s="67" t="n"/>
      <c r="G207" s="67" t="n"/>
      <c r="H207" s="67" t="n"/>
      <c r="I207" s="67" t="n"/>
      <c r="J207" s="67" t="n"/>
      <c r="K207" s="67" t="n"/>
      <c r="L207" s="67" t="n"/>
    </row>
    <row r="208">
      <c r="B208" s="67" t="n"/>
      <c r="C208" s="67" t="n"/>
      <c r="D208" s="67" t="n"/>
      <c r="E208" s="67" t="n"/>
      <c r="F208" s="67" t="n"/>
      <c r="G208" s="67" t="n"/>
      <c r="H208" s="67" t="n"/>
      <c r="I208" s="67" t="n"/>
      <c r="J208" s="67" t="n"/>
      <c r="K208" s="67" t="n"/>
      <c r="L208" s="67" t="n"/>
    </row>
    <row r="209">
      <c r="B209" s="67" t="n"/>
      <c r="C209" s="67" t="n"/>
      <c r="D209" s="67" t="n"/>
      <c r="E209" s="67" t="n"/>
      <c r="F209" s="67" t="n"/>
      <c r="G209" s="67" t="n"/>
      <c r="H209" s="67" t="n"/>
      <c r="I209" s="67" t="n"/>
      <c r="J209" s="67" t="n"/>
      <c r="K209" s="67" t="n"/>
      <c r="L209" s="67" t="n"/>
    </row>
    <row r="210">
      <c r="B210" s="67" t="n"/>
      <c r="C210" s="67" t="n"/>
      <c r="D210" s="67" t="n"/>
      <c r="E210" s="67" t="n"/>
      <c r="F210" s="67" t="n"/>
      <c r="G210" s="67" t="n"/>
      <c r="H210" s="67" t="n"/>
      <c r="I210" s="67" t="n"/>
      <c r="J210" s="67" t="n"/>
      <c r="K210" s="67" t="n"/>
      <c r="L210" s="67" t="n"/>
    </row>
    <row r="211">
      <c r="B211" s="67" t="n"/>
      <c r="C211" s="67" t="n"/>
      <c r="D211" s="67" t="n"/>
      <c r="E211" s="67" t="n"/>
      <c r="F211" s="67" t="n"/>
      <c r="G211" s="67" t="n"/>
      <c r="H211" s="67" t="n"/>
      <c r="I211" s="67" t="n"/>
      <c r="J211" s="67" t="n"/>
      <c r="K211" s="67" t="n"/>
      <c r="L211" s="67" t="n"/>
    </row>
    <row r="212">
      <c r="B212" s="67" t="n"/>
      <c r="C212" s="67" t="n"/>
      <c r="D212" s="67" t="n"/>
      <c r="E212" s="67" t="n"/>
      <c r="F212" s="67" t="n"/>
      <c r="G212" s="67" t="n"/>
      <c r="H212" s="67" t="n"/>
      <c r="I212" s="67" t="n"/>
      <c r="J212" s="67" t="n"/>
      <c r="K212" s="67" t="n"/>
      <c r="L212" s="67" t="n"/>
    </row>
    <row r="213">
      <c r="B213" s="67" t="n"/>
      <c r="C213" s="67" t="n"/>
      <c r="D213" s="67" t="n"/>
      <c r="E213" s="67" t="n"/>
      <c r="F213" s="67" t="n"/>
      <c r="G213" s="67" t="n"/>
      <c r="H213" s="67" t="n"/>
      <c r="I213" s="67" t="n"/>
      <c r="J213" s="67" t="n"/>
      <c r="K213" s="67" t="n"/>
      <c r="L213" s="67" t="n"/>
    </row>
    <row r="214">
      <c r="B214" s="67" t="n"/>
      <c r="C214" s="67" t="n"/>
      <c r="D214" s="67" t="n"/>
      <c r="E214" s="67" t="n"/>
      <c r="F214" s="67" t="n"/>
      <c r="G214" s="67" t="n"/>
      <c r="H214" s="67" t="n"/>
      <c r="I214" s="67" t="n"/>
      <c r="J214" s="67" t="n"/>
      <c r="K214" s="67" t="n"/>
      <c r="L214" s="67" t="n"/>
    </row>
    <row r="215">
      <c r="B215" s="67" t="n"/>
      <c r="C215" s="67" t="n"/>
      <c r="D215" s="67" t="n"/>
      <c r="E215" s="67" t="n"/>
      <c r="F215" s="67" t="n"/>
      <c r="G215" s="67" t="n"/>
      <c r="H215" s="67" t="n"/>
      <c r="I215" s="67" t="n"/>
      <c r="J215" s="67" t="n"/>
      <c r="K215" s="67" t="n"/>
      <c r="L215" s="67" t="n"/>
    </row>
    <row r="216">
      <c r="B216" s="67" t="n"/>
      <c r="C216" s="67" t="n"/>
      <c r="D216" s="67" t="n"/>
      <c r="E216" s="67" t="n"/>
      <c r="F216" s="67" t="n"/>
      <c r="G216" s="67" t="n"/>
      <c r="H216" s="67" t="n"/>
      <c r="I216" s="67" t="n"/>
      <c r="J216" s="67" t="n"/>
      <c r="K216" s="67" t="n"/>
      <c r="L216" s="67" t="n"/>
    </row>
    <row r="217">
      <c r="B217" s="67" t="n"/>
      <c r="C217" s="67" t="n"/>
      <c r="D217" s="67" t="n"/>
      <c r="E217" s="67" t="n"/>
      <c r="F217" s="67" t="n"/>
      <c r="G217" s="67" t="n"/>
      <c r="H217" s="67" t="n"/>
      <c r="I217" s="67" t="n"/>
      <c r="J217" s="67" t="n"/>
      <c r="K217" s="67" t="n"/>
      <c r="L217" s="67" t="n"/>
    </row>
    <row r="218">
      <c r="B218" s="67" t="n"/>
      <c r="C218" s="67" t="n"/>
      <c r="D218" s="67" t="n"/>
      <c r="E218" s="67" t="n"/>
      <c r="F218" s="67" t="n"/>
      <c r="G218" s="67" t="n"/>
      <c r="H218" s="67" t="n"/>
      <c r="I218" s="67" t="n"/>
      <c r="J218" s="67" t="n"/>
      <c r="K218" s="67" t="n"/>
      <c r="L218" s="67" t="n"/>
    </row>
    <row r="219">
      <c r="B219" s="67" t="n"/>
      <c r="C219" s="67" t="n"/>
      <c r="D219" s="67" t="n"/>
      <c r="E219" s="67" t="n"/>
      <c r="F219" s="67" t="n"/>
      <c r="G219" s="67" t="n"/>
      <c r="H219" s="67" t="n"/>
      <c r="I219" s="67" t="n"/>
      <c r="J219" s="67" t="n"/>
      <c r="K219" s="67" t="n"/>
      <c r="L219" s="67" t="n"/>
    </row>
    <row r="220">
      <c r="B220" s="67" t="n"/>
      <c r="C220" s="67" t="n"/>
      <c r="D220" s="67" t="n"/>
      <c r="E220" s="67" t="n"/>
      <c r="F220" s="67" t="n"/>
      <c r="G220" s="67" t="n"/>
      <c r="H220" s="67" t="n"/>
      <c r="I220" s="67" t="n"/>
      <c r="J220" s="67" t="n"/>
      <c r="K220" s="67" t="n"/>
      <c r="L220" s="67" t="n"/>
    </row>
  </sheetData>
  <mergeCells count="7">
    <mergeCell ref="B4:L4"/>
    <mergeCell ref="B6:L6"/>
    <mergeCell ref="B7:L7"/>
    <mergeCell ref="B10:C10"/>
    <mergeCell ref="B3:L3"/>
    <mergeCell ref="B5:L5"/>
    <mergeCell ref="B8:L8"/>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AND(LEN($B20&amp;$C20&amp;$D20&amp;$E20&amp;$F20&amp;$G20&amp;$H20&amp;$I20&amp;$J20&amp;$K20&amp;$L20)&gt;0,B20="")</formula>
    </cfRule>
  </conditionalFormatting>
  <conditionalFormatting sqref="C20:C220">
    <cfRule type="expression" priority="3" dxfId="6">
      <formula>AND(LEN($B20&amp;$C20&amp;$D20&amp;$E20&amp;$F20&amp;$G20&amp;$H20&amp;$I20&amp;$J20&amp;$K20&amp;$L20)&gt;0,C20="")</formula>
    </cfRule>
  </conditionalFormatting>
  <conditionalFormatting sqref="D20:D220">
    <cfRule type="expression" priority="4" dxfId="6">
      <formula>AND(LEN($B20&amp;$C20&amp;$D20&amp;$E20&amp;$F20&amp;$G20&amp;$H20&amp;$I20&amp;$J20&amp;$K20&amp;$L20)&gt;0,D20="")</formula>
    </cfRule>
  </conditionalFormatting>
  <conditionalFormatting sqref="H20:H220">
    <cfRule type="expression" priority="5" dxfId="6">
      <formula>AND(LEN($B20&amp;$C20&amp;$D20&amp;$E20&amp;$F20&amp;$G20&amp;$H20&amp;$I20&amp;$J20&amp;$K20&amp;$L20)&gt;0,H20="")</formula>
    </cfRule>
  </conditionalFormatting>
  <conditionalFormatting sqref="I20:I220">
    <cfRule type="expression" priority="6" dxfId="6">
      <formula>AND(LEN($B20&amp;$C20&amp;$D20&amp;$E20&amp;$F20&amp;$G20&amp;$H20&amp;$I20&amp;$J20&amp;$K20&amp;$L20)&gt;0,I20="")</formula>
    </cfRule>
  </conditionalFormatting>
  <conditionalFormatting sqref="J20:J220">
    <cfRule type="expression" priority="7" dxfId="6">
      <formula>AND(LEN($B20&amp;$C20&amp;$D20&amp;$E20&amp;$F20&amp;$G20&amp;$H20&amp;$I20&amp;$J20&amp;$K20&amp;$L20)&gt;0,J20="")</formula>
    </cfRule>
  </conditionalFormatting>
  <dataValidations count="13">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L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payee_code" error="At most 30 characters." promptTitle="payee_code" prompt="Yes. Legacy payee code Allowed: Free entry, up to 30 characters" type="textLength" operator="lessThanOrEqual">
      <formula1>30</formula1>
    </dataValidation>
    <dataValidation sqref="C20:C220" showDropDown="0" showInputMessage="1" showErrorMessage="1" allowBlank="1" errorTitle="payee_class" error="At most 20 characters." promptTitle="payee_class" prompt="Yes. Payee class Allowed: LOV PAYEE_CLASS" type="textLength" operator="lessThanOrEqual">
      <formula1>20</formula1>
    </dataValidation>
    <dataValidation sqref="D20:D220" showDropDown="0" showInputMessage="1" showErrorMessage="1" allowBlank="1" errorTitle="name" error="At most 250 characters." promptTitle="name" prompt="Yes. Payee name Allowed: Free entry, up to 250 characters" type="textLength" operator="lessThanOrEqual">
      <formula1>250</formula1>
    </dataValidation>
    <dataValidation sqref="E20:E220" showDropDown="0" showInputMessage="1" showErrorMessage="1" allowBlank="1" errorTitle="address" error="At most 300 characters." promptTitle="address" prompt="No. Address Allowed: Free entry, up to 300 characters" type="textLength" operator="lessThanOrEqual">
      <formula1>300</formula1>
    </dataValidation>
    <dataValidation sqref="F20:F220" showDropDown="0" showInputMessage="1" showErrorMessage="1" allowBlank="1" errorTitle="email" error="At most 120 characters." promptTitle="email" prompt="No. E-mail for payment advices Allowed: Free entry, up to 120 characters" type="textLength" operator="lessThanOrEqual">
      <formula1>120</formula1>
    </dataValidation>
    <dataValidation sqref="G20:G220" showDropDown="0" showInputMessage="1" showErrorMessage="1" allowBlank="1" errorTitle="tin" error="At most 20 characters." promptTitle="tin" prompt="No. Tax identification number Allowed: Free entry, up to 20 characters" type="textLength" operator="lessThanOrEqual">
      <formula1>20</formula1>
    </dataValidation>
    <dataValidation sqref="H20:H220" showDropDown="0" showInputMessage="1" showErrorMessage="1" allowBlank="1" errorTitle="default_mode" error="Choose a value of the list R09 default_mode (sheet Reference lists)." promptTitle="default_mode" prompt="Yes. Default payment mode Allowed: List R09 default_mode: 7 values, see Reference lists" type="list" errorStyle="stop">
      <formula1>=LIST_R09_DEFAULT_MODE</formula1>
    </dataValidation>
    <dataValidation sqref="I20:I220" showDropDown="0" showInputMessage="1" showErrorMessage="1" allowBlank="1" errorTitle="allowed_modes" error="At most 100 characters." promptTitle="allowed_modes" prompt="Yes. Allowed payment modes separated by a vertical bar Allowed: Same list as default_mode" type="textLength" operator="lessThanOrEqual">
      <formula1>100</formula1>
    </dataValidation>
    <dataValidation sqref="J20:J220" showDropDown="0" showInputMessage="1" showErrorMessage="1" allowBlank="1" errorTitle="currency" error="At most 3 characters." promptTitle="currency" prompt="Yes. Currency Allowed: ISO 4217" type="textLength" operator="lessThanOrEqual">
      <formula1>3</formula1>
    </dataValidation>
    <dataValidation sqref="K20:K220" showDropDown="0" showInputMessage="1" showErrorMessage="1" allowBlank="1" errorTitle="bank" error="At most 120 characters." promptTitle="bank" prompt="No. Bank of the payee account Allowed: The legacy code; mapped by the code map BANK (sheet Code maps)" type="textLength" operator="lessThanOrEqual">
      <formula1>120</formula1>
    </dataValidation>
    <dataValidation sqref="L20:L220" showDropDown="0" showInputMessage="1" showErrorMessage="1" allowBlank="1" errorTitle="account_no" error="At most 40 characters." promptTitle="account_no" prompt="Conditional: Mandatory for CTA. Payee account number Allowed: Free entry, up to 40 characters" type="textLength" operator="lessThanOrEqual">
      <formula1>40</formula1>
    </dataValidation>
  </dataValidations>
  <hyperlinks>
    <hyperlink ref="A2" location="'Load templates'!A1"/>
    <hyperlink ref="L2" location="'Comments log'!A1"/>
    <hyperlink ref="H17" location="'Reference lists'!A34"/>
    <hyperlink ref="K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0.xml><?xml version="1.0" encoding="utf-8"?>
<worksheet xmlns="http://schemas.openxmlformats.org/spreadsheetml/2006/main">
  <sheetPr>
    <tabColor rgb="00004EA8"/>
    <outlinePr summaryBelow="0" summaryRight="1"/>
    <pageSetUpPr fitToPage="1"/>
  </sheetPr>
  <dimension ref="A1:I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2" customWidth="1" min="3" max="3"/>
    <col width="21" customWidth="1" min="4" max="4"/>
    <col width="12" customWidth="1" min="5" max="5"/>
    <col width="12" customWidth="1" min="6" max="6"/>
    <col width="12" customWidth="1" min="7" max="7"/>
    <col width="17" customWidth="1" min="8" max="8"/>
    <col width="12" customWidth="1" min="9" max="9"/>
  </cols>
  <sheetData>
    <row r="1" ht="26" customHeight="1">
      <c r="A1" s="44" t="inlineStr">
        <is>
          <t>R11 Receipt series in use</t>
        </is>
      </c>
      <c r="I1" s="45" t="inlineStr">
        <is>
          <t>Step 11 of 29</t>
        </is>
      </c>
    </row>
    <row r="2">
      <c r="A2" s="46" t="inlineStr">
        <is>
          <t>← Back to Load templates</t>
        </is>
      </c>
      <c r="B2" s="47" t="inlineStr">
        <is>
          <t>Step 11 of 29. Fill in one row per record below the column headers; the guide above each column says what to enter.</t>
        </is>
      </c>
      <c r="I2" s="48" t="inlineStr">
        <is>
          <t>Ask a question →</t>
        </is>
      </c>
    </row>
    <row r="3" outlineLevel="1" ht="28" customHeight="1">
      <c r="A3" s="49" t="inlineStr">
        <is>
          <t>Purpose</t>
        </is>
      </c>
      <c r="B3" s="50" t="inlineStr">
        <is>
          <t>One row per record of Receipt series in use (AR and OR, ATP and next number) as extracted from EBIX. Key branch_code, kind, prefix. Sent as the file R11_template.csv (CSV, header row as below) with its control file (row count, row count).</t>
        </is>
      </c>
    </row>
    <row r="4" outlineLevel="1" ht="15.5" customHeight="1">
      <c r="A4" s="49" t="inlineStr">
        <is>
          <t>Provided by</t>
        </is>
      </c>
      <c r="B4" s="50" t="inlineStr">
        <is>
          <t>Cashiering data steward (to name); approved by Operations - Financial Transactions; extracted by BDOI IT</t>
        </is>
      </c>
    </row>
    <row r="5" outlineLevel="1" ht="15.5" customHeight="1">
      <c r="A5" s="49" t="inlineStr">
        <is>
          <t>Due</t>
        </is>
      </c>
      <c r="B5" s="51" t="inlineStr">
        <is>
          <t>M3 (29 Jan 2027); final at T-3</t>
        </is>
      </c>
    </row>
    <row r="6" outlineLevel="1" ht="15.5" customHeight="1">
      <c r="A6" s="49" t="inlineStr">
        <is>
          <t>How it is loaded</t>
        </is>
      </c>
      <c r="B6" s="50" t="inlineStr">
        <is>
          <t>Data migration object R11 (Carry forward), layout R11 version 1, through the Migration Console; lands in: Receipt series of Cashiering</t>
        </is>
      </c>
    </row>
    <row r="7" outlineLevel="1" ht="15.5" customHeight="1">
      <c r="A7" s="49" t="inlineStr">
        <is>
          <t>Source</t>
        </is>
      </c>
      <c r="B7" s="50" t="inlineStr">
        <is>
          <t>EBIX</t>
        </is>
      </c>
    </row>
    <row r="8" outlineLevel="1" ht="26" customHeight="1">
      <c r="A8" s="49" t="inlineStr">
        <is>
          <t>Depends on</t>
        </is>
      </c>
      <c r="B8" s="68" t="inlineStr">
        <is>
          <t>R02 Branches and invoicing branches →</t>
        </is>
      </c>
    </row>
    <row r="9" ht="26" customHeight="1">
      <c r="A9" s="53" t="inlineStr">
        <is>
          <t>Progress</t>
        </is>
      </c>
      <c r="B9" s="54" t="inlineStr">
        <is>
          <t>Rows entered</t>
        </is>
      </c>
      <c r="C9" s="55">
        <f>SUMPRODUCT(((ROW($B$20:$B$220)&gt;20)+($B$20&lt;&gt;"MKT01")&gt;0)*(LEN($B$20:$B$220&amp;$C$20:$C$220&amp;$D$20:$D$220&amp;$E$20:$E$220&amp;$F$20:$F$220&amp;$G$20:$G$220&amp;$H$20:$H$220&amp;$I$20:$I$220)&gt;0))</f>
        <v/>
      </c>
      <c r="D9" s="54" t="inlineStr">
        <is>
          <t>Mandatory cells missing</t>
        </is>
      </c>
      <c r="E9" s="55">
        <f>SUMPRODUCT(((ROW($B$20:$B$220)&gt;20)+($B$20&lt;&gt;"MKT01")&gt;0)*(LEN($B$20:$B$220&amp;$C$20:$C$220&amp;$D$20:$D$220&amp;$E$20:$E$220&amp;$F$20:$F$220&amp;$G$20:$G$220&amp;$H$20:$H$220&amp;$I$20:$I$220)&gt;0)*(($B$20:$B$220="")+($C$20:$C$220="")+($D$20:$D$220="")+($F$20:$F$220="")+($G$20:$G$220="")+($H$20:$H$220="")+($I$20:$I$220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row>
    <row r="12" ht="30" customHeight="1">
      <c r="A12" s="59" t="inlineStr">
        <is>
          <t>BU review</t>
        </is>
      </c>
      <c r="B12" s="60" t="n"/>
      <c r="C12" s="60" t="n"/>
      <c r="D12" s="60" t="n"/>
      <c r="E12" s="60" t="n"/>
      <c r="F12" s="60" t="n"/>
      <c r="G12" s="60" t="n"/>
      <c r="H12" s="60" t="n"/>
      <c r="I12" s="60" t="n"/>
    </row>
    <row r="13" ht="30" customHeight="1">
      <c r="A13" s="59" t="inlineStr">
        <is>
          <t>BU comment</t>
        </is>
      </c>
      <c r="B13" s="60" t="n"/>
      <c r="C13" s="60" t="n"/>
      <c r="D13" s="60" t="n"/>
      <c r="E13" s="60" t="n"/>
      <c r="F13" s="60" t="n"/>
      <c r="G13" s="60" t="n"/>
      <c r="H13" s="60" t="n"/>
      <c r="I13" s="60" t="n"/>
    </row>
    <row r="14" ht="30" customHeight="1">
      <c r="A14" s="59" t="inlineStr">
        <is>
          <t>Check when loaded</t>
        </is>
      </c>
      <c r="B14" s="61" t="inlineStr">
        <is>
          <t>Mapped</t>
        </is>
      </c>
      <c r="C14" s="61" t="inlineStr">
        <is>
          <t>In the list</t>
        </is>
      </c>
      <c r="D14" s="61" t="inlineStr">
        <is>
          <t>Not blank</t>
        </is>
      </c>
      <c r="E14" s="61" t="inlineStr">
        <is>
          <t>Unique per branch and kind</t>
        </is>
      </c>
      <c r="F14" s="61" t="inlineStr">
        <is>
          <t>Less than to_no</t>
        </is>
      </c>
      <c r="G14" s="61" t="inlineStr">
        <is>
          <t>More than from_no</t>
        </is>
      </c>
      <c r="H14" s="61" t="inlineStr">
        <is>
          <t>Between from_no and to_no</t>
        </is>
      </c>
      <c r="I14" s="61">
        <f> last_used_no + 1</f>
        <v/>
      </c>
    </row>
    <row r="15" ht="17" customHeight="1">
      <c r="A15" s="59" t="inlineStr">
        <is>
          <t>Mandatory</t>
        </is>
      </c>
      <c r="B15" s="62" t="inlineStr">
        <is>
          <t>Yes</t>
        </is>
      </c>
      <c r="C15" s="62" t="inlineStr">
        <is>
          <t>Yes</t>
        </is>
      </c>
      <c r="D15" s="62" t="inlineStr">
        <is>
          <t>Yes</t>
        </is>
      </c>
      <c r="E15" s="61" t="inlineStr">
        <is>
          <t>No</t>
        </is>
      </c>
      <c r="F15" s="62" t="inlineStr">
        <is>
          <t>Yes</t>
        </is>
      </c>
      <c r="G15" s="62" t="inlineStr">
        <is>
          <t>Yes</t>
        </is>
      </c>
      <c r="H15" s="62" t="inlineStr">
        <is>
          <t>Yes</t>
        </is>
      </c>
      <c r="I15" s="62" t="inlineStr">
        <is>
          <t>Yes</t>
        </is>
      </c>
    </row>
    <row r="16" ht="30" customHeight="1">
      <c r="A16" s="59" t="inlineStr">
        <is>
          <t>Format</t>
        </is>
      </c>
      <c r="B16" s="61" t="inlineStr">
        <is>
          <t>Code, up to 20; As stored in legacy</t>
        </is>
      </c>
      <c r="C16" s="61" t="inlineStr">
        <is>
          <t>Code, up to 2; Upper case</t>
        </is>
      </c>
      <c r="D16" s="61" t="inlineStr">
        <is>
          <t>Text, up to 40; As printed</t>
        </is>
      </c>
      <c r="E16" s="61" t="inlineStr">
        <is>
          <t>Text, up to 20; As printed</t>
        </is>
      </c>
      <c r="F16" s="61" t="inlineStr">
        <is>
          <t>Integer, up to 12; Digits</t>
        </is>
      </c>
      <c r="G16" s="61" t="inlineStr">
        <is>
          <t>Integer, up to 12; Digits</t>
        </is>
      </c>
      <c r="H16" s="61" t="inlineStr">
        <is>
          <t>Integer, up to 12; Digits</t>
        </is>
      </c>
      <c r="I16" s="61" t="inlineStr">
        <is>
          <t>Integer, up to 12; Digits</t>
        </is>
      </c>
    </row>
    <row r="17" ht="56" customHeight="1">
      <c r="A17" s="59" t="inlineStr">
        <is>
          <t>Allowed values</t>
        </is>
      </c>
      <c r="B17" s="69" t="inlineStr">
        <is>
          <t>The legacy code; mapped by the code map BRANCH (sheet Code maps)</t>
        </is>
      </c>
      <c r="C17" s="69" t="inlineStr">
        <is>
          <t>AR, OR (list R11 kind)</t>
        </is>
      </c>
      <c r="D17" s="61" t="inlineStr">
        <is>
          <t>Free entry, up to 40 characters</t>
        </is>
      </c>
      <c r="E17" s="61" t="inlineStr">
        <is>
          <t>Free entry, up to 20 characters</t>
        </is>
      </c>
      <c r="F17" s="61" t="inlineStr">
        <is>
          <t>A whole number</t>
        </is>
      </c>
      <c r="G17" s="61" t="inlineStr">
        <is>
          <t>A whole number</t>
        </is>
      </c>
      <c r="H17" s="61" t="inlineStr">
        <is>
          <t>A whole number</t>
        </is>
      </c>
      <c r="I17" s="61" t="inlineStr">
        <is>
          <t>A whole number</t>
        </is>
      </c>
    </row>
    <row r="18" ht="43" customHeight="1">
      <c r="A18" s="59" t="inlineStr">
        <is>
          <t>What to enter</t>
        </is>
      </c>
      <c r="B18" s="61" t="inlineStr">
        <is>
          <t>Issuing branch</t>
        </is>
      </c>
      <c r="C18" s="61" t="inlineStr">
        <is>
          <t>Receipt kind</t>
        </is>
      </c>
      <c r="D18" s="61" t="inlineStr">
        <is>
          <t>BIR Authority to Print number</t>
        </is>
      </c>
      <c r="E18" s="61" t="inlineStr">
        <is>
          <t>Series prefix</t>
        </is>
      </c>
      <c r="F18" s="61" t="inlineStr">
        <is>
          <t>First number of the series</t>
        </is>
      </c>
      <c r="G18" s="61" t="inlineStr">
        <is>
          <t>Last number of the series</t>
        </is>
      </c>
      <c r="H18" s="61" t="inlineStr">
        <is>
          <t>Last number issued in legacy at the freeze</t>
        </is>
      </c>
      <c r="I18" s="61" t="inlineStr">
        <is>
          <t>Next number BIBS issues</t>
        </is>
      </c>
    </row>
    <row r="19" ht="30" customHeight="1">
      <c r="A19" s="63" t="inlineStr">
        <is>
          <t>Row</t>
        </is>
      </c>
      <c r="B19" s="24" t="inlineStr">
        <is>
          <t>branch_code *</t>
        </is>
      </c>
      <c r="C19" s="24" t="inlineStr">
        <is>
          <t>kind *</t>
        </is>
      </c>
      <c r="D19" s="24" t="inlineStr">
        <is>
          <t>atp_no *</t>
        </is>
      </c>
      <c r="E19" s="24" t="inlineStr">
        <is>
          <t>prefix</t>
        </is>
      </c>
      <c r="F19" s="24" t="inlineStr">
        <is>
          <t>from_no *</t>
        </is>
      </c>
      <c r="G19" s="24" t="inlineStr">
        <is>
          <t>to_no *</t>
        </is>
      </c>
      <c r="H19" s="24" t="inlineStr">
        <is>
          <t>last_used_no *</t>
        </is>
      </c>
      <c r="I19" s="24" t="inlineStr">
        <is>
          <t>next_no *</t>
        </is>
      </c>
    </row>
    <row r="20" ht="18" customHeight="1">
      <c r="A20" s="64" t="inlineStr">
        <is>
          <t>Example – overwrite or delete</t>
        </is>
      </c>
      <c r="B20" s="65" t="inlineStr">
        <is>
          <t>MKT01</t>
        </is>
      </c>
      <c r="C20" s="65" t="inlineStr">
        <is>
          <t>AR</t>
        </is>
      </c>
      <c r="D20" s="65" t="inlineStr">
        <is>
          <t>ATP-OCN-2025-000123</t>
        </is>
      </c>
      <c r="E20" s="65" t="inlineStr">
        <is>
          <t>AR-MKT</t>
        </is>
      </c>
      <c r="F20" s="66" t="n">
        <v>100001</v>
      </c>
      <c r="G20" s="66" t="n">
        <v>150000</v>
      </c>
      <c r="H20" s="66" t="n">
        <v>131245</v>
      </c>
      <c r="I20" s="66" t="n">
        <v>131246</v>
      </c>
    </row>
    <row r="21">
      <c r="B21" s="67" t="n"/>
      <c r="C21" s="67" t="n"/>
      <c r="D21" s="67" t="n"/>
      <c r="E21" s="67" t="n"/>
    </row>
    <row r="22">
      <c r="B22" s="67" t="n"/>
      <c r="C22" s="67" t="n"/>
      <c r="D22" s="67" t="n"/>
      <c r="E22" s="67" t="n"/>
    </row>
    <row r="23">
      <c r="B23" s="67" t="n"/>
      <c r="C23" s="67" t="n"/>
      <c r="D23" s="67" t="n"/>
      <c r="E23" s="67" t="n"/>
    </row>
    <row r="24">
      <c r="B24" s="67" t="n"/>
      <c r="C24" s="67" t="n"/>
      <c r="D24" s="67" t="n"/>
      <c r="E24" s="67" t="n"/>
    </row>
    <row r="25">
      <c r="B25" s="67" t="n"/>
      <c r="C25" s="67" t="n"/>
      <c r="D25" s="67" t="n"/>
      <c r="E25" s="67" t="n"/>
    </row>
    <row r="26">
      <c r="B26" s="67" t="n"/>
      <c r="C26" s="67" t="n"/>
      <c r="D26" s="67" t="n"/>
      <c r="E26" s="67" t="n"/>
    </row>
    <row r="27">
      <c r="B27" s="67" t="n"/>
      <c r="C27" s="67" t="n"/>
      <c r="D27" s="67" t="n"/>
      <c r="E27" s="67" t="n"/>
    </row>
    <row r="28">
      <c r="B28" s="67" t="n"/>
      <c r="C28" s="67" t="n"/>
      <c r="D28" s="67" t="n"/>
      <c r="E28" s="67" t="n"/>
    </row>
    <row r="29">
      <c r="B29" s="67" t="n"/>
      <c r="C29" s="67" t="n"/>
      <c r="D29" s="67" t="n"/>
      <c r="E29" s="67" t="n"/>
    </row>
    <row r="30">
      <c r="B30" s="67" t="n"/>
      <c r="C30" s="67" t="n"/>
      <c r="D30" s="67" t="n"/>
      <c r="E30" s="67" t="n"/>
    </row>
    <row r="31">
      <c r="B31" s="67" t="n"/>
      <c r="C31" s="67" t="n"/>
      <c r="D31" s="67" t="n"/>
      <c r="E31" s="67" t="n"/>
    </row>
    <row r="32">
      <c r="B32" s="67" t="n"/>
      <c r="C32" s="67" t="n"/>
      <c r="D32" s="67" t="n"/>
      <c r="E32" s="67" t="n"/>
    </row>
    <row r="33">
      <c r="B33" s="67" t="n"/>
      <c r="C33" s="67" t="n"/>
      <c r="D33" s="67" t="n"/>
      <c r="E33" s="67" t="n"/>
    </row>
    <row r="34">
      <c r="B34" s="67" t="n"/>
      <c r="C34" s="67" t="n"/>
      <c r="D34" s="67" t="n"/>
      <c r="E34" s="67" t="n"/>
    </row>
    <row r="35">
      <c r="B35" s="67" t="n"/>
      <c r="C35" s="67" t="n"/>
      <c r="D35" s="67" t="n"/>
      <c r="E35" s="67" t="n"/>
    </row>
    <row r="36">
      <c r="B36" s="67" t="n"/>
      <c r="C36" s="67" t="n"/>
      <c r="D36" s="67" t="n"/>
      <c r="E36" s="67" t="n"/>
    </row>
    <row r="37">
      <c r="B37" s="67" t="n"/>
      <c r="C37" s="67" t="n"/>
      <c r="D37" s="67" t="n"/>
      <c r="E37" s="67" t="n"/>
    </row>
    <row r="38">
      <c r="B38" s="67" t="n"/>
      <c r="C38" s="67" t="n"/>
      <c r="D38" s="67" t="n"/>
      <c r="E38" s="67" t="n"/>
    </row>
    <row r="39">
      <c r="B39" s="67" t="n"/>
      <c r="C39" s="67" t="n"/>
      <c r="D39" s="67" t="n"/>
      <c r="E39" s="67" t="n"/>
    </row>
    <row r="40">
      <c r="B40" s="67" t="n"/>
      <c r="C40" s="67" t="n"/>
      <c r="D40" s="67" t="n"/>
      <c r="E40" s="67" t="n"/>
    </row>
    <row r="41">
      <c r="B41" s="67" t="n"/>
      <c r="C41" s="67" t="n"/>
      <c r="D41" s="67" t="n"/>
      <c r="E41" s="67" t="n"/>
    </row>
    <row r="42">
      <c r="B42" s="67" t="n"/>
      <c r="C42" s="67" t="n"/>
      <c r="D42" s="67" t="n"/>
      <c r="E42" s="67" t="n"/>
    </row>
    <row r="43">
      <c r="B43" s="67" t="n"/>
      <c r="C43" s="67" t="n"/>
      <c r="D43" s="67" t="n"/>
      <c r="E43" s="67" t="n"/>
    </row>
    <row r="44">
      <c r="B44" s="67" t="n"/>
      <c r="C44" s="67" t="n"/>
      <c r="D44" s="67" t="n"/>
      <c r="E44" s="67" t="n"/>
    </row>
    <row r="45">
      <c r="B45" s="67" t="n"/>
      <c r="C45" s="67" t="n"/>
      <c r="D45" s="67" t="n"/>
      <c r="E45" s="67" t="n"/>
    </row>
    <row r="46">
      <c r="B46" s="67" t="n"/>
      <c r="C46" s="67" t="n"/>
      <c r="D46" s="67" t="n"/>
      <c r="E46" s="67" t="n"/>
    </row>
    <row r="47">
      <c r="B47" s="67" t="n"/>
      <c r="C47" s="67" t="n"/>
      <c r="D47" s="67" t="n"/>
      <c r="E47" s="67" t="n"/>
    </row>
    <row r="48">
      <c r="B48" s="67" t="n"/>
      <c r="C48" s="67" t="n"/>
      <c r="D48" s="67" t="n"/>
      <c r="E48" s="67" t="n"/>
    </row>
    <row r="49">
      <c r="B49" s="67" t="n"/>
      <c r="C49" s="67" t="n"/>
      <c r="D49" s="67" t="n"/>
      <c r="E49" s="67" t="n"/>
    </row>
    <row r="50">
      <c r="B50" s="67" t="n"/>
      <c r="C50" s="67" t="n"/>
      <c r="D50" s="67" t="n"/>
      <c r="E50" s="67" t="n"/>
    </row>
    <row r="51">
      <c r="B51" s="67" t="n"/>
      <c r="C51" s="67" t="n"/>
      <c r="D51" s="67" t="n"/>
      <c r="E51" s="67" t="n"/>
    </row>
    <row r="52">
      <c r="B52" s="67" t="n"/>
      <c r="C52" s="67" t="n"/>
      <c r="D52" s="67" t="n"/>
      <c r="E52" s="67" t="n"/>
    </row>
    <row r="53">
      <c r="B53" s="67" t="n"/>
      <c r="C53" s="67" t="n"/>
      <c r="D53" s="67" t="n"/>
      <c r="E53" s="67" t="n"/>
    </row>
    <row r="54">
      <c r="B54" s="67" t="n"/>
      <c r="C54" s="67" t="n"/>
      <c r="D54" s="67" t="n"/>
      <c r="E54" s="67" t="n"/>
    </row>
    <row r="55">
      <c r="B55" s="67" t="n"/>
      <c r="C55" s="67" t="n"/>
      <c r="D55" s="67" t="n"/>
      <c r="E55" s="67" t="n"/>
    </row>
    <row r="56">
      <c r="B56" s="67" t="n"/>
      <c r="C56" s="67" t="n"/>
      <c r="D56" s="67" t="n"/>
      <c r="E56" s="67" t="n"/>
    </row>
    <row r="57">
      <c r="B57" s="67" t="n"/>
      <c r="C57" s="67" t="n"/>
      <c r="D57" s="67" t="n"/>
      <c r="E57" s="67" t="n"/>
    </row>
    <row r="58">
      <c r="B58" s="67" t="n"/>
      <c r="C58" s="67" t="n"/>
      <c r="D58" s="67" t="n"/>
      <c r="E58" s="67" t="n"/>
    </row>
    <row r="59">
      <c r="B59" s="67" t="n"/>
      <c r="C59" s="67" t="n"/>
      <c r="D59" s="67" t="n"/>
      <c r="E59" s="67" t="n"/>
    </row>
    <row r="60">
      <c r="B60" s="67" t="n"/>
      <c r="C60" s="67" t="n"/>
      <c r="D60" s="67" t="n"/>
      <c r="E60" s="67" t="n"/>
    </row>
    <row r="61">
      <c r="B61" s="67" t="n"/>
      <c r="C61" s="67" t="n"/>
      <c r="D61" s="67" t="n"/>
      <c r="E61" s="67" t="n"/>
    </row>
    <row r="62">
      <c r="B62" s="67" t="n"/>
      <c r="C62" s="67" t="n"/>
      <c r="D62" s="67" t="n"/>
      <c r="E62" s="67" t="n"/>
    </row>
    <row r="63">
      <c r="B63" s="67" t="n"/>
      <c r="C63" s="67" t="n"/>
      <c r="D63" s="67" t="n"/>
      <c r="E63" s="67" t="n"/>
    </row>
    <row r="64">
      <c r="B64" s="67" t="n"/>
      <c r="C64" s="67" t="n"/>
      <c r="D64" s="67" t="n"/>
      <c r="E64" s="67" t="n"/>
    </row>
    <row r="65">
      <c r="B65" s="67" t="n"/>
      <c r="C65" s="67" t="n"/>
      <c r="D65" s="67" t="n"/>
      <c r="E65" s="67" t="n"/>
    </row>
    <row r="66">
      <c r="B66" s="67" t="n"/>
      <c r="C66" s="67" t="n"/>
      <c r="D66" s="67" t="n"/>
      <c r="E66" s="67" t="n"/>
    </row>
    <row r="67">
      <c r="B67" s="67" t="n"/>
      <c r="C67" s="67" t="n"/>
      <c r="D67" s="67" t="n"/>
      <c r="E67" s="67" t="n"/>
    </row>
    <row r="68">
      <c r="B68" s="67" t="n"/>
      <c r="C68" s="67" t="n"/>
      <c r="D68" s="67" t="n"/>
      <c r="E68" s="67" t="n"/>
    </row>
    <row r="69">
      <c r="B69" s="67" t="n"/>
      <c r="C69" s="67" t="n"/>
      <c r="D69" s="67" t="n"/>
      <c r="E69" s="67" t="n"/>
    </row>
    <row r="70">
      <c r="B70" s="67" t="n"/>
      <c r="C70" s="67" t="n"/>
      <c r="D70" s="67" t="n"/>
      <c r="E70" s="67" t="n"/>
    </row>
    <row r="71">
      <c r="B71" s="67" t="n"/>
      <c r="C71" s="67" t="n"/>
      <c r="D71" s="67" t="n"/>
      <c r="E71" s="67" t="n"/>
    </row>
    <row r="72">
      <c r="B72" s="67" t="n"/>
      <c r="C72" s="67" t="n"/>
      <c r="D72" s="67" t="n"/>
      <c r="E72" s="67" t="n"/>
    </row>
    <row r="73">
      <c r="B73" s="67" t="n"/>
      <c r="C73" s="67" t="n"/>
      <c r="D73" s="67" t="n"/>
      <c r="E73" s="67" t="n"/>
    </row>
    <row r="74">
      <c r="B74" s="67" t="n"/>
      <c r="C74" s="67" t="n"/>
      <c r="D74" s="67" t="n"/>
      <c r="E74" s="67" t="n"/>
    </row>
    <row r="75">
      <c r="B75" s="67" t="n"/>
      <c r="C75" s="67" t="n"/>
      <c r="D75" s="67" t="n"/>
      <c r="E75" s="67" t="n"/>
    </row>
    <row r="76">
      <c r="B76" s="67" t="n"/>
      <c r="C76" s="67" t="n"/>
      <c r="D76" s="67" t="n"/>
      <c r="E76" s="67" t="n"/>
    </row>
    <row r="77">
      <c r="B77" s="67" t="n"/>
      <c r="C77" s="67" t="n"/>
      <c r="D77" s="67" t="n"/>
      <c r="E77" s="67" t="n"/>
    </row>
    <row r="78">
      <c r="B78" s="67" t="n"/>
      <c r="C78" s="67" t="n"/>
      <c r="D78" s="67" t="n"/>
      <c r="E78" s="67" t="n"/>
    </row>
    <row r="79">
      <c r="B79" s="67" t="n"/>
      <c r="C79" s="67" t="n"/>
      <c r="D79" s="67" t="n"/>
      <c r="E79" s="67" t="n"/>
    </row>
    <row r="80">
      <c r="B80" s="67" t="n"/>
      <c r="C80" s="67" t="n"/>
      <c r="D80" s="67" t="n"/>
      <c r="E80" s="67" t="n"/>
    </row>
    <row r="81">
      <c r="B81" s="67" t="n"/>
      <c r="C81" s="67" t="n"/>
      <c r="D81" s="67" t="n"/>
      <c r="E81" s="67" t="n"/>
    </row>
    <row r="82">
      <c r="B82" s="67" t="n"/>
      <c r="C82" s="67" t="n"/>
      <c r="D82" s="67" t="n"/>
      <c r="E82" s="67" t="n"/>
    </row>
    <row r="83">
      <c r="B83" s="67" t="n"/>
      <c r="C83" s="67" t="n"/>
      <c r="D83" s="67" t="n"/>
      <c r="E83" s="67" t="n"/>
    </row>
    <row r="84">
      <c r="B84" s="67" t="n"/>
      <c r="C84" s="67" t="n"/>
      <c r="D84" s="67" t="n"/>
      <c r="E84" s="67" t="n"/>
    </row>
    <row r="85">
      <c r="B85" s="67" t="n"/>
      <c r="C85" s="67" t="n"/>
      <c r="D85" s="67" t="n"/>
      <c r="E85" s="67" t="n"/>
    </row>
    <row r="86">
      <c r="B86" s="67" t="n"/>
      <c r="C86" s="67" t="n"/>
      <c r="D86" s="67" t="n"/>
      <c r="E86" s="67" t="n"/>
    </row>
    <row r="87">
      <c r="B87" s="67" t="n"/>
      <c r="C87" s="67" t="n"/>
      <c r="D87" s="67" t="n"/>
      <c r="E87" s="67" t="n"/>
    </row>
    <row r="88">
      <c r="B88" s="67" t="n"/>
      <c r="C88" s="67" t="n"/>
      <c r="D88" s="67" t="n"/>
      <c r="E88" s="67" t="n"/>
    </row>
    <row r="89">
      <c r="B89" s="67" t="n"/>
      <c r="C89" s="67" t="n"/>
      <c r="D89" s="67" t="n"/>
      <c r="E89" s="67" t="n"/>
    </row>
    <row r="90">
      <c r="B90" s="67" t="n"/>
      <c r="C90" s="67" t="n"/>
      <c r="D90" s="67" t="n"/>
      <c r="E90" s="67" t="n"/>
    </row>
    <row r="91">
      <c r="B91" s="67" t="n"/>
      <c r="C91" s="67" t="n"/>
      <c r="D91" s="67" t="n"/>
      <c r="E91" s="67" t="n"/>
    </row>
    <row r="92">
      <c r="B92" s="67" t="n"/>
      <c r="C92" s="67" t="n"/>
      <c r="D92" s="67" t="n"/>
      <c r="E92" s="67" t="n"/>
    </row>
    <row r="93">
      <c r="B93" s="67" t="n"/>
      <c r="C93" s="67" t="n"/>
      <c r="D93" s="67" t="n"/>
      <c r="E93" s="67" t="n"/>
    </row>
    <row r="94">
      <c r="B94" s="67" t="n"/>
      <c r="C94" s="67" t="n"/>
      <c r="D94" s="67" t="n"/>
      <c r="E94" s="67" t="n"/>
    </row>
    <row r="95">
      <c r="B95" s="67" t="n"/>
      <c r="C95" s="67" t="n"/>
      <c r="D95" s="67" t="n"/>
      <c r="E95" s="67" t="n"/>
    </row>
    <row r="96">
      <c r="B96" s="67" t="n"/>
      <c r="C96" s="67" t="n"/>
      <c r="D96" s="67" t="n"/>
      <c r="E96" s="67" t="n"/>
    </row>
    <row r="97">
      <c r="B97" s="67" t="n"/>
      <c r="C97" s="67" t="n"/>
      <c r="D97" s="67" t="n"/>
      <c r="E97" s="67" t="n"/>
    </row>
    <row r="98">
      <c r="B98" s="67" t="n"/>
      <c r="C98" s="67" t="n"/>
      <c r="D98" s="67" t="n"/>
      <c r="E98" s="67" t="n"/>
    </row>
    <row r="99">
      <c r="B99" s="67" t="n"/>
      <c r="C99" s="67" t="n"/>
      <c r="D99" s="67" t="n"/>
      <c r="E99" s="67" t="n"/>
    </row>
    <row r="100">
      <c r="B100" s="67" t="n"/>
      <c r="C100" s="67" t="n"/>
      <c r="D100" s="67" t="n"/>
      <c r="E100" s="67" t="n"/>
    </row>
    <row r="101">
      <c r="B101" s="67" t="n"/>
      <c r="C101" s="67" t="n"/>
      <c r="D101" s="67" t="n"/>
      <c r="E101" s="67" t="n"/>
    </row>
    <row r="102">
      <c r="B102" s="67" t="n"/>
      <c r="C102" s="67" t="n"/>
      <c r="D102" s="67" t="n"/>
      <c r="E102" s="67" t="n"/>
    </row>
    <row r="103">
      <c r="B103" s="67" t="n"/>
      <c r="C103" s="67" t="n"/>
      <c r="D103" s="67" t="n"/>
      <c r="E103" s="67" t="n"/>
    </row>
    <row r="104">
      <c r="B104" s="67" t="n"/>
      <c r="C104" s="67" t="n"/>
      <c r="D104" s="67" t="n"/>
      <c r="E104" s="67" t="n"/>
    </row>
    <row r="105">
      <c r="B105" s="67" t="n"/>
      <c r="C105" s="67" t="n"/>
      <c r="D105" s="67" t="n"/>
      <c r="E105" s="67" t="n"/>
    </row>
    <row r="106">
      <c r="B106" s="67" t="n"/>
      <c r="C106" s="67" t="n"/>
      <c r="D106" s="67" t="n"/>
      <c r="E106" s="67" t="n"/>
    </row>
    <row r="107">
      <c r="B107" s="67" t="n"/>
      <c r="C107" s="67" t="n"/>
      <c r="D107" s="67" t="n"/>
      <c r="E107" s="67" t="n"/>
    </row>
    <row r="108">
      <c r="B108" s="67" t="n"/>
      <c r="C108" s="67" t="n"/>
      <c r="D108" s="67" t="n"/>
      <c r="E108" s="67" t="n"/>
    </row>
    <row r="109">
      <c r="B109" s="67" t="n"/>
      <c r="C109" s="67" t="n"/>
      <c r="D109" s="67" t="n"/>
      <c r="E109" s="67" t="n"/>
    </row>
    <row r="110">
      <c r="B110" s="67" t="n"/>
      <c r="C110" s="67" t="n"/>
      <c r="D110" s="67" t="n"/>
      <c r="E110" s="67" t="n"/>
    </row>
    <row r="111">
      <c r="B111" s="67" t="n"/>
      <c r="C111" s="67" t="n"/>
      <c r="D111" s="67" t="n"/>
      <c r="E111" s="67" t="n"/>
    </row>
    <row r="112">
      <c r="B112" s="67" t="n"/>
      <c r="C112" s="67" t="n"/>
      <c r="D112" s="67" t="n"/>
      <c r="E112" s="67" t="n"/>
    </row>
    <row r="113">
      <c r="B113" s="67" t="n"/>
      <c r="C113" s="67" t="n"/>
      <c r="D113" s="67" t="n"/>
      <c r="E113" s="67" t="n"/>
    </row>
    <row r="114">
      <c r="B114" s="67" t="n"/>
      <c r="C114" s="67" t="n"/>
      <c r="D114" s="67" t="n"/>
      <c r="E114" s="67" t="n"/>
    </row>
    <row r="115">
      <c r="B115" s="67" t="n"/>
      <c r="C115" s="67" t="n"/>
      <c r="D115" s="67" t="n"/>
      <c r="E115" s="67" t="n"/>
    </row>
    <row r="116">
      <c r="B116" s="67" t="n"/>
      <c r="C116" s="67" t="n"/>
      <c r="D116" s="67" t="n"/>
      <c r="E116" s="67" t="n"/>
    </row>
    <row r="117">
      <c r="B117" s="67" t="n"/>
      <c r="C117" s="67" t="n"/>
      <c r="D117" s="67" t="n"/>
      <c r="E117" s="67" t="n"/>
    </row>
    <row r="118">
      <c r="B118" s="67" t="n"/>
      <c r="C118" s="67" t="n"/>
      <c r="D118" s="67" t="n"/>
      <c r="E118" s="67" t="n"/>
    </row>
    <row r="119">
      <c r="B119" s="67" t="n"/>
      <c r="C119" s="67" t="n"/>
      <c r="D119" s="67" t="n"/>
      <c r="E119" s="67" t="n"/>
    </row>
    <row r="120">
      <c r="B120" s="67" t="n"/>
      <c r="C120" s="67" t="n"/>
      <c r="D120" s="67" t="n"/>
      <c r="E120" s="67" t="n"/>
    </row>
    <row r="121">
      <c r="B121" s="67" t="n"/>
      <c r="C121" s="67" t="n"/>
      <c r="D121" s="67" t="n"/>
      <c r="E121" s="67" t="n"/>
    </row>
    <row r="122">
      <c r="B122" s="67" t="n"/>
      <c r="C122" s="67" t="n"/>
      <c r="D122" s="67" t="n"/>
      <c r="E122" s="67" t="n"/>
    </row>
    <row r="123">
      <c r="B123" s="67" t="n"/>
      <c r="C123" s="67" t="n"/>
      <c r="D123" s="67" t="n"/>
      <c r="E123" s="67" t="n"/>
    </row>
    <row r="124">
      <c r="B124" s="67" t="n"/>
      <c r="C124" s="67" t="n"/>
      <c r="D124" s="67" t="n"/>
      <c r="E124" s="67" t="n"/>
    </row>
    <row r="125">
      <c r="B125" s="67" t="n"/>
      <c r="C125" s="67" t="n"/>
      <c r="D125" s="67" t="n"/>
      <c r="E125" s="67" t="n"/>
    </row>
    <row r="126">
      <c r="B126" s="67" t="n"/>
      <c r="C126" s="67" t="n"/>
      <c r="D126" s="67" t="n"/>
      <c r="E126" s="67" t="n"/>
    </row>
    <row r="127">
      <c r="B127" s="67" t="n"/>
      <c r="C127" s="67" t="n"/>
      <c r="D127" s="67" t="n"/>
      <c r="E127" s="67" t="n"/>
    </row>
    <row r="128">
      <c r="B128" s="67" t="n"/>
      <c r="C128" s="67" t="n"/>
      <c r="D128" s="67" t="n"/>
      <c r="E128" s="67" t="n"/>
    </row>
    <row r="129">
      <c r="B129" s="67" t="n"/>
      <c r="C129" s="67" t="n"/>
      <c r="D129" s="67" t="n"/>
      <c r="E129" s="67" t="n"/>
    </row>
    <row r="130">
      <c r="B130" s="67" t="n"/>
      <c r="C130" s="67" t="n"/>
      <c r="D130" s="67" t="n"/>
      <c r="E130" s="67" t="n"/>
    </row>
    <row r="131">
      <c r="B131" s="67" t="n"/>
      <c r="C131" s="67" t="n"/>
      <c r="D131" s="67" t="n"/>
      <c r="E131" s="67" t="n"/>
    </row>
    <row r="132">
      <c r="B132" s="67" t="n"/>
      <c r="C132" s="67" t="n"/>
      <c r="D132" s="67" t="n"/>
      <c r="E132" s="67" t="n"/>
    </row>
    <row r="133">
      <c r="B133" s="67" t="n"/>
      <c r="C133" s="67" t="n"/>
      <c r="D133" s="67" t="n"/>
      <c r="E133" s="67" t="n"/>
    </row>
    <row r="134">
      <c r="B134" s="67" t="n"/>
      <c r="C134" s="67" t="n"/>
      <c r="D134" s="67" t="n"/>
      <c r="E134" s="67" t="n"/>
    </row>
    <row r="135">
      <c r="B135" s="67" t="n"/>
      <c r="C135" s="67" t="n"/>
      <c r="D135" s="67" t="n"/>
      <c r="E135" s="67" t="n"/>
    </row>
    <row r="136">
      <c r="B136" s="67" t="n"/>
      <c r="C136" s="67" t="n"/>
      <c r="D136" s="67" t="n"/>
      <c r="E136" s="67" t="n"/>
    </row>
    <row r="137">
      <c r="B137" s="67" t="n"/>
      <c r="C137" s="67" t="n"/>
      <c r="D137" s="67" t="n"/>
      <c r="E137" s="67" t="n"/>
    </row>
    <row r="138">
      <c r="B138" s="67" t="n"/>
      <c r="C138" s="67" t="n"/>
      <c r="D138" s="67" t="n"/>
      <c r="E138" s="67" t="n"/>
    </row>
    <row r="139">
      <c r="B139" s="67" t="n"/>
      <c r="C139" s="67" t="n"/>
      <c r="D139" s="67" t="n"/>
      <c r="E139" s="67" t="n"/>
    </row>
    <row r="140">
      <c r="B140" s="67" t="n"/>
      <c r="C140" s="67" t="n"/>
      <c r="D140" s="67" t="n"/>
      <c r="E140" s="67" t="n"/>
    </row>
    <row r="141">
      <c r="B141" s="67" t="n"/>
      <c r="C141" s="67" t="n"/>
      <c r="D141" s="67" t="n"/>
      <c r="E141" s="67" t="n"/>
    </row>
    <row r="142">
      <c r="B142" s="67" t="n"/>
      <c r="C142" s="67" t="n"/>
      <c r="D142" s="67" t="n"/>
      <c r="E142" s="67" t="n"/>
    </row>
    <row r="143">
      <c r="B143" s="67" t="n"/>
      <c r="C143" s="67" t="n"/>
      <c r="D143" s="67" t="n"/>
      <c r="E143" s="67" t="n"/>
    </row>
    <row r="144">
      <c r="B144" s="67" t="n"/>
      <c r="C144" s="67" t="n"/>
      <c r="D144" s="67" t="n"/>
      <c r="E144" s="67" t="n"/>
    </row>
    <row r="145">
      <c r="B145" s="67" t="n"/>
      <c r="C145" s="67" t="n"/>
      <c r="D145" s="67" t="n"/>
      <c r="E145" s="67" t="n"/>
    </row>
    <row r="146">
      <c r="B146" s="67" t="n"/>
      <c r="C146" s="67" t="n"/>
      <c r="D146" s="67" t="n"/>
      <c r="E146" s="67" t="n"/>
    </row>
    <row r="147">
      <c r="B147" s="67" t="n"/>
      <c r="C147" s="67" t="n"/>
      <c r="D147" s="67" t="n"/>
      <c r="E147" s="67" t="n"/>
    </row>
    <row r="148">
      <c r="B148" s="67" t="n"/>
      <c r="C148" s="67" t="n"/>
      <c r="D148" s="67" t="n"/>
      <c r="E148" s="67" t="n"/>
    </row>
    <row r="149">
      <c r="B149" s="67" t="n"/>
      <c r="C149" s="67" t="n"/>
      <c r="D149" s="67" t="n"/>
      <c r="E149" s="67" t="n"/>
    </row>
    <row r="150">
      <c r="B150" s="67" t="n"/>
      <c r="C150" s="67" t="n"/>
      <c r="D150" s="67" t="n"/>
      <c r="E150" s="67" t="n"/>
    </row>
    <row r="151">
      <c r="B151" s="67" t="n"/>
      <c r="C151" s="67" t="n"/>
      <c r="D151" s="67" t="n"/>
      <c r="E151" s="67" t="n"/>
    </row>
    <row r="152">
      <c r="B152" s="67" t="n"/>
      <c r="C152" s="67" t="n"/>
      <c r="D152" s="67" t="n"/>
      <c r="E152" s="67" t="n"/>
    </row>
    <row r="153">
      <c r="B153" s="67" t="n"/>
      <c r="C153" s="67" t="n"/>
      <c r="D153" s="67" t="n"/>
      <c r="E153" s="67" t="n"/>
    </row>
    <row r="154">
      <c r="B154" s="67" t="n"/>
      <c r="C154" s="67" t="n"/>
      <c r="D154" s="67" t="n"/>
      <c r="E154" s="67" t="n"/>
    </row>
    <row r="155">
      <c r="B155" s="67" t="n"/>
      <c r="C155" s="67" t="n"/>
      <c r="D155" s="67" t="n"/>
      <c r="E155" s="67" t="n"/>
    </row>
    <row r="156">
      <c r="B156" s="67" t="n"/>
      <c r="C156" s="67" t="n"/>
      <c r="D156" s="67" t="n"/>
      <c r="E156" s="67" t="n"/>
    </row>
    <row r="157">
      <c r="B157" s="67" t="n"/>
      <c r="C157" s="67" t="n"/>
      <c r="D157" s="67" t="n"/>
      <c r="E157" s="67" t="n"/>
    </row>
    <row r="158">
      <c r="B158" s="67" t="n"/>
      <c r="C158" s="67" t="n"/>
      <c r="D158" s="67" t="n"/>
      <c r="E158" s="67" t="n"/>
    </row>
    <row r="159">
      <c r="B159" s="67" t="n"/>
      <c r="C159" s="67" t="n"/>
      <c r="D159" s="67" t="n"/>
      <c r="E159" s="67" t="n"/>
    </row>
    <row r="160">
      <c r="B160" s="67" t="n"/>
      <c r="C160" s="67" t="n"/>
      <c r="D160" s="67" t="n"/>
      <c r="E160" s="67" t="n"/>
    </row>
    <row r="161">
      <c r="B161" s="67" t="n"/>
      <c r="C161" s="67" t="n"/>
      <c r="D161" s="67" t="n"/>
      <c r="E161" s="67" t="n"/>
    </row>
    <row r="162">
      <c r="B162" s="67" t="n"/>
      <c r="C162" s="67" t="n"/>
      <c r="D162" s="67" t="n"/>
      <c r="E162" s="67" t="n"/>
    </row>
    <row r="163">
      <c r="B163" s="67" t="n"/>
      <c r="C163" s="67" t="n"/>
      <c r="D163" s="67" t="n"/>
      <c r="E163" s="67" t="n"/>
    </row>
    <row r="164">
      <c r="B164" s="67" t="n"/>
      <c r="C164" s="67" t="n"/>
      <c r="D164" s="67" t="n"/>
      <c r="E164" s="67" t="n"/>
    </row>
    <row r="165">
      <c r="B165" s="67" t="n"/>
      <c r="C165" s="67" t="n"/>
      <c r="D165" s="67" t="n"/>
      <c r="E165" s="67" t="n"/>
    </row>
    <row r="166">
      <c r="B166" s="67" t="n"/>
      <c r="C166" s="67" t="n"/>
      <c r="D166" s="67" t="n"/>
      <c r="E166" s="67" t="n"/>
    </row>
    <row r="167">
      <c r="B167" s="67" t="n"/>
      <c r="C167" s="67" t="n"/>
      <c r="D167" s="67" t="n"/>
      <c r="E167" s="67" t="n"/>
    </row>
    <row r="168">
      <c r="B168" s="67" t="n"/>
      <c r="C168" s="67" t="n"/>
      <c r="D168" s="67" t="n"/>
      <c r="E168" s="67" t="n"/>
    </row>
    <row r="169">
      <c r="B169" s="67" t="n"/>
      <c r="C169" s="67" t="n"/>
      <c r="D169" s="67" t="n"/>
      <c r="E169" s="67" t="n"/>
    </row>
    <row r="170">
      <c r="B170" s="67" t="n"/>
      <c r="C170" s="67" t="n"/>
      <c r="D170" s="67" t="n"/>
      <c r="E170" s="67" t="n"/>
    </row>
    <row r="171">
      <c r="B171" s="67" t="n"/>
      <c r="C171" s="67" t="n"/>
      <c r="D171" s="67" t="n"/>
      <c r="E171" s="67" t="n"/>
    </row>
    <row r="172">
      <c r="B172" s="67" t="n"/>
      <c r="C172" s="67" t="n"/>
      <c r="D172" s="67" t="n"/>
      <c r="E172" s="67" t="n"/>
    </row>
    <row r="173">
      <c r="B173" s="67" t="n"/>
      <c r="C173" s="67" t="n"/>
      <c r="D173" s="67" t="n"/>
      <c r="E173" s="67" t="n"/>
    </row>
    <row r="174">
      <c r="B174" s="67" t="n"/>
      <c r="C174" s="67" t="n"/>
      <c r="D174" s="67" t="n"/>
      <c r="E174" s="67" t="n"/>
    </row>
    <row r="175">
      <c r="B175" s="67" t="n"/>
      <c r="C175" s="67" t="n"/>
      <c r="D175" s="67" t="n"/>
      <c r="E175" s="67" t="n"/>
    </row>
    <row r="176">
      <c r="B176" s="67" t="n"/>
      <c r="C176" s="67" t="n"/>
      <c r="D176" s="67" t="n"/>
      <c r="E176" s="67" t="n"/>
    </row>
    <row r="177">
      <c r="B177" s="67" t="n"/>
      <c r="C177" s="67" t="n"/>
      <c r="D177" s="67" t="n"/>
      <c r="E177" s="67" t="n"/>
    </row>
    <row r="178">
      <c r="B178" s="67" t="n"/>
      <c r="C178" s="67" t="n"/>
      <c r="D178" s="67" t="n"/>
      <c r="E178" s="67" t="n"/>
    </row>
    <row r="179">
      <c r="B179" s="67" t="n"/>
      <c r="C179" s="67" t="n"/>
      <c r="D179" s="67" t="n"/>
      <c r="E179" s="67" t="n"/>
    </row>
    <row r="180">
      <c r="B180" s="67" t="n"/>
      <c r="C180" s="67" t="n"/>
      <c r="D180" s="67" t="n"/>
      <c r="E180" s="67" t="n"/>
    </row>
    <row r="181">
      <c r="B181" s="67" t="n"/>
      <c r="C181" s="67" t="n"/>
      <c r="D181" s="67" t="n"/>
      <c r="E181" s="67" t="n"/>
    </row>
    <row r="182">
      <c r="B182" s="67" t="n"/>
      <c r="C182" s="67" t="n"/>
      <c r="D182" s="67" t="n"/>
      <c r="E182" s="67" t="n"/>
    </row>
    <row r="183">
      <c r="B183" s="67" t="n"/>
      <c r="C183" s="67" t="n"/>
      <c r="D183" s="67" t="n"/>
      <c r="E183" s="67" t="n"/>
    </row>
    <row r="184">
      <c r="B184" s="67" t="n"/>
      <c r="C184" s="67" t="n"/>
      <c r="D184" s="67" t="n"/>
      <c r="E184" s="67" t="n"/>
    </row>
    <row r="185">
      <c r="B185" s="67" t="n"/>
      <c r="C185" s="67" t="n"/>
      <c r="D185" s="67" t="n"/>
      <c r="E185" s="67" t="n"/>
    </row>
    <row r="186">
      <c r="B186" s="67" t="n"/>
      <c r="C186" s="67" t="n"/>
      <c r="D186" s="67" t="n"/>
      <c r="E186" s="67" t="n"/>
    </row>
    <row r="187">
      <c r="B187" s="67" t="n"/>
      <c r="C187" s="67" t="n"/>
      <c r="D187" s="67" t="n"/>
      <c r="E187" s="67" t="n"/>
    </row>
    <row r="188">
      <c r="B188" s="67" t="n"/>
      <c r="C188" s="67" t="n"/>
      <c r="D188" s="67" t="n"/>
      <c r="E188" s="67" t="n"/>
    </row>
    <row r="189">
      <c r="B189" s="67" t="n"/>
      <c r="C189" s="67" t="n"/>
      <c r="D189" s="67" t="n"/>
      <c r="E189" s="67" t="n"/>
    </row>
    <row r="190">
      <c r="B190" s="67" t="n"/>
      <c r="C190" s="67" t="n"/>
      <c r="D190" s="67" t="n"/>
      <c r="E190" s="67" t="n"/>
    </row>
    <row r="191">
      <c r="B191" s="67" t="n"/>
      <c r="C191" s="67" t="n"/>
      <c r="D191" s="67" t="n"/>
      <c r="E191" s="67" t="n"/>
    </row>
    <row r="192">
      <c r="B192" s="67" t="n"/>
      <c r="C192" s="67" t="n"/>
      <c r="D192" s="67" t="n"/>
      <c r="E192" s="67" t="n"/>
    </row>
    <row r="193">
      <c r="B193" s="67" t="n"/>
      <c r="C193" s="67" t="n"/>
      <c r="D193" s="67" t="n"/>
      <c r="E193" s="67" t="n"/>
    </row>
    <row r="194">
      <c r="B194" s="67" t="n"/>
      <c r="C194" s="67" t="n"/>
      <c r="D194" s="67" t="n"/>
      <c r="E194" s="67" t="n"/>
    </row>
    <row r="195">
      <c r="B195" s="67" t="n"/>
      <c r="C195" s="67" t="n"/>
      <c r="D195" s="67" t="n"/>
      <c r="E195" s="67" t="n"/>
    </row>
    <row r="196">
      <c r="B196" s="67" t="n"/>
      <c r="C196" s="67" t="n"/>
      <c r="D196" s="67" t="n"/>
      <c r="E196" s="67" t="n"/>
    </row>
    <row r="197">
      <c r="B197" s="67" t="n"/>
      <c r="C197" s="67" t="n"/>
      <c r="D197" s="67" t="n"/>
      <c r="E197" s="67" t="n"/>
    </row>
    <row r="198">
      <c r="B198" s="67" t="n"/>
      <c r="C198" s="67" t="n"/>
      <c r="D198" s="67" t="n"/>
      <c r="E198" s="67" t="n"/>
    </row>
    <row r="199">
      <c r="B199" s="67" t="n"/>
      <c r="C199" s="67" t="n"/>
      <c r="D199" s="67" t="n"/>
      <c r="E199" s="67" t="n"/>
    </row>
    <row r="200">
      <c r="B200" s="67" t="n"/>
      <c r="C200" s="67" t="n"/>
      <c r="D200" s="67" t="n"/>
      <c r="E200" s="67" t="n"/>
    </row>
    <row r="201">
      <c r="B201" s="67" t="n"/>
      <c r="C201" s="67" t="n"/>
      <c r="D201" s="67" t="n"/>
      <c r="E201" s="67" t="n"/>
    </row>
    <row r="202">
      <c r="B202" s="67" t="n"/>
      <c r="C202" s="67" t="n"/>
      <c r="D202" s="67" t="n"/>
      <c r="E202" s="67" t="n"/>
    </row>
    <row r="203">
      <c r="B203" s="67" t="n"/>
      <c r="C203" s="67" t="n"/>
      <c r="D203" s="67" t="n"/>
      <c r="E203" s="67" t="n"/>
    </row>
    <row r="204">
      <c r="B204" s="67" t="n"/>
      <c r="C204" s="67" t="n"/>
      <c r="D204" s="67" t="n"/>
      <c r="E204" s="67" t="n"/>
    </row>
    <row r="205">
      <c r="B205" s="67" t="n"/>
      <c r="C205" s="67" t="n"/>
      <c r="D205" s="67" t="n"/>
      <c r="E205" s="67" t="n"/>
    </row>
    <row r="206">
      <c r="B206" s="67" t="n"/>
      <c r="C206" s="67" t="n"/>
      <c r="D206" s="67" t="n"/>
      <c r="E206" s="67" t="n"/>
    </row>
    <row r="207">
      <c r="B207" s="67" t="n"/>
      <c r="C207" s="67" t="n"/>
      <c r="D207" s="67" t="n"/>
      <c r="E207" s="67" t="n"/>
    </row>
    <row r="208">
      <c r="B208" s="67" t="n"/>
      <c r="C208" s="67" t="n"/>
      <c r="D208" s="67" t="n"/>
      <c r="E208" s="67" t="n"/>
    </row>
    <row r="209">
      <c r="B209" s="67" t="n"/>
      <c r="C209" s="67" t="n"/>
      <c r="D209" s="67" t="n"/>
      <c r="E209" s="67" t="n"/>
    </row>
    <row r="210">
      <c r="B210" s="67" t="n"/>
      <c r="C210" s="67" t="n"/>
      <c r="D210" s="67" t="n"/>
      <c r="E210" s="67" t="n"/>
    </row>
    <row r="211">
      <c r="B211" s="67" t="n"/>
      <c r="C211" s="67" t="n"/>
      <c r="D211" s="67" t="n"/>
      <c r="E211" s="67" t="n"/>
    </row>
    <row r="212">
      <c r="B212" s="67" t="n"/>
      <c r="C212" s="67" t="n"/>
      <c r="D212" s="67" t="n"/>
      <c r="E212" s="67" t="n"/>
    </row>
    <row r="213">
      <c r="B213" s="67" t="n"/>
      <c r="C213" s="67" t="n"/>
      <c r="D213" s="67" t="n"/>
      <c r="E213" s="67" t="n"/>
    </row>
    <row r="214">
      <c r="B214" s="67" t="n"/>
      <c r="C214" s="67" t="n"/>
      <c r="D214" s="67" t="n"/>
      <c r="E214" s="67" t="n"/>
    </row>
    <row r="215">
      <c r="B215" s="67" t="n"/>
      <c r="C215" s="67" t="n"/>
      <c r="D215" s="67" t="n"/>
      <c r="E215" s="67" t="n"/>
    </row>
    <row r="216">
      <c r="B216" s="67" t="n"/>
      <c r="C216" s="67" t="n"/>
      <c r="D216" s="67" t="n"/>
      <c r="E216" s="67" t="n"/>
    </row>
    <row r="217">
      <c r="B217" s="67" t="n"/>
      <c r="C217" s="67" t="n"/>
      <c r="D217" s="67" t="n"/>
      <c r="E217" s="67" t="n"/>
    </row>
    <row r="218">
      <c r="B218" s="67" t="n"/>
      <c r="C218" s="67" t="n"/>
      <c r="D218" s="67" t="n"/>
      <c r="E218" s="67" t="n"/>
    </row>
    <row r="219">
      <c r="B219" s="67" t="n"/>
      <c r="C219" s="67" t="n"/>
      <c r="D219" s="67" t="n"/>
      <c r="E219" s="67" t="n"/>
    </row>
    <row r="220">
      <c r="B220" s="67" t="n"/>
      <c r="C220" s="67" t="n"/>
      <c r="D220" s="67" t="n"/>
      <c r="E220" s="67"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20:B220">
    <cfRule type="expression" priority="2" dxfId="6">
      <formula>AND(LEN($B20&amp;$C20&amp;$D20&amp;$E20&amp;$F20&amp;$G20&amp;$H20&amp;$I20)&gt;0,B20="")</formula>
    </cfRule>
  </conditionalFormatting>
  <conditionalFormatting sqref="C20:C220">
    <cfRule type="expression" priority="3" dxfId="6">
      <formula>AND(LEN($B20&amp;$C20&amp;$D20&amp;$E20&amp;$F20&amp;$G20&amp;$H20&amp;$I20)&gt;0,C20="")</formula>
    </cfRule>
  </conditionalFormatting>
  <conditionalFormatting sqref="D20:D220">
    <cfRule type="expression" priority="4" dxfId="6">
      <formula>AND(LEN($B20&amp;$C20&amp;$D20&amp;$E20&amp;$F20&amp;$G20&amp;$H20&amp;$I20)&gt;0,D20="")</formula>
    </cfRule>
  </conditionalFormatting>
  <conditionalFormatting sqref="F20:F220">
    <cfRule type="expression" priority="5" dxfId="6">
      <formula>AND(LEN($B20&amp;$C20&amp;$D20&amp;$E20&amp;$F20&amp;$G20&amp;$H20&amp;$I20)&gt;0,F20="")</formula>
    </cfRule>
  </conditionalFormatting>
  <conditionalFormatting sqref="G20:G220">
    <cfRule type="expression" priority="6" dxfId="6">
      <formula>AND(LEN($B20&amp;$C20&amp;$D20&amp;$E20&amp;$F20&amp;$G20&amp;$H20&amp;$I20)&gt;0,G20="")</formula>
    </cfRule>
  </conditionalFormatting>
  <conditionalFormatting sqref="H20:H220">
    <cfRule type="expression" priority="7" dxfId="6">
      <formula>AND(LEN($B20&amp;$C20&amp;$D20&amp;$E20&amp;$F20&amp;$G20&amp;$H20&amp;$I20)&gt;0,H20="")</formula>
    </cfRule>
  </conditionalFormatting>
  <conditionalFormatting sqref="I20:I220">
    <cfRule type="expression" priority="8" dxfId="6">
      <formula>AND(LEN($B20&amp;$C20&amp;$D20&amp;$E20&amp;$F20&amp;$G20&amp;$H20&amp;$I20)&gt;0,I20="")</formula>
    </cfRule>
  </conditionalFormatting>
  <dataValidations count="1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I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branch_code" error="At most 20 characters." promptTitle="branch_code" prompt="Yes. Issuing branch Allowed: The legacy code; mapped by the code map BRANCH (sheet Code maps)" type="textLength" operator="lessThanOrEqual">
      <formula1>20</formula1>
    </dataValidation>
    <dataValidation sqref="C20:C220" showDropDown="0" showInputMessage="1" showErrorMessage="1" allowBlank="1" errorTitle="kind" error="Choose a value of the list R11 kind (sheet Reference lists)." promptTitle="kind" prompt="Yes. Receipt kind Allowed: AR, OR (list R11 kind)" type="list" errorStyle="stop">
      <formula1>=LIST_R11_KIND</formula1>
    </dataValidation>
    <dataValidation sqref="D20:D220" showDropDown="0" showInputMessage="1" showErrorMessage="1" allowBlank="1" errorTitle="atp_no" error="At most 40 characters." promptTitle="atp_no" prompt="Yes. BIR Authority to Print number Allowed: Free entry, up to 40 characters" type="textLength" operator="lessThanOrEqual">
      <formula1>40</formula1>
    </dataValidation>
    <dataValidation sqref="E20:E220" showDropDown="0" showInputMessage="1" showErrorMessage="1" allowBlank="1" errorTitle="prefix" error="At most 20 characters." promptTitle="prefix" prompt="No. Series prefix Allowed: Free entry, up to 20 characters" type="textLength" operator="lessThanOrEqual">
      <formula1>20</formula1>
    </dataValidation>
    <dataValidation sqref="F20:F220" showDropDown="0" showInputMessage="1" showErrorMessage="1" allowBlank="1" errorTitle="from_no" error="Enter a whole number." promptTitle="from_no" prompt="Yes. First number of the series Allowed: A whole number" type="whole" operator="greaterThanOrEqual">
      <formula1>-1E+15</formula1>
    </dataValidation>
    <dataValidation sqref="G20:G220" showDropDown="0" showInputMessage="1" showErrorMessage="1" allowBlank="1" errorTitle="to_no" error="Enter a whole number." promptTitle="to_no" prompt="Yes. Last number of the series Allowed: A whole number" type="whole" operator="greaterThanOrEqual">
      <formula1>-1E+15</formula1>
    </dataValidation>
    <dataValidation sqref="H20:H220" showDropDown="0" showInputMessage="1" showErrorMessage="1" allowBlank="1" errorTitle="last_used_no" error="Enter a whole number." promptTitle="last_used_no" prompt="Yes. Last number issued in legacy at the freeze Allowed: A whole number" type="whole" operator="greaterThanOrEqual">
      <formula1>-1E+15</formula1>
    </dataValidation>
    <dataValidation sqref="I20:I220" showDropDown="0" showInputMessage="1" showErrorMessage="1" allowBlank="1" errorTitle="next_no" error="Enter a whole number." promptTitle="next_no" prompt="Yes. Next number BIBS issues Allowed: A whole number" type="whole" operator="greaterThanOrEqual">
      <formula1>-1E+15</formula1>
    </dataValidation>
  </dataValidations>
  <hyperlinks>
    <hyperlink ref="A2" location="'Load templates'!A1"/>
    <hyperlink ref="I2" location="'Comments log'!A1"/>
    <hyperlink ref="B8" location="'R02 Branches and invoicing bran'!A1"/>
    <hyperlink ref="B17" location="'Code maps'!A1"/>
    <hyperlink ref="C17" location="'Reference lists'!A4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1.xml><?xml version="1.0" encoding="utf-8"?>
<worksheet xmlns="http://schemas.openxmlformats.org/spreadsheetml/2006/main">
  <sheetPr>
    <tabColor rgb="00004EA8"/>
    <outlinePr summaryBelow="0" summaryRight="1"/>
    <pageSetUpPr fitToPage="1"/>
  </sheetPr>
  <dimension ref="A1:AK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6" customWidth="1" min="3" max="3"/>
    <col width="14" customWidth="1" min="4" max="4"/>
    <col width="15" customWidth="1" min="5" max="5"/>
    <col width="16" customWidth="1" min="6" max="6"/>
    <col width="12" customWidth="1" min="7" max="7"/>
    <col width="20" customWidth="1" min="8" max="8"/>
    <col width="20" customWidth="1" min="9" max="9"/>
    <col width="15" customWidth="1" min="10" max="10"/>
    <col width="17" customWidth="1" min="11" max="11"/>
    <col width="15.90909090909091" customWidth="1" min="12" max="12"/>
    <col width="14" customWidth="1" min="13" max="13"/>
    <col width="21" customWidth="1" min="14" max="14"/>
    <col width="13" customWidth="1" min="15" max="15"/>
    <col width="16" customWidth="1" min="16" max="16"/>
    <col width="20" customWidth="1" min="17" max="17"/>
    <col width="19" customWidth="1" min="18" max="18"/>
    <col width="21" customWidth="1" min="19" max="19"/>
    <col width="20" customWidth="1" min="20" max="20"/>
    <col width="15.90909090909091" customWidth="1" min="21" max="21"/>
    <col width="20" customWidth="1" min="22" max="22"/>
    <col width="16" customWidth="1" min="23" max="23"/>
    <col width="22" customWidth="1" min="24" max="24"/>
    <col width="20" customWidth="1" min="25" max="25"/>
    <col width="16" customWidth="1" min="26" max="26"/>
    <col width="33" customWidth="1" min="27" max="27"/>
    <col width="12" customWidth="1" min="28" max="28"/>
    <col width="14" customWidth="1" min="29" max="29"/>
    <col width="16" customWidth="1" min="30" max="30"/>
    <col width="15.90909090909091" customWidth="1" min="31" max="31"/>
    <col width="22" customWidth="1" min="32" max="32"/>
    <col width="19" customWidth="1" min="33" max="33"/>
    <col width="16" customWidth="1" min="34" max="34"/>
    <col width="18" customWidth="1" min="35" max="35"/>
    <col width="17" customWidth="1" min="36" max="36"/>
    <col width="21" customWidth="1" min="37" max="37"/>
  </cols>
  <sheetData>
    <row r="1" ht="26" customHeight="1">
      <c r="A1" s="44" t="inlineStr">
        <is>
          <t>C01 Client master</t>
        </is>
      </c>
      <c r="AK1" s="45" t="inlineStr">
        <is>
          <t>Step 12 of 29</t>
        </is>
      </c>
    </row>
    <row r="2">
      <c r="A2" s="46" t="inlineStr">
        <is>
          <t>← Back to Load templates</t>
        </is>
      </c>
      <c r="B2" s="47" t="inlineStr">
        <is>
          <t>Step 12 of 29. Fill in one row per record below the column headers; the guide above each column says what to enter.</t>
        </is>
      </c>
      <c r="AK2" s="48" t="inlineStr">
        <is>
          <t>Ask a question →</t>
        </is>
      </c>
    </row>
    <row r="3" outlineLevel="1" ht="15.5" customHeight="1">
      <c r="A3" s="49" t="inlineStr">
        <is>
          <t>Purpose</t>
        </is>
      </c>
      <c r="B3" s="50" t="inlineStr">
        <is>
          <t>One row per record of Client master (individual and corporate) as extracted from QPS, EBIX, CMS. Key legacy_client_no. Sent as the file C01_template.csv (CSV, header row as below) with its control file (row count, count of distinct keys).</t>
        </is>
      </c>
    </row>
    <row r="4" outlineLevel="1" ht="15.5" customHeight="1">
      <c r="A4" s="49" t="inlineStr">
        <is>
          <t>Provided by</t>
        </is>
      </c>
      <c r="B4" s="50" t="inlineStr">
        <is>
          <t>Marketing data steward (to name); approved by Product Owner, MBS; Heads, Retail and Corporate Marketing; extracted by BDOI IT</t>
        </is>
      </c>
    </row>
    <row r="5" outlineLevel="1" ht="15.5" customHeight="1">
      <c r="A5" s="49" t="inlineStr">
        <is>
          <t>Due</t>
        </is>
      </c>
      <c r="B5" s="51" t="inlineStr">
        <is>
          <t>M3 (29 Jan 2027); deltas daily from T-14 days</t>
        </is>
      </c>
    </row>
    <row r="6" outlineLevel="1" ht="15.5" customHeight="1">
      <c r="A6" s="49" t="inlineStr">
        <is>
          <t>How it is loaded</t>
        </is>
      </c>
      <c r="B6" s="50" t="inlineStr">
        <is>
          <t>Data migration object C01 (Migrate), layout C01 version 1, through the Migration Console; lands in: Client master, registered as migrated clients</t>
        </is>
      </c>
    </row>
    <row r="7" outlineLevel="1" ht="15.5" customHeight="1">
      <c r="A7" s="49" t="inlineStr">
        <is>
          <t>Source</t>
        </is>
      </c>
      <c r="B7" s="50" t="inlineStr">
        <is>
          <t>QPS, EBIX, CMS</t>
        </is>
      </c>
    </row>
    <row r="8" outlineLevel="1" ht="26" customHeight="1">
      <c r="A8" s="49" t="inlineStr">
        <is>
          <t>Depends on</t>
        </is>
      </c>
      <c r="B8" s="68" t="inlineStr">
        <is>
          <t>R01 Lists of values and MIS values →</t>
        </is>
      </c>
      <c r="D8" s="68" t="inlineStr">
        <is>
          <t>R02 Branches and invoicing branches →</t>
        </is>
      </c>
      <c r="F8" s="68" t="inlineStr">
        <is>
          <t>R03 Sales organisation (units and account officers) →</t>
        </is>
      </c>
    </row>
    <row r="9" ht="26" customHeight="1">
      <c r="A9" s="53" t="inlineStr">
        <is>
          <t>Progress</t>
        </is>
      </c>
      <c r="B9" s="54" t="inlineStr">
        <is>
          <t>Rows entered</t>
        </is>
      </c>
      <c r="C9" s="55">
        <f>SUMPRODUCT(((ROW($B$20:$B$220)&gt;20)+($B$20&lt;&gt;"Q-0012345")&gt;0)*(LEN($B$20:$B$220&amp;$C$20:$C$220&amp;$D$20:$D$220&amp;$E$20:$E$220&amp;$F$20:$F$220&amp;$G$20:$G$220&amp;$H$20:$H$220&amp;$I$20:$I$220&amp;$J$20:$J$220&amp;$K$20:$K$220&amp;$L$20:$L$220&amp;$M$20:$M$220&amp;$N$20:$N$220&amp;$O$20:$O$220&amp;$P$20:$P$220&amp;$Q$20:$Q$220&amp;$R$20:$R$220&amp;$S$20:$S$220&amp;$T$20:$T$220&amp;$U$20:$U$220&amp;$V$20:$V$220&amp;$W$20:$W$220&amp;$X$20:$X$220&amp;$Y$20:$Y$220&amp;$Z$20:$Z$220&amp;$AA$20:$AA$220&amp;$AB$20:$AB$220&amp;$AC$20:$AC$220&amp;$AD$20:$AD$220&amp;$AE$20:$AE$220&amp;$AF$20:$AF$220&amp;$AG$20:$AG$220&amp;$AH$20:$AH$220&amp;$AI$20:$AI$220&amp;$AJ$20:$AJ$220&amp;$AK$20:$AK$220)&gt;0))</f>
        <v/>
      </c>
      <c r="D9" s="54" t="inlineStr">
        <is>
          <t>Mandatory cells missing</t>
        </is>
      </c>
      <c r="E9" s="55">
        <f>SUMPRODUCT(((ROW($B$20:$B$220)&gt;20)+($B$20&lt;&gt;"Q-0012345")&gt;0)*(LEN($B$20:$B$220&amp;$C$20:$C$220&amp;$D$20:$D$220&amp;$E$20:$E$220&amp;$F$20:$F$220&amp;$G$20:$G$220&amp;$H$20:$H$220&amp;$I$20:$I$220&amp;$J$20:$J$220&amp;$K$20:$K$220&amp;$L$20:$L$220&amp;$M$20:$M$220&amp;$N$20:$N$220&amp;$O$20:$O$220&amp;$P$20:$P$220&amp;$Q$20:$Q$220&amp;$R$20:$R$220&amp;$S$20:$S$220&amp;$T$20:$T$220&amp;$U$20:$U$220&amp;$V$20:$V$220&amp;$W$20:$W$220&amp;$X$20:$X$220&amp;$Y$20:$Y$220&amp;$Z$20:$Z$220&amp;$AA$20:$AA$220&amp;$AB$20:$AB$220&amp;$AC$20:$AC$220&amp;$AD$20:$AD$220&amp;$AE$20:$AE$220&amp;$AF$20:$AF$220&amp;$AG$20:$AG$220&amp;$AH$20:$AH$220&amp;$AI$20:$AI$220&amp;$AJ$20:$AJ$220&amp;$AK$20:$AK$220)&gt;0)*(($B$20:$B$220="")+($C$20:$C$220="")+($R$20:$R$220="")+($AI$20:$AI$220="")+($AJ$20:$AJ$220="")+($AK$20:$AK$220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row>
    <row r="12" ht="30" customHeight="1">
      <c r="A12" s="59" t="inlineStr">
        <is>
          <t>BU review</t>
        </is>
      </c>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c r="AB12" s="60" t="n"/>
      <c r="AC12" s="60" t="n"/>
      <c r="AD12" s="60" t="n"/>
      <c r="AE12" s="60" t="n"/>
      <c r="AF12" s="60" t="n"/>
      <c r="AG12" s="60" t="n"/>
      <c r="AH12" s="60" t="n"/>
      <c r="AI12" s="60" t="n"/>
      <c r="AJ12" s="60" t="n"/>
      <c r="AK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c r="AA13" s="60" t="n"/>
      <c r="AB13" s="60" t="n"/>
      <c r="AC13" s="60" t="n"/>
      <c r="AD13" s="60" t="n"/>
      <c r="AE13" s="60" t="n"/>
      <c r="AF13" s="60" t="n"/>
      <c r="AG13" s="60" t="n"/>
      <c r="AH13" s="60" t="n"/>
      <c r="AI13" s="60" t="n"/>
      <c r="AJ13" s="60" t="n"/>
      <c r="AK13" s="60" t="n"/>
    </row>
    <row r="14" ht="56" customHeight="1">
      <c r="A14" s="59" t="inlineStr">
        <is>
          <t>Check when loaded</t>
        </is>
      </c>
      <c r="B14" s="61" t="inlineStr">
        <is>
          <t>Unique in the file</t>
        </is>
      </c>
      <c r="C14" s="61" t="inlineStr">
        <is>
          <t>In the list</t>
        </is>
      </c>
      <c r="D14" s="61" t="inlineStr">
        <is>
          <t>Mandatory for I</t>
        </is>
      </c>
      <c r="E14" s="61" t="inlineStr">
        <is>
          <t>Mandatory for I</t>
        </is>
      </c>
      <c r="F14" s="61" t="inlineStr">
        <is>
          <t>-</t>
        </is>
      </c>
      <c r="G14" s="61" t="inlineStr">
        <is>
          <t>-</t>
        </is>
      </c>
      <c r="H14" s="61" t="inlineStr">
        <is>
          <t>Mandatory for C</t>
        </is>
      </c>
      <c r="I14" s="61" t="inlineStr">
        <is>
          <t>-</t>
        </is>
      </c>
      <c r="J14" s="61" t="inlineStr">
        <is>
          <t>Mandatory for I; not in the future; age 0 to 120</t>
        </is>
      </c>
      <c r="K14" s="61" t="inlineStr">
        <is>
          <t>9 to 12 digits; duplicate key K1</t>
        </is>
      </c>
      <c r="L14" s="61" t="inlineStr">
        <is>
          <t>Mapped</t>
        </is>
      </c>
      <c r="M14" s="61" t="inlineStr">
        <is>
          <t>Mandatory when id_type is given; duplicate key K2</t>
        </is>
      </c>
      <c r="N14" s="61" t="inlineStr">
        <is>
          <t>Y or N</t>
        </is>
      </c>
      <c r="O14" s="61" t="inlineStr">
        <is>
          <t>Duplicate key K5 if agreed</t>
        </is>
      </c>
      <c r="P14" s="61" t="inlineStr">
        <is>
          <t>Mapped</t>
        </is>
      </c>
      <c r="Q14" s="61" t="inlineStr">
        <is>
          <t>Mapped</t>
        </is>
      </c>
      <c r="R14" s="61" t="inlineStr">
        <is>
          <t>Mapped</t>
        </is>
      </c>
      <c r="S14" s="61" t="inlineStr">
        <is>
          <t>Mapped</t>
        </is>
      </c>
      <c r="T14" s="61" t="inlineStr">
        <is>
          <t>Mapped</t>
        </is>
      </c>
      <c r="U14" s="61" t="inlineStr">
        <is>
          <t>Mapped in USER</t>
        </is>
      </c>
      <c r="V14" s="61" t="inlineStr">
        <is>
          <t>Mapped</t>
        </is>
      </c>
      <c r="W14" s="61" t="inlineStr">
        <is>
          <t>Mapped</t>
        </is>
      </c>
      <c r="X14" s="61" t="inlineStr">
        <is>
          <t>Valid e-mail; soft key K6</t>
        </is>
      </c>
      <c r="Y14" s="61" t="inlineStr">
        <is>
          <t>PH mobile format; soft key K6</t>
        </is>
      </c>
      <c r="Z14" s="61" t="inlineStr">
        <is>
          <t>-</t>
        </is>
      </c>
      <c r="AA14" s="61" t="inlineStr">
        <is>
          <t>-</t>
        </is>
      </c>
      <c r="AB14" s="61" t="inlineStr">
        <is>
          <t>-</t>
        </is>
      </c>
      <c r="AC14" s="61" t="inlineStr">
        <is>
          <t>-</t>
        </is>
      </c>
      <c r="AD14" s="61" t="inlineStr">
        <is>
          <t>4 digits</t>
        </is>
      </c>
      <c r="AE14" s="61" t="inlineStr">
        <is>
          <t>Mapped</t>
        </is>
      </c>
      <c r="AF14" s="61" t="inlineStr">
        <is>
          <t>Not in the future</t>
        </is>
      </c>
      <c r="AG14" s="61" t="inlineStr">
        <is>
          <t>Valid date</t>
        </is>
      </c>
      <c r="AH14" s="61" t="inlineStr">
        <is>
          <t>Mapped</t>
        </is>
      </c>
      <c r="AI14" s="61" t="inlineStr">
        <is>
          <t>Mapped</t>
        </is>
      </c>
      <c r="AJ14" s="61" t="inlineStr">
        <is>
          <t>Valid date</t>
        </is>
      </c>
      <c r="AK14" s="61" t="inlineStr">
        <is>
          <t>Valid timestamp</t>
        </is>
      </c>
    </row>
    <row r="15" ht="56" customHeight="1">
      <c r="A15" s="59" t="inlineStr">
        <is>
          <t>Mandatory</t>
        </is>
      </c>
      <c r="B15" s="62" t="inlineStr">
        <is>
          <t>Yes</t>
        </is>
      </c>
      <c r="C15" s="62" t="inlineStr">
        <is>
          <t>Yes</t>
        </is>
      </c>
      <c r="D15" s="61" t="inlineStr">
        <is>
          <t>Conditional: Mandatory for I</t>
        </is>
      </c>
      <c r="E15" s="61" t="inlineStr">
        <is>
          <t>Conditional: Mandatory for I</t>
        </is>
      </c>
      <c r="F15" s="61" t="inlineStr">
        <is>
          <t>No</t>
        </is>
      </c>
      <c r="G15" s="61" t="inlineStr">
        <is>
          <t>No</t>
        </is>
      </c>
      <c r="H15" s="61" t="inlineStr">
        <is>
          <t>Conditional: Mandatory for C</t>
        </is>
      </c>
      <c r="I15" s="61" t="inlineStr">
        <is>
          <t>No</t>
        </is>
      </c>
      <c r="J15" s="61" t="inlineStr">
        <is>
          <t>Conditional: Mandatory for I; not in the future; age 0 to 120</t>
        </is>
      </c>
      <c r="K15" s="61" t="inlineStr">
        <is>
          <t>No</t>
        </is>
      </c>
      <c r="L15" s="61" t="inlineStr">
        <is>
          <t>No</t>
        </is>
      </c>
      <c r="M15" s="61" t="inlineStr">
        <is>
          <t>Conditional: Mandatory when id_type is given; duplicate key K2</t>
        </is>
      </c>
      <c r="N15" s="61" t="inlineStr">
        <is>
          <t>No</t>
        </is>
      </c>
      <c r="O15" s="61" t="inlineStr">
        <is>
          <t>No</t>
        </is>
      </c>
      <c r="P15" s="61" t="inlineStr">
        <is>
          <t>No</t>
        </is>
      </c>
      <c r="Q15" s="61" t="inlineStr">
        <is>
          <t>No</t>
        </is>
      </c>
      <c r="R15" s="62" t="inlineStr">
        <is>
          <t>Yes</t>
        </is>
      </c>
      <c r="S15" s="61" t="inlineStr">
        <is>
          <t>No</t>
        </is>
      </c>
      <c r="T15" s="61" t="inlineStr">
        <is>
          <t>No</t>
        </is>
      </c>
      <c r="U15" s="61" t="inlineStr">
        <is>
          <t>No</t>
        </is>
      </c>
      <c r="V15" s="61" t="inlineStr">
        <is>
          <t>No</t>
        </is>
      </c>
      <c r="W15" s="61" t="inlineStr">
        <is>
          <t>No</t>
        </is>
      </c>
      <c r="X15" s="61" t="inlineStr">
        <is>
          <t>No</t>
        </is>
      </c>
      <c r="Y15" s="61" t="inlineStr">
        <is>
          <t>No</t>
        </is>
      </c>
      <c r="Z15" s="61" t="inlineStr">
        <is>
          <t>No</t>
        </is>
      </c>
      <c r="AA15" s="61" t="inlineStr">
        <is>
          <t>No</t>
        </is>
      </c>
      <c r="AB15" s="61" t="inlineStr">
        <is>
          <t>No</t>
        </is>
      </c>
      <c r="AC15" s="61" t="inlineStr">
        <is>
          <t>No</t>
        </is>
      </c>
      <c r="AD15" s="61" t="inlineStr">
        <is>
          <t>No</t>
        </is>
      </c>
      <c r="AE15" s="61" t="inlineStr">
        <is>
          <t>No</t>
        </is>
      </c>
      <c r="AF15" s="61" t="inlineStr">
        <is>
          <t>No</t>
        </is>
      </c>
      <c r="AG15" s="61" t="inlineStr">
        <is>
          <t>No</t>
        </is>
      </c>
      <c r="AH15" s="61" t="inlineStr">
        <is>
          <t>No</t>
        </is>
      </c>
      <c r="AI15" s="62" t="inlineStr">
        <is>
          <t>Yes</t>
        </is>
      </c>
      <c r="AJ15" s="62" t="inlineStr">
        <is>
          <t>Yes</t>
        </is>
      </c>
      <c r="AK15" s="62" t="inlineStr">
        <is>
          <t>Yes</t>
        </is>
      </c>
    </row>
    <row r="16" ht="30" customHeight="1">
      <c r="A16" s="59" t="inlineStr">
        <is>
          <t>Format</t>
        </is>
      </c>
      <c r="B16" s="61" t="inlineStr">
        <is>
          <t>Code, up to 30; As stored in legacy</t>
        </is>
      </c>
      <c r="C16" s="61" t="inlineStr">
        <is>
          <t>Code, up to 1; Upper case</t>
        </is>
      </c>
      <c r="D16" s="61" t="inlineStr">
        <is>
          <t>Text, up to 100; Free text</t>
        </is>
      </c>
      <c r="E16" s="61" t="inlineStr">
        <is>
          <t>Text, up to 100; Free text</t>
        </is>
      </c>
      <c r="F16" s="61" t="inlineStr">
        <is>
          <t>Text, up to 100; Free text</t>
        </is>
      </c>
      <c r="G16" s="61" t="inlineStr">
        <is>
          <t>Text, up to 20; Free text</t>
        </is>
      </c>
      <c r="H16" s="61" t="inlineStr">
        <is>
          <t>Text, up to 200; Free text</t>
        </is>
      </c>
      <c r="I16" s="61" t="inlineStr">
        <is>
          <t>Text, up to 60; As registered</t>
        </is>
      </c>
      <c r="J16" s="61" t="inlineStr">
        <is>
          <t>Date, up to 10; yyyy-MM-dd</t>
        </is>
      </c>
      <c r="K16" s="61" t="inlineStr">
        <is>
          <t>Text, up to 20; 000-000-000-000</t>
        </is>
      </c>
      <c r="L16" s="61" t="inlineStr">
        <is>
          <t>Code, up to 40; As stored in legacy</t>
        </is>
      </c>
      <c r="M16" s="61" t="inlineStr">
        <is>
          <t>Text, up to 60; As printed</t>
        </is>
      </c>
      <c r="N16" s="61" t="inlineStr">
        <is>
          <t>Flag, up to 1; Y or N</t>
        </is>
      </c>
      <c r="O16" s="61" t="inlineStr">
        <is>
          <t>Text, up to 40; Digits</t>
        </is>
      </c>
      <c r="P16" s="61" t="inlineStr">
        <is>
          <t>Code, up to 40; As stored in legacy</t>
        </is>
      </c>
      <c r="Q16" s="61" t="inlineStr">
        <is>
          <t>Code, up to 40; As stored in legacy</t>
        </is>
      </c>
      <c r="R16" s="61" t="inlineStr">
        <is>
          <t>Code, up to 40; As stored in legacy</t>
        </is>
      </c>
      <c r="S16" s="61" t="inlineStr">
        <is>
          <t>Code, up to 40; As stored in legacy</t>
        </is>
      </c>
      <c r="T16" s="61" t="inlineStr">
        <is>
          <t>Code, up to 40; As stored in legacy</t>
        </is>
      </c>
      <c r="U16" s="61" t="inlineStr">
        <is>
          <t>Code, up to 50; As stored in legacy</t>
        </is>
      </c>
      <c r="V16" s="61" t="inlineStr">
        <is>
          <t>Code, up to 20; As stored in legacy</t>
        </is>
      </c>
      <c r="W16" s="61" t="inlineStr">
        <is>
          <t>Code, up to 20; As stored in legacy</t>
        </is>
      </c>
      <c r="X16" s="61" t="inlineStr">
        <is>
          <t>Text, up to 120; name@domain</t>
        </is>
      </c>
      <c r="Y16" s="61" t="inlineStr">
        <is>
          <t>Text, up to 30; 09xxxxxxxxx or +639xxxxxxxxx</t>
        </is>
      </c>
      <c r="Z16" s="61" t="inlineStr">
        <is>
          <t>Text, up to 30; Free text</t>
        </is>
      </c>
      <c r="AA16" s="61" t="inlineStr">
        <is>
          <t>Text, up to 300; Free text</t>
        </is>
      </c>
      <c r="AB16" s="61" t="inlineStr">
        <is>
          <t>Text, up to 80; Free text</t>
        </is>
      </c>
      <c r="AC16" s="61" t="inlineStr">
        <is>
          <t>Text, up to 80; Free text</t>
        </is>
      </c>
      <c r="AD16" s="61" t="inlineStr">
        <is>
          <t>Text, up to 10; 4 digits</t>
        </is>
      </c>
      <c r="AE16" s="61" t="inlineStr">
        <is>
          <t>Code, up to 20; As stored in legacy</t>
        </is>
      </c>
      <c r="AF16" s="61" t="inlineStr">
        <is>
          <t>Date, up to 10; yyyy-MM-dd</t>
        </is>
      </c>
      <c r="AG16" s="61" t="inlineStr">
        <is>
          <t>Date, up to 10; yyyy-MM-dd</t>
        </is>
      </c>
      <c r="AH16" s="61" t="inlineStr">
        <is>
          <t>Code, up to 20; As stored in legacy</t>
        </is>
      </c>
      <c r="AI16" s="61" t="inlineStr">
        <is>
          <t>Code, up to 20; As stored in legacy</t>
        </is>
      </c>
      <c r="AJ16" s="61" t="inlineStr">
        <is>
          <t>Date, up to 10; yyyy-MM-dd</t>
        </is>
      </c>
      <c r="AK16" s="61" t="inlineStr">
        <is>
          <t>Timestamp, up to 19; yyyy-MM-dd HH:mm:ss</t>
        </is>
      </c>
    </row>
    <row r="17" ht="69" customHeight="1">
      <c r="A17" s="59" t="inlineStr">
        <is>
          <t>Allowed values</t>
        </is>
      </c>
      <c r="B17" s="61" t="inlineStr">
        <is>
          <t>Free entry, up to 30 characters</t>
        </is>
      </c>
      <c r="C17" s="69" t="inlineStr">
        <is>
          <t>I, C (list C01 client_type)</t>
        </is>
      </c>
      <c r="D17" s="61" t="inlineStr">
        <is>
          <t>Free entry, up to 100 characters</t>
        </is>
      </c>
      <c r="E17" s="61" t="inlineStr">
        <is>
          <t>Free entry, up to 100 characters</t>
        </is>
      </c>
      <c r="F17" s="61" t="inlineStr">
        <is>
          <t>Free entry, up to 100 characters</t>
        </is>
      </c>
      <c r="G17" s="61" t="inlineStr">
        <is>
          <t>Free entry, up to 20 characters</t>
        </is>
      </c>
      <c r="H17" s="61" t="inlineStr">
        <is>
          <t>Free entry, up to 200 characters</t>
        </is>
      </c>
      <c r="I17" s="61" t="inlineStr">
        <is>
          <t>Free entry, up to 60 characters</t>
        </is>
      </c>
      <c r="J17" s="61" t="inlineStr">
        <is>
          <t>Free entry</t>
        </is>
      </c>
      <c r="K17" s="61" t="inlineStr">
        <is>
          <t>Free entry, up to 20 characters</t>
        </is>
      </c>
      <c r="L17" s="69" t="inlineStr">
        <is>
          <t>The legacy code; mapped by the code map LOV:ID_TYPE (sheet Code maps)</t>
        </is>
      </c>
      <c r="M17" s="61" t="inlineStr">
        <is>
          <t>Free entry, up to 60 characters</t>
        </is>
      </c>
      <c r="N17" s="61" t="inlineStr">
        <is>
          <t>Y or N</t>
        </is>
      </c>
      <c r="O17" s="61" t="inlineStr">
        <is>
          <t>Free entry, up to 40 characters</t>
        </is>
      </c>
      <c r="P17" s="69" t="inlineStr">
        <is>
          <t>The legacy code; mapped by the code map LOV:NATIONALITY (sheet Code maps)</t>
        </is>
      </c>
      <c r="Q17" s="69" t="inlineStr">
        <is>
          <t>The legacy code; mapped by the code map LOV:SOURCE_OF_FUNDS (sheet Code maps)</t>
        </is>
      </c>
      <c r="R17" s="69" t="inlineStr">
        <is>
          <t>The legacy code; mapped by the code map LOV:MARKET_SEGMENT (sheet Code maps)</t>
        </is>
      </c>
      <c r="S17" s="69" t="inlineStr">
        <is>
          <t>The legacy code; mapped by the code map MIS:CUSTOMER_SEGMENT (sheet Code maps)</t>
        </is>
      </c>
      <c r="T17" s="69" t="inlineStr">
        <is>
          <t>The legacy code; mapped by the code map MIS:BUSINESS_ORIGIN (sheet Code maps)</t>
        </is>
      </c>
      <c r="U17" s="69" t="inlineStr">
        <is>
          <t>The legacy code; mapped by the code map USER (sheet Code maps)</t>
        </is>
      </c>
      <c r="V17" s="69" t="inlineStr">
        <is>
          <t>The legacy code; mapped by the code map SALES_UNIT (sheet Code maps)</t>
        </is>
      </c>
      <c r="W17" s="69" t="inlineStr">
        <is>
          <t>The legacy code; mapped by the code map BRANCH (sheet Code maps)</t>
        </is>
      </c>
      <c r="X17" s="61" t="inlineStr">
        <is>
          <t>Free entry, up to 120 characters</t>
        </is>
      </c>
      <c r="Y17" s="61" t="inlineStr">
        <is>
          <t>Free entry, up to 30 characters</t>
        </is>
      </c>
      <c r="Z17" s="61" t="inlineStr">
        <is>
          <t>Free entry, up to 30 characters</t>
        </is>
      </c>
      <c r="AA17" s="61" t="inlineStr">
        <is>
          <t>Free entry, up to 300 characters</t>
        </is>
      </c>
      <c r="AB17" s="61" t="inlineStr">
        <is>
          <t>Free entry, up to 80 characters</t>
        </is>
      </c>
      <c r="AC17" s="61" t="inlineStr">
        <is>
          <t>Free entry, up to 80 characters</t>
        </is>
      </c>
      <c r="AD17" s="61" t="inlineStr">
        <is>
          <t>Free entry, up to 10 characters</t>
        </is>
      </c>
      <c r="AE17" s="69" t="inlineStr">
        <is>
          <t>The legacy code; mapped by the code map STATUS:KYC (sheet Code maps)</t>
        </is>
      </c>
      <c r="AF17" s="61" t="inlineStr">
        <is>
          <t>Free entry</t>
        </is>
      </c>
      <c r="AG17" s="61" t="inlineStr">
        <is>
          <t>Free entry</t>
        </is>
      </c>
      <c r="AH17" s="69" t="inlineStr">
        <is>
          <t>The legacy code; mapped by the code map LOV:KYC_RISK_RATING (sheet Code maps)</t>
        </is>
      </c>
      <c r="AI17" s="69" t="inlineStr">
        <is>
          <t>The legacy code; mapped by the code map STATUS:CLIENT (sheet Code maps)</t>
        </is>
      </c>
      <c r="AJ17" s="61" t="inlineStr">
        <is>
          <t>Free entry</t>
        </is>
      </c>
      <c r="AK17" s="61" t="inlineStr">
        <is>
          <t>Free entry</t>
        </is>
      </c>
    </row>
    <row r="18" ht="43" customHeight="1">
      <c r="A18" s="59" t="inlineStr">
        <is>
          <t>What to enter</t>
        </is>
      </c>
      <c r="B18" s="61" t="inlineStr">
        <is>
          <t>Client number in the source system</t>
        </is>
      </c>
      <c r="C18" s="61" t="inlineStr">
        <is>
          <t>Individual or corporate</t>
        </is>
      </c>
      <c r="D18" s="61" t="inlineStr">
        <is>
          <t>Last name (individual)</t>
        </is>
      </c>
      <c r="E18" s="61" t="inlineStr">
        <is>
          <t>First name (individual)</t>
        </is>
      </c>
      <c r="F18" s="61" t="inlineStr">
        <is>
          <t>Middle name</t>
        </is>
      </c>
      <c r="G18" s="61" t="inlineStr">
        <is>
          <t>Name suffix</t>
        </is>
      </c>
      <c r="H18" s="61" t="inlineStr">
        <is>
          <t>Registered name (corporate)</t>
        </is>
      </c>
      <c r="I18" s="61" t="inlineStr">
        <is>
          <t>SEC or DTI registration number (corporate)</t>
        </is>
      </c>
      <c r="J18" s="61" t="inlineStr">
        <is>
          <t>Birth date (individual)</t>
        </is>
      </c>
      <c r="K18" s="61" t="inlineStr">
        <is>
          <t>Tax identification number</t>
        </is>
      </c>
      <c r="L18" s="61" t="inlineStr">
        <is>
          <t>Government ID type</t>
        </is>
      </c>
      <c r="M18" s="61" t="inlineStr">
        <is>
          <t>Government ID number</t>
        </is>
      </c>
      <c r="N18" s="61" t="inlineStr">
        <is>
          <t>BDO bank client</t>
        </is>
      </c>
      <c r="O18" s="61" t="inlineStr">
        <is>
          <t>BDO customer information file number</t>
        </is>
      </c>
      <c r="P18" s="61" t="inlineStr">
        <is>
          <t>Nationality</t>
        </is>
      </c>
      <c r="Q18" s="61" t="inlineStr">
        <is>
          <t>Source of funds</t>
        </is>
      </c>
      <c r="R18" s="61" t="inlineStr">
        <is>
          <t>Market segment</t>
        </is>
      </c>
      <c r="S18" s="61" t="inlineStr">
        <is>
          <t>Customer segment (MIS)</t>
        </is>
      </c>
      <c r="T18" s="61" t="inlineStr">
        <is>
          <t>Business origin (MIS)</t>
        </is>
      </c>
      <c r="U18" s="61" t="inlineStr">
        <is>
          <t>Account officer</t>
        </is>
      </c>
      <c r="V18" s="61" t="inlineStr">
        <is>
          <t>Sales unit of the client</t>
        </is>
      </c>
      <c r="W18" s="61" t="inlineStr">
        <is>
          <t>Servicing branch</t>
        </is>
      </c>
      <c r="X18" s="61" t="inlineStr">
        <is>
          <t>Primary e-mail</t>
        </is>
      </c>
      <c r="Y18" s="61" t="inlineStr">
        <is>
          <t>Primary mobile number</t>
        </is>
      </c>
      <c r="Z18" s="61" t="inlineStr">
        <is>
          <t>Landline</t>
        </is>
      </c>
      <c r="AA18" s="61" t="inlineStr">
        <is>
          <t>Primary street address</t>
        </is>
      </c>
      <c r="AB18" s="61" t="inlineStr">
        <is>
          <t>City / municipality</t>
        </is>
      </c>
      <c r="AC18" s="61" t="inlineStr">
        <is>
          <t>Province</t>
        </is>
      </c>
      <c r="AD18" s="61" t="inlineStr">
        <is>
          <t>Postal code</t>
        </is>
      </c>
      <c r="AE18" s="61" t="inlineStr">
        <is>
          <t>KYC status in legacy</t>
        </is>
      </c>
      <c r="AF18" s="61" t="inlineStr">
        <is>
          <t>Date KYC was verified</t>
        </is>
      </c>
      <c r="AG18" s="61" t="inlineStr">
        <is>
          <t>Next KYC review date</t>
        </is>
      </c>
      <c r="AH18" s="61" t="inlineStr">
        <is>
          <t>KYC risk rating</t>
        </is>
      </c>
      <c r="AI18" s="61" t="inlineStr">
        <is>
          <t>Client status in legacy</t>
        </is>
      </c>
      <c r="AJ18" s="61" t="inlineStr">
        <is>
          <t>Date the client was created in legacy</t>
        </is>
      </c>
      <c r="AK18" s="61" t="inlineStr">
        <is>
          <t>Last change in legacy (survivorship and deltas)</t>
        </is>
      </c>
    </row>
    <row r="19" ht="30" customHeight="1">
      <c r="A19" s="63" t="inlineStr">
        <is>
          <t>Row</t>
        </is>
      </c>
      <c r="B19" s="24" t="inlineStr">
        <is>
          <t>legacy_client_no *</t>
        </is>
      </c>
      <c r="C19" s="24" t="inlineStr">
        <is>
          <t>client_type *</t>
        </is>
      </c>
      <c r="D19" s="24" t="inlineStr">
        <is>
          <t>last_name</t>
        </is>
      </c>
      <c r="E19" s="24" t="inlineStr">
        <is>
          <t>first_name</t>
        </is>
      </c>
      <c r="F19" s="24" t="inlineStr">
        <is>
          <t>middle_name</t>
        </is>
      </c>
      <c r="G19" s="24" t="inlineStr">
        <is>
          <t>suffix</t>
        </is>
      </c>
      <c r="H19" s="24" t="inlineStr">
        <is>
          <t>corporate_name</t>
        </is>
      </c>
      <c r="I19" s="24" t="inlineStr">
        <is>
          <t>registration_no</t>
        </is>
      </c>
      <c r="J19" s="24" t="inlineStr">
        <is>
          <t>birth_date</t>
        </is>
      </c>
      <c r="K19" s="24" t="inlineStr">
        <is>
          <t>tin</t>
        </is>
      </c>
      <c r="L19" s="24" t="inlineStr">
        <is>
          <t>id_type</t>
        </is>
      </c>
      <c r="M19" s="24" t="inlineStr">
        <is>
          <t>id_number</t>
        </is>
      </c>
      <c r="N19" s="24" t="inlineStr">
        <is>
          <t>bank_client_flag</t>
        </is>
      </c>
      <c r="O19" s="24" t="inlineStr">
        <is>
          <t>bank_cif</t>
        </is>
      </c>
      <c r="P19" s="24" t="inlineStr">
        <is>
          <t>nationality</t>
        </is>
      </c>
      <c r="Q19" s="24" t="inlineStr">
        <is>
          <t>source_of_funds</t>
        </is>
      </c>
      <c r="R19" s="24" t="inlineStr">
        <is>
          <t>market_segment *</t>
        </is>
      </c>
      <c r="S19" s="24" t="inlineStr">
        <is>
          <t>customer_segment</t>
        </is>
      </c>
      <c r="T19" s="24" t="inlineStr">
        <is>
          <t>business_origin</t>
        </is>
      </c>
      <c r="U19" s="24" t="inlineStr">
        <is>
          <t>ao_user_id</t>
        </is>
      </c>
      <c r="V19" s="24" t="inlineStr">
        <is>
          <t>sales_unit_code</t>
        </is>
      </c>
      <c r="W19" s="24" t="inlineStr">
        <is>
          <t>branch_code</t>
        </is>
      </c>
      <c r="X19" s="24" t="inlineStr">
        <is>
          <t>email</t>
        </is>
      </c>
      <c r="Y19" s="24" t="inlineStr">
        <is>
          <t>mobile</t>
        </is>
      </c>
      <c r="Z19" s="24" t="inlineStr">
        <is>
          <t>phone</t>
        </is>
      </c>
      <c r="AA19" s="24" t="inlineStr">
        <is>
          <t>address_line</t>
        </is>
      </c>
      <c r="AB19" s="24" t="inlineStr">
        <is>
          <t>city</t>
        </is>
      </c>
      <c r="AC19" s="24" t="inlineStr">
        <is>
          <t>province</t>
        </is>
      </c>
      <c r="AD19" s="24" t="inlineStr">
        <is>
          <t>postal_code</t>
        </is>
      </c>
      <c r="AE19" s="24" t="inlineStr">
        <is>
          <t>kyc_status</t>
        </is>
      </c>
      <c r="AF19" s="24" t="inlineStr">
        <is>
          <t>kyc_verified_date</t>
        </is>
      </c>
      <c r="AG19" s="24" t="inlineStr">
        <is>
          <t>kyc_review_due</t>
        </is>
      </c>
      <c r="AH19" s="24" t="inlineStr">
        <is>
          <t>risk_rating</t>
        </is>
      </c>
      <c r="AI19" s="24" t="inlineStr">
        <is>
          <t>client_status *</t>
        </is>
      </c>
      <c r="AJ19" s="24" t="inlineStr">
        <is>
          <t>created_date *</t>
        </is>
      </c>
      <c r="AK19" s="24" t="inlineStr">
        <is>
          <t>last_updated *</t>
        </is>
      </c>
    </row>
    <row r="20" ht="18" customHeight="1">
      <c r="A20" s="64" t="inlineStr">
        <is>
          <t>Example – overwrite or delete</t>
        </is>
      </c>
      <c r="B20" s="65" t="inlineStr">
        <is>
          <t>Q-0012345</t>
        </is>
      </c>
      <c r="C20" s="65" t="inlineStr">
        <is>
          <t>I</t>
        </is>
      </c>
      <c r="D20" s="65" t="inlineStr">
        <is>
          <t>Reyes</t>
        </is>
      </c>
      <c r="E20" s="65" t="inlineStr">
        <is>
          <t>Ana</t>
        </is>
      </c>
      <c r="F20" s="65" t="inlineStr">
        <is>
          <t>Cruz</t>
        </is>
      </c>
      <c r="G20" s="65" t="inlineStr">
        <is>
          <t>Jr.</t>
        </is>
      </c>
      <c r="H20" s="65" t="inlineStr">
        <is>
          <t>Acme Trading Corp.</t>
        </is>
      </c>
      <c r="I20" s="65" t="inlineStr">
        <is>
          <t>CS201912345</t>
        </is>
      </c>
      <c r="J20" s="65" t="inlineStr">
        <is>
          <t>1990-04-15</t>
        </is>
      </c>
      <c r="K20" s="65" t="inlineStr">
        <is>
          <t>123-456-789-000</t>
        </is>
      </c>
      <c r="L20" s="65" t="inlineStr">
        <is>
          <t>PASSPORT</t>
        </is>
      </c>
      <c r="M20" s="65" t="inlineStr">
        <is>
          <t>P1234567A</t>
        </is>
      </c>
      <c r="N20" s="65" t="inlineStr">
        <is>
          <t>Y</t>
        </is>
      </c>
      <c r="O20" s="65" t="inlineStr">
        <is>
          <t>1234567890</t>
        </is>
      </c>
      <c r="P20" s="65" t="inlineStr">
        <is>
          <t>FILIPINO</t>
        </is>
      </c>
      <c r="Q20" s="65" t="inlineStr">
        <is>
          <t>SALARY</t>
        </is>
      </c>
      <c r="R20" s="65" t="inlineStr">
        <is>
          <t>CBG</t>
        </is>
      </c>
      <c r="S20" s="65" t="inlineStr">
        <is>
          <t>AFFLUENT</t>
        </is>
      </c>
      <c r="T20" s="65" t="inlineStr">
        <is>
          <t>BANK_REFERRAL</t>
        </is>
      </c>
      <c r="U20" s="65" t="inlineStr">
        <is>
          <t>mreyes</t>
        </is>
      </c>
      <c r="V20" s="65" t="inlineStr">
        <is>
          <t>T-RET-07</t>
        </is>
      </c>
      <c r="W20" s="65" t="inlineStr">
        <is>
          <t>MKT01</t>
        </is>
      </c>
      <c r="X20" s="65" t="inlineStr">
        <is>
          <t>ana.reyes@example.ph</t>
        </is>
      </c>
      <c r="Y20" s="65" t="inlineStr">
        <is>
          <t>09171234567</t>
        </is>
      </c>
      <c r="Z20" s="65" t="inlineStr">
        <is>
          <t>(02) 8123 4567</t>
        </is>
      </c>
      <c r="AA20" s="65" t="inlineStr">
        <is>
          <t>12 Rizal St., Brgy. San Antonio</t>
        </is>
      </c>
      <c r="AB20" s="65" t="inlineStr">
        <is>
          <t>Pasig</t>
        </is>
      </c>
      <c r="AC20" s="65" t="inlineStr">
        <is>
          <t>Metro Manila</t>
        </is>
      </c>
      <c r="AD20" s="65" t="inlineStr">
        <is>
          <t>1600</t>
        </is>
      </c>
      <c r="AE20" s="65" t="inlineStr">
        <is>
          <t>COMPLETE</t>
        </is>
      </c>
      <c r="AF20" s="65" t="inlineStr">
        <is>
          <t>2024-03-11</t>
        </is>
      </c>
      <c r="AG20" s="65" t="inlineStr">
        <is>
          <t>2028-03-11</t>
        </is>
      </c>
      <c r="AH20" s="65" t="inlineStr">
        <is>
          <t>STANDARD</t>
        </is>
      </c>
      <c r="AI20" s="65" t="inlineStr">
        <is>
          <t>ACTIVE</t>
        </is>
      </c>
      <c r="AJ20" s="65" t="inlineStr">
        <is>
          <t>2021-07-02</t>
        </is>
      </c>
      <c r="AK20" s="65" t="inlineStr">
        <is>
          <t>2026-08-30 14:22:05</t>
        </is>
      </c>
    </row>
    <row r="21">
      <c r="B21" s="67" t="n"/>
      <c r="C21" s="67" t="n"/>
      <c r="D21" s="67" t="n"/>
      <c r="E21" s="67" t="n"/>
      <c r="F21" s="67" t="n"/>
      <c r="G21" s="67" t="n"/>
      <c r="H21" s="67" t="n"/>
      <c r="I21" s="67" t="n"/>
      <c r="J21" s="67" t="n"/>
      <c r="K21" s="67" t="n"/>
      <c r="L21" s="67" t="n"/>
      <c r="M21" s="67" t="n"/>
      <c r="N21" s="67" t="n"/>
      <c r="O21" s="67" t="n"/>
      <c r="P21" s="67" t="n"/>
      <c r="Q21" s="67" t="n"/>
      <c r="R21" s="67" t="n"/>
      <c r="S21" s="67" t="n"/>
      <c r="T21" s="67" t="n"/>
      <c r="U21" s="67" t="n"/>
      <c r="V21" s="67" t="n"/>
      <c r="W21" s="67" t="n"/>
      <c r="X21" s="67" t="n"/>
      <c r="Y21" s="67" t="n"/>
      <c r="Z21" s="67" t="n"/>
      <c r="AA21" s="67" t="n"/>
      <c r="AB21" s="67" t="n"/>
      <c r="AC21" s="67" t="n"/>
      <c r="AD21" s="67" t="n"/>
      <c r="AE21" s="67" t="n"/>
      <c r="AF21" s="67" t="n"/>
      <c r="AG21" s="67" t="n"/>
      <c r="AH21" s="67" t="n"/>
      <c r="AI21" s="67" t="n"/>
      <c r="AJ21" s="67" t="n"/>
      <c r="AK21" s="67" t="n"/>
    </row>
    <row r="22">
      <c r="B22" s="67" t="n"/>
      <c r="C22" s="67" t="n"/>
      <c r="D22" s="67" t="n"/>
      <c r="E22" s="67" t="n"/>
      <c r="F22" s="67" t="n"/>
      <c r="G22" s="67" t="n"/>
      <c r="H22" s="67" t="n"/>
      <c r="I22" s="67" t="n"/>
      <c r="J22" s="67" t="n"/>
      <c r="K22" s="67" t="n"/>
      <c r="L22" s="67" t="n"/>
      <c r="M22" s="67" t="n"/>
      <c r="N22" s="67" t="n"/>
      <c r="O22" s="67" t="n"/>
      <c r="P22" s="67" t="n"/>
      <c r="Q22" s="67" t="n"/>
      <c r="R22" s="67" t="n"/>
      <c r="S22" s="67" t="n"/>
      <c r="T22" s="67" t="n"/>
      <c r="U22" s="67" t="n"/>
      <c r="V22" s="67" t="n"/>
      <c r="W22" s="67" t="n"/>
      <c r="X22" s="67" t="n"/>
      <c r="Y22" s="67" t="n"/>
      <c r="Z22" s="67" t="n"/>
      <c r="AA22" s="67" t="n"/>
      <c r="AB22" s="67" t="n"/>
      <c r="AC22" s="67" t="n"/>
      <c r="AD22" s="67" t="n"/>
      <c r="AE22" s="67" t="n"/>
      <c r="AF22" s="67" t="n"/>
      <c r="AG22" s="67" t="n"/>
      <c r="AH22" s="67" t="n"/>
      <c r="AI22" s="67" t="n"/>
      <c r="AJ22" s="67" t="n"/>
      <c r="AK22" s="67" t="n"/>
    </row>
    <row r="23">
      <c r="B23" s="67" t="n"/>
      <c r="C23" s="67" t="n"/>
      <c r="D23" s="67" t="n"/>
      <c r="E23" s="67" t="n"/>
      <c r="F23" s="67" t="n"/>
      <c r="G23" s="67" t="n"/>
      <c r="H23" s="67" t="n"/>
      <c r="I23" s="67" t="n"/>
      <c r="J23" s="67" t="n"/>
      <c r="K23" s="67" t="n"/>
      <c r="L23" s="67" t="n"/>
      <c r="M23" s="67" t="n"/>
      <c r="N23" s="67" t="n"/>
      <c r="O23" s="67" t="n"/>
      <c r="P23" s="67" t="n"/>
      <c r="Q23" s="67" t="n"/>
      <c r="R23" s="67" t="n"/>
      <c r="S23" s="67" t="n"/>
      <c r="T23" s="67" t="n"/>
      <c r="U23" s="67" t="n"/>
      <c r="V23" s="67" t="n"/>
      <c r="W23" s="67" t="n"/>
      <c r="X23" s="67" t="n"/>
      <c r="Y23" s="67" t="n"/>
      <c r="Z23" s="67" t="n"/>
      <c r="AA23" s="67" t="n"/>
      <c r="AB23" s="67" t="n"/>
      <c r="AC23" s="67" t="n"/>
      <c r="AD23" s="67" t="n"/>
      <c r="AE23" s="67" t="n"/>
      <c r="AF23" s="67" t="n"/>
      <c r="AG23" s="67" t="n"/>
      <c r="AH23" s="67" t="n"/>
      <c r="AI23" s="67" t="n"/>
      <c r="AJ23" s="67" t="n"/>
      <c r="AK23" s="67" t="n"/>
    </row>
    <row r="24">
      <c r="B24" s="67" t="n"/>
      <c r="C24" s="67" t="n"/>
      <c r="D24" s="67" t="n"/>
      <c r="E24" s="67" t="n"/>
      <c r="F24" s="67" t="n"/>
      <c r="G24" s="67" t="n"/>
      <c r="H24" s="67" t="n"/>
      <c r="I24" s="67" t="n"/>
      <c r="J24" s="67" t="n"/>
      <c r="K24" s="67" t="n"/>
      <c r="L24" s="67" t="n"/>
      <c r="M24" s="67" t="n"/>
      <c r="N24" s="67" t="n"/>
      <c r="O24" s="67" t="n"/>
      <c r="P24" s="67" t="n"/>
      <c r="Q24" s="67" t="n"/>
      <c r="R24" s="67" t="n"/>
      <c r="S24" s="67" t="n"/>
      <c r="T24" s="67" t="n"/>
      <c r="U24" s="67" t="n"/>
      <c r="V24" s="67" t="n"/>
      <c r="W24" s="67" t="n"/>
      <c r="X24" s="67" t="n"/>
      <c r="Y24" s="67" t="n"/>
      <c r="Z24" s="67" t="n"/>
      <c r="AA24" s="67" t="n"/>
      <c r="AB24" s="67" t="n"/>
      <c r="AC24" s="67" t="n"/>
      <c r="AD24" s="67" t="n"/>
      <c r="AE24" s="67" t="n"/>
      <c r="AF24" s="67" t="n"/>
      <c r="AG24" s="67" t="n"/>
      <c r="AH24" s="67" t="n"/>
      <c r="AI24" s="67" t="n"/>
      <c r="AJ24" s="67" t="n"/>
      <c r="AK24" s="67" t="n"/>
    </row>
    <row r="25">
      <c r="B25" s="67" t="n"/>
      <c r="C25" s="67" t="n"/>
      <c r="D25" s="67" t="n"/>
      <c r="E25" s="67" t="n"/>
      <c r="F25" s="67" t="n"/>
      <c r="G25" s="67" t="n"/>
      <c r="H25" s="67" t="n"/>
      <c r="I25" s="67" t="n"/>
      <c r="J25" s="67" t="n"/>
      <c r="K25" s="67" t="n"/>
      <c r="L25" s="67" t="n"/>
      <c r="M25" s="67" t="n"/>
      <c r="N25" s="67" t="n"/>
      <c r="O25" s="67" t="n"/>
      <c r="P25" s="67" t="n"/>
      <c r="Q25" s="67" t="n"/>
      <c r="R25" s="67" t="n"/>
      <c r="S25" s="67" t="n"/>
      <c r="T25" s="67" t="n"/>
      <c r="U25" s="67" t="n"/>
      <c r="V25" s="67" t="n"/>
      <c r="W25" s="67" t="n"/>
      <c r="X25" s="67" t="n"/>
      <c r="Y25" s="67" t="n"/>
      <c r="Z25" s="67" t="n"/>
      <c r="AA25" s="67" t="n"/>
      <c r="AB25" s="67" t="n"/>
      <c r="AC25" s="67" t="n"/>
      <c r="AD25" s="67" t="n"/>
      <c r="AE25" s="67" t="n"/>
      <c r="AF25" s="67" t="n"/>
      <c r="AG25" s="67" t="n"/>
      <c r="AH25" s="67" t="n"/>
      <c r="AI25" s="67" t="n"/>
      <c r="AJ25" s="67" t="n"/>
      <c r="AK25" s="67" t="n"/>
    </row>
    <row r="26">
      <c r="B26" s="67" t="n"/>
      <c r="C26" s="67" t="n"/>
      <c r="D26" s="67" t="n"/>
      <c r="E26" s="67" t="n"/>
      <c r="F26" s="67" t="n"/>
      <c r="G26" s="67" t="n"/>
      <c r="H26" s="67" t="n"/>
      <c r="I26" s="67" t="n"/>
      <c r="J26" s="67" t="n"/>
      <c r="K26" s="67" t="n"/>
      <c r="L26" s="67" t="n"/>
      <c r="M26" s="67" t="n"/>
      <c r="N26" s="67" t="n"/>
      <c r="O26" s="67" t="n"/>
      <c r="P26" s="67" t="n"/>
      <c r="Q26" s="67" t="n"/>
      <c r="R26" s="67" t="n"/>
      <c r="S26" s="67" t="n"/>
      <c r="T26" s="67" t="n"/>
      <c r="U26" s="67" t="n"/>
      <c r="V26" s="67" t="n"/>
      <c r="W26" s="67" t="n"/>
      <c r="X26" s="67" t="n"/>
      <c r="Y26" s="67" t="n"/>
      <c r="Z26" s="67" t="n"/>
      <c r="AA26" s="67" t="n"/>
      <c r="AB26" s="67" t="n"/>
      <c r="AC26" s="67" t="n"/>
      <c r="AD26" s="67" t="n"/>
      <c r="AE26" s="67" t="n"/>
      <c r="AF26" s="67" t="n"/>
      <c r="AG26" s="67" t="n"/>
      <c r="AH26" s="67" t="n"/>
      <c r="AI26" s="67" t="n"/>
      <c r="AJ26" s="67" t="n"/>
      <c r="AK26" s="67" t="n"/>
    </row>
    <row r="27">
      <c r="B27" s="67" t="n"/>
      <c r="C27" s="67" t="n"/>
      <c r="D27" s="67" t="n"/>
      <c r="E27" s="67" t="n"/>
      <c r="F27" s="67" t="n"/>
      <c r="G27" s="67" t="n"/>
      <c r="H27" s="67" t="n"/>
      <c r="I27" s="67" t="n"/>
      <c r="J27" s="67" t="n"/>
      <c r="K27" s="67" t="n"/>
      <c r="L27" s="67" t="n"/>
      <c r="M27" s="67" t="n"/>
      <c r="N27" s="67" t="n"/>
      <c r="O27" s="67" t="n"/>
      <c r="P27" s="67" t="n"/>
      <c r="Q27" s="67" t="n"/>
      <c r="R27" s="67" t="n"/>
      <c r="S27" s="67" t="n"/>
      <c r="T27" s="67" t="n"/>
      <c r="U27" s="67" t="n"/>
      <c r="V27" s="67" t="n"/>
      <c r="W27" s="67" t="n"/>
      <c r="X27" s="67" t="n"/>
      <c r="Y27" s="67" t="n"/>
      <c r="Z27" s="67" t="n"/>
      <c r="AA27" s="67" t="n"/>
      <c r="AB27" s="67" t="n"/>
      <c r="AC27" s="67" t="n"/>
      <c r="AD27" s="67" t="n"/>
      <c r="AE27" s="67" t="n"/>
      <c r="AF27" s="67" t="n"/>
      <c r="AG27" s="67" t="n"/>
      <c r="AH27" s="67" t="n"/>
      <c r="AI27" s="67" t="n"/>
      <c r="AJ27" s="67" t="n"/>
      <c r="AK27" s="67" t="n"/>
    </row>
    <row r="28">
      <c r="B28" s="67" t="n"/>
      <c r="C28" s="67" t="n"/>
      <c r="D28" s="67" t="n"/>
      <c r="E28" s="67" t="n"/>
      <c r="F28" s="67" t="n"/>
      <c r="G28" s="67" t="n"/>
      <c r="H28" s="67" t="n"/>
      <c r="I28" s="67" t="n"/>
      <c r="J28" s="67" t="n"/>
      <c r="K28" s="67" t="n"/>
      <c r="L28" s="67" t="n"/>
      <c r="M28" s="67" t="n"/>
      <c r="N28" s="67" t="n"/>
      <c r="O28" s="67" t="n"/>
      <c r="P28" s="67" t="n"/>
      <c r="Q28" s="67" t="n"/>
      <c r="R28" s="67" t="n"/>
      <c r="S28" s="67" t="n"/>
      <c r="T28" s="67" t="n"/>
      <c r="U28" s="67" t="n"/>
      <c r="V28" s="67" t="n"/>
      <c r="W28" s="67" t="n"/>
      <c r="X28" s="67" t="n"/>
      <c r="Y28" s="67" t="n"/>
      <c r="Z28" s="67" t="n"/>
      <c r="AA28" s="67" t="n"/>
      <c r="AB28" s="67" t="n"/>
      <c r="AC28" s="67" t="n"/>
      <c r="AD28" s="67" t="n"/>
      <c r="AE28" s="67" t="n"/>
      <c r="AF28" s="67" t="n"/>
      <c r="AG28" s="67" t="n"/>
      <c r="AH28" s="67" t="n"/>
      <c r="AI28" s="67" t="n"/>
      <c r="AJ28" s="67" t="n"/>
      <c r="AK28" s="67" t="n"/>
    </row>
    <row r="29">
      <c r="B29" s="67" t="n"/>
      <c r="C29" s="67" t="n"/>
      <c r="D29" s="67" t="n"/>
      <c r="E29" s="67" t="n"/>
      <c r="F29" s="67" t="n"/>
      <c r="G29" s="67" t="n"/>
      <c r="H29" s="67" t="n"/>
      <c r="I29" s="67" t="n"/>
      <c r="J29" s="67" t="n"/>
      <c r="K29" s="67" t="n"/>
      <c r="L29" s="67" t="n"/>
      <c r="M29" s="67" t="n"/>
      <c r="N29" s="67" t="n"/>
      <c r="O29" s="67" t="n"/>
      <c r="P29" s="67" t="n"/>
      <c r="Q29" s="67" t="n"/>
      <c r="R29" s="67" t="n"/>
      <c r="S29" s="67" t="n"/>
      <c r="T29" s="67" t="n"/>
      <c r="U29" s="67" t="n"/>
      <c r="V29" s="67" t="n"/>
      <c r="W29" s="67" t="n"/>
      <c r="X29" s="67" t="n"/>
      <c r="Y29" s="67" t="n"/>
      <c r="Z29" s="67" t="n"/>
      <c r="AA29" s="67" t="n"/>
      <c r="AB29" s="67" t="n"/>
      <c r="AC29" s="67" t="n"/>
      <c r="AD29" s="67" t="n"/>
      <c r="AE29" s="67" t="n"/>
      <c r="AF29" s="67" t="n"/>
      <c r="AG29" s="67" t="n"/>
      <c r="AH29" s="67" t="n"/>
      <c r="AI29" s="67" t="n"/>
      <c r="AJ29" s="67" t="n"/>
      <c r="AK29" s="67" t="n"/>
    </row>
    <row r="30">
      <c r="B30" s="67" t="n"/>
      <c r="C30" s="67" t="n"/>
      <c r="D30" s="67" t="n"/>
      <c r="E30" s="67" t="n"/>
      <c r="F30" s="67" t="n"/>
      <c r="G30" s="67" t="n"/>
      <c r="H30" s="67" t="n"/>
      <c r="I30" s="67" t="n"/>
      <c r="J30" s="67" t="n"/>
      <c r="K30" s="67" t="n"/>
      <c r="L30" s="67" t="n"/>
      <c r="M30" s="67" t="n"/>
      <c r="N30" s="67" t="n"/>
      <c r="O30" s="67" t="n"/>
      <c r="P30" s="67" t="n"/>
      <c r="Q30" s="67" t="n"/>
      <c r="R30" s="67" t="n"/>
      <c r="S30" s="67" t="n"/>
      <c r="T30" s="67" t="n"/>
      <c r="U30" s="67" t="n"/>
      <c r="V30" s="67" t="n"/>
      <c r="W30" s="67" t="n"/>
      <c r="X30" s="67" t="n"/>
      <c r="Y30" s="67" t="n"/>
      <c r="Z30" s="67" t="n"/>
      <c r="AA30" s="67" t="n"/>
      <c r="AB30" s="67" t="n"/>
      <c r="AC30" s="67" t="n"/>
      <c r="AD30" s="67" t="n"/>
      <c r="AE30" s="67" t="n"/>
      <c r="AF30" s="67" t="n"/>
      <c r="AG30" s="67" t="n"/>
      <c r="AH30" s="67" t="n"/>
      <c r="AI30" s="67" t="n"/>
      <c r="AJ30" s="67" t="n"/>
      <c r="AK30" s="67" t="n"/>
    </row>
    <row r="31">
      <c r="B31" s="67" t="n"/>
      <c r="C31" s="67" t="n"/>
      <c r="D31" s="67" t="n"/>
      <c r="E31" s="67" t="n"/>
      <c r="F31" s="67" t="n"/>
      <c r="G31" s="67" t="n"/>
      <c r="H31" s="67" t="n"/>
      <c r="I31" s="67" t="n"/>
      <c r="J31" s="67" t="n"/>
      <c r="K31" s="67" t="n"/>
      <c r="L31" s="67" t="n"/>
      <c r="M31" s="67" t="n"/>
      <c r="N31" s="67" t="n"/>
      <c r="O31" s="67" t="n"/>
      <c r="P31" s="67" t="n"/>
      <c r="Q31" s="67" t="n"/>
      <c r="R31" s="67" t="n"/>
      <c r="S31" s="67" t="n"/>
      <c r="T31" s="67" t="n"/>
      <c r="U31" s="67" t="n"/>
      <c r="V31" s="67" t="n"/>
      <c r="W31" s="67" t="n"/>
      <c r="X31" s="67" t="n"/>
      <c r="Y31" s="67" t="n"/>
      <c r="Z31" s="67" t="n"/>
      <c r="AA31" s="67" t="n"/>
      <c r="AB31" s="67" t="n"/>
      <c r="AC31" s="67" t="n"/>
      <c r="AD31" s="67" t="n"/>
      <c r="AE31" s="67" t="n"/>
      <c r="AF31" s="67" t="n"/>
      <c r="AG31" s="67" t="n"/>
      <c r="AH31" s="67" t="n"/>
      <c r="AI31" s="67" t="n"/>
      <c r="AJ31" s="67" t="n"/>
      <c r="AK31" s="67" t="n"/>
    </row>
    <row r="32">
      <c r="B32" s="67" t="n"/>
      <c r="C32" s="67" t="n"/>
      <c r="D32" s="67" t="n"/>
      <c r="E32" s="67" t="n"/>
      <c r="F32" s="67" t="n"/>
      <c r="G32" s="67" t="n"/>
      <c r="H32" s="67" t="n"/>
      <c r="I32" s="67" t="n"/>
      <c r="J32" s="67" t="n"/>
      <c r="K32" s="67" t="n"/>
      <c r="L32" s="67" t="n"/>
      <c r="M32" s="67" t="n"/>
      <c r="N32" s="67" t="n"/>
      <c r="O32" s="67" t="n"/>
      <c r="P32" s="67" t="n"/>
      <c r="Q32" s="67" t="n"/>
      <c r="R32" s="67" t="n"/>
      <c r="S32" s="67" t="n"/>
      <c r="T32" s="67" t="n"/>
      <c r="U32" s="67" t="n"/>
      <c r="V32" s="67" t="n"/>
      <c r="W32" s="67" t="n"/>
      <c r="X32" s="67" t="n"/>
      <c r="Y32" s="67" t="n"/>
      <c r="Z32" s="67" t="n"/>
      <c r="AA32" s="67" t="n"/>
      <c r="AB32" s="67" t="n"/>
      <c r="AC32" s="67" t="n"/>
      <c r="AD32" s="67" t="n"/>
      <c r="AE32" s="67" t="n"/>
      <c r="AF32" s="67" t="n"/>
      <c r="AG32" s="67" t="n"/>
      <c r="AH32" s="67" t="n"/>
      <c r="AI32" s="67" t="n"/>
      <c r="AJ32" s="67" t="n"/>
      <c r="AK32" s="67" t="n"/>
    </row>
    <row r="33">
      <c r="B33" s="67" t="n"/>
      <c r="C33" s="67" t="n"/>
      <c r="D33" s="67" t="n"/>
      <c r="E33" s="67" t="n"/>
      <c r="F33" s="67" t="n"/>
      <c r="G33" s="67" t="n"/>
      <c r="H33" s="67" t="n"/>
      <c r="I33" s="67" t="n"/>
      <c r="J33" s="67" t="n"/>
      <c r="K33" s="67" t="n"/>
      <c r="L33" s="67" t="n"/>
      <c r="M33" s="67" t="n"/>
      <c r="N33" s="67" t="n"/>
      <c r="O33" s="67" t="n"/>
      <c r="P33" s="67" t="n"/>
      <c r="Q33" s="67" t="n"/>
      <c r="R33" s="67" t="n"/>
      <c r="S33" s="67" t="n"/>
      <c r="T33" s="67" t="n"/>
      <c r="U33" s="67" t="n"/>
      <c r="V33" s="67" t="n"/>
      <c r="W33" s="67" t="n"/>
      <c r="X33" s="67" t="n"/>
      <c r="Y33" s="67" t="n"/>
      <c r="Z33" s="67" t="n"/>
      <c r="AA33" s="67" t="n"/>
      <c r="AB33" s="67" t="n"/>
      <c r="AC33" s="67" t="n"/>
      <c r="AD33" s="67" t="n"/>
      <c r="AE33" s="67" t="n"/>
      <c r="AF33" s="67" t="n"/>
      <c r="AG33" s="67" t="n"/>
      <c r="AH33" s="67" t="n"/>
      <c r="AI33" s="67" t="n"/>
      <c r="AJ33" s="67" t="n"/>
      <c r="AK33" s="67" t="n"/>
    </row>
    <row r="34">
      <c r="B34" s="67" t="n"/>
      <c r="C34" s="67" t="n"/>
      <c r="D34" s="67" t="n"/>
      <c r="E34" s="67" t="n"/>
      <c r="F34" s="67" t="n"/>
      <c r="G34" s="67" t="n"/>
      <c r="H34" s="67" t="n"/>
      <c r="I34" s="67" t="n"/>
      <c r="J34" s="67" t="n"/>
      <c r="K34" s="67" t="n"/>
      <c r="L34" s="67" t="n"/>
      <c r="M34" s="67" t="n"/>
      <c r="N34" s="67" t="n"/>
      <c r="O34" s="67" t="n"/>
      <c r="P34" s="67" t="n"/>
      <c r="Q34" s="67" t="n"/>
      <c r="R34" s="67" t="n"/>
      <c r="S34" s="67" t="n"/>
      <c r="T34" s="67" t="n"/>
      <c r="U34" s="67" t="n"/>
      <c r="V34" s="67" t="n"/>
      <c r="W34" s="67" t="n"/>
      <c r="X34" s="67" t="n"/>
      <c r="Y34" s="67" t="n"/>
      <c r="Z34" s="67" t="n"/>
      <c r="AA34" s="67" t="n"/>
      <c r="AB34" s="67" t="n"/>
      <c r="AC34" s="67" t="n"/>
      <c r="AD34" s="67" t="n"/>
      <c r="AE34" s="67" t="n"/>
      <c r="AF34" s="67" t="n"/>
      <c r="AG34" s="67" t="n"/>
      <c r="AH34" s="67" t="n"/>
      <c r="AI34" s="67" t="n"/>
      <c r="AJ34" s="67" t="n"/>
      <c r="AK34" s="67" t="n"/>
    </row>
    <row r="35">
      <c r="B35" s="67" t="n"/>
      <c r="C35" s="67" t="n"/>
      <c r="D35" s="67" t="n"/>
      <c r="E35" s="67" t="n"/>
      <c r="F35" s="67" t="n"/>
      <c r="G35" s="67" t="n"/>
      <c r="H35" s="67" t="n"/>
      <c r="I35" s="67" t="n"/>
      <c r="J35" s="67" t="n"/>
      <c r="K35" s="67" t="n"/>
      <c r="L35" s="67" t="n"/>
      <c r="M35" s="67" t="n"/>
      <c r="N35" s="67" t="n"/>
      <c r="O35" s="67" t="n"/>
      <c r="P35" s="67" t="n"/>
      <c r="Q35" s="67" t="n"/>
      <c r="R35" s="67" t="n"/>
      <c r="S35" s="67" t="n"/>
      <c r="T35" s="67" t="n"/>
      <c r="U35" s="67" t="n"/>
      <c r="V35" s="67" t="n"/>
      <c r="W35" s="67" t="n"/>
      <c r="X35" s="67" t="n"/>
      <c r="Y35" s="67" t="n"/>
      <c r="Z35" s="67" t="n"/>
      <c r="AA35" s="67" t="n"/>
      <c r="AB35" s="67" t="n"/>
      <c r="AC35" s="67" t="n"/>
      <c r="AD35" s="67" t="n"/>
      <c r="AE35" s="67" t="n"/>
      <c r="AF35" s="67" t="n"/>
      <c r="AG35" s="67" t="n"/>
      <c r="AH35" s="67" t="n"/>
      <c r="AI35" s="67" t="n"/>
      <c r="AJ35" s="67" t="n"/>
      <c r="AK35" s="67" t="n"/>
    </row>
    <row r="36">
      <c r="B36" s="67" t="n"/>
      <c r="C36" s="67" t="n"/>
      <c r="D36" s="67" t="n"/>
      <c r="E36" s="67" t="n"/>
      <c r="F36" s="67" t="n"/>
      <c r="G36" s="67" t="n"/>
      <c r="H36" s="67" t="n"/>
      <c r="I36" s="67" t="n"/>
      <c r="J36" s="67" t="n"/>
      <c r="K36" s="67" t="n"/>
      <c r="L36" s="67" t="n"/>
      <c r="M36" s="67" t="n"/>
      <c r="N36" s="67" t="n"/>
      <c r="O36" s="67" t="n"/>
      <c r="P36" s="67" t="n"/>
      <c r="Q36" s="67" t="n"/>
      <c r="R36" s="67" t="n"/>
      <c r="S36" s="67" t="n"/>
      <c r="T36" s="67" t="n"/>
      <c r="U36" s="67" t="n"/>
      <c r="V36" s="67" t="n"/>
      <c r="W36" s="67" t="n"/>
      <c r="X36" s="67" t="n"/>
      <c r="Y36" s="67" t="n"/>
      <c r="Z36" s="67" t="n"/>
      <c r="AA36" s="67" t="n"/>
      <c r="AB36" s="67" t="n"/>
      <c r="AC36" s="67" t="n"/>
      <c r="AD36" s="67" t="n"/>
      <c r="AE36" s="67" t="n"/>
      <c r="AF36" s="67" t="n"/>
      <c r="AG36" s="67" t="n"/>
      <c r="AH36" s="67" t="n"/>
      <c r="AI36" s="67" t="n"/>
      <c r="AJ36" s="67" t="n"/>
      <c r="AK36" s="67" t="n"/>
    </row>
    <row r="37">
      <c r="B37" s="67" t="n"/>
      <c r="C37" s="67" t="n"/>
      <c r="D37" s="67" t="n"/>
      <c r="E37" s="67" t="n"/>
      <c r="F37" s="67" t="n"/>
      <c r="G37" s="67" t="n"/>
      <c r="H37" s="67" t="n"/>
      <c r="I37" s="67" t="n"/>
      <c r="J37" s="67" t="n"/>
      <c r="K37" s="67" t="n"/>
      <c r="L37" s="67" t="n"/>
      <c r="M37" s="67" t="n"/>
      <c r="N37" s="67" t="n"/>
      <c r="O37" s="67" t="n"/>
      <c r="P37" s="67" t="n"/>
      <c r="Q37" s="67" t="n"/>
      <c r="R37" s="67" t="n"/>
      <c r="S37" s="67" t="n"/>
      <c r="T37" s="67" t="n"/>
      <c r="U37" s="67" t="n"/>
      <c r="V37" s="67" t="n"/>
      <c r="W37" s="67" t="n"/>
      <c r="X37" s="67" t="n"/>
      <c r="Y37" s="67" t="n"/>
      <c r="Z37" s="67" t="n"/>
      <c r="AA37" s="67" t="n"/>
      <c r="AB37" s="67" t="n"/>
      <c r="AC37" s="67" t="n"/>
      <c r="AD37" s="67" t="n"/>
      <c r="AE37" s="67" t="n"/>
      <c r="AF37" s="67" t="n"/>
      <c r="AG37" s="67" t="n"/>
      <c r="AH37" s="67" t="n"/>
      <c r="AI37" s="67" t="n"/>
      <c r="AJ37" s="67" t="n"/>
      <c r="AK37" s="67" t="n"/>
    </row>
    <row r="38">
      <c r="B38" s="67" t="n"/>
      <c r="C38" s="67" t="n"/>
      <c r="D38" s="67" t="n"/>
      <c r="E38" s="67" t="n"/>
      <c r="F38" s="67" t="n"/>
      <c r="G38" s="67" t="n"/>
      <c r="H38" s="67" t="n"/>
      <c r="I38" s="67" t="n"/>
      <c r="J38" s="67" t="n"/>
      <c r="K38" s="67" t="n"/>
      <c r="L38" s="67" t="n"/>
      <c r="M38" s="67" t="n"/>
      <c r="N38" s="67" t="n"/>
      <c r="O38" s="67" t="n"/>
      <c r="P38" s="67" t="n"/>
      <c r="Q38" s="67" t="n"/>
      <c r="R38" s="67" t="n"/>
      <c r="S38" s="67" t="n"/>
      <c r="T38" s="67" t="n"/>
      <c r="U38" s="67" t="n"/>
      <c r="V38" s="67" t="n"/>
      <c r="W38" s="67" t="n"/>
      <c r="X38" s="67" t="n"/>
      <c r="Y38" s="67" t="n"/>
      <c r="Z38" s="67" t="n"/>
      <c r="AA38" s="67" t="n"/>
      <c r="AB38" s="67" t="n"/>
      <c r="AC38" s="67" t="n"/>
      <c r="AD38" s="67" t="n"/>
      <c r="AE38" s="67" t="n"/>
      <c r="AF38" s="67" t="n"/>
      <c r="AG38" s="67" t="n"/>
      <c r="AH38" s="67" t="n"/>
      <c r="AI38" s="67" t="n"/>
      <c r="AJ38" s="67" t="n"/>
      <c r="AK38" s="67" t="n"/>
    </row>
    <row r="39">
      <c r="B39" s="67" t="n"/>
      <c r="C39" s="67" t="n"/>
      <c r="D39" s="67" t="n"/>
      <c r="E39" s="67" t="n"/>
      <c r="F39" s="67" t="n"/>
      <c r="G39" s="67" t="n"/>
      <c r="H39" s="67" t="n"/>
      <c r="I39" s="67" t="n"/>
      <c r="J39" s="67" t="n"/>
      <c r="K39" s="67" t="n"/>
      <c r="L39" s="67" t="n"/>
      <c r="M39" s="67" t="n"/>
      <c r="N39" s="67" t="n"/>
      <c r="O39" s="67" t="n"/>
      <c r="P39" s="67" t="n"/>
      <c r="Q39" s="67" t="n"/>
      <c r="R39" s="67" t="n"/>
      <c r="S39" s="67" t="n"/>
      <c r="T39" s="67" t="n"/>
      <c r="U39" s="67" t="n"/>
      <c r="V39" s="67" t="n"/>
      <c r="W39" s="67" t="n"/>
      <c r="X39" s="67" t="n"/>
      <c r="Y39" s="67" t="n"/>
      <c r="Z39" s="67" t="n"/>
      <c r="AA39" s="67" t="n"/>
      <c r="AB39" s="67" t="n"/>
      <c r="AC39" s="67" t="n"/>
      <c r="AD39" s="67" t="n"/>
      <c r="AE39" s="67" t="n"/>
      <c r="AF39" s="67" t="n"/>
      <c r="AG39" s="67" t="n"/>
      <c r="AH39" s="67" t="n"/>
      <c r="AI39" s="67" t="n"/>
      <c r="AJ39" s="67" t="n"/>
      <c r="AK39" s="67" t="n"/>
    </row>
    <row r="40">
      <c r="B40" s="67" t="n"/>
      <c r="C40" s="67" t="n"/>
      <c r="D40" s="67" t="n"/>
      <c r="E40" s="67" t="n"/>
      <c r="F40" s="67" t="n"/>
      <c r="G40" s="67" t="n"/>
      <c r="H40" s="67" t="n"/>
      <c r="I40" s="67" t="n"/>
      <c r="J40" s="67" t="n"/>
      <c r="K40" s="67" t="n"/>
      <c r="L40" s="67" t="n"/>
      <c r="M40" s="67" t="n"/>
      <c r="N40" s="67" t="n"/>
      <c r="O40" s="67" t="n"/>
      <c r="P40" s="67" t="n"/>
      <c r="Q40" s="67" t="n"/>
      <c r="R40" s="67" t="n"/>
      <c r="S40" s="67" t="n"/>
      <c r="T40" s="67" t="n"/>
      <c r="U40" s="67" t="n"/>
      <c r="V40" s="67" t="n"/>
      <c r="W40" s="67" t="n"/>
      <c r="X40" s="67" t="n"/>
      <c r="Y40" s="67" t="n"/>
      <c r="Z40" s="67" t="n"/>
      <c r="AA40" s="67" t="n"/>
      <c r="AB40" s="67" t="n"/>
      <c r="AC40" s="67" t="n"/>
      <c r="AD40" s="67" t="n"/>
      <c r="AE40" s="67" t="n"/>
      <c r="AF40" s="67" t="n"/>
      <c r="AG40" s="67" t="n"/>
      <c r="AH40" s="67" t="n"/>
      <c r="AI40" s="67" t="n"/>
      <c r="AJ40" s="67" t="n"/>
      <c r="AK40" s="67" t="n"/>
    </row>
    <row r="41">
      <c r="B41" s="67" t="n"/>
      <c r="C41" s="67" t="n"/>
      <c r="D41" s="67" t="n"/>
      <c r="E41" s="67" t="n"/>
      <c r="F41" s="67" t="n"/>
      <c r="G41" s="67" t="n"/>
      <c r="H41" s="67" t="n"/>
      <c r="I41" s="67" t="n"/>
      <c r="J41" s="67" t="n"/>
      <c r="K41" s="67" t="n"/>
      <c r="L41" s="67" t="n"/>
      <c r="M41" s="67" t="n"/>
      <c r="N41" s="67" t="n"/>
      <c r="O41" s="67" t="n"/>
      <c r="P41" s="67" t="n"/>
      <c r="Q41" s="67" t="n"/>
      <c r="R41" s="67" t="n"/>
      <c r="S41" s="67" t="n"/>
      <c r="T41" s="67" t="n"/>
      <c r="U41" s="67" t="n"/>
      <c r="V41" s="67" t="n"/>
      <c r="W41" s="67" t="n"/>
      <c r="X41" s="67" t="n"/>
      <c r="Y41" s="67" t="n"/>
      <c r="Z41" s="67" t="n"/>
      <c r="AA41" s="67" t="n"/>
      <c r="AB41" s="67" t="n"/>
      <c r="AC41" s="67" t="n"/>
      <c r="AD41" s="67" t="n"/>
      <c r="AE41" s="67" t="n"/>
      <c r="AF41" s="67" t="n"/>
      <c r="AG41" s="67" t="n"/>
      <c r="AH41" s="67" t="n"/>
      <c r="AI41" s="67" t="n"/>
      <c r="AJ41" s="67" t="n"/>
      <c r="AK41" s="67" t="n"/>
    </row>
    <row r="42">
      <c r="B42" s="67" t="n"/>
      <c r="C42" s="67" t="n"/>
      <c r="D42" s="67" t="n"/>
      <c r="E42" s="67" t="n"/>
      <c r="F42" s="67" t="n"/>
      <c r="G42" s="67" t="n"/>
      <c r="H42" s="67" t="n"/>
      <c r="I42" s="67" t="n"/>
      <c r="J42" s="67" t="n"/>
      <c r="K42" s="67" t="n"/>
      <c r="L42" s="67" t="n"/>
      <c r="M42" s="67" t="n"/>
      <c r="N42" s="67" t="n"/>
      <c r="O42" s="67" t="n"/>
      <c r="P42" s="67" t="n"/>
      <c r="Q42" s="67" t="n"/>
      <c r="R42" s="67" t="n"/>
      <c r="S42" s="67" t="n"/>
      <c r="T42" s="67" t="n"/>
      <c r="U42" s="67" t="n"/>
      <c r="V42" s="67" t="n"/>
      <c r="W42" s="67" t="n"/>
      <c r="X42" s="67" t="n"/>
      <c r="Y42" s="67" t="n"/>
      <c r="Z42" s="67" t="n"/>
      <c r="AA42" s="67" t="n"/>
      <c r="AB42" s="67" t="n"/>
      <c r="AC42" s="67" t="n"/>
      <c r="AD42" s="67" t="n"/>
      <c r="AE42" s="67" t="n"/>
      <c r="AF42" s="67" t="n"/>
      <c r="AG42" s="67" t="n"/>
      <c r="AH42" s="67" t="n"/>
      <c r="AI42" s="67" t="n"/>
      <c r="AJ42" s="67" t="n"/>
      <c r="AK42" s="67" t="n"/>
    </row>
    <row r="43">
      <c r="B43" s="67" t="n"/>
      <c r="C43" s="67" t="n"/>
      <c r="D43" s="67" t="n"/>
      <c r="E43" s="67" t="n"/>
      <c r="F43" s="67" t="n"/>
      <c r="G43" s="67" t="n"/>
      <c r="H43" s="67" t="n"/>
      <c r="I43" s="67" t="n"/>
      <c r="J43" s="67" t="n"/>
      <c r="K43" s="67" t="n"/>
      <c r="L43" s="67" t="n"/>
      <c r="M43" s="67" t="n"/>
      <c r="N43" s="67" t="n"/>
      <c r="O43" s="67" t="n"/>
      <c r="P43" s="67" t="n"/>
      <c r="Q43" s="67" t="n"/>
      <c r="R43" s="67" t="n"/>
      <c r="S43" s="67" t="n"/>
      <c r="T43" s="67" t="n"/>
      <c r="U43" s="67" t="n"/>
      <c r="V43" s="67" t="n"/>
      <c r="W43" s="67" t="n"/>
      <c r="X43" s="67" t="n"/>
      <c r="Y43" s="67" t="n"/>
      <c r="Z43" s="67" t="n"/>
      <c r="AA43" s="67" t="n"/>
      <c r="AB43" s="67" t="n"/>
      <c r="AC43" s="67" t="n"/>
      <c r="AD43" s="67" t="n"/>
      <c r="AE43" s="67" t="n"/>
      <c r="AF43" s="67" t="n"/>
      <c r="AG43" s="67" t="n"/>
      <c r="AH43" s="67" t="n"/>
      <c r="AI43" s="67" t="n"/>
      <c r="AJ43" s="67" t="n"/>
      <c r="AK43" s="67" t="n"/>
    </row>
    <row r="44">
      <c r="B44" s="67" t="n"/>
      <c r="C44" s="67" t="n"/>
      <c r="D44" s="67" t="n"/>
      <c r="E44" s="67" t="n"/>
      <c r="F44" s="67" t="n"/>
      <c r="G44" s="67" t="n"/>
      <c r="H44" s="67" t="n"/>
      <c r="I44" s="67" t="n"/>
      <c r="J44" s="67" t="n"/>
      <c r="K44" s="67" t="n"/>
      <c r="L44" s="67" t="n"/>
      <c r="M44" s="67" t="n"/>
      <c r="N44" s="67" t="n"/>
      <c r="O44" s="67" t="n"/>
      <c r="P44" s="67" t="n"/>
      <c r="Q44" s="67" t="n"/>
      <c r="R44" s="67" t="n"/>
      <c r="S44" s="67" t="n"/>
      <c r="T44" s="67" t="n"/>
      <c r="U44" s="67" t="n"/>
      <c r="V44" s="67" t="n"/>
      <c r="W44" s="67" t="n"/>
      <c r="X44" s="67" t="n"/>
      <c r="Y44" s="67" t="n"/>
      <c r="Z44" s="67" t="n"/>
      <c r="AA44" s="67" t="n"/>
      <c r="AB44" s="67" t="n"/>
      <c r="AC44" s="67" t="n"/>
      <c r="AD44" s="67" t="n"/>
      <c r="AE44" s="67" t="n"/>
      <c r="AF44" s="67" t="n"/>
      <c r="AG44" s="67" t="n"/>
      <c r="AH44" s="67" t="n"/>
      <c r="AI44" s="67" t="n"/>
      <c r="AJ44" s="67" t="n"/>
      <c r="AK44" s="67" t="n"/>
    </row>
    <row r="45">
      <c r="B45" s="67" t="n"/>
      <c r="C45" s="67" t="n"/>
      <c r="D45" s="67" t="n"/>
      <c r="E45" s="67" t="n"/>
      <c r="F45" s="67" t="n"/>
      <c r="G45" s="67" t="n"/>
      <c r="H45" s="67" t="n"/>
      <c r="I45" s="67" t="n"/>
      <c r="J45" s="67" t="n"/>
      <c r="K45" s="67" t="n"/>
      <c r="L45" s="67" t="n"/>
      <c r="M45" s="67" t="n"/>
      <c r="N45" s="67" t="n"/>
      <c r="O45" s="67" t="n"/>
      <c r="P45" s="67" t="n"/>
      <c r="Q45" s="67" t="n"/>
      <c r="R45" s="67" t="n"/>
      <c r="S45" s="67" t="n"/>
      <c r="T45" s="67" t="n"/>
      <c r="U45" s="67" t="n"/>
      <c r="V45" s="67" t="n"/>
      <c r="W45" s="67" t="n"/>
      <c r="X45" s="67" t="n"/>
      <c r="Y45" s="67" t="n"/>
      <c r="Z45" s="67" t="n"/>
      <c r="AA45" s="67" t="n"/>
      <c r="AB45" s="67" t="n"/>
      <c r="AC45" s="67" t="n"/>
      <c r="AD45" s="67" t="n"/>
      <c r="AE45" s="67" t="n"/>
      <c r="AF45" s="67" t="n"/>
      <c r="AG45" s="67" t="n"/>
      <c r="AH45" s="67" t="n"/>
      <c r="AI45" s="67" t="n"/>
      <c r="AJ45" s="67" t="n"/>
      <c r="AK45" s="67" t="n"/>
    </row>
    <row r="46">
      <c r="B46" s="67" t="n"/>
      <c r="C46" s="67" t="n"/>
      <c r="D46" s="67" t="n"/>
      <c r="E46" s="67" t="n"/>
      <c r="F46" s="67" t="n"/>
      <c r="G46" s="67" t="n"/>
      <c r="H46" s="67" t="n"/>
      <c r="I46" s="67" t="n"/>
      <c r="J46" s="67" t="n"/>
      <c r="K46" s="67" t="n"/>
      <c r="L46" s="67" t="n"/>
      <c r="M46" s="67" t="n"/>
      <c r="N46" s="67" t="n"/>
      <c r="O46" s="67" t="n"/>
      <c r="P46" s="67" t="n"/>
      <c r="Q46" s="67" t="n"/>
      <c r="R46" s="67" t="n"/>
      <c r="S46" s="67" t="n"/>
      <c r="T46" s="67" t="n"/>
      <c r="U46" s="67" t="n"/>
      <c r="V46" s="67" t="n"/>
      <c r="W46" s="67" t="n"/>
      <c r="X46" s="67" t="n"/>
      <c r="Y46" s="67" t="n"/>
      <c r="Z46" s="67" t="n"/>
      <c r="AA46" s="67" t="n"/>
      <c r="AB46" s="67" t="n"/>
      <c r="AC46" s="67" t="n"/>
      <c r="AD46" s="67" t="n"/>
      <c r="AE46" s="67" t="n"/>
      <c r="AF46" s="67" t="n"/>
      <c r="AG46" s="67" t="n"/>
      <c r="AH46" s="67" t="n"/>
      <c r="AI46" s="67" t="n"/>
      <c r="AJ46" s="67" t="n"/>
      <c r="AK46" s="67" t="n"/>
    </row>
    <row r="47">
      <c r="B47" s="67" t="n"/>
      <c r="C47" s="67" t="n"/>
      <c r="D47" s="67" t="n"/>
      <c r="E47" s="67" t="n"/>
      <c r="F47" s="67" t="n"/>
      <c r="G47" s="67" t="n"/>
      <c r="H47" s="67" t="n"/>
      <c r="I47" s="67" t="n"/>
      <c r="J47" s="67" t="n"/>
      <c r="K47" s="67" t="n"/>
      <c r="L47" s="67" t="n"/>
      <c r="M47" s="67" t="n"/>
      <c r="N47" s="67" t="n"/>
      <c r="O47" s="67" t="n"/>
      <c r="P47" s="67" t="n"/>
      <c r="Q47" s="67" t="n"/>
      <c r="R47" s="67" t="n"/>
      <c r="S47" s="67" t="n"/>
      <c r="T47" s="67" t="n"/>
      <c r="U47" s="67" t="n"/>
      <c r="V47" s="67" t="n"/>
      <c r="W47" s="67" t="n"/>
      <c r="X47" s="67" t="n"/>
      <c r="Y47" s="67" t="n"/>
      <c r="Z47" s="67" t="n"/>
      <c r="AA47" s="67" t="n"/>
      <c r="AB47" s="67" t="n"/>
      <c r="AC47" s="67" t="n"/>
      <c r="AD47" s="67" t="n"/>
      <c r="AE47" s="67" t="n"/>
      <c r="AF47" s="67" t="n"/>
      <c r="AG47" s="67" t="n"/>
      <c r="AH47" s="67" t="n"/>
      <c r="AI47" s="67" t="n"/>
      <c r="AJ47" s="67" t="n"/>
      <c r="AK47" s="67" t="n"/>
    </row>
    <row r="48">
      <c r="B48" s="67" t="n"/>
      <c r="C48" s="67" t="n"/>
      <c r="D48" s="67" t="n"/>
      <c r="E48" s="67" t="n"/>
      <c r="F48" s="67" t="n"/>
      <c r="G48" s="67" t="n"/>
      <c r="H48" s="67" t="n"/>
      <c r="I48" s="67" t="n"/>
      <c r="J48" s="67" t="n"/>
      <c r="K48" s="67" t="n"/>
      <c r="L48" s="67" t="n"/>
      <c r="M48" s="67" t="n"/>
      <c r="N48" s="67" t="n"/>
      <c r="O48" s="67" t="n"/>
      <c r="P48" s="67" t="n"/>
      <c r="Q48" s="67" t="n"/>
      <c r="R48" s="67" t="n"/>
      <c r="S48" s="67" t="n"/>
      <c r="T48" s="67" t="n"/>
      <c r="U48" s="67" t="n"/>
      <c r="V48" s="67" t="n"/>
      <c r="W48" s="67" t="n"/>
      <c r="X48" s="67" t="n"/>
      <c r="Y48" s="67" t="n"/>
      <c r="Z48" s="67" t="n"/>
      <c r="AA48" s="67" t="n"/>
      <c r="AB48" s="67" t="n"/>
      <c r="AC48" s="67" t="n"/>
      <c r="AD48" s="67" t="n"/>
      <c r="AE48" s="67" t="n"/>
      <c r="AF48" s="67" t="n"/>
      <c r="AG48" s="67" t="n"/>
      <c r="AH48" s="67" t="n"/>
      <c r="AI48" s="67" t="n"/>
      <c r="AJ48" s="67" t="n"/>
      <c r="AK48" s="67" t="n"/>
    </row>
    <row r="49">
      <c r="B49" s="67" t="n"/>
      <c r="C49" s="67" t="n"/>
      <c r="D49" s="67" t="n"/>
      <c r="E49" s="67" t="n"/>
      <c r="F49" s="67" t="n"/>
      <c r="G49" s="67" t="n"/>
      <c r="H49" s="67" t="n"/>
      <c r="I49" s="67" t="n"/>
      <c r="J49" s="67" t="n"/>
      <c r="K49" s="67" t="n"/>
      <c r="L49" s="67" t="n"/>
      <c r="M49" s="67" t="n"/>
      <c r="N49" s="67" t="n"/>
      <c r="O49" s="67" t="n"/>
      <c r="P49" s="67" t="n"/>
      <c r="Q49" s="67" t="n"/>
      <c r="R49" s="67" t="n"/>
      <c r="S49" s="67" t="n"/>
      <c r="T49" s="67" t="n"/>
      <c r="U49" s="67" t="n"/>
      <c r="V49" s="67" t="n"/>
      <c r="W49" s="67" t="n"/>
      <c r="X49" s="67" t="n"/>
      <c r="Y49" s="67" t="n"/>
      <c r="Z49" s="67" t="n"/>
      <c r="AA49" s="67" t="n"/>
      <c r="AB49" s="67" t="n"/>
      <c r="AC49" s="67" t="n"/>
      <c r="AD49" s="67" t="n"/>
      <c r="AE49" s="67" t="n"/>
      <c r="AF49" s="67" t="n"/>
      <c r="AG49" s="67" t="n"/>
      <c r="AH49" s="67" t="n"/>
      <c r="AI49" s="67" t="n"/>
      <c r="AJ49" s="67" t="n"/>
      <c r="AK49" s="67" t="n"/>
    </row>
    <row r="50">
      <c r="B50" s="67" t="n"/>
      <c r="C50" s="67" t="n"/>
      <c r="D50" s="67" t="n"/>
      <c r="E50" s="67" t="n"/>
      <c r="F50" s="67" t="n"/>
      <c r="G50" s="67" t="n"/>
      <c r="H50" s="67" t="n"/>
      <c r="I50" s="67" t="n"/>
      <c r="J50" s="67" t="n"/>
      <c r="K50" s="67" t="n"/>
      <c r="L50" s="67" t="n"/>
      <c r="M50" s="67" t="n"/>
      <c r="N50" s="67" t="n"/>
      <c r="O50" s="67" t="n"/>
      <c r="P50" s="67" t="n"/>
      <c r="Q50" s="67" t="n"/>
      <c r="R50" s="67" t="n"/>
      <c r="S50" s="67" t="n"/>
      <c r="T50" s="67" t="n"/>
      <c r="U50" s="67" t="n"/>
      <c r="V50" s="67" t="n"/>
      <c r="W50" s="67" t="n"/>
      <c r="X50" s="67" t="n"/>
      <c r="Y50" s="67" t="n"/>
      <c r="Z50" s="67" t="n"/>
      <c r="AA50" s="67" t="n"/>
      <c r="AB50" s="67" t="n"/>
      <c r="AC50" s="67" t="n"/>
      <c r="AD50" s="67" t="n"/>
      <c r="AE50" s="67" t="n"/>
      <c r="AF50" s="67" t="n"/>
      <c r="AG50" s="67" t="n"/>
      <c r="AH50" s="67" t="n"/>
      <c r="AI50" s="67" t="n"/>
      <c r="AJ50" s="67" t="n"/>
      <c r="AK50" s="67" t="n"/>
    </row>
    <row r="51">
      <c r="B51" s="67" t="n"/>
      <c r="C51" s="67" t="n"/>
      <c r="D51" s="67" t="n"/>
      <c r="E51" s="67" t="n"/>
      <c r="F51" s="67" t="n"/>
      <c r="G51" s="67" t="n"/>
      <c r="H51" s="67" t="n"/>
      <c r="I51" s="67" t="n"/>
      <c r="J51" s="67" t="n"/>
      <c r="K51" s="67" t="n"/>
      <c r="L51" s="67" t="n"/>
      <c r="M51" s="67" t="n"/>
      <c r="N51" s="67" t="n"/>
      <c r="O51" s="67" t="n"/>
      <c r="P51" s="67" t="n"/>
      <c r="Q51" s="67" t="n"/>
      <c r="R51" s="67" t="n"/>
      <c r="S51" s="67" t="n"/>
      <c r="T51" s="67" t="n"/>
      <c r="U51" s="67" t="n"/>
      <c r="V51" s="67" t="n"/>
      <c r="W51" s="67" t="n"/>
      <c r="X51" s="67" t="n"/>
      <c r="Y51" s="67" t="n"/>
      <c r="Z51" s="67" t="n"/>
      <c r="AA51" s="67" t="n"/>
      <c r="AB51" s="67" t="n"/>
      <c r="AC51" s="67" t="n"/>
      <c r="AD51" s="67" t="n"/>
      <c r="AE51" s="67" t="n"/>
      <c r="AF51" s="67" t="n"/>
      <c r="AG51" s="67" t="n"/>
      <c r="AH51" s="67" t="n"/>
      <c r="AI51" s="67" t="n"/>
      <c r="AJ51" s="67" t="n"/>
      <c r="AK51" s="67" t="n"/>
    </row>
    <row r="52">
      <c r="B52" s="67" t="n"/>
      <c r="C52" s="67" t="n"/>
      <c r="D52" s="67" t="n"/>
      <c r="E52" s="67" t="n"/>
      <c r="F52" s="67" t="n"/>
      <c r="G52" s="67" t="n"/>
      <c r="H52" s="67" t="n"/>
      <c r="I52" s="67" t="n"/>
      <c r="J52" s="67" t="n"/>
      <c r="K52" s="67" t="n"/>
      <c r="L52" s="67" t="n"/>
      <c r="M52" s="67" t="n"/>
      <c r="N52" s="67" t="n"/>
      <c r="O52" s="67" t="n"/>
      <c r="P52" s="67" t="n"/>
      <c r="Q52" s="67" t="n"/>
      <c r="R52" s="67" t="n"/>
      <c r="S52" s="67" t="n"/>
      <c r="T52" s="67" t="n"/>
      <c r="U52" s="67" t="n"/>
      <c r="V52" s="67" t="n"/>
      <c r="W52" s="67" t="n"/>
      <c r="X52" s="67" t="n"/>
      <c r="Y52" s="67" t="n"/>
      <c r="Z52" s="67" t="n"/>
      <c r="AA52" s="67" t="n"/>
      <c r="AB52" s="67" t="n"/>
      <c r="AC52" s="67" t="n"/>
      <c r="AD52" s="67" t="n"/>
      <c r="AE52" s="67" t="n"/>
      <c r="AF52" s="67" t="n"/>
      <c r="AG52" s="67" t="n"/>
      <c r="AH52" s="67" t="n"/>
      <c r="AI52" s="67" t="n"/>
      <c r="AJ52" s="67" t="n"/>
      <c r="AK52" s="67" t="n"/>
    </row>
    <row r="53">
      <c r="B53" s="67" t="n"/>
      <c r="C53" s="67" t="n"/>
      <c r="D53" s="67" t="n"/>
      <c r="E53" s="67" t="n"/>
      <c r="F53" s="67" t="n"/>
      <c r="G53" s="67" t="n"/>
      <c r="H53" s="67" t="n"/>
      <c r="I53" s="67" t="n"/>
      <c r="J53" s="67" t="n"/>
      <c r="K53" s="67" t="n"/>
      <c r="L53" s="67" t="n"/>
      <c r="M53" s="67" t="n"/>
      <c r="N53" s="67" t="n"/>
      <c r="O53" s="67" t="n"/>
      <c r="P53" s="67" t="n"/>
      <c r="Q53" s="67" t="n"/>
      <c r="R53" s="67" t="n"/>
      <c r="S53" s="67" t="n"/>
      <c r="T53" s="67" t="n"/>
      <c r="U53" s="67" t="n"/>
      <c r="V53" s="67" t="n"/>
      <c r="W53" s="67" t="n"/>
      <c r="X53" s="67" t="n"/>
      <c r="Y53" s="67" t="n"/>
      <c r="Z53" s="67" t="n"/>
      <c r="AA53" s="67" t="n"/>
      <c r="AB53" s="67" t="n"/>
      <c r="AC53" s="67" t="n"/>
      <c r="AD53" s="67" t="n"/>
      <c r="AE53" s="67" t="n"/>
      <c r="AF53" s="67" t="n"/>
      <c r="AG53" s="67" t="n"/>
      <c r="AH53" s="67" t="n"/>
      <c r="AI53" s="67" t="n"/>
      <c r="AJ53" s="67" t="n"/>
      <c r="AK53" s="67" t="n"/>
    </row>
    <row r="54">
      <c r="B54" s="67" t="n"/>
      <c r="C54" s="67" t="n"/>
      <c r="D54" s="67" t="n"/>
      <c r="E54" s="67" t="n"/>
      <c r="F54" s="67" t="n"/>
      <c r="G54" s="67" t="n"/>
      <c r="H54" s="67" t="n"/>
      <c r="I54" s="67" t="n"/>
      <c r="J54" s="67" t="n"/>
      <c r="K54" s="67" t="n"/>
      <c r="L54" s="67" t="n"/>
      <c r="M54" s="67" t="n"/>
      <c r="N54" s="67" t="n"/>
      <c r="O54" s="67" t="n"/>
      <c r="P54" s="67" t="n"/>
      <c r="Q54" s="67" t="n"/>
      <c r="R54" s="67" t="n"/>
      <c r="S54" s="67" t="n"/>
      <c r="T54" s="67" t="n"/>
      <c r="U54" s="67" t="n"/>
      <c r="V54" s="67" t="n"/>
      <c r="W54" s="67" t="n"/>
      <c r="X54" s="67" t="n"/>
      <c r="Y54" s="67" t="n"/>
      <c r="Z54" s="67" t="n"/>
      <c r="AA54" s="67" t="n"/>
      <c r="AB54" s="67" t="n"/>
      <c r="AC54" s="67" t="n"/>
      <c r="AD54" s="67" t="n"/>
      <c r="AE54" s="67" t="n"/>
      <c r="AF54" s="67" t="n"/>
      <c r="AG54" s="67" t="n"/>
      <c r="AH54" s="67" t="n"/>
      <c r="AI54" s="67" t="n"/>
      <c r="AJ54" s="67" t="n"/>
      <c r="AK54" s="67" t="n"/>
    </row>
    <row r="55">
      <c r="B55" s="67" t="n"/>
      <c r="C55" s="67" t="n"/>
      <c r="D55" s="67" t="n"/>
      <c r="E55" s="67" t="n"/>
      <c r="F55" s="67" t="n"/>
      <c r="G55" s="67" t="n"/>
      <c r="H55" s="67" t="n"/>
      <c r="I55" s="67" t="n"/>
      <c r="J55" s="67" t="n"/>
      <c r="K55" s="67" t="n"/>
      <c r="L55" s="67" t="n"/>
      <c r="M55" s="67" t="n"/>
      <c r="N55" s="67" t="n"/>
      <c r="O55" s="67" t="n"/>
      <c r="P55" s="67" t="n"/>
      <c r="Q55" s="67" t="n"/>
      <c r="R55" s="67" t="n"/>
      <c r="S55" s="67" t="n"/>
      <c r="T55" s="67" t="n"/>
      <c r="U55" s="67" t="n"/>
      <c r="V55" s="67" t="n"/>
      <c r="W55" s="67" t="n"/>
      <c r="X55" s="67" t="n"/>
      <c r="Y55" s="67" t="n"/>
      <c r="Z55" s="67" t="n"/>
      <c r="AA55" s="67" t="n"/>
      <c r="AB55" s="67" t="n"/>
      <c r="AC55" s="67" t="n"/>
      <c r="AD55" s="67" t="n"/>
      <c r="AE55" s="67" t="n"/>
      <c r="AF55" s="67" t="n"/>
      <c r="AG55" s="67" t="n"/>
      <c r="AH55" s="67" t="n"/>
      <c r="AI55" s="67" t="n"/>
      <c r="AJ55" s="67" t="n"/>
      <c r="AK55" s="67" t="n"/>
    </row>
    <row r="56">
      <c r="B56" s="67" t="n"/>
      <c r="C56" s="67" t="n"/>
      <c r="D56" s="67" t="n"/>
      <c r="E56" s="67" t="n"/>
      <c r="F56" s="67" t="n"/>
      <c r="G56" s="67" t="n"/>
      <c r="H56" s="67" t="n"/>
      <c r="I56" s="67" t="n"/>
      <c r="J56" s="67" t="n"/>
      <c r="K56" s="67" t="n"/>
      <c r="L56" s="67" t="n"/>
      <c r="M56" s="67" t="n"/>
      <c r="N56" s="67" t="n"/>
      <c r="O56" s="67" t="n"/>
      <c r="P56" s="67" t="n"/>
      <c r="Q56" s="67" t="n"/>
      <c r="R56" s="67" t="n"/>
      <c r="S56" s="67" t="n"/>
      <c r="T56" s="67" t="n"/>
      <c r="U56" s="67" t="n"/>
      <c r="V56" s="67" t="n"/>
      <c r="W56" s="67" t="n"/>
      <c r="X56" s="67" t="n"/>
      <c r="Y56" s="67" t="n"/>
      <c r="Z56" s="67" t="n"/>
      <c r="AA56" s="67" t="n"/>
      <c r="AB56" s="67" t="n"/>
      <c r="AC56" s="67" t="n"/>
      <c r="AD56" s="67" t="n"/>
      <c r="AE56" s="67" t="n"/>
      <c r="AF56" s="67" t="n"/>
      <c r="AG56" s="67" t="n"/>
      <c r="AH56" s="67" t="n"/>
      <c r="AI56" s="67" t="n"/>
      <c r="AJ56" s="67" t="n"/>
      <c r="AK56" s="67" t="n"/>
    </row>
    <row r="57">
      <c r="B57" s="67" t="n"/>
      <c r="C57" s="67" t="n"/>
      <c r="D57" s="67" t="n"/>
      <c r="E57" s="67" t="n"/>
      <c r="F57" s="67" t="n"/>
      <c r="G57" s="67" t="n"/>
      <c r="H57" s="67" t="n"/>
      <c r="I57" s="67" t="n"/>
      <c r="J57" s="67" t="n"/>
      <c r="K57" s="67" t="n"/>
      <c r="L57" s="67" t="n"/>
      <c r="M57" s="67" t="n"/>
      <c r="N57" s="67" t="n"/>
      <c r="O57" s="67" t="n"/>
      <c r="P57" s="67" t="n"/>
      <c r="Q57" s="67" t="n"/>
      <c r="R57" s="67" t="n"/>
      <c r="S57" s="67" t="n"/>
      <c r="T57" s="67" t="n"/>
      <c r="U57" s="67" t="n"/>
      <c r="V57" s="67" t="n"/>
      <c r="W57" s="67" t="n"/>
      <c r="X57" s="67" t="n"/>
      <c r="Y57" s="67" t="n"/>
      <c r="Z57" s="67" t="n"/>
      <c r="AA57" s="67" t="n"/>
      <c r="AB57" s="67" t="n"/>
      <c r="AC57" s="67" t="n"/>
      <c r="AD57" s="67" t="n"/>
      <c r="AE57" s="67" t="n"/>
      <c r="AF57" s="67" t="n"/>
      <c r="AG57" s="67" t="n"/>
      <c r="AH57" s="67" t="n"/>
      <c r="AI57" s="67" t="n"/>
      <c r="AJ57" s="67" t="n"/>
      <c r="AK57" s="67" t="n"/>
    </row>
    <row r="58">
      <c r="B58" s="67" t="n"/>
      <c r="C58" s="67" t="n"/>
      <c r="D58" s="67" t="n"/>
      <c r="E58" s="67" t="n"/>
      <c r="F58" s="67" t="n"/>
      <c r="G58" s="67" t="n"/>
      <c r="H58" s="67" t="n"/>
      <c r="I58" s="67" t="n"/>
      <c r="J58" s="67" t="n"/>
      <c r="K58" s="67" t="n"/>
      <c r="L58" s="67" t="n"/>
      <c r="M58" s="67" t="n"/>
      <c r="N58" s="67" t="n"/>
      <c r="O58" s="67" t="n"/>
      <c r="P58" s="67" t="n"/>
      <c r="Q58" s="67" t="n"/>
      <c r="R58" s="67" t="n"/>
      <c r="S58" s="67" t="n"/>
      <c r="T58" s="67" t="n"/>
      <c r="U58" s="67" t="n"/>
      <c r="V58" s="67" t="n"/>
      <c r="W58" s="67" t="n"/>
      <c r="X58" s="67" t="n"/>
      <c r="Y58" s="67" t="n"/>
      <c r="Z58" s="67" t="n"/>
      <c r="AA58" s="67" t="n"/>
      <c r="AB58" s="67" t="n"/>
      <c r="AC58" s="67" t="n"/>
      <c r="AD58" s="67" t="n"/>
      <c r="AE58" s="67" t="n"/>
      <c r="AF58" s="67" t="n"/>
      <c r="AG58" s="67" t="n"/>
      <c r="AH58" s="67" t="n"/>
      <c r="AI58" s="67" t="n"/>
      <c r="AJ58" s="67" t="n"/>
      <c r="AK58" s="67" t="n"/>
    </row>
    <row r="59">
      <c r="B59" s="67" t="n"/>
      <c r="C59" s="67" t="n"/>
      <c r="D59" s="67" t="n"/>
      <c r="E59" s="67" t="n"/>
      <c r="F59" s="67" t="n"/>
      <c r="G59" s="67" t="n"/>
      <c r="H59" s="67" t="n"/>
      <c r="I59" s="67" t="n"/>
      <c r="J59" s="67" t="n"/>
      <c r="K59" s="67" t="n"/>
      <c r="L59" s="67" t="n"/>
      <c r="M59" s="67" t="n"/>
      <c r="N59" s="67" t="n"/>
      <c r="O59" s="67" t="n"/>
      <c r="P59" s="67" t="n"/>
      <c r="Q59" s="67" t="n"/>
      <c r="R59" s="67" t="n"/>
      <c r="S59" s="67" t="n"/>
      <c r="T59" s="67" t="n"/>
      <c r="U59" s="67" t="n"/>
      <c r="V59" s="67" t="n"/>
      <c r="W59" s="67" t="n"/>
      <c r="X59" s="67" t="n"/>
      <c r="Y59" s="67" t="n"/>
      <c r="Z59" s="67" t="n"/>
      <c r="AA59" s="67" t="n"/>
      <c r="AB59" s="67" t="n"/>
      <c r="AC59" s="67" t="n"/>
      <c r="AD59" s="67" t="n"/>
      <c r="AE59" s="67" t="n"/>
      <c r="AF59" s="67" t="n"/>
      <c r="AG59" s="67" t="n"/>
      <c r="AH59" s="67" t="n"/>
      <c r="AI59" s="67" t="n"/>
      <c r="AJ59" s="67" t="n"/>
      <c r="AK59" s="67" t="n"/>
    </row>
    <row r="60">
      <c r="B60" s="67" t="n"/>
      <c r="C60" s="67" t="n"/>
      <c r="D60" s="67" t="n"/>
      <c r="E60" s="67" t="n"/>
      <c r="F60" s="67" t="n"/>
      <c r="G60" s="67" t="n"/>
      <c r="H60" s="67" t="n"/>
      <c r="I60" s="67" t="n"/>
      <c r="J60" s="67" t="n"/>
      <c r="K60" s="67" t="n"/>
      <c r="L60" s="67" t="n"/>
      <c r="M60" s="67" t="n"/>
      <c r="N60" s="67" t="n"/>
      <c r="O60" s="67" t="n"/>
      <c r="P60" s="67" t="n"/>
      <c r="Q60" s="67" t="n"/>
      <c r="R60" s="67" t="n"/>
      <c r="S60" s="67" t="n"/>
      <c r="T60" s="67" t="n"/>
      <c r="U60" s="67" t="n"/>
      <c r="V60" s="67" t="n"/>
      <c r="W60" s="67" t="n"/>
      <c r="X60" s="67" t="n"/>
      <c r="Y60" s="67" t="n"/>
      <c r="Z60" s="67" t="n"/>
      <c r="AA60" s="67" t="n"/>
      <c r="AB60" s="67" t="n"/>
      <c r="AC60" s="67" t="n"/>
      <c r="AD60" s="67" t="n"/>
      <c r="AE60" s="67" t="n"/>
      <c r="AF60" s="67" t="n"/>
      <c r="AG60" s="67" t="n"/>
      <c r="AH60" s="67" t="n"/>
      <c r="AI60" s="67" t="n"/>
      <c r="AJ60" s="67" t="n"/>
      <c r="AK60" s="67" t="n"/>
    </row>
    <row r="61">
      <c r="B61" s="67" t="n"/>
      <c r="C61" s="67" t="n"/>
      <c r="D61" s="67" t="n"/>
      <c r="E61" s="67" t="n"/>
      <c r="F61" s="67" t="n"/>
      <c r="G61" s="67" t="n"/>
      <c r="H61" s="67" t="n"/>
      <c r="I61" s="67" t="n"/>
      <c r="J61" s="67" t="n"/>
      <c r="K61" s="67" t="n"/>
      <c r="L61" s="67" t="n"/>
      <c r="M61" s="67" t="n"/>
      <c r="N61" s="67" t="n"/>
      <c r="O61" s="67" t="n"/>
      <c r="P61" s="67" t="n"/>
      <c r="Q61" s="67" t="n"/>
      <c r="R61" s="67" t="n"/>
      <c r="S61" s="67" t="n"/>
      <c r="T61" s="67" t="n"/>
      <c r="U61" s="67" t="n"/>
      <c r="V61" s="67" t="n"/>
      <c r="W61" s="67" t="n"/>
      <c r="X61" s="67" t="n"/>
      <c r="Y61" s="67" t="n"/>
      <c r="Z61" s="67" t="n"/>
      <c r="AA61" s="67" t="n"/>
      <c r="AB61" s="67" t="n"/>
      <c r="AC61" s="67" t="n"/>
      <c r="AD61" s="67" t="n"/>
      <c r="AE61" s="67" t="n"/>
      <c r="AF61" s="67" t="n"/>
      <c r="AG61" s="67" t="n"/>
      <c r="AH61" s="67" t="n"/>
      <c r="AI61" s="67" t="n"/>
      <c r="AJ61" s="67" t="n"/>
      <c r="AK61" s="67" t="n"/>
    </row>
    <row r="62">
      <c r="B62" s="67" t="n"/>
      <c r="C62" s="67" t="n"/>
      <c r="D62" s="67" t="n"/>
      <c r="E62" s="67" t="n"/>
      <c r="F62" s="67" t="n"/>
      <c r="G62" s="67" t="n"/>
      <c r="H62" s="67" t="n"/>
      <c r="I62" s="67" t="n"/>
      <c r="J62" s="67" t="n"/>
      <c r="K62" s="67" t="n"/>
      <c r="L62" s="67" t="n"/>
      <c r="M62" s="67" t="n"/>
      <c r="N62" s="67" t="n"/>
      <c r="O62" s="67" t="n"/>
      <c r="P62" s="67" t="n"/>
      <c r="Q62" s="67" t="n"/>
      <c r="R62" s="67" t="n"/>
      <c r="S62" s="67" t="n"/>
      <c r="T62" s="67" t="n"/>
      <c r="U62" s="67" t="n"/>
      <c r="V62" s="67" t="n"/>
      <c r="W62" s="67" t="n"/>
      <c r="X62" s="67" t="n"/>
      <c r="Y62" s="67" t="n"/>
      <c r="Z62" s="67" t="n"/>
      <c r="AA62" s="67" t="n"/>
      <c r="AB62" s="67" t="n"/>
      <c r="AC62" s="67" t="n"/>
      <c r="AD62" s="67" t="n"/>
      <c r="AE62" s="67" t="n"/>
      <c r="AF62" s="67" t="n"/>
      <c r="AG62" s="67" t="n"/>
      <c r="AH62" s="67" t="n"/>
      <c r="AI62" s="67" t="n"/>
      <c r="AJ62" s="67" t="n"/>
      <c r="AK62" s="67" t="n"/>
    </row>
    <row r="63">
      <c r="B63" s="67" t="n"/>
      <c r="C63" s="67" t="n"/>
      <c r="D63" s="67" t="n"/>
      <c r="E63" s="67" t="n"/>
      <c r="F63" s="67" t="n"/>
      <c r="G63" s="67" t="n"/>
      <c r="H63" s="67" t="n"/>
      <c r="I63" s="67" t="n"/>
      <c r="J63" s="67" t="n"/>
      <c r="K63" s="67" t="n"/>
      <c r="L63" s="67" t="n"/>
      <c r="M63" s="67" t="n"/>
      <c r="N63" s="67" t="n"/>
      <c r="O63" s="67" t="n"/>
      <c r="P63" s="67" t="n"/>
      <c r="Q63" s="67" t="n"/>
      <c r="R63" s="67" t="n"/>
      <c r="S63" s="67" t="n"/>
      <c r="T63" s="67" t="n"/>
      <c r="U63" s="67" t="n"/>
      <c r="V63" s="67" t="n"/>
      <c r="W63" s="67" t="n"/>
      <c r="X63" s="67" t="n"/>
      <c r="Y63" s="67" t="n"/>
      <c r="Z63" s="67" t="n"/>
      <c r="AA63" s="67" t="n"/>
      <c r="AB63" s="67" t="n"/>
      <c r="AC63" s="67" t="n"/>
      <c r="AD63" s="67" t="n"/>
      <c r="AE63" s="67" t="n"/>
      <c r="AF63" s="67" t="n"/>
      <c r="AG63" s="67" t="n"/>
      <c r="AH63" s="67" t="n"/>
      <c r="AI63" s="67" t="n"/>
      <c r="AJ63" s="67" t="n"/>
      <c r="AK63" s="67" t="n"/>
    </row>
    <row r="64">
      <c r="B64" s="67" t="n"/>
      <c r="C64" s="67" t="n"/>
      <c r="D64" s="67" t="n"/>
      <c r="E64" s="67" t="n"/>
      <c r="F64" s="67" t="n"/>
      <c r="G64" s="67" t="n"/>
      <c r="H64" s="67" t="n"/>
      <c r="I64" s="67" t="n"/>
      <c r="J64" s="67" t="n"/>
      <c r="K64" s="67" t="n"/>
      <c r="L64" s="67" t="n"/>
      <c r="M64" s="67" t="n"/>
      <c r="N64" s="67" t="n"/>
      <c r="O64" s="67" t="n"/>
      <c r="P64" s="67" t="n"/>
      <c r="Q64" s="67" t="n"/>
      <c r="R64" s="67" t="n"/>
      <c r="S64" s="67" t="n"/>
      <c r="T64" s="67" t="n"/>
      <c r="U64" s="67" t="n"/>
      <c r="V64" s="67" t="n"/>
      <c r="W64" s="67" t="n"/>
      <c r="X64" s="67" t="n"/>
      <c r="Y64" s="67" t="n"/>
      <c r="Z64" s="67" t="n"/>
      <c r="AA64" s="67" t="n"/>
      <c r="AB64" s="67" t="n"/>
      <c r="AC64" s="67" t="n"/>
      <c r="AD64" s="67" t="n"/>
      <c r="AE64" s="67" t="n"/>
      <c r="AF64" s="67" t="n"/>
      <c r="AG64" s="67" t="n"/>
      <c r="AH64" s="67" t="n"/>
      <c r="AI64" s="67" t="n"/>
      <c r="AJ64" s="67" t="n"/>
      <c r="AK64" s="67" t="n"/>
    </row>
    <row r="65">
      <c r="B65" s="67" t="n"/>
      <c r="C65" s="67" t="n"/>
      <c r="D65" s="67" t="n"/>
      <c r="E65" s="67" t="n"/>
      <c r="F65" s="67" t="n"/>
      <c r="G65" s="67" t="n"/>
      <c r="H65" s="67" t="n"/>
      <c r="I65" s="67" t="n"/>
      <c r="J65" s="67" t="n"/>
      <c r="K65" s="67" t="n"/>
      <c r="L65" s="67" t="n"/>
      <c r="M65" s="67" t="n"/>
      <c r="N65" s="67" t="n"/>
      <c r="O65" s="67" t="n"/>
      <c r="P65" s="67" t="n"/>
      <c r="Q65" s="67" t="n"/>
      <c r="R65" s="67" t="n"/>
      <c r="S65" s="67" t="n"/>
      <c r="T65" s="67" t="n"/>
      <c r="U65" s="67" t="n"/>
      <c r="V65" s="67" t="n"/>
      <c r="W65" s="67" t="n"/>
      <c r="X65" s="67" t="n"/>
      <c r="Y65" s="67" t="n"/>
      <c r="Z65" s="67" t="n"/>
      <c r="AA65" s="67" t="n"/>
      <c r="AB65" s="67" t="n"/>
      <c r="AC65" s="67" t="n"/>
      <c r="AD65" s="67" t="n"/>
      <c r="AE65" s="67" t="n"/>
      <c r="AF65" s="67" t="n"/>
      <c r="AG65" s="67" t="n"/>
      <c r="AH65" s="67" t="n"/>
      <c r="AI65" s="67" t="n"/>
      <c r="AJ65" s="67" t="n"/>
      <c r="AK65" s="67" t="n"/>
    </row>
    <row r="66">
      <c r="B66" s="67" t="n"/>
      <c r="C66" s="67" t="n"/>
      <c r="D66" s="67" t="n"/>
      <c r="E66" s="67" t="n"/>
      <c r="F66" s="67" t="n"/>
      <c r="G66" s="67" t="n"/>
      <c r="H66" s="67" t="n"/>
      <c r="I66" s="67" t="n"/>
      <c r="J66" s="67" t="n"/>
      <c r="K66" s="67" t="n"/>
      <c r="L66" s="67" t="n"/>
      <c r="M66" s="67" t="n"/>
      <c r="N66" s="67" t="n"/>
      <c r="O66" s="67" t="n"/>
      <c r="P66" s="67" t="n"/>
      <c r="Q66" s="67" t="n"/>
      <c r="R66" s="67" t="n"/>
      <c r="S66" s="67" t="n"/>
      <c r="T66" s="67" t="n"/>
      <c r="U66" s="67" t="n"/>
      <c r="V66" s="67" t="n"/>
      <c r="W66" s="67" t="n"/>
      <c r="X66" s="67" t="n"/>
      <c r="Y66" s="67" t="n"/>
      <c r="Z66" s="67" t="n"/>
      <c r="AA66" s="67" t="n"/>
      <c r="AB66" s="67" t="n"/>
      <c r="AC66" s="67" t="n"/>
      <c r="AD66" s="67" t="n"/>
      <c r="AE66" s="67" t="n"/>
      <c r="AF66" s="67" t="n"/>
      <c r="AG66" s="67" t="n"/>
      <c r="AH66" s="67" t="n"/>
      <c r="AI66" s="67" t="n"/>
      <c r="AJ66" s="67" t="n"/>
      <c r="AK66" s="67" t="n"/>
    </row>
    <row r="67">
      <c r="B67" s="67" t="n"/>
      <c r="C67" s="67" t="n"/>
      <c r="D67" s="67" t="n"/>
      <c r="E67" s="67" t="n"/>
      <c r="F67" s="67" t="n"/>
      <c r="G67" s="67" t="n"/>
      <c r="H67" s="67" t="n"/>
      <c r="I67" s="67" t="n"/>
      <c r="J67" s="67" t="n"/>
      <c r="K67" s="67" t="n"/>
      <c r="L67" s="67" t="n"/>
      <c r="M67" s="67" t="n"/>
      <c r="N67" s="67" t="n"/>
      <c r="O67" s="67" t="n"/>
      <c r="P67" s="67" t="n"/>
      <c r="Q67" s="67" t="n"/>
      <c r="R67" s="67" t="n"/>
      <c r="S67" s="67" t="n"/>
      <c r="T67" s="67" t="n"/>
      <c r="U67" s="67" t="n"/>
      <c r="V67" s="67" t="n"/>
      <c r="W67" s="67" t="n"/>
      <c r="X67" s="67" t="n"/>
      <c r="Y67" s="67" t="n"/>
      <c r="Z67" s="67" t="n"/>
      <c r="AA67" s="67" t="n"/>
      <c r="AB67" s="67" t="n"/>
      <c r="AC67" s="67" t="n"/>
      <c r="AD67" s="67" t="n"/>
      <c r="AE67" s="67" t="n"/>
      <c r="AF67" s="67" t="n"/>
      <c r="AG67" s="67" t="n"/>
      <c r="AH67" s="67" t="n"/>
      <c r="AI67" s="67" t="n"/>
      <c r="AJ67" s="67" t="n"/>
      <c r="AK67" s="67" t="n"/>
    </row>
    <row r="68">
      <c r="B68" s="67" t="n"/>
      <c r="C68" s="67" t="n"/>
      <c r="D68" s="67" t="n"/>
      <c r="E68" s="67" t="n"/>
      <c r="F68" s="67" t="n"/>
      <c r="G68" s="67" t="n"/>
      <c r="H68" s="67" t="n"/>
      <c r="I68" s="67" t="n"/>
      <c r="J68" s="67" t="n"/>
      <c r="K68" s="67" t="n"/>
      <c r="L68" s="67" t="n"/>
      <c r="M68" s="67" t="n"/>
      <c r="N68" s="67" t="n"/>
      <c r="O68" s="67" t="n"/>
      <c r="P68" s="67" t="n"/>
      <c r="Q68" s="67" t="n"/>
      <c r="R68" s="67" t="n"/>
      <c r="S68" s="67" t="n"/>
      <c r="T68" s="67" t="n"/>
      <c r="U68" s="67" t="n"/>
      <c r="V68" s="67" t="n"/>
      <c r="W68" s="67" t="n"/>
      <c r="X68" s="67" t="n"/>
      <c r="Y68" s="67" t="n"/>
      <c r="Z68" s="67" t="n"/>
      <c r="AA68" s="67" t="n"/>
      <c r="AB68" s="67" t="n"/>
      <c r="AC68" s="67" t="n"/>
      <c r="AD68" s="67" t="n"/>
      <c r="AE68" s="67" t="n"/>
      <c r="AF68" s="67" t="n"/>
      <c r="AG68" s="67" t="n"/>
      <c r="AH68" s="67" t="n"/>
      <c r="AI68" s="67" t="n"/>
      <c r="AJ68" s="67" t="n"/>
      <c r="AK68" s="67" t="n"/>
    </row>
    <row r="69">
      <c r="B69" s="67" t="n"/>
      <c r="C69" s="67" t="n"/>
      <c r="D69" s="67" t="n"/>
      <c r="E69" s="67" t="n"/>
      <c r="F69" s="67" t="n"/>
      <c r="G69" s="67" t="n"/>
      <c r="H69" s="67" t="n"/>
      <c r="I69" s="67" t="n"/>
      <c r="J69" s="67" t="n"/>
      <c r="K69" s="67" t="n"/>
      <c r="L69" s="67" t="n"/>
      <c r="M69" s="67" t="n"/>
      <c r="N69" s="67" t="n"/>
      <c r="O69" s="67" t="n"/>
      <c r="P69" s="67" t="n"/>
      <c r="Q69" s="67" t="n"/>
      <c r="R69" s="67" t="n"/>
      <c r="S69" s="67" t="n"/>
      <c r="T69" s="67" t="n"/>
      <c r="U69" s="67" t="n"/>
      <c r="V69" s="67" t="n"/>
      <c r="W69" s="67" t="n"/>
      <c r="X69" s="67" t="n"/>
      <c r="Y69" s="67" t="n"/>
      <c r="Z69" s="67" t="n"/>
      <c r="AA69" s="67" t="n"/>
      <c r="AB69" s="67" t="n"/>
      <c r="AC69" s="67" t="n"/>
      <c r="AD69" s="67" t="n"/>
      <c r="AE69" s="67" t="n"/>
      <c r="AF69" s="67" t="n"/>
      <c r="AG69" s="67" t="n"/>
      <c r="AH69" s="67" t="n"/>
      <c r="AI69" s="67" t="n"/>
      <c r="AJ69" s="67" t="n"/>
      <c r="AK69" s="67" t="n"/>
    </row>
    <row r="70">
      <c r="B70" s="67" t="n"/>
      <c r="C70" s="67" t="n"/>
      <c r="D70" s="67" t="n"/>
      <c r="E70" s="67" t="n"/>
      <c r="F70" s="67" t="n"/>
      <c r="G70" s="67" t="n"/>
      <c r="H70" s="67" t="n"/>
      <c r="I70" s="67" t="n"/>
      <c r="J70" s="67" t="n"/>
      <c r="K70" s="67" t="n"/>
      <c r="L70" s="67" t="n"/>
      <c r="M70" s="67" t="n"/>
      <c r="N70" s="67" t="n"/>
      <c r="O70" s="67" t="n"/>
      <c r="P70" s="67" t="n"/>
      <c r="Q70" s="67" t="n"/>
      <c r="R70" s="67" t="n"/>
      <c r="S70" s="67" t="n"/>
      <c r="T70" s="67" t="n"/>
      <c r="U70" s="67" t="n"/>
      <c r="V70" s="67" t="n"/>
      <c r="W70" s="67" t="n"/>
      <c r="X70" s="67" t="n"/>
      <c r="Y70" s="67" t="n"/>
      <c r="Z70" s="67" t="n"/>
      <c r="AA70" s="67" t="n"/>
      <c r="AB70" s="67" t="n"/>
      <c r="AC70" s="67" t="n"/>
      <c r="AD70" s="67" t="n"/>
      <c r="AE70" s="67" t="n"/>
      <c r="AF70" s="67" t="n"/>
      <c r="AG70" s="67" t="n"/>
      <c r="AH70" s="67" t="n"/>
      <c r="AI70" s="67" t="n"/>
      <c r="AJ70" s="67" t="n"/>
      <c r="AK70" s="67" t="n"/>
    </row>
    <row r="71">
      <c r="B71" s="67" t="n"/>
      <c r="C71" s="67" t="n"/>
      <c r="D71" s="67" t="n"/>
      <c r="E71" s="67" t="n"/>
      <c r="F71" s="67" t="n"/>
      <c r="G71" s="67" t="n"/>
      <c r="H71" s="67" t="n"/>
      <c r="I71" s="67" t="n"/>
      <c r="J71" s="67" t="n"/>
      <c r="K71" s="67" t="n"/>
      <c r="L71" s="67" t="n"/>
      <c r="M71" s="67" t="n"/>
      <c r="N71" s="67" t="n"/>
      <c r="O71" s="67" t="n"/>
      <c r="P71" s="67" t="n"/>
      <c r="Q71" s="67" t="n"/>
      <c r="R71" s="67" t="n"/>
      <c r="S71" s="67" t="n"/>
      <c r="T71" s="67" t="n"/>
      <c r="U71" s="67" t="n"/>
      <c r="V71" s="67" t="n"/>
      <c r="W71" s="67" t="n"/>
      <c r="X71" s="67" t="n"/>
      <c r="Y71" s="67" t="n"/>
      <c r="Z71" s="67" t="n"/>
      <c r="AA71" s="67" t="n"/>
      <c r="AB71" s="67" t="n"/>
      <c r="AC71" s="67" t="n"/>
      <c r="AD71" s="67" t="n"/>
      <c r="AE71" s="67" t="n"/>
      <c r="AF71" s="67" t="n"/>
      <c r="AG71" s="67" t="n"/>
      <c r="AH71" s="67" t="n"/>
      <c r="AI71" s="67" t="n"/>
      <c r="AJ71" s="67" t="n"/>
      <c r="AK71" s="67" t="n"/>
    </row>
    <row r="72">
      <c r="B72" s="67" t="n"/>
      <c r="C72" s="67" t="n"/>
      <c r="D72" s="67" t="n"/>
      <c r="E72" s="67" t="n"/>
      <c r="F72" s="67" t="n"/>
      <c r="G72" s="67" t="n"/>
      <c r="H72" s="67" t="n"/>
      <c r="I72" s="67" t="n"/>
      <c r="J72" s="67" t="n"/>
      <c r="K72" s="67" t="n"/>
      <c r="L72" s="67" t="n"/>
      <c r="M72" s="67" t="n"/>
      <c r="N72" s="67" t="n"/>
      <c r="O72" s="67" t="n"/>
      <c r="P72" s="67" t="n"/>
      <c r="Q72" s="67" t="n"/>
      <c r="R72" s="67" t="n"/>
      <c r="S72" s="67" t="n"/>
      <c r="T72" s="67" t="n"/>
      <c r="U72" s="67" t="n"/>
      <c r="V72" s="67" t="n"/>
      <c r="W72" s="67" t="n"/>
      <c r="X72" s="67" t="n"/>
      <c r="Y72" s="67" t="n"/>
      <c r="Z72" s="67" t="n"/>
      <c r="AA72" s="67" t="n"/>
      <c r="AB72" s="67" t="n"/>
      <c r="AC72" s="67" t="n"/>
      <c r="AD72" s="67" t="n"/>
      <c r="AE72" s="67" t="n"/>
      <c r="AF72" s="67" t="n"/>
      <c r="AG72" s="67" t="n"/>
      <c r="AH72" s="67" t="n"/>
      <c r="AI72" s="67" t="n"/>
      <c r="AJ72" s="67" t="n"/>
      <c r="AK72" s="67" t="n"/>
    </row>
    <row r="73">
      <c r="B73" s="67" t="n"/>
      <c r="C73" s="67" t="n"/>
      <c r="D73" s="67" t="n"/>
      <c r="E73" s="67" t="n"/>
      <c r="F73" s="67" t="n"/>
      <c r="G73" s="67" t="n"/>
      <c r="H73" s="67" t="n"/>
      <c r="I73" s="67" t="n"/>
      <c r="J73" s="67" t="n"/>
      <c r="K73" s="67" t="n"/>
      <c r="L73" s="67" t="n"/>
      <c r="M73" s="67" t="n"/>
      <c r="N73" s="67" t="n"/>
      <c r="O73" s="67" t="n"/>
      <c r="P73" s="67" t="n"/>
      <c r="Q73" s="67" t="n"/>
      <c r="R73" s="67" t="n"/>
      <c r="S73" s="67" t="n"/>
      <c r="T73" s="67" t="n"/>
      <c r="U73" s="67" t="n"/>
      <c r="V73" s="67" t="n"/>
      <c r="W73" s="67" t="n"/>
      <c r="X73" s="67" t="n"/>
      <c r="Y73" s="67" t="n"/>
      <c r="Z73" s="67" t="n"/>
      <c r="AA73" s="67" t="n"/>
      <c r="AB73" s="67" t="n"/>
      <c r="AC73" s="67" t="n"/>
      <c r="AD73" s="67" t="n"/>
      <c r="AE73" s="67" t="n"/>
      <c r="AF73" s="67" t="n"/>
      <c r="AG73" s="67" t="n"/>
      <c r="AH73" s="67" t="n"/>
      <c r="AI73" s="67" t="n"/>
      <c r="AJ73" s="67" t="n"/>
      <c r="AK73" s="67" t="n"/>
    </row>
    <row r="74">
      <c r="B74" s="67" t="n"/>
      <c r="C74" s="67" t="n"/>
      <c r="D74" s="67" t="n"/>
      <c r="E74" s="67" t="n"/>
      <c r="F74" s="67" t="n"/>
      <c r="G74" s="67" t="n"/>
      <c r="H74" s="67" t="n"/>
      <c r="I74" s="67" t="n"/>
      <c r="J74" s="67" t="n"/>
      <c r="K74" s="67" t="n"/>
      <c r="L74" s="67" t="n"/>
      <c r="M74" s="67" t="n"/>
      <c r="N74" s="67" t="n"/>
      <c r="O74" s="67" t="n"/>
      <c r="P74" s="67" t="n"/>
      <c r="Q74" s="67" t="n"/>
      <c r="R74" s="67" t="n"/>
      <c r="S74" s="67" t="n"/>
      <c r="T74" s="67" t="n"/>
      <c r="U74" s="67" t="n"/>
      <c r="V74" s="67" t="n"/>
      <c r="W74" s="67" t="n"/>
      <c r="X74" s="67" t="n"/>
      <c r="Y74" s="67" t="n"/>
      <c r="Z74" s="67" t="n"/>
      <c r="AA74" s="67" t="n"/>
      <c r="AB74" s="67" t="n"/>
      <c r="AC74" s="67" t="n"/>
      <c r="AD74" s="67" t="n"/>
      <c r="AE74" s="67" t="n"/>
      <c r="AF74" s="67" t="n"/>
      <c r="AG74" s="67" t="n"/>
      <c r="AH74" s="67" t="n"/>
      <c r="AI74" s="67" t="n"/>
      <c r="AJ74" s="67" t="n"/>
      <c r="AK74" s="67" t="n"/>
    </row>
    <row r="75">
      <c r="B75" s="67" t="n"/>
      <c r="C75" s="67" t="n"/>
      <c r="D75" s="67" t="n"/>
      <c r="E75" s="67" t="n"/>
      <c r="F75" s="67" t="n"/>
      <c r="G75" s="67" t="n"/>
      <c r="H75" s="67" t="n"/>
      <c r="I75" s="67" t="n"/>
      <c r="J75" s="67" t="n"/>
      <c r="K75" s="67" t="n"/>
      <c r="L75" s="67" t="n"/>
      <c r="M75" s="67" t="n"/>
      <c r="N75" s="67" t="n"/>
      <c r="O75" s="67" t="n"/>
      <c r="P75" s="67" t="n"/>
      <c r="Q75" s="67" t="n"/>
      <c r="R75" s="67" t="n"/>
      <c r="S75" s="67" t="n"/>
      <c r="T75" s="67" t="n"/>
      <c r="U75" s="67" t="n"/>
      <c r="V75" s="67" t="n"/>
      <c r="W75" s="67" t="n"/>
      <c r="X75" s="67" t="n"/>
      <c r="Y75" s="67" t="n"/>
      <c r="Z75" s="67" t="n"/>
      <c r="AA75" s="67" t="n"/>
      <c r="AB75" s="67" t="n"/>
      <c r="AC75" s="67" t="n"/>
      <c r="AD75" s="67" t="n"/>
      <c r="AE75" s="67" t="n"/>
      <c r="AF75" s="67" t="n"/>
      <c r="AG75" s="67" t="n"/>
      <c r="AH75" s="67" t="n"/>
      <c r="AI75" s="67" t="n"/>
      <c r="AJ75" s="67" t="n"/>
      <c r="AK75" s="67" t="n"/>
    </row>
    <row r="76">
      <c r="B76" s="67" t="n"/>
      <c r="C76" s="67" t="n"/>
      <c r="D76" s="67" t="n"/>
      <c r="E76" s="67" t="n"/>
      <c r="F76" s="67" t="n"/>
      <c r="G76" s="67" t="n"/>
      <c r="H76" s="67" t="n"/>
      <c r="I76" s="67" t="n"/>
      <c r="J76" s="67" t="n"/>
      <c r="K76" s="67" t="n"/>
      <c r="L76" s="67" t="n"/>
      <c r="M76" s="67" t="n"/>
      <c r="N76" s="67" t="n"/>
      <c r="O76" s="67" t="n"/>
      <c r="P76" s="67" t="n"/>
      <c r="Q76" s="67" t="n"/>
      <c r="R76" s="67" t="n"/>
      <c r="S76" s="67" t="n"/>
      <c r="T76" s="67" t="n"/>
      <c r="U76" s="67" t="n"/>
      <c r="V76" s="67" t="n"/>
      <c r="W76" s="67" t="n"/>
      <c r="X76" s="67" t="n"/>
      <c r="Y76" s="67" t="n"/>
      <c r="Z76" s="67" t="n"/>
      <c r="AA76" s="67" t="n"/>
      <c r="AB76" s="67" t="n"/>
      <c r="AC76" s="67" t="n"/>
      <c r="AD76" s="67" t="n"/>
      <c r="AE76" s="67" t="n"/>
      <c r="AF76" s="67" t="n"/>
      <c r="AG76" s="67" t="n"/>
      <c r="AH76" s="67" t="n"/>
      <c r="AI76" s="67" t="n"/>
      <c r="AJ76" s="67" t="n"/>
      <c r="AK76" s="67" t="n"/>
    </row>
    <row r="77">
      <c r="B77" s="67" t="n"/>
      <c r="C77" s="67" t="n"/>
      <c r="D77" s="67" t="n"/>
      <c r="E77" s="67" t="n"/>
      <c r="F77" s="67" t="n"/>
      <c r="G77" s="67" t="n"/>
      <c r="H77" s="67" t="n"/>
      <c r="I77" s="67" t="n"/>
      <c r="J77" s="67" t="n"/>
      <c r="K77" s="67" t="n"/>
      <c r="L77" s="67" t="n"/>
      <c r="M77" s="67" t="n"/>
      <c r="N77" s="67" t="n"/>
      <c r="O77" s="67" t="n"/>
      <c r="P77" s="67" t="n"/>
      <c r="Q77" s="67" t="n"/>
      <c r="R77" s="67" t="n"/>
      <c r="S77" s="67" t="n"/>
      <c r="T77" s="67" t="n"/>
      <c r="U77" s="67" t="n"/>
      <c r="V77" s="67" t="n"/>
      <c r="W77" s="67" t="n"/>
      <c r="X77" s="67" t="n"/>
      <c r="Y77" s="67" t="n"/>
      <c r="Z77" s="67" t="n"/>
      <c r="AA77" s="67" t="n"/>
      <c r="AB77" s="67" t="n"/>
      <c r="AC77" s="67" t="n"/>
      <c r="AD77" s="67" t="n"/>
      <c r="AE77" s="67" t="n"/>
      <c r="AF77" s="67" t="n"/>
      <c r="AG77" s="67" t="n"/>
      <c r="AH77" s="67" t="n"/>
      <c r="AI77" s="67" t="n"/>
      <c r="AJ77" s="67" t="n"/>
      <c r="AK77" s="67" t="n"/>
    </row>
    <row r="78">
      <c r="B78" s="67" t="n"/>
      <c r="C78" s="67" t="n"/>
      <c r="D78" s="67" t="n"/>
      <c r="E78" s="67" t="n"/>
      <c r="F78" s="67" t="n"/>
      <c r="G78" s="67" t="n"/>
      <c r="H78" s="67" t="n"/>
      <c r="I78" s="67" t="n"/>
      <c r="J78" s="67" t="n"/>
      <c r="K78" s="67" t="n"/>
      <c r="L78" s="67" t="n"/>
      <c r="M78" s="67" t="n"/>
      <c r="N78" s="67" t="n"/>
      <c r="O78" s="67" t="n"/>
      <c r="P78" s="67" t="n"/>
      <c r="Q78" s="67" t="n"/>
      <c r="R78" s="67" t="n"/>
      <c r="S78" s="67" t="n"/>
      <c r="T78" s="67" t="n"/>
      <c r="U78" s="67" t="n"/>
      <c r="V78" s="67" t="n"/>
      <c r="W78" s="67" t="n"/>
      <c r="X78" s="67" t="n"/>
      <c r="Y78" s="67" t="n"/>
      <c r="Z78" s="67" t="n"/>
      <c r="AA78" s="67" t="n"/>
      <c r="AB78" s="67" t="n"/>
      <c r="AC78" s="67" t="n"/>
      <c r="AD78" s="67" t="n"/>
      <c r="AE78" s="67" t="n"/>
      <c r="AF78" s="67" t="n"/>
      <c r="AG78" s="67" t="n"/>
      <c r="AH78" s="67" t="n"/>
      <c r="AI78" s="67" t="n"/>
      <c r="AJ78" s="67" t="n"/>
      <c r="AK78" s="67" t="n"/>
    </row>
    <row r="79">
      <c r="B79" s="67" t="n"/>
      <c r="C79" s="67" t="n"/>
      <c r="D79" s="67" t="n"/>
      <c r="E79" s="67" t="n"/>
      <c r="F79" s="67" t="n"/>
      <c r="G79" s="67" t="n"/>
      <c r="H79" s="67" t="n"/>
      <c r="I79" s="67" t="n"/>
      <c r="J79" s="67" t="n"/>
      <c r="K79" s="67" t="n"/>
      <c r="L79" s="67" t="n"/>
      <c r="M79" s="67" t="n"/>
      <c r="N79" s="67" t="n"/>
      <c r="O79" s="67" t="n"/>
      <c r="P79" s="67" t="n"/>
      <c r="Q79" s="67" t="n"/>
      <c r="R79" s="67" t="n"/>
      <c r="S79" s="67" t="n"/>
      <c r="T79" s="67" t="n"/>
      <c r="U79" s="67" t="n"/>
      <c r="V79" s="67" t="n"/>
      <c r="W79" s="67" t="n"/>
      <c r="X79" s="67" t="n"/>
      <c r="Y79" s="67" t="n"/>
      <c r="Z79" s="67" t="n"/>
      <c r="AA79" s="67" t="n"/>
      <c r="AB79" s="67" t="n"/>
      <c r="AC79" s="67" t="n"/>
      <c r="AD79" s="67" t="n"/>
      <c r="AE79" s="67" t="n"/>
      <c r="AF79" s="67" t="n"/>
      <c r="AG79" s="67" t="n"/>
      <c r="AH79" s="67" t="n"/>
      <c r="AI79" s="67" t="n"/>
      <c r="AJ79" s="67" t="n"/>
      <c r="AK79" s="67" t="n"/>
    </row>
    <row r="80">
      <c r="B80" s="67" t="n"/>
      <c r="C80" s="67" t="n"/>
      <c r="D80" s="67" t="n"/>
      <c r="E80" s="67" t="n"/>
      <c r="F80" s="67" t="n"/>
      <c r="G80" s="67" t="n"/>
      <c r="H80" s="67" t="n"/>
      <c r="I80" s="67" t="n"/>
      <c r="J80" s="67" t="n"/>
      <c r="K80" s="67" t="n"/>
      <c r="L80" s="67" t="n"/>
      <c r="M80" s="67" t="n"/>
      <c r="N80" s="67" t="n"/>
      <c r="O80" s="67" t="n"/>
      <c r="P80" s="67" t="n"/>
      <c r="Q80" s="67" t="n"/>
      <c r="R80" s="67" t="n"/>
      <c r="S80" s="67" t="n"/>
      <c r="T80" s="67" t="n"/>
      <c r="U80" s="67" t="n"/>
      <c r="V80" s="67" t="n"/>
      <c r="W80" s="67" t="n"/>
      <c r="X80" s="67" t="n"/>
      <c r="Y80" s="67" t="n"/>
      <c r="Z80" s="67" t="n"/>
      <c r="AA80" s="67" t="n"/>
      <c r="AB80" s="67" t="n"/>
      <c r="AC80" s="67" t="n"/>
      <c r="AD80" s="67" t="n"/>
      <c r="AE80" s="67" t="n"/>
      <c r="AF80" s="67" t="n"/>
      <c r="AG80" s="67" t="n"/>
      <c r="AH80" s="67" t="n"/>
      <c r="AI80" s="67" t="n"/>
      <c r="AJ80" s="67" t="n"/>
      <c r="AK80" s="67" t="n"/>
    </row>
    <row r="81">
      <c r="B81" s="67" t="n"/>
      <c r="C81" s="67" t="n"/>
      <c r="D81" s="67" t="n"/>
      <c r="E81" s="67" t="n"/>
      <c r="F81" s="67" t="n"/>
      <c r="G81" s="67" t="n"/>
      <c r="H81" s="67" t="n"/>
      <c r="I81" s="67" t="n"/>
      <c r="J81" s="67" t="n"/>
      <c r="K81" s="67" t="n"/>
      <c r="L81" s="67" t="n"/>
      <c r="M81" s="67" t="n"/>
      <c r="N81" s="67" t="n"/>
      <c r="O81" s="67" t="n"/>
      <c r="P81" s="67" t="n"/>
      <c r="Q81" s="67" t="n"/>
      <c r="R81" s="67" t="n"/>
      <c r="S81" s="67" t="n"/>
      <c r="T81" s="67" t="n"/>
      <c r="U81" s="67" t="n"/>
      <c r="V81" s="67" t="n"/>
      <c r="W81" s="67" t="n"/>
      <c r="X81" s="67" t="n"/>
      <c r="Y81" s="67" t="n"/>
      <c r="Z81" s="67" t="n"/>
      <c r="AA81" s="67" t="n"/>
      <c r="AB81" s="67" t="n"/>
      <c r="AC81" s="67" t="n"/>
      <c r="AD81" s="67" t="n"/>
      <c r="AE81" s="67" t="n"/>
      <c r="AF81" s="67" t="n"/>
      <c r="AG81" s="67" t="n"/>
      <c r="AH81" s="67" t="n"/>
      <c r="AI81" s="67" t="n"/>
      <c r="AJ81" s="67" t="n"/>
      <c r="AK81" s="67" t="n"/>
    </row>
    <row r="82">
      <c r="B82" s="67" t="n"/>
      <c r="C82" s="67" t="n"/>
      <c r="D82" s="67" t="n"/>
      <c r="E82" s="67" t="n"/>
      <c r="F82" s="67" t="n"/>
      <c r="G82" s="67" t="n"/>
      <c r="H82" s="67" t="n"/>
      <c r="I82" s="67" t="n"/>
      <c r="J82" s="67" t="n"/>
      <c r="K82" s="67" t="n"/>
      <c r="L82" s="67" t="n"/>
      <c r="M82" s="67" t="n"/>
      <c r="N82" s="67" t="n"/>
      <c r="O82" s="67" t="n"/>
      <c r="P82" s="67" t="n"/>
      <c r="Q82" s="67" t="n"/>
      <c r="R82" s="67" t="n"/>
      <c r="S82" s="67" t="n"/>
      <c r="T82" s="67" t="n"/>
      <c r="U82" s="67" t="n"/>
      <c r="V82" s="67" t="n"/>
      <c r="W82" s="67" t="n"/>
      <c r="X82" s="67" t="n"/>
      <c r="Y82" s="67" t="n"/>
      <c r="Z82" s="67" t="n"/>
      <c r="AA82" s="67" t="n"/>
      <c r="AB82" s="67" t="n"/>
      <c r="AC82" s="67" t="n"/>
      <c r="AD82" s="67" t="n"/>
      <c r="AE82" s="67" t="n"/>
      <c r="AF82" s="67" t="n"/>
      <c r="AG82" s="67" t="n"/>
      <c r="AH82" s="67" t="n"/>
      <c r="AI82" s="67" t="n"/>
      <c r="AJ82" s="67" t="n"/>
      <c r="AK82" s="67" t="n"/>
    </row>
    <row r="83">
      <c r="B83" s="67" t="n"/>
      <c r="C83" s="67" t="n"/>
      <c r="D83" s="67" t="n"/>
      <c r="E83" s="67" t="n"/>
      <c r="F83" s="67" t="n"/>
      <c r="G83" s="67" t="n"/>
      <c r="H83" s="67" t="n"/>
      <c r="I83" s="67" t="n"/>
      <c r="J83" s="67" t="n"/>
      <c r="K83" s="67" t="n"/>
      <c r="L83" s="67" t="n"/>
      <c r="M83" s="67" t="n"/>
      <c r="N83" s="67" t="n"/>
      <c r="O83" s="67" t="n"/>
      <c r="P83" s="67" t="n"/>
      <c r="Q83" s="67" t="n"/>
      <c r="R83" s="67" t="n"/>
      <c r="S83" s="67" t="n"/>
      <c r="T83" s="67" t="n"/>
      <c r="U83" s="67" t="n"/>
      <c r="V83" s="67" t="n"/>
      <c r="W83" s="67" t="n"/>
      <c r="X83" s="67" t="n"/>
      <c r="Y83" s="67" t="n"/>
      <c r="Z83" s="67" t="n"/>
      <c r="AA83" s="67" t="n"/>
      <c r="AB83" s="67" t="n"/>
      <c r="AC83" s="67" t="n"/>
      <c r="AD83" s="67" t="n"/>
      <c r="AE83" s="67" t="n"/>
      <c r="AF83" s="67" t="n"/>
      <c r="AG83" s="67" t="n"/>
      <c r="AH83" s="67" t="n"/>
      <c r="AI83" s="67" t="n"/>
      <c r="AJ83" s="67" t="n"/>
      <c r="AK83" s="67" t="n"/>
    </row>
    <row r="84">
      <c r="B84" s="67" t="n"/>
      <c r="C84" s="67" t="n"/>
      <c r="D84" s="67" t="n"/>
      <c r="E84" s="67" t="n"/>
      <c r="F84" s="67" t="n"/>
      <c r="G84" s="67" t="n"/>
      <c r="H84" s="67" t="n"/>
      <c r="I84" s="67" t="n"/>
      <c r="J84" s="67" t="n"/>
      <c r="K84" s="67" t="n"/>
      <c r="L84" s="67" t="n"/>
      <c r="M84" s="67" t="n"/>
      <c r="N84" s="67" t="n"/>
      <c r="O84" s="67" t="n"/>
      <c r="P84" s="67" t="n"/>
      <c r="Q84" s="67" t="n"/>
      <c r="R84" s="67" t="n"/>
      <c r="S84" s="67" t="n"/>
      <c r="T84" s="67" t="n"/>
      <c r="U84" s="67" t="n"/>
      <c r="V84" s="67" t="n"/>
      <c r="W84" s="67" t="n"/>
      <c r="X84" s="67" t="n"/>
      <c r="Y84" s="67" t="n"/>
      <c r="Z84" s="67" t="n"/>
      <c r="AA84" s="67" t="n"/>
      <c r="AB84" s="67" t="n"/>
      <c r="AC84" s="67" t="n"/>
      <c r="AD84" s="67" t="n"/>
      <c r="AE84" s="67" t="n"/>
      <c r="AF84" s="67" t="n"/>
      <c r="AG84" s="67" t="n"/>
      <c r="AH84" s="67" t="n"/>
      <c r="AI84" s="67" t="n"/>
      <c r="AJ84" s="67" t="n"/>
      <c r="AK84" s="67" t="n"/>
    </row>
    <row r="85">
      <c r="B85" s="67" t="n"/>
      <c r="C85" s="67" t="n"/>
      <c r="D85" s="67" t="n"/>
      <c r="E85" s="67" t="n"/>
      <c r="F85" s="67" t="n"/>
      <c r="G85" s="67" t="n"/>
      <c r="H85" s="67" t="n"/>
      <c r="I85" s="67" t="n"/>
      <c r="J85" s="67" t="n"/>
      <c r="K85" s="67" t="n"/>
      <c r="L85" s="67" t="n"/>
      <c r="M85" s="67" t="n"/>
      <c r="N85" s="67" t="n"/>
      <c r="O85" s="67" t="n"/>
      <c r="P85" s="67" t="n"/>
      <c r="Q85" s="67" t="n"/>
      <c r="R85" s="67" t="n"/>
      <c r="S85" s="67" t="n"/>
      <c r="T85" s="67" t="n"/>
      <c r="U85" s="67" t="n"/>
      <c r="V85" s="67" t="n"/>
      <c r="W85" s="67" t="n"/>
      <c r="X85" s="67" t="n"/>
      <c r="Y85" s="67" t="n"/>
      <c r="Z85" s="67" t="n"/>
      <c r="AA85" s="67" t="n"/>
      <c r="AB85" s="67" t="n"/>
      <c r="AC85" s="67" t="n"/>
      <c r="AD85" s="67" t="n"/>
      <c r="AE85" s="67" t="n"/>
      <c r="AF85" s="67" t="n"/>
      <c r="AG85" s="67" t="n"/>
      <c r="AH85" s="67" t="n"/>
      <c r="AI85" s="67" t="n"/>
      <c r="AJ85" s="67" t="n"/>
      <c r="AK85" s="67" t="n"/>
    </row>
    <row r="86">
      <c r="B86" s="67" t="n"/>
      <c r="C86" s="67" t="n"/>
      <c r="D86" s="67" t="n"/>
      <c r="E86" s="67" t="n"/>
      <c r="F86" s="67" t="n"/>
      <c r="G86" s="67" t="n"/>
      <c r="H86" s="67" t="n"/>
      <c r="I86" s="67" t="n"/>
      <c r="J86" s="67" t="n"/>
      <c r="K86" s="67" t="n"/>
      <c r="L86" s="67" t="n"/>
      <c r="M86" s="67" t="n"/>
      <c r="N86" s="67" t="n"/>
      <c r="O86" s="67" t="n"/>
      <c r="P86" s="67" t="n"/>
      <c r="Q86" s="67" t="n"/>
      <c r="R86" s="67" t="n"/>
      <c r="S86" s="67" t="n"/>
      <c r="T86" s="67" t="n"/>
      <c r="U86" s="67" t="n"/>
      <c r="V86" s="67" t="n"/>
      <c r="W86" s="67" t="n"/>
      <c r="X86" s="67" t="n"/>
      <c r="Y86" s="67" t="n"/>
      <c r="Z86" s="67" t="n"/>
      <c r="AA86" s="67" t="n"/>
      <c r="AB86" s="67" t="n"/>
      <c r="AC86" s="67" t="n"/>
      <c r="AD86" s="67" t="n"/>
      <c r="AE86" s="67" t="n"/>
      <c r="AF86" s="67" t="n"/>
      <c r="AG86" s="67" t="n"/>
      <c r="AH86" s="67" t="n"/>
      <c r="AI86" s="67" t="n"/>
      <c r="AJ86" s="67" t="n"/>
      <c r="AK86" s="67" t="n"/>
    </row>
    <row r="87">
      <c r="B87" s="67" t="n"/>
      <c r="C87" s="67" t="n"/>
      <c r="D87" s="67" t="n"/>
      <c r="E87" s="67" t="n"/>
      <c r="F87" s="67" t="n"/>
      <c r="G87" s="67" t="n"/>
      <c r="H87" s="67" t="n"/>
      <c r="I87" s="67" t="n"/>
      <c r="J87" s="67" t="n"/>
      <c r="K87" s="67" t="n"/>
      <c r="L87" s="67" t="n"/>
      <c r="M87" s="67" t="n"/>
      <c r="N87" s="67" t="n"/>
      <c r="O87" s="67" t="n"/>
      <c r="P87" s="67" t="n"/>
      <c r="Q87" s="67" t="n"/>
      <c r="R87" s="67" t="n"/>
      <c r="S87" s="67" t="n"/>
      <c r="T87" s="67" t="n"/>
      <c r="U87" s="67" t="n"/>
      <c r="V87" s="67" t="n"/>
      <c r="W87" s="67" t="n"/>
      <c r="X87" s="67" t="n"/>
      <c r="Y87" s="67" t="n"/>
      <c r="Z87" s="67" t="n"/>
      <c r="AA87" s="67" t="n"/>
      <c r="AB87" s="67" t="n"/>
      <c r="AC87" s="67" t="n"/>
      <c r="AD87" s="67" t="n"/>
      <c r="AE87" s="67" t="n"/>
      <c r="AF87" s="67" t="n"/>
      <c r="AG87" s="67" t="n"/>
      <c r="AH87" s="67" t="n"/>
      <c r="AI87" s="67" t="n"/>
      <c r="AJ87" s="67" t="n"/>
      <c r="AK87" s="67" t="n"/>
    </row>
    <row r="88">
      <c r="B88" s="67" t="n"/>
      <c r="C88" s="67" t="n"/>
      <c r="D88" s="67" t="n"/>
      <c r="E88" s="67" t="n"/>
      <c r="F88" s="67" t="n"/>
      <c r="G88" s="67" t="n"/>
      <c r="H88" s="67" t="n"/>
      <c r="I88" s="67" t="n"/>
      <c r="J88" s="67" t="n"/>
      <c r="K88" s="67" t="n"/>
      <c r="L88" s="67" t="n"/>
      <c r="M88" s="67" t="n"/>
      <c r="N88" s="67" t="n"/>
      <c r="O88" s="67" t="n"/>
      <c r="P88" s="67" t="n"/>
      <c r="Q88" s="67" t="n"/>
      <c r="R88" s="67" t="n"/>
      <c r="S88" s="67" t="n"/>
      <c r="T88" s="67" t="n"/>
      <c r="U88" s="67" t="n"/>
      <c r="V88" s="67" t="n"/>
      <c r="W88" s="67" t="n"/>
      <c r="X88" s="67" t="n"/>
      <c r="Y88" s="67" t="n"/>
      <c r="Z88" s="67" t="n"/>
      <c r="AA88" s="67" t="n"/>
      <c r="AB88" s="67" t="n"/>
      <c r="AC88" s="67" t="n"/>
      <c r="AD88" s="67" t="n"/>
      <c r="AE88" s="67" t="n"/>
      <c r="AF88" s="67" t="n"/>
      <c r="AG88" s="67" t="n"/>
      <c r="AH88" s="67" t="n"/>
      <c r="AI88" s="67" t="n"/>
      <c r="AJ88" s="67" t="n"/>
      <c r="AK88" s="67" t="n"/>
    </row>
    <row r="89">
      <c r="B89" s="67" t="n"/>
      <c r="C89" s="67" t="n"/>
      <c r="D89" s="67" t="n"/>
      <c r="E89" s="67" t="n"/>
      <c r="F89" s="67" t="n"/>
      <c r="G89" s="67" t="n"/>
      <c r="H89" s="67" t="n"/>
      <c r="I89" s="67" t="n"/>
      <c r="J89" s="67" t="n"/>
      <c r="K89" s="67" t="n"/>
      <c r="L89" s="67" t="n"/>
      <c r="M89" s="67" t="n"/>
      <c r="N89" s="67" t="n"/>
      <c r="O89" s="67" t="n"/>
      <c r="P89" s="67" t="n"/>
      <c r="Q89" s="67" t="n"/>
      <c r="R89" s="67" t="n"/>
      <c r="S89" s="67" t="n"/>
      <c r="T89" s="67" t="n"/>
      <c r="U89" s="67" t="n"/>
      <c r="V89" s="67" t="n"/>
      <c r="W89" s="67" t="n"/>
      <c r="X89" s="67" t="n"/>
      <c r="Y89" s="67" t="n"/>
      <c r="Z89" s="67" t="n"/>
      <c r="AA89" s="67" t="n"/>
      <c r="AB89" s="67" t="n"/>
      <c r="AC89" s="67" t="n"/>
      <c r="AD89" s="67" t="n"/>
      <c r="AE89" s="67" t="n"/>
      <c r="AF89" s="67" t="n"/>
      <c r="AG89" s="67" t="n"/>
      <c r="AH89" s="67" t="n"/>
      <c r="AI89" s="67" t="n"/>
      <c r="AJ89" s="67" t="n"/>
      <c r="AK89" s="67" t="n"/>
    </row>
    <row r="90">
      <c r="B90" s="67" t="n"/>
      <c r="C90" s="67" t="n"/>
      <c r="D90" s="67" t="n"/>
      <c r="E90" s="67" t="n"/>
      <c r="F90" s="67" t="n"/>
      <c r="G90" s="67" t="n"/>
      <c r="H90" s="67" t="n"/>
      <c r="I90" s="67" t="n"/>
      <c r="J90" s="67" t="n"/>
      <c r="K90" s="67" t="n"/>
      <c r="L90" s="67" t="n"/>
      <c r="M90" s="67" t="n"/>
      <c r="N90" s="67" t="n"/>
      <c r="O90" s="67" t="n"/>
      <c r="P90" s="67" t="n"/>
      <c r="Q90" s="67" t="n"/>
      <c r="R90" s="67" t="n"/>
      <c r="S90" s="67" t="n"/>
      <c r="T90" s="67" t="n"/>
      <c r="U90" s="67" t="n"/>
      <c r="V90" s="67" t="n"/>
      <c r="W90" s="67" t="n"/>
      <c r="X90" s="67" t="n"/>
      <c r="Y90" s="67" t="n"/>
      <c r="Z90" s="67" t="n"/>
      <c r="AA90" s="67" t="n"/>
      <c r="AB90" s="67" t="n"/>
      <c r="AC90" s="67" t="n"/>
      <c r="AD90" s="67" t="n"/>
      <c r="AE90" s="67" t="n"/>
      <c r="AF90" s="67" t="n"/>
      <c r="AG90" s="67" t="n"/>
      <c r="AH90" s="67" t="n"/>
      <c r="AI90" s="67" t="n"/>
      <c r="AJ90" s="67" t="n"/>
      <c r="AK90" s="67" t="n"/>
    </row>
    <row r="91">
      <c r="B91" s="67" t="n"/>
      <c r="C91" s="67" t="n"/>
      <c r="D91" s="67" t="n"/>
      <c r="E91" s="67" t="n"/>
      <c r="F91" s="67" t="n"/>
      <c r="G91" s="67" t="n"/>
      <c r="H91" s="67" t="n"/>
      <c r="I91" s="67" t="n"/>
      <c r="J91" s="67" t="n"/>
      <c r="K91" s="67" t="n"/>
      <c r="L91" s="67" t="n"/>
      <c r="M91" s="67" t="n"/>
      <c r="N91" s="67" t="n"/>
      <c r="O91" s="67" t="n"/>
      <c r="P91" s="67" t="n"/>
      <c r="Q91" s="67" t="n"/>
      <c r="R91" s="67" t="n"/>
      <c r="S91" s="67" t="n"/>
      <c r="T91" s="67" t="n"/>
      <c r="U91" s="67" t="n"/>
      <c r="V91" s="67" t="n"/>
      <c r="W91" s="67" t="n"/>
      <c r="X91" s="67" t="n"/>
      <c r="Y91" s="67" t="n"/>
      <c r="Z91" s="67" t="n"/>
      <c r="AA91" s="67" t="n"/>
      <c r="AB91" s="67" t="n"/>
      <c r="AC91" s="67" t="n"/>
      <c r="AD91" s="67" t="n"/>
      <c r="AE91" s="67" t="n"/>
      <c r="AF91" s="67" t="n"/>
      <c r="AG91" s="67" t="n"/>
      <c r="AH91" s="67" t="n"/>
      <c r="AI91" s="67" t="n"/>
      <c r="AJ91" s="67" t="n"/>
      <c r="AK91" s="67" t="n"/>
    </row>
    <row r="92">
      <c r="B92" s="67" t="n"/>
      <c r="C92" s="67" t="n"/>
      <c r="D92" s="67" t="n"/>
      <c r="E92" s="67" t="n"/>
      <c r="F92" s="67" t="n"/>
      <c r="G92" s="67" t="n"/>
      <c r="H92" s="67" t="n"/>
      <c r="I92" s="67" t="n"/>
      <c r="J92" s="67" t="n"/>
      <c r="K92" s="67" t="n"/>
      <c r="L92" s="67" t="n"/>
      <c r="M92" s="67" t="n"/>
      <c r="N92" s="67" t="n"/>
      <c r="O92" s="67" t="n"/>
      <c r="P92" s="67" t="n"/>
      <c r="Q92" s="67" t="n"/>
      <c r="R92" s="67" t="n"/>
      <c r="S92" s="67" t="n"/>
      <c r="T92" s="67" t="n"/>
      <c r="U92" s="67" t="n"/>
      <c r="V92" s="67" t="n"/>
      <c r="W92" s="67" t="n"/>
      <c r="X92" s="67" t="n"/>
      <c r="Y92" s="67" t="n"/>
      <c r="Z92" s="67" t="n"/>
      <c r="AA92" s="67" t="n"/>
      <c r="AB92" s="67" t="n"/>
      <c r="AC92" s="67" t="n"/>
      <c r="AD92" s="67" t="n"/>
      <c r="AE92" s="67" t="n"/>
      <c r="AF92" s="67" t="n"/>
      <c r="AG92" s="67" t="n"/>
      <c r="AH92" s="67" t="n"/>
      <c r="AI92" s="67" t="n"/>
      <c r="AJ92" s="67" t="n"/>
      <c r="AK92" s="67" t="n"/>
    </row>
    <row r="93">
      <c r="B93" s="67" t="n"/>
      <c r="C93" s="67" t="n"/>
      <c r="D93" s="67" t="n"/>
      <c r="E93" s="67" t="n"/>
      <c r="F93" s="67" t="n"/>
      <c r="G93" s="67" t="n"/>
      <c r="H93" s="67" t="n"/>
      <c r="I93" s="67" t="n"/>
      <c r="J93" s="67" t="n"/>
      <c r="K93" s="67" t="n"/>
      <c r="L93" s="67" t="n"/>
      <c r="M93" s="67" t="n"/>
      <c r="N93" s="67" t="n"/>
      <c r="O93" s="67" t="n"/>
      <c r="P93" s="67" t="n"/>
      <c r="Q93" s="67" t="n"/>
      <c r="R93" s="67" t="n"/>
      <c r="S93" s="67" t="n"/>
      <c r="T93" s="67" t="n"/>
      <c r="U93" s="67" t="n"/>
      <c r="V93" s="67" t="n"/>
      <c r="W93" s="67" t="n"/>
      <c r="X93" s="67" t="n"/>
      <c r="Y93" s="67" t="n"/>
      <c r="Z93" s="67" t="n"/>
      <c r="AA93" s="67" t="n"/>
      <c r="AB93" s="67" t="n"/>
      <c r="AC93" s="67" t="n"/>
      <c r="AD93" s="67" t="n"/>
      <c r="AE93" s="67" t="n"/>
      <c r="AF93" s="67" t="n"/>
      <c r="AG93" s="67" t="n"/>
      <c r="AH93" s="67" t="n"/>
      <c r="AI93" s="67" t="n"/>
      <c r="AJ93" s="67" t="n"/>
      <c r="AK93" s="67" t="n"/>
    </row>
    <row r="94">
      <c r="B94" s="67" t="n"/>
      <c r="C94" s="67" t="n"/>
      <c r="D94" s="67" t="n"/>
      <c r="E94" s="67" t="n"/>
      <c r="F94" s="67" t="n"/>
      <c r="G94" s="67" t="n"/>
      <c r="H94" s="67" t="n"/>
      <c r="I94" s="67" t="n"/>
      <c r="J94" s="67" t="n"/>
      <c r="K94" s="67" t="n"/>
      <c r="L94" s="67" t="n"/>
      <c r="M94" s="67" t="n"/>
      <c r="N94" s="67" t="n"/>
      <c r="O94" s="67" t="n"/>
      <c r="P94" s="67" t="n"/>
      <c r="Q94" s="67" t="n"/>
      <c r="R94" s="67" t="n"/>
      <c r="S94" s="67" t="n"/>
      <c r="T94" s="67" t="n"/>
      <c r="U94" s="67" t="n"/>
      <c r="V94" s="67" t="n"/>
      <c r="W94" s="67" t="n"/>
      <c r="X94" s="67" t="n"/>
      <c r="Y94" s="67" t="n"/>
      <c r="Z94" s="67" t="n"/>
      <c r="AA94" s="67" t="n"/>
      <c r="AB94" s="67" t="n"/>
      <c r="AC94" s="67" t="n"/>
      <c r="AD94" s="67" t="n"/>
      <c r="AE94" s="67" t="n"/>
      <c r="AF94" s="67" t="n"/>
      <c r="AG94" s="67" t="n"/>
      <c r="AH94" s="67" t="n"/>
      <c r="AI94" s="67" t="n"/>
      <c r="AJ94" s="67" t="n"/>
      <c r="AK94" s="67" t="n"/>
    </row>
    <row r="95">
      <c r="B95" s="67" t="n"/>
      <c r="C95" s="67" t="n"/>
      <c r="D95" s="67" t="n"/>
      <c r="E95" s="67" t="n"/>
      <c r="F95" s="67" t="n"/>
      <c r="G95" s="67" t="n"/>
      <c r="H95" s="67" t="n"/>
      <c r="I95" s="67" t="n"/>
      <c r="J95" s="67" t="n"/>
      <c r="K95" s="67" t="n"/>
      <c r="L95" s="67" t="n"/>
      <c r="M95" s="67" t="n"/>
      <c r="N95" s="67" t="n"/>
      <c r="O95" s="67" t="n"/>
      <c r="P95" s="67" t="n"/>
      <c r="Q95" s="67" t="n"/>
      <c r="R95" s="67" t="n"/>
      <c r="S95" s="67" t="n"/>
      <c r="T95" s="67" t="n"/>
      <c r="U95" s="67" t="n"/>
      <c r="V95" s="67" t="n"/>
      <c r="W95" s="67" t="n"/>
      <c r="X95" s="67" t="n"/>
      <c r="Y95" s="67" t="n"/>
      <c r="Z95" s="67" t="n"/>
      <c r="AA95" s="67" t="n"/>
      <c r="AB95" s="67" t="n"/>
      <c r="AC95" s="67" t="n"/>
      <c r="AD95" s="67" t="n"/>
      <c r="AE95" s="67" t="n"/>
      <c r="AF95" s="67" t="n"/>
      <c r="AG95" s="67" t="n"/>
      <c r="AH95" s="67" t="n"/>
      <c r="AI95" s="67" t="n"/>
      <c r="AJ95" s="67" t="n"/>
      <c r="AK95" s="67" t="n"/>
    </row>
    <row r="96">
      <c r="B96" s="67" t="n"/>
      <c r="C96" s="67" t="n"/>
      <c r="D96" s="67" t="n"/>
      <c r="E96" s="67" t="n"/>
      <c r="F96" s="67" t="n"/>
      <c r="G96" s="67" t="n"/>
      <c r="H96" s="67" t="n"/>
      <c r="I96" s="67" t="n"/>
      <c r="J96" s="67" t="n"/>
      <c r="K96" s="67" t="n"/>
      <c r="L96" s="67" t="n"/>
      <c r="M96" s="67" t="n"/>
      <c r="N96" s="67" t="n"/>
      <c r="O96" s="67" t="n"/>
      <c r="P96" s="67" t="n"/>
      <c r="Q96" s="67" t="n"/>
      <c r="R96" s="67" t="n"/>
      <c r="S96" s="67" t="n"/>
      <c r="T96" s="67" t="n"/>
      <c r="U96" s="67" t="n"/>
      <c r="V96" s="67" t="n"/>
      <c r="W96" s="67" t="n"/>
      <c r="X96" s="67" t="n"/>
      <c r="Y96" s="67" t="n"/>
      <c r="Z96" s="67" t="n"/>
      <c r="AA96" s="67" t="n"/>
      <c r="AB96" s="67" t="n"/>
      <c r="AC96" s="67" t="n"/>
      <c r="AD96" s="67" t="n"/>
      <c r="AE96" s="67" t="n"/>
      <c r="AF96" s="67" t="n"/>
      <c r="AG96" s="67" t="n"/>
      <c r="AH96" s="67" t="n"/>
      <c r="AI96" s="67" t="n"/>
      <c r="AJ96" s="67" t="n"/>
      <c r="AK96" s="67" t="n"/>
    </row>
    <row r="97">
      <c r="B97" s="67" t="n"/>
      <c r="C97" s="67" t="n"/>
      <c r="D97" s="67" t="n"/>
      <c r="E97" s="67" t="n"/>
      <c r="F97" s="67" t="n"/>
      <c r="G97" s="67" t="n"/>
      <c r="H97" s="67" t="n"/>
      <c r="I97" s="67" t="n"/>
      <c r="J97" s="67" t="n"/>
      <c r="K97" s="67" t="n"/>
      <c r="L97" s="67" t="n"/>
      <c r="M97" s="67" t="n"/>
      <c r="N97" s="67" t="n"/>
      <c r="O97" s="67" t="n"/>
      <c r="P97" s="67" t="n"/>
      <c r="Q97" s="67" t="n"/>
      <c r="R97" s="67" t="n"/>
      <c r="S97" s="67" t="n"/>
      <c r="T97" s="67" t="n"/>
      <c r="U97" s="67" t="n"/>
      <c r="V97" s="67" t="n"/>
      <c r="W97" s="67" t="n"/>
      <c r="X97" s="67" t="n"/>
      <c r="Y97" s="67" t="n"/>
      <c r="Z97" s="67" t="n"/>
      <c r="AA97" s="67" t="n"/>
      <c r="AB97" s="67" t="n"/>
      <c r="AC97" s="67" t="n"/>
      <c r="AD97" s="67" t="n"/>
      <c r="AE97" s="67" t="n"/>
      <c r="AF97" s="67" t="n"/>
      <c r="AG97" s="67" t="n"/>
      <c r="AH97" s="67" t="n"/>
      <c r="AI97" s="67" t="n"/>
      <c r="AJ97" s="67" t="n"/>
      <c r="AK97" s="67" t="n"/>
    </row>
    <row r="98">
      <c r="B98" s="67" t="n"/>
      <c r="C98" s="67" t="n"/>
      <c r="D98" s="67" t="n"/>
      <c r="E98" s="67" t="n"/>
      <c r="F98" s="67" t="n"/>
      <c r="G98" s="67" t="n"/>
      <c r="H98" s="67" t="n"/>
      <c r="I98" s="67" t="n"/>
      <c r="J98" s="67" t="n"/>
      <c r="K98" s="67" t="n"/>
      <c r="L98" s="67" t="n"/>
      <c r="M98" s="67" t="n"/>
      <c r="N98" s="67" t="n"/>
      <c r="O98" s="67" t="n"/>
      <c r="P98" s="67" t="n"/>
      <c r="Q98" s="67" t="n"/>
      <c r="R98" s="67" t="n"/>
      <c r="S98" s="67" t="n"/>
      <c r="T98" s="67" t="n"/>
      <c r="U98" s="67" t="n"/>
      <c r="V98" s="67" t="n"/>
      <c r="W98" s="67" t="n"/>
      <c r="X98" s="67" t="n"/>
      <c r="Y98" s="67" t="n"/>
      <c r="Z98" s="67" t="n"/>
      <c r="AA98" s="67" t="n"/>
      <c r="AB98" s="67" t="n"/>
      <c r="AC98" s="67" t="n"/>
      <c r="AD98" s="67" t="n"/>
      <c r="AE98" s="67" t="n"/>
      <c r="AF98" s="67" t="n"/>
      <c r="AG98" s="67" t="n"/>
      <c r="AH98" s="67" t="n"/>
      <c r="AI98" s="67" t="n"/>
      <c r="AJ98" s="67" t="n"/>
      <c r="AK98" s="67" t="n"/>
    </row>
    <row r="99">
      <c r="B99" s="67" t="n"/>
      <c r="C99" s="67" t="n"/>
      <c r="D99" s="67" t="n"/>
      <c r="E99" s="67" t="n"/>
      <c r="F99" s="67" t="n"/>
      <c r="G99" s="67" t="n"/>
      <c r="H99" s="67" t="n"/>
      <c r="I99" s="67" t="n"/>
      <c r="J99" s="67" t="n"/>
      <c r="K99" s="67" t="n"/>
      <c r="L99" s="67" t="n"/>
      <c r="M99" s="67" t="n"/>
      <c r="N99" s="67" t="n"/>
      <c r="O99" s="67" t="n"/>
      <c r="P99" s="67" t="n"/>
      <c r="Q99" s="67" t="n"/>
      <c r="R99" s="67" t="n"/>
      <c r="S99" s="67" t="n"/>
      <c r="T99" s="67" t="n"/>
      <c r="U99" s="67" t="n"/>
      <c r="V99" s="67" t="n"/>
      <c r="W99" s="67" t="n"/>
      <c r="X99" s="67" t="n"/>
      <c r="Y99" s="67" t="n"/>
      <c r="Z99" s="67" t="n"/>
      <c r="AA99" s="67" t="n"/>
      <c r="AB99" s="67" t="n"/>
      <c r="AC99" s="67" t="n"/>
      <c r="AD99" s="67" t="n"/>
      <c r="AE99" s="67" t="n"/>
      <c r="AF99" s="67" t="n"/>
      <c r="AG99" s="67" t="n"/>
      <c r="AH99" s="67" t="n"/>
      <c r="AI99" s="67" t="n"/>
      <c r="AJ99" s="67" t="n"/>
      <c r="AK99" s="67" t="n"/>
    </row>
    <row r="100">
      <c r="B100" s="67" t="n"/>
      <c r="C100" s="67" t="n"/>
      <c r="D100" s="67" t="n"/>
      <c r="E100" s="67" t="n"/>
      <c r="F100" s="67" t="n"/>
      <c r="G100" s="67" t="n"/>
      <c r="H100" s="67" t="n"/>
      <c r="I100" s="67" t="n"/>
      <c r="J100" s="67" t="n"/>
      <c r="K100" s="67" t="n"/>
      <c r="L100" s="67" t="n"/>
      <c r="M100" s="67" t="n"/>
      <c r="N100" s="67" t="n"/>
      <c r="O100" s="67" t="n"/>
      <c r="P100" s="67" t="n"/>
      <c r="Q100" s="67" t="n"/>
      <c r="R100" s="67" t="n"/>
      <c r="S100" s="67" t="n"/>
      <c r="T100" s="67" t="n"/>
      <c r="U100" s="67" t="n"/>
      <c r="V100" s="67" t="n"/>
      <c r="W100" s="67" t="n"/>
      <c r="X100" s="67" t="n"/>
      <c r="Y100" s="67" t="n"/>
      <c r="Z100" s="67" t="n"/>
      <c r="AA100" s="67" t="n"/>
      <c r="AB100" s="67" t="n"/>
      <c r="AC100" s="67" t="n"/>
      <c r="AD100" s="67" t="n"/>
      <c r="AE100" s="67" t="n"/>
      <c r="AF100" s="67" t="n"/>
      <c r="AG100" s="67" t="n"/>
      <c r="AH100" s="67" t="n"/>
      <c r="AI100" s="67" t="n"/>
      <c r="AJ100" s="67" t="n"/>
      <c r="AK100" s="67" t="n"/>
    </row>
    <row r="101">
      <c r="B101" s="67" t="n"/>
      <c r="C101" s="67" t="n"/>
      <c r="D101" s="67" t="n"/>
      <c r="E101" s="67" t="n"/>
      <c r="F101" s="67" t="n"/>
      <c r="G101" s="67" t="n"/>
      <c r="H101" s="67" t="n"/>
      <c r="I101" s="67" t="n"/>
      <c r="J101" s="67" t="n"/>
      <c r="K101" s="67" t="n"/>
      <c r="L101" s="67" t="n"/>
      <c r="M101" s="67" t="n"/>
      <c r="N101" s="67" t="n"/>
      <c r="O101" s="67" t="n"/>
      <c r="P101" s="67" t="n"/>
      <c r="Q101" s="67" t="n"/>
      <c r="R101" s="67" t="n"/>
      <c r="S101" s="67" t="n"/>
      <c r="T101" s="67" t="n"/>
      <c r="U101" s="67" t="n"/>
      <c r="V101" s="67" t="n"/>
      <c r="W101" s="67" t="n"/>
      <c r="X101" s="67" t="n"/>
      <c r="Y101" s="67" t="n"/>
      <c r="Z101" s="67" t="n"/>
      <c r="AA101" s="67" t="n"/>
      <c r="AB101" s="67" t="n"/>
      <c r="AC101" s="67" t="n"/>
      <c r="AD101" s="67" t="n"/>
      <c r="AE101" s="67" t="n"/>
      <c r="AF101" s="67" t="n"/>
      <c r="AG101" s="67" t="n"/>
      <c r="AH101" s="67" t="n"/>
      <c r="AI101" s="67" t="n"/>
      <c r="AJ101" s="67" t="n"/>
      <c r="AK101" s="67" t="n"/>
    </row>
    <row r="102">
      <c r="B102" s="67" t="n"/>
      <c r="C102" s="67" t="n"/>
      <c r="D102" s="67" t="n"/>
      <c r="E102" s="67" t="n"/>
      <c r="F102" s="67" t="n"/>
      <c r="G102" s="67" t="n"/>
      <c r="H102" s="67" t="n"/>
      <c r="I102" s="67" t="n"/>
      <c r="J102" s="67" t="n"/>
      <c r="K102" s="67" t="n"/>
      <c r="L102" s="67" t="n"/>
      <c r="M102" s="67" t="n"/>
      <c r="N102" s="67" t="n"/>
      <c r="O102" s="67" t="n"/>
      <c r="P102" s="67" t="n"/>
      <c r="Q102" s="67" t="n"/>
      <c r="R102" s="67" t="n"/>
      <c r="S102" s="67" t="n"/>
      <c r="T102" s="67" t="n"/>
      <c r="U102" s="67" t="n"/>
      <c r="V102" s="67" t="n"/>
      <c r="W102" s="67" t="n"/>
      <c r="X102" s="67" t="n"/>
      <c r="Y102" s="67" t="n"/>
      <c r="Z102" s="67" t="n"/>
      <c r="AA102" s="67" t="n"/>
      <c r="AB102" s="67" t="n"/>
      <c r="AC102" s="67" t="n"/>
      <c r="AD102" s="67" t="n"/>
      <c r="AE102" s="67" t="n"/>
      <c r="AF102" s="67" t="n"/>
      <c r="AG102" s="67" t="n"/>
      <c r="AH102" s="67" t="n"/>
      <c r="AI102" s="67" t="n"/>
      <c r="AJ102" s="67" t="n"/>
      <c r="AK102" s="67" t="n"/>
    </row>
    <row r="103">
      <c r="B103" s="67" t="n"/>
      <c r="C103" s="67" t="n"/>
      <c r="D103" s="67" t="n"/>
      <c r="E103" s="67" t="n"/>
      <c r="F103" s="67" t="n"/>
      <c r="G103" s="67" t="n"/>
      <c r="H103" s="67" t="n"/>
      <c r="I103" s="67" t="n"/>
      <c r="J103" s="67" t="n"/>
      <c r="K103" s="67" t="n"/>
      <c r="L103" s="67" t="n"/>
      <c r="M103" s="67" t="n"/>
      <c r="N103" s="67" t="n"/>
      <c r="O103" s="67" t="n"/>
      <c r="P103" s="67" t="n"/>
      <c r="Q103" s="67" t="n"/>
      <c r="R103" s="67" t="n"/>
      <c r="S103" s="67" t="n"/>
      <c r="T103" s="67" t="n"/>
      <c r="U103" s="67" t="n"/>
      <c r="V103" s="67" t="n"/>
      <c r="W103" s="67" t="n"/>
      <c r="X103" s="67" t="n"/>
      <c r="Y103" s="67" t="n"/>
      <c r="Z103" s="67" t="n"/>
      <c r="AA103" s="67" t="n"/>
      <c r="AB103" s="67" t="n"/>
      <c r="AC103" s="67" t="n"/>
      <c r="AD103" s="67" t="n"/>
      <c r="AE103" s="67" t="n"/>
      <c r="AF103" s="67" t="n"/>
      <c r="AG103" s="67" t="n"/>
      <c r="AH103" s="67" t="n"/>
      <c r="AI103" s="67" t="n"/>
      <c r="AJ103" s="67" t="n"/>
      <c r="AK103" s="67" t="n"/>
    </row>
    <row r="104">
      <c r="B104" s="67" t="n"/>
      <c r="C104" s="67" t="n"/>
      <c r="D104" s="67" t="n"/>
      <c r="E104" s="67" t="n"/>
      <c r="F104" s="67" t="n"/>
      <c r="G104" s="67" t="n"/>
      <c r="H104" s="67" t="n"/>
      <c r="I104" s="67" t="n"/>
      <c r="J104" s="67" t="n"/>
      <c r="K104" s="67" t="n"/>
      <c r="L104" s="67" t="n"/>
      <c r="M104" s="67" t="n"/>
      <c r="N104" s="67" t="n"/>
      <c r="O104" s="67" t="n"/>
      <c r="P104" s="67" t="n"/>
      <c r="Q104" s="67" t="n"/>
      <c r="R104" s="67" t="n"/>
      <c r="S104" s="67" t="n"/>
      <c r="T104" s="67" t="n"/>
      <c r="U104" s="67" t="n"/>
      <c r="V104" s="67" t="n"/>
      <c r="W104" s="67" t="n"/>
      <c r="X104" s="67" t="n"/>
      <c r="Y104" s="67" t="n"/>
      <c r="Z104" s="67" t="n"/>
      <c r="AA104" s="67" t="n"/>
      <c r="AB104" s="67" t="n"/>
      <c r="AC104" s="67" t="n"/>
      <c r="AD104" s="67" t="n"/>
      <c r="AE104" s="67" t="n"/>
      <c r="AF104" s="67" t="n"/>
      <c r="AG104" s="67" t="n"/>
      <c r="AH104" s="67" t="n"/>
      <c r="AI104" s="67" t="n"/>
      <c r="AJ104" s="67" t="n"/>
      <c r="AK104" s="67" t="n"/>
    </row>
    <row r="105">
      <c r="B105" s="67" t="n"/>
      <c r="C105" s="67" t="n"/>
      <c r="D105" s="67" t="n"/>
      <c r="E105" s="67" t="n"/>
      <c r="F105" s="67" t="n"/>
      <c r="G105" s="67" t="n"/>
      <c r="H105" s="67" t="n"/>
      <c r="I105" s="67" t="n"/>
      <c r="J105" s="67" t="n"/>
      <c r="K105" s="67" t="n"/>
      <c r="L105" s="67" t="n"/>
      <c r="M105" s="67" t="n"/>
      <c r="N105" s="67" t="n"/>
      <c r="O105" s="67" t="n"/>
      <c r="P105" s="67" t="n"/>
      <c r="Q105" s="67" t="n"/>
      <c r="R105" s="67" t="n"/>
      <c r="S105" s="67" t="n"/>
      <c r="T105" s="67" t="n"/>
      <c r="U105" s="67" t="n"/>
      <c r="V105" s="67" t="n"/>
      <c r="W105" s="67" t="n"/>
      <c r="X105" s="67" t="n"/>
      <c r="Y105" s="67" t="n"/>
      <c r="Z105" s="67" t="n"/>
      <c r="AA105" s="67" t="n"/>
      <c r="AB105" s="67" t="n"/>
      <c r="AC105" s="67" t="n"/>
      <c r="AD105" s="67" t="n"/>
      <c r="AE105" s="67" t="n"/>
      <c r="AF105" s="67" t="n"/>
      <c r="AG105" s="67" t="n"/>
      <c r="AH105" s="67" t="n"/>
      <c r="AI105" s="67" t="n"/>
      <c r="AJ105" s="67" t="n"/>
      <c r="AK105" s="67" t="n"/>
    </row>
    <row r="106">
      <c r="B106" s="67" t="n"/>
      <c r="C106" s="67" t="n"/>
      <c r="D106" s="67" t="n"/>
      <c r="E106" s="67" t="n"/>
      <c r="F106" s="67" t="n"/>
      <c r="G106" s="67" t="n"/>
      <c r="H106" s="67" t="n"/>
      <c r="I106" s="67" t="n"/>
      <c r="J106" s="67" t="n"/>
      <c r="K106" s="67" t="n"/>
      <c r="L106" s="67" t="n"/>
      <c r="M106" s="67" t="n"/>
      <c r="N106" s="67" t="n"/>
      <c r="O106" s="67" t="n"/>
      <c r="P106" s="67" t="n"/>
      <c r="Q106" s="67" t="n"/>
      <c r="R106" s="67" t="n"/>
      <c r="S106" s="67" t="n"/>
      <c r="T106" s="67" t="n"/>
      <c r="U106" s="67" t="n"/>
      <c r="V106" s="67" t="n"/>
      <c r="W106" s="67" t="n"/>
      <c r="X106" s="67" t="n"/>
      <c r="Y106" s="67" t="n"/>
      <c r="Z106" s="67" t="n"/>
      <c r="AA106" s="67" t="n"/>
      <c r="AB106" s="67" t="n"/>
      <c r="AC106" s="67" t="n"/>
      <c r="AD106" s="67" t="n"/>
      <c r="AE106" s="67" t="n"/>
      <c r="AF106" s="67" t="n"/>
      <c r="AG106" s="67" t="n"/>
      <c r="AH106" s="67" t="n"/>
      <c r="AI106" s="67" t="n"/>
      <c r="AJ106" s="67" t="n"/>
      <c r="AK106" s="67" t="n"/>
    </row>
    <row r="107">
      <c r="B107" s="67" t="n"/>
      <c r="C107" s="67" t="n"/>
      <c r="D107" s="67" t="n"/>
      <c r="E107" s="67" t="n"/>
      <c r="F107" s="67" t="n"/>
      <c r="G107" s="67" t="n"/>
      <c r="H107" s="67" t="n"/>
      <c r="I107" s="67" t="n"/>
      <c r="J107" s="67" t="n"/>
      <c r="K107" s="67" t="n"/>
      <c r="L107" s="67" t="n"/>
      <c r="M107" s="67" t="n"/>
      <c r="N107" s="67" t="n"/>
      <c r="O107" s="67" t="n"/>
      <c r="P107" s="67" t="n"/>
      <c r="Q107" s="67" t="n"/>
      <c r="R107" s="67" t="n"/>
      <c r="S107" s="67" t="n"/>
      <c r="T107" s="67" t="n"/>
      <c r="U107" s="67" t="n"/>
      <c r="V107" s="67" t="n"/>
      <c r="W107" s="67" t="n"/>
      <c r="X107" s="67" t="n"/>
      <c r="Y107" s="67" t="n"/>
      <c r="Z107" s="67" t="n"/>
      <c r="AA107" s="67" t="n"/>
      <c r="AB107" s="67" t="n"/>
      <c r="AC107" s="67" t="n"/>
      <c r="AD107" s="67" t="n"/>
      <c r="AE107" s="67" t="n"/>
      <c r="AF107" s="67" t="n"/>
      <c r="AG107" s="67" t="n"/>
      <c r="AH107" s="67" t="n"/>
      <c r="AI107" s="67" t="n"/>
      <c r="AJ107" s="67" t="n"/>
      <c r="AK107" s="67" t="n"/>
    </row>
    <row r="108">
      <c r="B108" s="67" t="n"/>
      <c r="C108" s="67" t="n"/>
      <c r="D108" s="67" t="n"/>
      <c r="E108" s="67" t="n"/>
      <c r="F108" s="67" t="n"/>
      <c r="G108" s="67" t="n"/>
      <c r="H108" s="67" t="n"/>
      <c r="I108" s="67" t="n"/>
      <c r="J108" s="67" t="n"/>
      <c r="K108" s="67" t="n"/>
      <c r="L108" s="67" t="n"/>
      <c r="M108" s="67" t="n"/>
      <c r="N108" s="67" t="n"/>
      <c r="O108" s="67" t="n"/>
      <c r="P108" s="67" t="n"/>
      <c r="Q108" s="67" t="n"/>
      <c r="R108" s="67" t="n"/>
      <c r="S108" s="67" t="n"/>
      <c r="T108" s="67" t="n"/>
      <c r="U108" s="67" t="n"/>
      <c r="V108" s="67" t="n"/>
      <c r="W108" s="67" t="n"/>
      <c r="X108" s="67" t="n"/>
      <c r="Y108" s="67" t="n"/>
      <c r="Z108" s="67" t="n"/>
      <c r="AA108" s="67" t="n"/>
      <c r="AB108" s="67" t="n"/>
      <c r="AC108" s="67" t="n"/>
      <c r="AD108" s="67" t="n"/>
      <c r="AE108" s="67" t="n"/>
      <c r="AF108" s="67" t="n"/>
      <c r="AG108" s="67" t="n"/>
      <c r="AH108" s="67" t="n"/>
      <c r="AI108" s="67" t="n"/>
      <c r="AJ108" s="67" t="n"/>
      <c r="AK108" s="67" t="n"/>
    </row>
    <row r="109">
      <c r="B109" s="67" t="n"/>
      <c r="C109" s="67" t="n"/>
      <c r="D109" s="67" t="n"/>
      <c r="E109" s="67" t="n"/>
      <c r="F109" s="67" t="n"/>
      <c r="G109" s="67" t="n"/>
      <c r="H109" s="67" t="n"/>
      <c r="I109" s="67" t="n"/>
      <c r="J109" s="67" t="n"/>
      <c r="K109" s="67" t="n"/>
      <c r="L109" s="67" t="n"/>
      <c r="M109" s="67" t="n"/>
      <c r="N109" s="67" t="n"/>
      <c r="O109" s="67" t="n"/>
      <c r="P109" s="67" t="n"/>
      <c r="Q109" s="67" t="n"/>
      <c r="R109" s="67" t="n"/>
      <c r="S109" s="67" t="n"/>
      <c r="T109" s="67" t="n"/>
      <c r="U109" s="67" t="n"/>
      <c r="V109" s="67" t="n"/>
      <c r="W109" s="67" t="n"/>
      <c r="X109" s="67" t="n"/>
      <c r="Y109" s="67" t="n"/>
      <c r="Z109" s="67" t="n"/>
      <c r="AA109" s="67" t="n"/>
      <c r="AB109" s="67" t="n"/>
      <c r="AC109" s="67" t="n"/>
      <c r="AD109" s="67" t="n"/>
      <c r="AE109" s="67" t="n"/>
      <c r="AF109" s="67" t="n"/>
      <c r="AG109" s="67" t="n"/>
      <c r="AH109" s="67" t="n"/>
      <c r="AI109" s="67" t="n"/>
      <c r="AJ109" s="67" t="n"/>
      <c r="AK109" s="67" t="n"/>
    </row>
    <row r="110">
      <c r="B110" s="67" t="n"/>
      <c r="C110" s="67" t="n"/>
      <c r="D110" s="67" t="n"/>
      <c r="E110" s="67" t="n"/>
      <c r="F110" s="67" t="n"/>
      <c r="G110" s="67" t="n"/>
      <c r="H110" s="67" t="n"/>
      <c r="I110" s="67" t="n"/>
      <c r="J110" s="67" t="n"/>
      <c r="K110" s="67" t="n"/>
      <c r="L110" s="67" t="n"/>
      <c r="M110" s="67" t="n"/>
      <c r="N110" s="67" t="n"/>
      <c r="O110" s="67" t="n"/>
      <c r="P110" s="67" t="n"/>
      <c r="Q110" s="67" t="n"/>
      <c r="R110" s="67" t="n"/>
      <c r="S110" s="67" t="n"/>
      <c r="T110" s="67" t="n"/>
      <c r="U110" s="67" t="n"/>
      <c r="V110" s="67" t="n"/>
      <c r="W110" s="67" t="n"/>
      <c r="X110" s="67" t="n"/>
      <c r="Y110" s="67" t="n"/>
      <c r="Z110" s="67" t="n"/>
      <c r="AA110" s="67" t="n"/>
      <c r="AB110" s="67" t="n"/>
      <c r="AC110" s="67" t="n"/>
      <c r="AD110" s="67" t="n"/>
      <c r="AE110" s="67" t="n"/>
      <c r="AF110" s="67" t="n"/>
      <c r="AG110" s="67" t="n"/>
      <c r="AH110" s="67" t="n"/>
      <c r="AI110" s="67" t="n"/>
      <c r="AJ110" s="67" t="n"/>
      <c r="AK110" s="67" t="n"/>
    </row>
    <row r="111">
      <c r="B111" s="67" t="n"/>
      <c r="C111" s="67" t="n"/>
      <c r="D111" s="67" t="n"/>
      <c r="E111" s="67" t="n"/>
      <c r="F111" s="67" t="n"/>
      <c r="G111" s="67" t="n"/>
      <c r="H111" s="67" t="n"/>
      <c r="I111" s="67" t="n"/>
      <c r="J111" s="67" t="n"/>
      <c r="K111" s="67" t="n"/>
      <c r="L111" s="67" t="n"/>
      <c r="M111" s="67" t="n"/>
      <c r="N111" s="67" t="n"/>
      <c r="O111" s="67" t="n"/>
      <c r="P111" s="67" t="n"/>
      <c r="Q111" s="67" t="n"/>
      <c r="R111" s="67" t="n"/>
      <c r="S111" s="67" t="n"/>
      <c r="T111" s="67" t="n"/>
      <c r="U111" s="67" t="n"/>
      <c r="V111" s="67" t="n"/>
      <c r="W111" s="67" t="n"/>
      <c r="X111" s="67" t="n"/>
      <c r="Y111" s="67" t="n"/>
      <c r="Z111" s="67" t="n"/>
      <c r="AA111" s="67" t="n"/>
      <c r="AB111" s="67" t="n"/>
      <c r="AC111" s="67" t="n"/>
      <c r="AD111" s="67" t="n"/>
      <c r="AE111" s="67" t="n"/>
      <c r="AF111" s="67" t="n"/>
      <c r="AG111" s="67" t="n"/>
      <c r="AH111" s="67" t="n"/>
      <c r="AI111" s="67" t="n"/>
      <c r="AJ111" s="67" t="n"/>
      <c r="AK111" s="67" t="n"/>
    </row>
    <row r="112">
      <c r="B112" s="67" t="n"/>
      <c r="C112" s="67" t="n"/>
      <c r="D112" s="67" t="n"/>
      <c r="E112" s="67" t="n"/>
      <c r="F112" s="67" t="n"/>
      <c r="G112" s="67" t="n"/>
      <c r="H112" s="67" t="n"/>
      <c r="I112" s="67" t="n"/>
      <c r="J112" s="67" t="n"/>
      <c r="K112" s="67" t="n"/>
      <c r="L112" s="67" t="n"/>
      <c r="M112" s="67" t="n"/>
      <c r="N112" s="67" t="n"/>
      <c r="O112" s="67" t="n"/>
      <c r="P112" s="67" t="n"/>
      <c r="Q112" s="67" t="n"/>
      <c r="R112" s="67" t="n"/>
      <c r="S112" s="67" t="n"/>
      <c r="T112" s="67" t="n"/>
      <c r="U112" s="67" t="n"/>
      <c r="V112" s="67" t="n"/>
      <c r="W112" s="67" t="n"/>
      <c r="X112" s="67" t="n"/>
      <c r="Y112" s="67" t="n"/>
      <c r="Z112" s="67" t="n"/>
      <c r="AA112" s="67" t="n"/>
      <c r="AB112" s="67" t="n"/>
      <c r="AC112" s="67" t="n"/>
      <c r="AD112" s="67" t="n"/>
      <c r="AE112" s="67" t="n"/>
      <c r="AF112" s="67" t="n"/>
      <c r="AG112" s="67" t="n"/>
      <c r="AH112" s="67" t="n"/>
      <c r="AI112" s="67" t="n"/>
      <c r="AJ112" s="67" t="n"/>
      <c r="AK112" s="67" t="n"/>
    </row>
    <row r="113">
      <c r="B113" s="67" t="n"/>
      <c r="C113" s="67" t="n"/>
      <c r="D113" s="67" t="n"/>
      <c r="E113" s="67" t="n"/>
      <c r="F113" s="67" t="n"/>
      <c r="G113" s="67" t="n"/>
      <c r="H113" s="67" t="n"/>
      <c r="I113" s="67" t="n"/>
      <c r="J113" s="67" t="n"/>
      <c r="K113" s="67" t="n"/>
      <c r="L113" s="67" t="n"/>
      <c r="M113" s="67" t="n"/>
      <c r="N113" s="67" t="n"/>
      <c r="O113" s="67" t="n"/>
      <c r="P113" s="67" t="n"/>
      <c r="Q113" s="67" t="n"/>
      <c r="R113" s="67" t="n"/>
      <c r="S113" s="67" t="n"/>
      <c r="T113" s="67" t="n"/>
      <c r="U113" s="67" t="n"/>
      <c r="V113" s="67" t="n"/>
      <c r="W113" s="67" t="n"/>
      <c r="X113" s="67" t="n"/>
      <c r="Y113" s="67" t="n"/>
      <c r="Z113" s="67" t="n"/>
      <c r="AA113" s="67" t="n"/>
      <c r="AB113" s="67" t="n"/>
      <c r="AC113" s="67" t="n"/>
      <c r="AD113" s="67" t="n"/>
      <c r="AE113" s="67" t="n"/>
      <c r="AF113" s="67" t="n"/>
      <c r="AG113" s="67" t="n"/>
      <c r="AH113" s="67" t="n"/>
      <c r="AI113" s="67" t="n"/>
      <c r="AJ113" s="67" t="n"/>
      <c r="AK113" s="67" t="n"/>
    </row>
    <row r="114">
      <c r="B114" s="67" t="n"/>
      <c r="C114" s="67" t="n"/>
      <c r="D114" s="67" t="n"/>
      <c r="E114" s="67" t="n"/>
      <c r="F114" s="67" t="n"/>
      <c r="G114" s="67" t="n"/>
      <c r="H114" s="67" t="n"/>
      <c r="I114" s="67" t="n"/>
      <c r="J114" s="67" t="n"/>
      <c r="K114" s="67" t="n"/>
      <c r="L114" s="67" t="n"/>
      <c r="M114" s="67" t="n"/>
      <c r="N114" s="67" t="n"/>
      <c r="O114" s="67" t="n"/>
      <c r="P114" s="67" t="n"/>
      <c r="Q114" s="67" t="n"/>
      <c r="R114" s="67" t="n"/>
      <c r="S114" s="67" t="n"/>
      <c r="T114" s="67" t="n"/>
      <c r="U114" s="67" t="n"/>
      <c r="V114" s="67" t="n"/>
      <c r="W114" s="67" t="n"/>
      <c r="X114" s="67" t="n"/>
      <c r="Y114" s="67" t="n"/>
      <c r="Z114" s="67" t="n"/>
      <c r="AA114" s="67" t="n"/>
      <c r="AB114" s="67" t="n"/>
      <c r="AC114" s="67" t="n"/>
      <c r="AD114" s="67" t="n"/>
      <c r="AE114" s="67" t="n"/>
      <c r="AF114" s="67" t="n"/>
      <c r="AG114" s="67" t="n"/>
      <c r="AH114" s="67" t="n"/>
      <c r="AI114" s="67" t="n"/>
      <c r="AJ114" s="67" t="n"/>
      <c r="AK114" s="67" t="n"/>
    </row>
    <row r="115">
      <c r="B115" s="67" t="n"/>
      <c r="C115" s="67" t="n"/>
      <c r="D115" s="67" t="n"/>
      <c r="E115" s="67" t="n"/>
      <c r="F115" s="67" t="n"/>
      <c r="G115" s="67" t="n"/>
      <c r="H115" s="67" t="n"/>
      <c r="I115" s="67" t="n"/>
      <c r="J115" s="67" t="n"/>
      <c r="K115" s="67" t="n"/>
      <c r="L115" s="67" t="n"/>
      <c r="M115" s="67" t="n"/>
      <c r="N115" s="67" t="n"/>
      <c r="O115" s="67" t="n"/>
      <c r="P115" s="67" t="n"/>
      <c r="Q115" s="67" t="n"/>
      <c r="R115" s="67" t="n"/>
      <c r="S115" s="67" t="n"/>
      <c r="T115" s="67" t="n"/>
      <c r="U115" s="67" t="n"/>
      <c r="V115" s="67" t="n"/>
      <c r="W115" s="67" t="n"/>
      <c r="X115" s="67" t="n"/>
      <c r="Y115" s="67" t="n"/>
      <c r="Z115" s="67" t="n"/>
      <c r="AA115" s="67" t="n"/>
      <c r="AB115" s="67" t="n"/>
      <c r="AC115" s="67" t="n"/>
      <c r="AD115" s="67" t="n"/>
      <c r="AE115" s="67" t="n"/>
      <c r="AF115" s="67" t="n"/>
      <c r="AG115" s="67" t="n"/>
      <c r="AH115" s="67" t="n"/>
      <c r="AI115" s="67" t="n"/>
      <c r="AJ115" s="67" t="n"/>
      <c r="AK115" s="67" t="n"/>
    </row>
    <row r="116">
      <c r="B116" s="67" t="n"/>
      <c r="C116" s="67" t="n"/>
      <c r="D116" s="67" t="n"/>
      <c r="E116" s="67" t="n"/>
      <c r="F116" s="67" t="n"/>
      <c r="G116" s="67" t="n"/>
      <c r="H116" s="67" t="n"/>
      <c r="I116" s="67" t="n"/>
      <c r="J116" s="67" t="n"/>
      <c r="K116" s="67" t="n"/>
      <c r="L116" s="67" t="n"/>
      <c r="M116" s="67" t="n"/>
      <c r="N116" s="67" t="n"/>
      <c r="O116" s="67" t="n"/>
      <c r="P116" s="67" t="n"/>
      <c r="Q116" s="67" t="n"/>
      <c r="R116" s="67" t="n"/>
      <c r="S116" s="67" t="n"/>
      <c r="T116" s="67" t="n"/>
      <c r="U116" s="67" t="n"/>
      <c r="V116" s="67" t="n"/>
      <c r="W116" s="67" t="n"/>
      <c r="X116" s="67" t="n"/>
      <c r="Y116" s="67" t="n"/>
      <c r="Z116" s="67" t="n"/>
      <c r="AA116" s="67" t="n"/>
      <c r="AB116" s="67" t="n"/>
      <c r="AC116" s="67" t="n"/>
      <c r="AD116" s="67" t="n"/>
      <c r="AE116" s="67" t="n"/>
      <c r="AF116" s="67" t="n"/>
      <c r="AG116" s="67" t="n"/>
      <c r="AH116" s="67" t="n"/>
      <c r="AI116" s="67" t="n"/>
      <c r="AJ116" s="67" t="n"/>
      <c r="AK116" s="67" t="n"/>
    </row>
    <row r="117">
      <c r="B117" s="67" t="n"/>
      <c r="C117" s="67" t="n"/>
      <c r="D117" s="67" t="n"/>
      <c r="E117" s="67" t="n"/>
      <c r="F117" s="67" t="n"/>
      <c r="G117" s="67" t="n"/>
      <c r="H117" s="67" t="n"/>
      <c r="I117" s="67" t="n"/>
      <c r="J117" s="67" t="n"/>
      <c r="K117" s="67" t="n"/>
      <c r="L117" s="67" t="n"/>
      <c r="M117" s="67" t="n"/>
      <c r="N117" s="67" t="n"/>
      <c r="O117" s="67" t="n"/>
      <c r="P117" s="67" t="n"/>
      <c r="Q117" s="67" t="n"/>
      <c r="R117" s="67" t="n"/>
      <c r="S117" s="67" t="n"/>
      <c r="T117" s="67" t="n"/>
      <c r="U117" s="67" t="n"/>
      <c r="V117" s="67" t="n"/>
      <c r="W117" s="67" t="n"/>
      <c r="X117" s="67" t="n"/>
      <c r="Y117" s="67" t="n"/>
      <c r="Z117" s="67" t="n"/>
      <c r="AA117" s="67" t="n"/>
      <c r="AB117" s="67" t="n"/>
      <c r="AC117" s="67" t="n"/>
      <c r="AD117" s="67" t="n"/>
      <c r="AE117" s="67" t="n"/>
      <c r="AF117" s="67" t="n"/>
      <c r="AG117" s="67" t="n"/>
      <c r="AH117" s="67" t="n"/>
      <c r="AI117" s="67" t="n"/>
      <c r="AJ117" s="67" t="n"/>
      <c r="AK117" s="67" t="n"/>
    </row>
    <row r="118">
      <c r="B118" s="67" t="n"/>
      <c r="C118" s="67" t="n"/>
      <c r="D118" s="67" t="n"/>
      <c r="E118" s="67" t="n"/>
      <c r="F118" s="67" t="n"/>
      <c r="G118" s="67" t="n"/>
      <c r="H118" s="67" t="n"/>
      <c r="I118" s="67" t="n"/>
      <c r="J118" s="67" t="n"/>
      <c r="K118" s="67" t="n"/>
      <c r="L118" s="67" t="n"/>
      <c r="M118" s="67" t="n"/>
      <c r="N118" s="67" t="n"/>
      <c r="O118" s="67" t="n"/>
      <c r="P118" s="67" t="n"/>
      <c r="Q118" s="67" t="n"/>
      <c r="R118" s="67" t="n"/>
      <c r="S118" s="67" t="n"/>
      <c r="T118" s="67" t="n"/>
      <c r="U118" s="67" t="n"/>
      <c r="V118" s="67" t="n"/>
      <c r="W118" s="67" t="n"/>
      <c r="X118" s="67" t="n"/>
      <c r="Y118" s="67" t="n"/>
      <c r="Z118" s="67" t="n"/>
      <c r="AA118" s="67" t="n"/>
      <c r="AB118" s="67" t="n"/>
      <c r="AC118" s="67" t="n"/>
      <c r="AD118" s="67" t="n"/>
      <c r="AE118" s="67" t="n"/>
      <c r="AF118" s="67" t="n"/>
      <c r="AG118" s="67" t="n"/>
      <c r="AH118" s="67" t="n"/>
      <c r="AI118" s="67" t="n"/>
      <c r="AJ118" s="67" t="n"/>
      <c r="AK118" s="67" t="n"/>
    </row>
    <row r="119">
      <c r="B119" s="67" t="n"/>
      <c r="C119" s="67" t="n"/>
      <c r="D119" s="67" t="n"/>
      <c r="E119" s="67" t="n"/>
      <c r="F119" s="67" t="n"/>
      <c r="G119" s="67" t="n"/>
      <c r="H119" s="67" t="n"/>
      <c r="I119" s="67" t="n"/>
      <c r="J119" s="67" t="n"/>
      <c r="K119" s="67" t="n"/>
      <c r="L119" s="67" t="n"/>
      <c r="M119" s="67" t="n"/>
      <c r="N119" s="67" t="n"/>
      <c r="O119" s="67" t="n"/>
      <c r="P119" s="67" t="n"/>
      <c r="Q119" s="67" t="n"/>
      <c r="R119" s="67" t="n"/>
      <c r="S119" s="67" t="n"/>
      <c r="T119" s="67" t="n"/>
      <c r="U119" s="67" t="n"/>
      <c r="V119" s="67" t="n"/>
      <c r="W119" s="67" t="n"/>
      <c r="X119" s="67" t="n"/>
      <c r="Y119" s="67" t="n"/>
      <c r="Z119" s="67" t="n"/>
      <c r="AA119" s="67" t="n"/>
      <c r="AB119" s="67" t="n"/>
      <c r="AC119" s="67" t="n"/>
      <c r="AD119" s="67" t="n"/>
      <c r="AE119" s="67" t="n"/>
      <c r="AF119" s="67" t="n"/>
      <c r="AG119" s="67" t="n"/>
      <c r="AH119" s="67" t="n"/>
      <c r="AI119" s="67" t="n"/>
      <c r="AJ119" s="67" t="n"/>
      <c r="AK119" s="67" t="n"/>
    </row>
    <row r="120">
      <c r="B120" s="67" t="n"/>
      <c r="C120" s="67" t="n"/>
      <c r="D120" s="67" t="n"/>
      <c r="E120" s="67" t="n"/>
      <c r="F120" s="67" t="n"/>
      <c r="G120" s="67" t="n"/>
      <c r="H120" s="67" t="n"/>
      <c r="I120" s="67" t="n"/>
      <c r="J120" s="67" t="n"/>
      <c r="K120" s="67" t="n"/>
      <c r="L120" s="67" t="n"/>
      <c r="M120" s="67" t="n"/>
      <c r="N120" s="67" t="n"/>
      <c r="O120" s="67" t="n"/>
      <c r="P120" s="67" t="n"/>
      <c r="Q120" s="67" t="n"/>
      <c r="R120" s="67" t="n"/>
      <c r="S120" s="67" t="n"/>
      <c r="T120" s="67" t="n"/>
      <c r="U120" s="67" t="n"/>
      <c r="V120" s="67" t="n"/>
      <c r="W120" s="67" t="n"/>
      <c r="X120" s="67" t="n"/>
      <c r="Y120" s="67" t="n"/>
      <c r="Z120" s="67" t="n"/>
      <c r="AA120" s="67" t="n"/>
      <c r="AB120" s="67" t="n"/>
      <c r="AC120" s="67" t="n"/>
      <c r="AD120" s="67" t="n"/>
      <c r="AE120" s="67" t="n"/>
      <c r="AF120" s="67" t="n"/>
      <c r="AG120" s="67" t="n"/>
      <c r="AH120" s="67" t="n"/>
      <c r="AI120" s="67" t="n"/>
      <c r="AJ120" s="67" t="n"/>
      <c r="AK120" s="67" t="n"/>
    </row>
    <row r="121">
      <c r="B121" s="67" t="n"/>
      <c r="C121" s="67" t="n"/>
      <c r="D121" s="67" t="n"/>
      <c r="E121" s="67" t="n"/>
      <c r="F121" s="67" t="n"/>
      <c r="G121" s="67" t="n"/>
      <c r="H121" s="67" t="n"/>
      <c r="I121" s="67" t="n"/>
      <c r="J121" s="67" t="n"/>
      <c r="K121" s="67" t="n"/>
      <c r="L121" s="67" t="n"/>
      <c r="M121" s="67" t="n"/>
      <c r="N121" s="67" t="n"/>
      <c r="O121" s="67" t="n"/>
      <c r="P121" s="67" t="n"/>
      <c r="Q121" s="67" t="n"/>
      <c r="R121" s="67" t="n"/>
      <c r="S121" s="67" t="n"/>
      <c r="T121" s="67" t="n"/>
      <c r="U121" s="67" t="n"/>
      <c r="V121" s="67" t="n"/>
      <c r="W121" s="67" t="n"/>
      <c r="X121" s="67" t="n"/>
      <c r="Y121" s="67" t="n"/>
      <c r="Z121" s="67" t="n"/>
      <c r="AA121" s="67" t="n"/>
      <c r="AB121" s="67" t="n"/>
      <c r="AC121" s="67" t="n"/>
      <c r="AD121" s="67" t="n"/>
      <c r="AE121" s="67" t="n"/>
      <c r="AF121" s="67" t="n"/>
      <c r="AG121" s="67" t="n"/>
      <c r="AH121" s="67" t="n"/>
      <c r="AI121" s="67" t="n"/>
      <c r="AJ121" s="67" t="n"/>
      <c r="AK121" s="67" t="n"/>
    </row>
    <row r="122">
      <c r="B122" s="67" t="n"/>
      <c r="C122" s="67" t="n"/>
      <c r="D122" s="67" t="n"/>
      <c r="E122" s="67" t="n"/>
      <c r="F122" s="67" t="n"/>
      <c r="G122" s="67" t="n"/>
      <c r="H122" s="67" t="n"/>
      <c r="I122" s="67" t="n"/>
      <c r="J122" s="67" t="n"/>
      <c r="K122" s="67" t="n"/>
      <c r="L122" s="67" t="n"/>
      <c r="M122" s="67" t="n"/>
      <c r="N122" s="67" t="n"/>
      <c r="O122" s="67" t="n"/>
      <c r="P122" s="67" t="n"/>
      <c r="Q122" s="67" t="n"/>
      <c r="R122" s="67" t="n"/>
      <c r="S122" s="67" t="n"/>
      <c r="T122" s="67" t="n"/>
      <c r="U122" s="67" t="n"/>
      <c r="V122" s="67" t="n"/>
      <c r="W122" s="67" t="n"/>
      <c r="X122" s="67" t="n"/>
      <c r="Y122" s="67" t="n"/>
      <c r="Z122" s="67" t="n"/>
      <c r="AA122" s="67" t="n"/>
      <c r="AB122" s="67" t="n"/>
      <c r="AC122" s="67" t="n"/>
      <c r="AD122" s="67" t="n"/>
      <c r="AE122" s="67" t="n"/>
      <c r="AF122" s="67" t="n"/>
      <c r="AG122" s="67" t="n"/>
      <c r="AH122" s="67" t="n"/>
      <c r="AI122" s="67" t="n"/>
      <c r="AJ122" s="67" t="n"/>
      <c r="AK122" s="67" t="n"/>
    </row>
    <row r="123">
      <c r="B123" s="67" t="n"/>
      <c r="C123" s="67" t="n"/>
      <c r="D123" s="67" t="n"/>
      <c r="E123" s="67" t="n"/>
      <c r="F123" s="67" t="n"/>
      <c r="G123" s="67" t="n"/>
      <c r="H123" s="67" t="n"/>
      <c r="I123" s="67" t="n"/>
      <c r="J123" s="67" t="n"/>
      <c r="K123" s="67" t="n"/>
      <c r="L123" s="67" t="n"/>
      <c r="M123" s="67" t="n"/>
      <c r="N123" s="67" t="n"/>
      <c r="O123" s="67" t="n"/>
      <c r="P123" s="67" t="n"/>
      <c r="Q123" s="67" t="n"/>
      <c r="R123" s="67" t="n"/>
      <c r="S123" s="67" t="n"/>
      <c r="T123" s="67" t="n"/>
      <c r="U123" s="67" t="n"/>
      <c r="V123" s="67" t="n"/>
      <c r="W123" s="67" t="n"/>
      <c r="X123" s="67" t="n"/>
      <c r="Y123" s="67" t="n"/>
      <c r="Z123" s="67" t="n"/>
      <c r="AA123" s="67" t="n"/>
      <c r="AB123" s="67" t="n"/>
      <c r="AC123" s="67" t="n"/>
      <c r="AD123" s="67" t="n"/>
      <c r="AE123" s="67" t="n"/>
      <c r="AF123" s="67" t="n"/>
      <c r="AG123" s="67" t="n"/>
      <c r="AH123" s="67" t="n"/>
      <c r="AI123" s="67" t="n"/>
      <c r="AJ123" s="67" t="n"/>
      <c r="AK123" s="67" t="n"/>
    </row>
    <row r="124">
      <c r="B124" s="67" t="n"/>
      <c r="C124" s="67" t="n"/>
      <c r="D124" s="67" t="n"/>
      <c r="E124" s="67" t="n"/>
      <c r="F124" s="67" t="n"/>
      <c r="G124" s="67" t="n"/>
      <c r="H124" s="67" t="n"/>
      <c r="I124" s="67" t="n"/>
      <c r="J124" s="67" t="n"/>
      <c r="K124" s="67" t="n"/>
      <c r="L124" s="67" t="n"/>
      <c r="M124" s="67" t="n"/>
      <c r="N124" s="67" t="n"/>
      <c r="O124" s="67" t="n"/>
      <c r="P124" s="67" t="n"/>
      <c r="Q124" s="67" t="n"/>
      <c r="R124" s="67" t="n"/>
      <c r="S124" s="67" t="n"/>
      <c r="T124" s="67" t="n"/>
      <c r="U124" s="67" t="n"/>
      <c r="V124" s="67" t="n"/>
      <c r="W124" s="67" t="n"/>
      <c r="X124" s="67" t="n"/>
      <c r="Y124" s="67" t="n"/>
      <c r="Z124" s="67" t="n"/>
      <c r="AA124" s="67" t="n"/>
      <c r="AB124" s="67" t="n"/>
      <c r="AC124" s="67" t="n"/>
      <c r="AD124" s="67" t="n"/>
      <c r="AE124" s="67" t="n"/>
      <c r="AF124" s="67" t="n"/>
      <c r="AG124" s="67" t="n"/>
      <c r="AH124" s="67" t="n"/>
      <c r="AI124" s="67" t="n"/>
      <c r="AJ124" s="67" t="n"/>
      <c r="AK124" s="67" t="n"/>
    </row>
    <row r="125">
      <c r="B125" s="67" t="n"/>
      <c r="C125" s="67" t="n"/>
      <c r="D125" s="67" t="n"/>
      <c r="E125" s="67" t="n"/>
      <c r="F125" s="67" t="n"/>
      <c r="G125" s="67" t="n"/>
      <c r="H125" s="67" t="n"/>
      <c r="I125" s="67" t="n"/>
      <c r="J125" s="67" t="n"/>
      <c r="K125" s="67" t="n"/>
      <c r="L125" s="67" t="n"/>
      <c r="M125" s="67" t="n"/>
      <c r="N125" s="67" t="n"/>
      <c r="O125" s="67" t="n"/>
      <c r="P125" s="67" t="n"/>
      <c r="Q125" s="67" t="n"/>
      <c r="R125" s="67" t="n"/>
      <c r="S125" s="67" t="n"/>
      <c r="T125" s="67" t="n"/>
      <c r="U125" s="67" t="n"/>
      <c r="V125" s="67" t="n"/>
      <c r="W125" s="67" t="n"/>
      <c r="X125" s="67" t="n"/>
      <c r="Y125" s="67" t="n"/>
      <c r="Z125" s="67" t="n"/>
      <c r="AA125" s="67" t="n"/>
      <c r="AB125" s="67" t="n"/>
      <c r="AC125" s="67" t="n"/>
      <c r="AD125" s="67" t="n"/>
      <c r="AE125" s="67" t="n"/>
      <c r="AF125" s="67" t="n"/>
      <c r="AG125" s="67" t="n"/>
      <c r="AH125" s="67" t="n"/>
      <c r="AI125" s="67" t="n"/>
      <c r="AJ125" s="67" t="n"/>
      <c r="AK125" s="67" t="n"/>
    </row>
    <row r="126">
      <c r="B126" s="67" t="n"/>
      <c r="C126" s="67" t="n"/>
      <c r="D126" s="67" t="n"/>
      <c r="E126" s="67" t="n"/>
      <c r="F126" s="67" t="n"/>
      <c r="G126" s="67" t="n"/>
      <c r="H126" s="67" t="n"/>
      <c r="I126" s="67" t="n"/>
      <c r="J126" s="67" t="n"/>
      <c r="K126" s="67" t="n"/>
      <c r="L126" s="67" t="n"/>
      <c r="M126" s="67" t="n"/>
      <c r="N126" s="67" t="n"/>
      <c r="O126" s="67" t="n"/>
      <c r="P126" s="67" t="n"/>
      <c r="Q126" s="67" t="n"/>
      <c r="R126" s="67" t="n"/>
      <c r="S126" s="67" t="n"/>
      <c r="T126" s="67" t="n"/>
      <c r="U126" s="67" t="n"/>
      <c r="V126" s="67" t="n"/>
      <c r="W126" s="67" t="n"/>
      <c r="X126" s="67" t="n"/>
      <c r="Y126" s="67" t="n"/>
      <c r="Z126" s="67" t="n"/>
      <c r="AA126" s="67" t="n"/>
      <c r="AB126" s="67" t="n"/>
      <c r="AC126" s="67" t="n"/>
      <c r="AD126" s="67" t="n"/>
      <c r="AE126" s="67" t="n"/>
      <c r="AF126" s="67" t="n"/>
      <c r="AG126" s="67" t="n"/>
      <c r="AH126" s="67" t="n"/>
      <c r="AI126" s="67" t="n"/>
      <c r="AJ126" s="67" t="n"/>
      <c r="AK126" s="67" t="n"/>
    </row>
    <row r="127">
      <c r="B127" s="67" t="n"/>
      <c r="C127" s="67" t="n"/>
      <c r="D127" s="67" t="n"/>
      <c r="E127" s="67" t="n"/>
      <c r="F127" s="67" t="n"/>
      <c r="G127" s="67" t="n"/>
      <c r="H127" s="67" t="n"/>
      <c r="I127" s="67" t="n"/>
      <c r="J127" s="67" t="n"/>
      <c r="K127" s="67" t="n"/>
      <c r="L127" s="67" t="n"/>
      <c r="M127" s="67" t="n"/>
      <c r="N127" s="67" t="n"/>
      <c r="O127" s="67" t="n"/>
      <c r="P127" s="67" t="n"/>
      <c r="Q127" s="67" t="n"/>
      <c r="R127" s="67" t="n"/>
      <c r="S127" s="67" t="n"/>
      <c r="T127" s="67" t="n"/>
      <c r="U127" s="67" t="n"/>
      <c r="V127" s="67" t="n"/>
      <c r="W127" s="67" t="n"/>
      <c r="X127" s="67" t="n"/>
      <c r="Y127" s="67" t="n"/>
      <c r="Z127" s="67" t="n"/>
      <c r="AA127" s="67" t="n"/>
      <c r="AB127" s="67" t="n"/>
      <c r="AC127" s="67" t="n"/>
      <c r="AD127" s="67" t="n"/>
      <c r="AE127" s="67" t="n"/>
      <c r="AF127" s="67" t="n"/>
      <c r="AG127" s="67" t="n"/>
      <c r="AH127" s="67" t="n"/>
      <c r="AI127" s="67" t="n"/>
      <c r="AJ127" s="67" t="n"/>
      <c r="AK127" s="67" t="n"/>
    </row>
    <row r="128">
      <c r="B128" s="67" t="n"/>
      <c r="C128" s="67" t="n"/>
      <c r="D128" s="67" t="n"/>
      <c r="E128" s="67" t="n"/>
      <c r="F128" s="67" t="n"/>
      <c r="G128" s="67" t="n"/>
      <c r="H128" s="67" t="n"/>
      <c r="I128" s="67" t="n"/>
      <c r="J128" s="67" t="n"/>
      <c r="K128" s="67" t="n"/>
      <c r="L128" s="67" t="n"/>
      <c r="M128" s="67" t="n"/>
      <c r="N128" s="67" t="n"/>
      <c r="O128" s="67" t="n"/>
      <c r="P128" s="67" t="n"/>
      <c r="Q128" s="67" t="n"/>
      <c r="R128" s="67" t="n"/>
      <c r="S128" s="67" t="n"/>
      <c r="T128" s="67" t="n"/>
      <c r="U128" s="67" t="n"/>
      <c r="V128" s="67" t="n"/>
      <c r="W128" s="67" t="n"/>
      <c r="X128" s="67" t="n"/>
      <c r="Y128" s="67" t="n"/>
      <c r="Z128" s="67" t="n"/>
      <c r="AA128" s="67" t="n"/>
      <c r="AB128" s="67" t="n"/>
      <c r="AC128" s="67" t="n"/>
      <c r="AD128" s="67" t="n"/>
      <c r="AE128" s="67" t="n"/>
      <c r="AF128" s="67" t="n"/>
      <c r="AG128" s="67" t="n"/>
      <c r="AH128" s="67" t="n"/>
      <c r="AI128" s="67" t="n"/>
      <c r="AJ128" s="67" t="n"/>
      <c r="AK128" s="67" t="n"/>
    </row>
    <row r="129">
      <c r="B129" s="67" t="n"/>
      <c r="C129" s="67" t="n"/>
      <c r="D129" s="67" t="n"/>
      <c r="E129" s="67" t="n"/>
      <c r="F129" s="67" t="n"/>
      <c r="G129" s="67" t="n"/>
      <c r="H129" s="67" t="n"/>
      <c r="I129" s="67" t="n"/>
      <c r="J129" s="67" t="n"/>
      <c r="K129" s="67" t="n"/>
      <c r="L129" s="67" t="n"/>
      <c r="M129" s="67" t="n"/>
      <c r="N129" s="67" t="n"/>
      <c r="O129" s="67" t="n"/>
      <c r="P129" s="67" t="n"/>
      <c r="Q129" s="67" t="n"/>
      <c r="R129" s="67" t="n"/>
      <c r="S129" s="67" t="n"/>
      <c r="T129" s="67" t="n"/>
      <c r="U129" s="67" t="n"/>
      <c r="V129" s="67" t="n"/>
      <c r="W129" s="67" t="n"/>
      <c r="X129" s="67" t="n"/>
      <c r="Y129" s="67" t="n"/>
      <c r="Z129" s="67" t="n"/>
      <c r="AA129" s="67" t="n"/>
      <c r="AB129" s="67" t="n"/>
      <c r="AC129" s="67" t="n"/>
      <c r="AD129" s="67" t="n"/>
      <c r="AE129" s="67" t="n"/>
      <c r="AF129" s="67" t="n"/>
      <c r="AG129" s="67" t="n"/>
      <c r="AH129" s="67" t="n"/>
      <c r="AI129" s="67" t="n"/>
      <c r="AJ129" s="67" t="n"/>
      <c r="AK129" s="67" t="n"/>
    </row>
    <row r="130">
      <c r="B130" s="67" t="n"/>
      <c r="C130" s="67" t="n"/>
      <c r="D130" s="67" t="n"/>
      <c r="E130" s="67" t="n"/>
      <c r="F130" s="67" t="n"/>
      <c r="G130" s="67" t="n"/>
      <c r="H130" s="67" t="n"/>
      <c r="I130" s="67" t="n"/>
      <c r="J130" s="67" t="n"/>
      <c r="K130" s="67" t="n"/>
      <c r="L130" s="67" t="n"/>
      <c r="M130" s="67" t="n"/>
      <c r="N130" s="67" t="n"/>
      <c r="O130" s="67" t="n"/>
      <c r="P130" s="67" t="n"/>
      <c r="Q130" s="67" t="n"/>
      <c r="R130" s="67" t="n"/>
      <c r="S130" s="67" t="n"/>
      <c r="T130" s="67" t="n"/>
      <c r="U130" s="67" t="n"/>
      <c r="V130" s="67" t="n"/>
      <c r="W130" s="67" t="n"/>
      <c r="X130" s="67" t="n"/>
      <c r="Y130" s="67" t="n"/>
      <c r="Z130" s="67" t="n"/>
      <c r="AA130" s="67" t="n"/>
      <c r="AB130" s="67" t="n"/>
      <c r="AC130" s="67" t="n"/>
      <c r="AD130" s="67" t="n"/>
      <c r="AE130" s="67" t="n"/>
      <c r="AF130" s="67" t="n"/>
      <c r="AG130" s="67" t="n"/>
      <c r="AH130" s="67" t="n"/>
      <c r="AI130" s="67" t="n"/>
      <c r="AJ130" s="67" t="n"/>
      <c r="AK130" s="67" t="n"/>
    </row>
    <row r="131">
      <c r="B131" s="67" t="n"/>
      <c r="C131" s="67" t="n"/>
      <c r="D131" s="67" t="n"/>
      <c r="E131" s="67" t="n"/>
      <c r="F131" s="67" t="n"/>
      <c r="G131" s="67" t="n"/>
      <c r="H131" s="67" t="n"/>
      <c r="I131" s="67" t="n"/>
      <c r="J131" s="67" t="n"/>
      <c r="K131" s="67" t="n"/>
      <c r="L131" s="67" t="n"/>
      <c r="M131" s="67" t="n"/>
      <c r="N131" s="67" t="n"/>
      <c r="O131" s="67" t="n"/>
      <c r="P131" s="67" t="n"/>
      <c r="Q131" s="67" t="n"/>
      <c r="R131" s="67" t="n"/>
      <c r="S131" s="67" t="n"/>
      <c r="T131" s="67" t="n"/>
      <c r="U131" s="67" t="n"/>
      <c r="V131" s="67" t="n"/>
      <c r="W131" s="67" t="n"/>
      <c r="X131" s="67" t="n"/>
      <c r="Y131" s="67" t="n"/>
      <c r="Z131" s="67" t="n"/>
      <c r="AA131" s="67" t="n"/>
      <c r="AB131" s="67" t="n"/>
      <c r="AC131" s="67" t="n"/>
      <c r="AD131" s="67" t="n"/>
      <c r="AE131" s="67" t="n"/>
      <c r="AF131" s="67" t="n"/>
      <c r="AG131" s="67" t="n"/>
      <c r="AH131" s="67" t="n"/>
      <c r="AI131" s="67" t="n"/>
      <c r="AJ131" s="67" t="n"/>
      <c r="AK131" s="67" t="n"/>
    </row>
    <row r="132">
      <c r="B132" s="67" t="n"/>
      <c r="C132" s="67" t="n"/>
      <c r="D132" s="67" t="n"/>
      <c r="E132" s="67" t="n"/>
      <c r="F132" s="67" t="n"/>
      <c r="G132" s="67" t="n"/>
      <c r="H132" s="67" t="n"/>
      <c r="I132" s="67" t="n"/>
      <c r="J132" s="67" t="n"/>
      <c r="K132" s="67" t="n"/>
      <c r="L132" s="67" t="n"/>
      <c r="M132" s="67" t="n"/>
      <c r="N132" s="67" t="n"/>
      <c r="O132" s="67" t="n"/>
      <c r="P132" s="67" t="n"/>
      <c r="Q132" s="67" t="n"/>
      <c r="R132" s="67" t="n"/>
      <c r="S132" s="67" t="n"/>
      <c r="T132" s="67" t="n"/>
      <c r="U132" s="67" t="n"/>
      <c r="V132" s="67" t="n"/>
      <c r="W132" s="67" t="n"/>
      <c r="X132" s="67" t="n"/>
      <c r="Y132" s="67" t="n"/>
      <c r="Z132" s="67" t="n"/>
      <c r="AA132" s="67" t="n"/>
      <c r="AB132" s="67" t="n"/>
      <c r="AC132" s="67" t="n"/>
      <c r="AD132" s="67" t="n"/>
      <c r="AE132" s="67" t="n"/>
      <c r="AF132" s="67" t="n"/>
      <c r="AG132" s="67" t="n"/>
      <c r="AH132" s="67" t="n"/>
      <c r="AI132" s="67" t="n"/>
      <c r="AJ132" s="67" t="n"/>
      <c r="AK132" s="67" t="n"/>
    </row>
    <row r="133">
      <c r="B133" s="67" t="n"/>
      <c r="C133" s="67" t="n"/>
      <c r="D133" s="67" t="n"/>
      <c r="E133" s="67" t="n"/>
      <c r="F133" s="67" t="n"/>
      <c r="G133" s="67" t="n"/>
      <c r="H133" s="67" t="n"/>
      <c r="I133" s="67" t="n"/>
      <c r="J133" s="67" t="n"/>
      <c r="K133" s="67" t="n"/>
      <c r="L133" s="67" t="n"/>
      <c r="M133" s="67" t="n"/>
      <c r="N133" s="67" t="n"/>
      <c r="O133" s="67" t="n"/>
      <c r="P133" s="67" t="n"/>
      <c r="Q133" s="67" t="n"/>
      <c r="R133" s="67" t="n"/>
      <c r="S133" s="67" t="n"/>
      <c r="T133" s="67" t="n"/>
      <c r="U133" s="67" t="n"/>
      <c r="V133" s="67" t="n"/>
      <c r="W133" s="67" t="n"/>
      <c r="X133" s="67" t="n"/>
      <c r="Y133" s="67" t="n"/>
      <c r="Z133" s="67" t="n"/>
      <c r="AA133" s="67" t="n"/>
      <c r="AB133" s="67" t="n"/>
      <c r="AC133" s="67" t="n"/>
      <c r="AD133" s="67" t="n"/>
      <c r="AE133" s="67" t="n"/>
      <c r="AF133" s="67" t="n"/>
      <c r="AG133" s="67" t="n"/>
      <c r="AH133" s="67" t="n"/>
      <c r="AI133" s="67" t="n"/>
      <c r="AJ133" s="67" t="n"/>
      <c r="AK133" s="67" t="n"/>
    </row>
    <row r="134">
      <c r="B134" s="67" t="n"/>
      <c r="C134" s="67" t="n"/>
      <c r="D134" s="67" t="n"/>
      <c r="E134" s="67" t="n"/>
      <c r="F134" s="67" t="n"/>
      <c r="G134" s="67" t="n"/>
      <c r="H134" s="67" t="n"/>
      <c r="I134" s="67" t="n"/>
      <c r="J134" s="67" t="n"/>
      <c r="K134" s="67" t="n"/>
      <c r="L134" s="67" t="n"/>
      <c r="M134" s="67" t="n"/>
      <c r="N134" s="67" t="n"/>
      <c r="O134" s="67" t="n"/>
      <c r="P134" s="67" t="n"/>
      <c r="Q134" s="67" t="n"/>
      <c r="R134" s="67" t="n"/>
      <c r="S134" s="67" t="n"/>
      <c r="T134" s="67" t="n"/>
      <c r="U134" s="67" t="n"/>
      <c r="V134" s="67" t="n"/>
      <c r="W134" s="67" t="n"/>
      <c r="X134" s="67" t="n"/>
      <c r="Y134" s="67" t="n"/>
      <c r="Z134" s="67" t="n"/>
      <c r="AA134" s="67" t="n"/>
      <c r="AB134" s="67" t="n"/>
      <c r="AC134" s="67" t="n"/>
      <c r="AD134" s="67" t="n"/>
      <c r="AE134" s="67" t="n"/>
      <c r="AF134" s="67" t="n"/>
      <c r="AG134" s="67" t="n"/>
      <c r="AH134" s="67" t="n"/>
      <c r="AI134" s="67" t="n"/>
      <c r="AJ134" s="67" t="n"/>
      <c r="AK134" s="67" t="n"/>
    </row>
    <row r="135">
      <c r="B135" s="67" t="n"/>
      <c r="C135" s="67" t="n"/>
      <c r="D135" s="67" t="n"/>
      <c r="E135" s="67" t="n"/>
      <c r="F135" s="67" t="n"/>
      <c r="G135" s="67" t="n"/>
      <c r="H135" s="67" t="n"/>
      <c r="I135" s="67" t="n"/>
      <c r="J135" s="67" t="n"/>
      <c r="K135" s="67" t="n"/>
      <c r="L135" s="67" t="n"/>
      <c r="M135" s="67" t="n"/>
      <c r="N135" s="67" t="n"/>
      <c r="O135" s="67" t="n"/>
      <c r="P135" s="67" t="n"/>
      <c r="Q135" s="67" t="n"/>
      <c r="R135" s="67" t="n"/>
      <c r="S135" s="67" t="n"/>
      <c r="T135" s="67" t="n"/>
      <c r="U135" s="67" t="n"/>
      <c r="V135" s="67" t="n"/>
      <c r="W135" s="67" t="n"/>
      <c r="X135" s="67" t="n"/>
      <c r="Y135" s="67" t="n"/>
      <c r="Z135" s="67" t="n"/>
      <c r="AA135" s="67" t="n"/>
      <c r="AB135" s="67" t="n"/>
      <c r="AC135" s="67" t="n"/>
      <c r="AD135" s="67" t="n"/>
      <c r="AE135" s="67" t="n"/>
      <c r="AF135" s="67" t="n"/>
      <c r="AG135" s="67" t="n"/>
      <c r="AH135" s="67" t="n"/>
      <c r="AI135" s="67" t="n"/>
      <c r="AJ135" s="67" t="n"/>
      <c r="AK135" s="67" t="n"/>
    </row>
    <row r="136">
      <c r="B136" s="67" t="n"/>
      <c r="C136" s="67" t="n"/>
      <c r="D136" s="67" t="n"/>
      <c r="E136" s="67" t="n"/>
      <c r="F136" s="67" t="n"/>
      <c r="G136" s="67" t="n"/>
      <c r="H136" s="67" t="n"/>
      <c r="I136" s="67" t="n"/>
      <c r="J136" s="67" t="n"/>
      <c r="K136" s="67" t="n"/>
      <c r="L136" s="67" t="n"/>
      <c r="M136" s="67" t="n"/>
      <c r="N136" s="67" t="n"/>
      <c r="O136" s="67" t="n"/>
      <c r="P136" s="67" t="n"/>
      <c r="Q136" s="67" t="n"/>
      <c r="R136" s="67" t="n"/>
      <c r="S136" s="67" t="n"/>
      <c r="T136" s="67" t="n"/>
      <c r="U136" s="67" t="n"/>
      <c r="V136" s="67" t="n"/>
      <c r="W136" s="67" t="n"/>
      <c r="X136" s="67" t="n"/>
      <c r="Y136" s="67" t="n"/>
      <c r="Z136" s="67" t="n"/>
      <c r="AA136" s="67" t="n"/>
      <c r="AB136" s="67" t="n"/>
      <c r="AC136" s="67" t="n"/>
      <c r="AD136" s="67" t="n"/>
      <c r="AE136" s="67" t="n"/>
      <c r="AF136" s="67" t="n"/>
      <c r="AG136" s="67" t="n"/>
      <c r="AH136" s="67" t="n"/>
      <c r="AI136" s="67" t="n"/>
      <c r="AJ136" s="67" t="n"/>
      <c r="AK136" s="67" t="n"/>
    </row>
    <row r="137">
      <c r="B137" s="67" t="n"/>
      <c r="C137" s="67" t="n"/>
      <c r="D137" s="67" t="n"/>
      <c r="E137" s="67" t="n"/>
      <c r="F137" s="67" t="n"/>
      <c r="G137" s="67" t="n"/>
      <c r="H137" s="67" t="n"/>
      <c r="I137" s="67" t="n"/>
      <c r="J137" s="67" t="n"/>
      <c r="K137" s="67" t="n"/>
      <c r="L137" s="67" t="n"/>
      <c r="M137" s="67" t="n"/>
      <c r="N137" s="67" t="n"/>
      <c r="O137" s="67" t="n"/>
      <c r="P137" s="67" t="n"/>
      <c r="Q137" s="67" t="n"/>
      <c r="R137" s="67" t="n"/>
      <c r="S137" s="67" t="n"/>
      <c r="T137" s="67" t="n"/>
      <c r="U137" s="67" t="n"/>
      <c r="V137" s="67" t="n"/>
      <c r="W137" s="67" t="n"/>
      <c r="X137" s="67" t="n"/>
      <c r="Y137" s="67" t="n"/>
      <c r="Z137" s="67" t="n"/>
      <c r="AA137" s="67" t="n"/>
      <c r="AB137" s="67" t="n"/>
      <c r="AC137" s="67" t="n"/>
      <c r="AD137" s="67" t="n"/>
      <c r="AE137" s="67" t="n"/>
      <c r="AF137" s="67" t="n"/>
      <c r="AG137" s="67" t="n"/>
      <c r="AH137" s="67" t="n"/>
      <c r="AI137" s="67" t="n"/>
      <c r="AJ137" s="67" t="n"/>
      <c r="AK137" s="67" t="n"/>
    </row>
    <row r="138">
      <c r="B138" s="67" t="n"/>
      <c r="C138" s="67" t="n"/>
      <c r="D138" s="67" t="n"/>
      <c r="E138" s="67" t="n"/>
      <c r="F138" s="67" t="n"/>
      <c r="G138" s="67" t="n"/>
      <c r="H138" s="67" t="n"/>
      <c r="I138" s="67" t="n"/>
      <c r="J138" s="67" t="n"/>
      <c r="K138" s="67" t="n"/>
      <c r="L138" s="67" t="n"/>
      <c r="M138" s="67" t="n"/>
      <c r="N138" s="67" t="n"/>
      <c r="O138" s="67" t="n"/>
      <c r="P138" s="67" t="n"/>
      <c r="Q138" s="67" t="n"/>
      <c r="R138" s="67" t="n"/>
      <c r="S138" s="67" t="n"/>
      <c r="T138" s="67" t="n"/>
      <c r="U138" s="67" t="n"/>
      <c r="V138" s="67" t="n"/>
      <c r="W138" s="67" t="n"/>
      <c r="X138" s="67" t="n"/>
      <c r="Y138" s="67" t="n"/>
      <c r="Z138" s="67" t="n"/>
      <c r="AA138" s="67" t="n"/>
      <c r="AB138" s="67" t="n"/>
      <c r="AC138" s="67" t="n"/>
      <c r="AD138" s="67" t="n"/>
      <c r="AE138" s="67" t="n"/>
      <c r="AF138" s="67" t="n"/>
      <c r="AG138" s="67" t="n"/>
      <c r="AH138" s="67" t="n"/>
      <c r="AI138" s="67" t="n"/>
      <c r="AJ138" s="67" t="n"/>
      <c r="AK138" s="67" t="n"/>
    </row>
    <row r="139">
      <c r="B139" s="67" t="n"/>
      <c r="C139" s="67" t="n"/>
      <c r="D139" s="67" t="n"/>
      <c r="E139" s="67" t="n"/>
      <c r="F139" s="67" t="n"/>
      <c r="G139" s="67" t="n"/>
      <c r="H139" s="67" t="n"/>
      <c r="I139" s="67" t="n"/>
      <c r="J139" s="67" t="n"/>
      <c r="K139" s="67" t="n"/>
      <c r="L139" s="67" t="n"/>
      <c r="M139" s="67" t="n"/>
      <c r="N139" s="67" t="n"/>
      <c r="O139" s="67" t="n"/>
      <c r="P139" s="67" t="n"/>
      <c r="Q139" s="67" t="n"/>
      <c r="R139" s="67" t="n"/>
      <c r="S139" s="67" t="n"/>
      <c r="T139" s="67" t="n"/>
      <c r="U139" s="67" t="n"/>
      <c r="V139" s="67" t="n"/>
      <c r="W139" s="67" t="n"/>
      <c r="X139" s="67" t="n"/>
      <c r="Y139" s="67" t="n"/>
      <c r="Z139" s="67" t="n"/>
      <c r="AA139" s="67" t="n"/>
      <c r="AB139" s="67" t="n"/>
      <c r="AC139" s="67" t="n"/>
      <c r="AD139" s="67" t="n"/>
      <c r="AE139" s="67" t="n"/>
      <c r="AF139" s="67" t="n"/>
      <c r="AG139" s="67" t="n"/>
      <c r="AH139" s="67" t="n"/>
      <c r="AI139" s="67" t="n"/>
      <c r="AJ139" s="67" t="n"/>
      <c r="AK139" s="67" t="n"/>
    </row>
    <row r="140">
      <c r="B140" s="67" t="n"/>
      <c r="C140" s="67" t="n"/>
      <c r="D140" s="67" t="n"/>
      <c r="E140" s="67" t="n"/>
      <c r="F140" s="67" t="n"/>
      <c r="G140" s="67" t="n"/>
      <c r="H140" s="67" t="n"/>
      <c r="I140" s="67" t="n"/>
      <c r="J140" s="67" t="n"/>
      <c r="K140" s="67" t="n"/>
      <c r="L140" s="67" t="n"/>
      <c r="M140" s="67" t="n"/>
      <c r="N140" s="67" t="n"/>
      <c r="O140" s="67" t="n"/>
      <c r="P140" s="67" t="n"/>
      <c r="Q140" s="67" t="n"/>
      <c r="R140" s="67" t="n"/>
      <c r="S140" s="67" t="n"/>
      <c r="T140" s="67" t="n"/>
      <c r="U140" s="67" t="n"/>
      <c r="V140" s="67" t="n"/>
      <c r="W140" s="67" t="n"/>
      <c r="X140" s="67" t="n"/>
      <c r="Y140" s="67" t="n"/>
      <c r="Z140" s="67" t="n"/>
      <c r="AA140" s="67" t="n"/>
      <c r="AB140" s="67" t="n"/>
      <c r="AC140" s="67" t="n"/>
      <c r="AD140" s="67" t="n"/>
      <c r="AE140" s="67" t="n"/>
      <c r="AF140" s="67" t="n"/>
      <c r="AG140" s="67" t="n"/>
      <c r="AH140" s="67" t="n"/>
      <c r="AI140" s="67" t="n"/>
      <c r="AJ140" s="67" t="n"/>
      <c r="AK140" s="67" t="n"/>
    </row>
    <row r="141">
      <c r="B141" s="67" t="n"/>
      <c r="C141" s="67" t="n"/>
      <c r="D141" s="67" t="n"/>
      <c r="E141" s="67" t="n"/>
      <c r="F141" s="67" t="n"/>
      <c r="G141" s="67" t="n"/>
      <c r="H141" s="67" t="n"/>
      <c r="I141" s="67" t="n"/>
      <c r="J141" s="67" t="n"/>
      <c r="K141" s="67" t="n"/>
      <c r="L141" s="67" t="n"/>
      <c r="M141" s="67" t="n"/>
      <c r="N141" s="67" t="n"/>
      <c r="O141" s="67" t="n"/>
      <c r="P141" s="67" t="n"/>
      <c r="Q141" s="67" t="n"/>
      <c r="R141" s="67" t="n"/>
      <c r="S141" s="67" t="n"/>
      <c r="T141" s="67" t="n"/>
      <c r="U141" s="67" t="n"/>
      <c r="V141" s="67" t="n"/>
      <c r="W141" s="67" t="n"/>
      <c r="X141" s="67" t="n"/>
      <c r="Y141" s="67" t="n"/>
      <c r="Z141" s="67" t="n"/>
      <c r="AA141" s="67" t="n"/>
      <c r="AB141" s="67" t="n"/>
      <c r="AC141" s="67" t="n"/>
      <c r="AD141" s="67" t="n"/>
      <c r="AE141" s="67" t="n"/>
      <c r="AF141" s="67" t="n"/>
      <c r="AG141" s="67" t="n"/>
      <c r="AH141" s="67" t="n"/>
      <c r="AI141" s="67" t="n"/>
      <c r="AJ141" s="67" t="n"/>
      <c r="AK141" s="67" t="n"/>
    </row>
    <row r="142">
      <c r="B142" s="67" t="n"/>
      <c r="C142" s="67" t="n"/>
      <c r="D142" s="67" t="n"/>
      <c r="E142" s="67" t="n"/>
      <c r="F142" s="67" t="n"/>
      <c r="G142" s="67" t="n"/>
      <c r="H142" s="67" t="n"/>
      <c r="I142" s="67" t="n"/>
      <c r="J142" s="67" t="n"/>
      <c r="K142" s="67" t="n"/>
      <c r="L142" s="67" t="n"/>
      <c r="M142" s="67" t="n"/>
      <c r="N142" s="67" t="n"/>
      <c r="O142" s="67" t="n"/>
      <c r="P142" s="67" t="n"/>
      <c r="Q142" s="67" t="n"/>
      <c r="R142" s="67" t="n"/>
      <c r="S142" s="67" t="n"/>
      <c r="T142" s="67" t="n"/>
      <c r="U142" s="67" t="n"/>
      <c r="V142" s="67" t="n"/>
      <c r="W142" s="67" t="n"/>
      <c r="X142" s="67" t="n"/>
      <c r="Y142" s="67" t="n"/>
      <c r="Z142" s="67" t="n"/>
      <c r="AA142" s="67" t="n"/>
      <c r="AB142" s="67" t="n"/>
      <c r="AC142" s="67" t="n"/>
      <c r="AD142" s="67" t="n"/>
      <c r="AE142" s="67" t="n"/>
      <c r="AF142" s="67" t="n"/>
      <c r="AG142" s="67" t="n"/>
      <c r="AH142" s="67" t="n"/>
      <c r="AI142" s="67" t="n"/>
      <c r="AJ142" s="67" t="n"/>
      <c r="AK142" s="67" t="n"/>
    </row>
    <row r="143">
      <c r="B143" s="67" t="n"/>
      <c r="C143" s="67" t="n"/>
      <c r="D143" s="67" t="n"/>
      <c r="E143" s="67" t="n"/>
      <c r="F143" s="67" t="n"/>
      <c r="G143" s="67" t="n"/>
      <c r="H143" s="67" t="n"/>
      <c r="I143" s="67" t="n"/>
      <c r="J143" s="67" t="n"/>
      <c r="K143" s="67" t="n"/>
      <c r="L143" s="67" t="n"/>
      <c r="M143" s="67" t="n"/>
      <c r="N143" s="67" t="n"/>
      <c r="O143" s="67" t="n"/>
      <c r="P143" s="67" t="n"/>
      <c r="Q143" s="67" t="n"/>
      <c r="R143" s="67" t="n"/>
      <c r="S143" s="67" t="n"/>
      <c r="T143" s="67" t="n"/>
      <c r="U143" s="67" t="n"/>
      <c r="V143" s="67" t="n"/>
      <c r="W143" s="67" t="n"/>
      <c r="X143" s="67" t="n"/>
      <c r="Y143" s="67" t="n"/>
      <c r="Z143" s="67" t="n"/>
      <c r="AA143" s="67" t="n"/>
      <c r="AB143" s="67" t="n"/>
      <c r="AC143" s="67" t="n"/>
      <c r="AD143" s="67" t="n"/>
      <c r="AE143" s="67" t="n"/>
      <c r="AF143" s="67" t="n"/>
      <c r="AG143" s="67" t="n"/>
      <c r="AH143" s="67" t="n"/>
      <c r="AI143" s="67" t="n"/>
      <c r="AJ143" s="67" t="n"/>
      <c r="AK143" s="67" t="n"/>
    </row>
    <row r="144">
      <c r="B144" s="67" t="n"/>
      <c r="C144" s="67" t="n"/>
      <c r="D144" s="67" t="n"/>
      <c r="E144" s="67" t="n"/>
      <c r="F144" s="67" t="n"/>
      <c r="G144" s="67" t="n"/>
      <c r="H144" s="67" t="n"/>
      <c r="I144" s="67" t="n"/>
      <c r="J144" s="67" t="n"/>
      <c r="K144" s="67" t="n"/>
      <c r="L144" s="67" t="n"/>
      <c r="M144" s="67" t="n"/>
      <c r="N144" s="67" t="n"/>
      <c r="O144" s="67" t="n"/>
      <c r="P144" s="67" t="n"/>
      <c r="Q144" s="67" t="n"/>
      <c r="R144" s="67" t="n"/>
      <c r="S144" s="67" t="n"/>
      <c r="T144" s="67" t="n"/>
      <c r="U144" s="67" t="n"/>
      <c r="V144" s="67" t="n"/>
      <c r="W144" s="67" t="n"/>
      <c r="X144" s="67" t="n"/>
      <c r="Y144" s="67" t="n"/>
      <c r="Z144" s="67" t="n"/>
      <c r="AA144" s="67" t="n"/>
      <c r="AB144" s="67" t="n"/>
      <c r="AC144" s="67" t="n"/>
      <c r="AD144" s="67" t="n"/>
      <c r="AE144" s="67" t="n"/>
      <c r="AF144" s="67" t="n"/>
      <c r="AG144" s="67" t="n"/>
      <c r="AH144" s="67" t="n"/>
      <c r="AI144" s="67" t="n"/>
      <c r="AJ144" s="67" t="n"/>
      <c r="AK144" s="67" t="n"/>
    </row>
    <row r="145">
      <c r="B145" s="67" t="n"/>
      <c r="C145" s="67" t="n"/>
      <c r="D145" s="67" t="n"/>
      <c r="E145" s="67" t="n"/>
      <c r="F145" s="67" t="n"/>
      <c r="G145" s="67" t="n"/>
      <c r="H145" s="67" t="n"/>
      <c r="I145" s="67" t="n"/>
      <c r="J145" s="67" t="n"/>
      <c r="K145" s="67" t="n"/>
      <c r="L145" s="67" t="n"/>
      <c r="M145" s="67" t="n"/>
      <c r="N145" s="67" t="n"/>
      <c r="O145" s="67" t="n"/>
      <c r="P145" s="67" t="n"/>
      <c r="Q145" s="67" t="n"/>
      <c r="R145" s="67" t="n"/>
      <c r="S145" s="67" t="n"/>
      <c r="T145" s="67" t="n"/>
      <c r="U145" s="67" t="n"/>
      <c r="V145" s="67" t="n"/>
      <c r="W145" s="67" t="n"/>
      <c r="X145" s="67" t="n"/>
      <c r="Y145" s="67" t="n"/>
      <c r="Z145" s="67" t="n"/>
      <c r="AA145" s="67" t="n"/>
      <c r="AB145" s="67" t="n"/>
      <c r="AC145" s="67" t="n"/>
      <c r="AD145" s="67" t="n"/>
      <c r="AE145" s="67" t="n"/>
      <c r="AF145" s="67" t="n"/>
      <c r="AG145" s="67" t="n"/>
      <c r="AH145" s="67" t="n"/>
      <c r="AI145" s="67" t="n"/>
      <c r="AJ145" s="67" t="n"/>
      <c r="AK145" s="67" t="n"/>
    </row>
    <row r="146">
      <c r="B146" s="67" t="n"/>
      <c r="C146" s="67" t="n"/>
      <c r="D146" s="67" t="n"/>
      <c r="E146" s="67" t="n"/>
      <c r="F146" s="67" t="n"/>
      <c r="G146" s="67" t="n"/>
      <c r="H146" s="67" t="n"/>
      <c r="I146" s="67" t="n"/>
      <c r="J146" s="67" t="n"/>
      <c r="K146" s="67" t="n"/>
      <c r="L146" s="67" t="n"/>
      <c r="M146" s="67" t="n"/>
      <c r="N146" s="67" t="n"/>
      <c r="O146" s="67" t="n"/>
      <c r="P146" s="67" t="n"/>
      <c r="Q146" s="67" t="n"/>
      <c r="R146" s="67" t="n"/>
      <c r="S146" s="67" t="n"/>
      <c r="T146" s="67" t="n"/>
      <c r="U146" s="67" t="n"/>
      <c r="V146" s="67" t="n"/>
      <c r="W146" s="67" t="n"/>
      <c r="X146" s="67" t="n"/>
      <c r="Y146" s="67" t="n"/>
      <c r="Z146" s="67" t="n"/>
      <c r="AA146" s="67" t="n"/>
      <c r="AB146" s="67" t="n"/>
      <c r="AC146" s="67" t="n"/>
      <c r="AD146" s="67" t="n"/>
      <c r="AE146" s="67" t="n"/>
      <c r="AF146" s="67" t="n"/>
      <c r="AG146" s="67" t="n"/>
      <c r="AH146" s="67" t="n"/>
      <c r="AI146" s="67" t="n"/>
      <c r="AJ146" s="67" t="n"/>
      <c r="AK146" s="67" t="n"/>
    </row>
    <row r="147">
      <c r="B147" s="67" t="n"/>
      <c r="C147" s="67" t="n"/>
      <c r="D147" s="67" t="n"/>
      <c r="E147" s="67" t="n"/>
      <c r="F147" s="67" t="n"/>
      <c r="G147" s="67" t="n"/>
      <c r="H147" s="67" t="n"/>
      <c r="I147" s="67" t="n"/>
      <c r="J147" s="67" t="n"/>
      <c r="K147" s="67" t="n"/>
      <c r="L147" s="67" t="n"/>
      <c r="M147" s="67" t="n"/>
      <c r="N147" s="67" t="n"/>
      <c r="O147" s="67" t="n"/>
      <c r="P147" s="67" t="n"/>
      <c r="Q147" s="67" t="n"/>
      <c r="R147" s="67" t="n"/>
      <c r="S147" s="67" t="n"/>
      <c r="T147" s="67" t="n"/>
      <c r="U147" s="67" t="n"/>
      <c r="V147" s="67" t="n"/>
      <c r="W147" s="67" t="n"/>
      <c r="X147" s="67" t="n"/>
      <c r="Y147" s="67" t="n"/>
      <c r="Z147" s="67" t="n"/>
      <c r="AA147" s="67" t="n"/>
      <c r="AB147" s="67" t="n"/>
      <c r="AC147" s="67" t="n"/>
      <c r="AD147" s="67" t="n"/>
      <c r="AE147" s="67" t="n"/>
      <c r="AF147" s="67" t="n"/>
      <c r="AG147" s="67" t="n"/>
      <c r="AH147" s="67" t="n"/>
      <c r="AI147" s="67" t="n"/>
      <c r="AJ147" s="67" t="n"/>
      <c r="AK147" s="67" t="n"/>
    </row>
    <row r="148">
      <c r="B148" s="67" t="n"/>
      <c r="C148" s="67" t="n"/>
      <c r="D148" s="67" t="n"/>
      <c r="E148" s="67" t="n"/>
      <c r="F148" s="67" t="n"/>
      <c r="G148" s="67" t="n"/>
      <c r="H148" s="67" t="n"/>
      <c r="I148" s="67" t="n"/>
      <c r="J148" s="67" t="n"/>
      <c r="K148" s="67" t="n"/>
      <c r="L148" s="67" t="n"/>
      <c r="M148" s="67" t="n"/>
      <c r="N148" s="67" t="n"/>
      <c r="O148" s="67" t="n"/>
      <c r="P148" s="67" t="n"/>
      <c r="Q148" s="67" t="n"/>
      <c r="R148" s="67" t="n"/>
      <c r="S148" s="67" t="n"/>
      <c r="T148" s="67" t="n"/>
      <c r="U148" s="67" t="n"/>
      <c r="V148" s="67" t="n"/>
      <c r="W148" s="67" t="n"/>
      <c r="X148" s="67" t="n"/>
      <c r="Y148" s="67" t="n"/>
      <c r="Z148" s="67" t="n"/>
      <c r="AA148" s="67" t="n"/>
      <c r="AB148" s="67" t="n"/>
      <c r="AC148" s="67" t="n"/>
      <c r="AD148" s="67" t="n"/>
      <c r="AE148" s="67" t="n"/>
      <c r="AF148" s="67" t="n"/>
      <c r="AG148" s="67" t="n"/>
      <c r="AH148" s="67" t="n"/>
      <c r="AI148" s="67" t="n"/>
      <c r="AJ148" s="67" t="n"/>
      <c r="AK148" s="67" t="n"/>
    </row>
    <row r="149">
      <c r="B149" s="67" t="n"/>
      <c r="C149" s="67" t="n"/>
      <c r="D149" s="67" t="n"/>
      <c r="E149" s="67" t="n"/>
      <c r="F149" s="67" t="n"/>
      <c r="G149" s="67" t="n"/>
      <c r="H149" s="67" t="n"/>
      <c r="I149" s="67" t="n"/>
      <c r="J149" s="67" t="n"/>
      <c r="K149" s="67" t="n"/>
      <c r="L149" s="67" t="n"/>
      <c r="M149" s="67" t="n"/>
      <c r="N149" s="67" t="n"/>
      <c r="O149" s="67" t="n"/>
      <c r="P149" s="67" t="n"/>
      <c r="Q149" s="67" t="n"/>
      <c r="R149" s="67" t="n"/>
      <c r="S149" s="67" t="n"/>
      <c r="T149" s="67" t="n"/>
      <c r="U149" s="67" t="n"/>
      <c r="V149" s="67" t="n"/>
      <c r="W149" s="67" t="n"/>
      <c r="X149" s="67" t="n"/>
      <c r="Y149" s="67" t="n"/>
      <c r="Z149" s="67" t="n"/>
      <c r="AA149" s="67" t="n"/>
      <c r="AB149" s="67" t="n"/>
      <c r="AC149" s="67" t="n"/>
      <c r="AD149" s="67" t="n"/>
      <c r="AE149" s="67" t="n"/>
      <c r="AF149" s="67" t="n"/>
      <c r="AG149" s="67" t="n"/>
      <c r="AH149" s="67" t="n"/>
      <c r="AI149" s="67" t="n"/>
      <c r="AJ149" s="67" t="n"/>
      <c r="AK149" s="67" t="n"/>
    </row>
    <row r="150">
      <c r="B150" s="67" t="n"/>
      <c r="C150" s="67" t="n"/>
      <c r="D150" s="67" t="n"/>
      <c r="E150" s="67" t="n"/>
      <c r="F150" s="67" t="n"/>
      <c r="G150" s="67" t="n"/>
      <c r="H150" s="67" t="n"/>
      <c r="I150" s="67" t="n"/>
      <c r="J150" s="67" t="n"/>
      <c r="K150" s="67" t="n"/>
      <c r="L150" s="67" t="n"/>
      <c r="M150" s="67" t="n"/>
      <c r="N150" s="67" t="n"/>
      <c r="O150" s="67" t="n"/>
      <c r="P150" s="67" t="n"/>
      <c r="Q150" s="67" t="n"/>
      <c r="R150" s="67" t="n"/>
      <c r="S150" s="67" t="n"/>
      <c r="T150" s="67" t="n"/>
      <c r="U150" s="67" t="n"/>
      <c r="V150" s="67" t="n"/>
      <c r="W150" s="67" t="n"/>
      <c r="X150" s="67" t="n"/>
      <c r="Y150" s="67" t="n"/>
      <c r="Z150" s="67" t="n"/>
      <c r="AA150" s="67" t="n"/>
      <c r="AB150" s="67" t="n"/>
      <c r="AC150" s="67" t="n"/>
      <c r="AD150" s="67" t="n"/>
      <c r="AE150" s="67" t="n"/>
      <c r="AF150" s="67" t="n"/>
      <c r="AG150" s="67" t="n"/>
      <c r="AH150" s="67" t="n"/>
      <c r="AI150" s="67" t="n"/>
      <c r="AJ150" s="67" t="n"/>
      <c r="AK150" s="67" t="n"/>
    </row>
    <row r="151">
      <c r="B151" s="67" t="n"/>
      <c r="C151" s="67" t="n"/>
      <c r="D151" s="67" t="n"/>
      <c r="E151" s="67" t="n"/>
      <c r="F151" s="67" t="n"/>
      <c r="G151" s="67" t="n"/>
      <c r="H151" s="67" t="n"/>
      <c r="I151" s="67" t="n"/>
      <c r="J151" s="67" t="n"/>
      <c r="K151" s="67" t="n"/>
      <c r="L151" s="67" t="n"/>
      <c r="M151" s="67" t="n"/>
      <c r="N151" s="67" t="n"/>
      <c r="O151" s="67" t="n"/>
      <c r="P151" s="67" t="n"/>
      <c r="Q151" s="67" t="n"/>
      <c r="R151" s="67" t="n"/>
      <c r="S151" s="67" t="n"/>
      <c r="T151" s="67" t="n"/>
      <c r="U151" s="67" t="n"/>
      <c r="V151" s="67" t="n"/>
      <c r="W151" s="67" t="n"/>
      <c r="X151" s="67" t="n"/>
      <c r="Y151" s="67" t="n"/>
      <c r="Z151" s="67" t="n"/>
      <c r="AA151" s="67" t="n"/>
      <c r="AB151" s="67" t="n"/>
      <c r="AC151" s="67" t="n"/>
      <c r="AD151" s="67" t="n"/>
      <c r="AE151" s="67" t="n"/>
      <c r="AF151" s="67" t="n"/>
      <c r="AG151" s="67" t="n"/>
      <c r="AH151" s="67" t="n"/>
      <c r="AI151" s="67" t="n"/>
      <c r="AJ151" s="67" t="n"/>
      <c r="AK151" s="67" t="n"/>
    </row>
    <row r="152">
      <c r="B152" s="67" t="n"/>
      <c r="C152" s="67" t="n"/>
      <c r="D152" s="67" t="n"/>
      <c r="E152" s="67" t="n"/>
      <c r="F152" s="67" t="n"/>
      <c r="G152" s="67" t="n"/>
      <c r="H152" s="67" t="n"/>
      <c r="I152" s="67" t="n"/>
      <c r="J152" s="67" t="n"/>
      <c r="K152" s="67" t="n"/>
      <c r="L152" s="67" t="n"/>
      <c r="M152" s="67" t="n"/>
      <c r="N152" s="67" t="n"/>
      <c r="O152" s="67" t="n"/>
      <c r="P152" s="67" t="n"/>
      <c r="Q152" s="67" t="n"/>
      <c r="R152" s="67" t="n"/>
      <c r="S152" s="67" t="n"/>
      <c r="T152" s="67" t="n"/>
      <c r="U152" s="67" t="n"/>
      <c r="V152" s="67" t="n"/>
      <c r="W152" s="67" t="n"/>
      <c r="X152" s="67" t="n"/>
      <c r="Y152" s="67" t="n"/>
      <c r="Z152" s="67" t="n"/>
      <c r="AA152" s="67" t="n"/>
      <c r="AB152" s="67" t="n"/>
      <c r="AC152" s="67" t="n"/>
      <c r="AD152" s="67" t="n"/>
      <c r="AE152" s="67" t="n"/>
      <c r="AF152" s="67" t="n"/>
      <c r="AG152" s="67" t="n"/>
      <c r="AH152" s="67" t="n"/>
      <c r="AI152" s="67" t="n"/>
      <c r="AJ152" s="67" t="n"/>
      <c r="AK152" s="67" t="n"/>
    </row>
    <row r="153">
      <c r="B153" s="67" t="n"/>
      <c r="C153" s="67" t="n"/>
      <c r="D153" s="67" t="n"/>
      <c r="E153" s="67" t="n"/>
      <c r="F153" s="67" t="n"/>
      <c r="G153" s="67" t="n"/>
      <c r="H153" s="67" t="n"/>
      <c r="I153" s="67" t="n"/>
      <c r="J153" s="67" t="n"/>
      <c r="K153" s="67" t="n"/>
      <c r="L153" s="67" t="n"/>
      <c r="M153" s="67" t="n"/>
      <c r="N153" s="67" t="n"/>
      <c r="O153" s="67" t="n"/>
      <c r="P153" s="67" t="n"/>
      <c r="Q153" s="67" t="n"/>
      <c r="R153" s="67" t="n"/>
      <c r="S153" s="67" t="n"/>
      <c r="T153" s="67" t="n"/>
      <c r="U153" s="67" t="n"/>
      <c r="V153" s="67" t="n"/>
      <c r="W153" s="67" t="n"/>
      <c r="X153" s="67" t="n"/>
      <c r="Y153" s="67" t="n"/>
      <c r="Z153" s="67" t="n"/>
      <c r="AA153" s="67" t="n"/>
      <c r="AB153" s="67" t="n"/>
      <c r="AC153" s="67" t="n"/>
      <c r="AD153" s="67" t="n"/>
      <c r="AE153" s="67" t="n"/>
      <c r="AF153" s="67" t="n"/>
      <c r="AG153" s="67" t="n"/>
      <c r="AH153" s="67" t="n"/>
      <c r="AI153" s="67" t="n"/>
      <c r="AJ153" s="67" t="n"/>
      <c r="AK153" s="67" t="n"/>
    </row>
    <row r="154">
      <c r="B154" s="67" t="n"/>
      <c r="C154" s="67" t="n"/>
      <c r="D154" s="67" t="n"/>
      <c r="E154" s="67" t="n"/>
      <c r="F154" s="67" t="n"/>
      <c r="G154" s="67" t="n"/>
      <c r="H154" s="67" t="n"/>
      <c r="I154" s="67" t="n"/>
      <c r="J154" s="67" t="n"/>
      <c r="K154" s="67" t="n"/>
      <c r="L154" s="67" t="n"/>
      <c r="M154" s="67" t="n"/>
      <c r="N154" s="67" t="n"/>
      <c r="O154" s="67" t="n"/>
      <c r="P154" s="67" t="n"/>
      <c r="Q154" s="67" t="n"/>
      <c r="R154" s="67" t="n"/>
      <c r="S154" s="67" t="n"/>
      <c r="T154" s="67" t="n"/>
      <c r="U154" s="67" t="n"/>
      <c r="V154" s="67" t="n"/>
      <c r="W154" s="67" t="n"/>
      <c r="X154" s="67" t="n"/>
      <c r="Y154" s="67" t="n"/>
      <c r="Z154" s="67" t="n"/>
      <c r="AA154" s="67" t="n"/>
      <c r="AB154" s="67" t="n"/>
      <c r="AC154" s="67" t="n"/>
      <c r="AD154" s="67" t="n"/>
      <c r="AE154" s="67" t="n"/>
      <c r="AF154" s="67" t="n"/>
      <c r="AG154" s="67" t="n"/>
      <c r="AH154" s="67" t="n"/>
      <c r="AI154" s="67" t="n"/>
      <c r="AJ154" s="67" t="n"/>
      <c r="AK154" s="67" t="n"/>
    </row>
    <row r="155">
      <c r="B155" s="67" t="n"/>
      <c r="C155" s="67" t="n"/>
      <c r="D155" s="67" t="n"/>
      <c r="E155" s="67" t="n"/>
      <c r="F155" s="67" t="n"/>
      <c r="G155" s="67" t="n"/>
      <c r="H155" s="67" t="n"/>
      <c r="I155" s="67" t="n"/>
      <c r="J155" s="67" t="n"/>
      <c r="K155" s="67" t="n"/>
      <c r="L155" s="67" t="n"/>
      <c r="M155" s="67" t="n"/>
      <c r="N155" s="67" t="n"/>
      <c r="O155" s="67" t="n"/>
      <c r="P155" s="67" t="n"/>
      <c r="Q155" s="67" t="n"/>
      <c r="R155" s="67" t="n"/>
      <c r="S155" s="67" t="n"/>
      <c r="T155" s="67" t="n"/>
      <c r="U155" s="67" t="n"/>
      <c r="V155" s="67" t="n"/>
      <c r="W155" s="67" t="n"/>
      <c r="X155" s="67" t="n"/>
      <c r="Y155" s="67" t="n"/>
      <c r="Z155" s="67" t="n"/>
      <c r="AA155" s="67" t="n"/>
      <c r="AB155" s="67" t="n"/>
      <c r="AC155" s="67" t="n"/>
      <c r="AD155" s="67" t="n"/>
      <c r="AE155" s="67" t="n"/>
      <c r="AF155" s="67" t="n"/>
      <c r="AG155" s="67" t="n"/>
      <c r="AH155" s="67" t="n"/>
      <c r="AI155" s="67" t="n"/>
      <c r="AJ155" s="67" t="n"/>
      <c r="AK155" s="67" t="n"/>
    </row>
    <row r="156">
      <c r="B156" s="67" t="n"/>
      <c r="C156" s="67" t="n"/>
      <c r="D156" s="67" t="n"/>
      <c r="E156" s="67" t="n"/>
      <c r="F156" s="67" t="n"/>
      <c r="G156" s="67" t="n"/>
      <c r="H156" s="67" t="n"/>
      <c r="I156" s="67" t="n"/>
      <c r="J156" s="67" t="n"/>
      <c r="K156" s="67" t="n"/>
      <c r="L156" s="67" t="n"/>
      <c r="M156" s="67" t="n"/>
      <c r="N156" s="67" t="n"/>
      <c r="O156" s="67" t="n"/>
      <c r="P156" s="67" t="n"/>
      <c r="Q156" s="67" t="n"/>
      <c r="R156" s="67" t="n"/>
      <c r="S156" s="67" t="n"/>
      <c r="T156" s="67" t="n"/>
      <c r="U156" s="67" t="n"/>
      <c r="V156" s="67" t="n"/>
      <c r="W156" s="67" t="n"/>
      <c r="X156" s="67" t="n"/>
      <c r="Y156" s="67" t="n"/>
      <c r="Z156" s="67" t="n"/>
      <c r="AA156" s="67" t="n"/>
      <c r="AB156" s="67" t="n"/>
      <c r="AC156" s="67" t="n"/>
      <c r="AD156" s="67" t="n"/>
      <c r="AE156" s="67" t="n"/>
      <c r="AF156" s="67" t="n"/>
      <c r="AG156" s="67" t="n"/>
      <c r="AH156" s="67" t="n"/>
      <c r="AI156" s="67" t="n"/>
      <c r="AJ156" s="67" t="n"/>
      <c r="AK156" s="67" t="n"/>
    </row>
    <row r="157">
      <c r="B157" s="67" t="n"/>
      <c r="C157" s="67" t="n"/>
      <c r="D157" s="67" t="n"/>
      <c r="E157" s="67" t="n"/>
      <c r="F157" s="67" t="n"/>
      <c r="G157" s="67" t="n"/>
      <c r="H157" s="67" t="n"/>
      <c r="I157" s="67" t="n"/>
      <c r="J157" s="67" t="n"/>
      <c r="K157" s="67" t="n"/>
      <c r="L157" s="67" t="n"/>
      <c r="M157" s="67" t="n"/>
      <c r="N157" s="67" t="n"/>
      <c r="O157" s="67" t="n"/>
      <c r="P157" s="67" t="n"/>
      <c r="Q157" s="67" t="n"/>
      <c r="R157" s="67" t="n"/>
      <c r="S157" s="67" t="n"/>
      <c r="T157" s="67" t="n"/>
      <c r="U157" s="67" t="n"/>
      <c r="V157" s="67" t="n"/>
      <c r="W157" s="67" t="n"/>
      <c r="X157" s="67" t="n"/>
      <c r="Y157" s="67" t="n"/>
      <c r="Z157" s="67" t="n"/>
      <c r="AA157" s="67" t="n"/>
      <c r="AB157" s="67" t="n"/>
      <c r="AC157" s="67" t="n"/>
      <c r="AD157" s="67" t="n"/>
      <c r="AE157" s="67" t="n"/>
      <c r="AF157" s="67" t="n"/>
      <c r="AG157" s="67" t="n"/>
      <c r="AH157" s="67" t="n"/>
      <c r="AI157" s="67" t="n"/>
      <c r="AJ157" s="67" t="n"/>
      <c r="AK157" s="67" t="n"/>
    </row>
    <row r="158">
      <c r="B158" s="67" t="n"/>
      <c r="C158" s="67" t="n"/>
      <c r="D158" s="67" t="n"/>
      <c r="E158" s="67" t="n"/>
      <c r="F158" s="67" t="n"/>
      <c r="G158" s="67" t="n"/>
      <c r="H158" s="67" t="n"/>
      <c r="I158" s="67" t="n"/>
      <c r="J158" s="67" t="n"/>
      <c r="K158" s="67" t="n"/>
      <c r="L158" s="67" t="n"/>
      <c r="M158" s="67" t="n"/>
      <c r="N158" s="67" t="n"/>
      <c r="O158" s="67" t="n"/>
      <c r="P158" s="67" t="n"/>
      <c r="Q158" s="67" t="n"/>
      <c r="R158" s="67" t="n"/>
      <c r="S158" s="67" t="n"/>
      <c r="T158" s="67" t="n"/>
      <c r="U158" s="67" t="n"/>
      <c r="V158" s="67" t="n"/>
      <c r="W158" s="67" t="n"/>
      <c r="X158" s="67" t="n"/>
      <c r="Y158" s="67" t="n"/>
      <c r="Z158" s="67" t="n"/>
      <c r="AA158" s="67" t="n"/>
      <c r="AB158" s="67" t="n"/>
      <c r="AC158" s="67" t="n"/>
      <c r="AD158" s="67" t="n"/>
      <c r="AE158" s="67" t="n"/>
      <c r="AF158" s="67" t="n"/>
      <c r="AG158" s="67" t="n"/>
      <c r="AH158" s="67" t="n"/>
      <c r="AI158" s="67" t="n"/>
      <c r="AJ158" s="67" t="n"/>
      <c r="AK158" s="67" t="n"/>
    </row>
    <row r="159">
      <c r="B159" s="67" t="n"/>
      <c r="C159" s="67" t="n"/>
      <c r="D159" s="67" t="n"/>
      <c r="E159" s="67" t="n"/>
      <c r="F159" s="67" t="n"/>
      <c r="G159" s="67" t="n"/>
      <c r="H159" s="67" t="n"/>
      <c r="I159" s="67" t="n"/>
      <c r="J159" s="67" t="n"/>
      <c r="K159" s="67" t="n"/>
      <c r="L159" s="67" t="n"/>
      <c r="M159" s="67" t="n"/>
      <c r="N159" s="67" t="n"/>
      <c r="O159" s="67" t="n"/>
      <c r="P159" s="67" t="n"/>
      <c r="Q159" s="67" t="n"/>
      <c r="R159" s="67" t="n"/>
      <c r="S159" s="67" t="n"/>
      <c r="T159" s="67" t="n"/>
      <c r="U159" s="67" t="n"/>
      <c r="V159" s="67" t="n"/>
      <c r="W159" s="67" t="n"/>
      <c r="X159" s="67" t="n"/>
      <c r="Y159" s="67" t="n"/>
      <c r="Z159" s="67" t="n"/>
      <c r="AA159" s="67" t="n"/>
      <c r="AB159" s="67" t="n"/>
      <c r="AC159" s="67" t="n"/>
      <c r="AD159" s="67" t="n"/>
      <c r="AE159" s="67" t="n"/>
      <c r="AF159" s="67" t="n"/>
      <c r="AG159" s="67" t="n"/>
      <c r="AH159" s="67" t="n"/>
      <c r="AI159" s="67" t="n"/>
      <c r="AJ159" s="67" t="n"/>
      <c r="AK159" s="67" t="n"/>
    </row>
    <row r="160">
      <c r="B160" s="67" t="n"/>
      <c r="C160" s="67" t="n"/>
      <c r="D160" s="67" t="n"/>
      <c r="E160" s="67" t="n"/>
      <c r="F160" s="67" t="n"/>
      <c r="G160" s="67" t="n"/>
      <c r="H160" s="67" t="n"/>
      <c r="I160" s="67" t="n"/>
      <c r="J160" s="67" t="n"/>
      <c r="K160" s="67" t="n"/>
      <c r="L160" s="67" t="n"/>
      <c r="M160" s="67" t="n"/>
      <c r="N160" s="67" t="n"/>
      <c r="O160" s="67" t="n"/>
      <c r="P160" s="67" t="n"/>
      <c r="Q160" s="67" t="n"/>
      <c r="R160" s="67" t="n"/>
      <c r="S160" s="67" t="n"/>
      <c r="T160" s="67" t="n"/>
      <c r="U160" s="67" t="n"/>
      <c r="V160" s="67" t="n"/>
      <c r="W160" s="67" t="n"/>
      <c r="X160" s="67" t="n"/>
      <c r="Y160" s="67" t="n"/>
      <c r="Z160" s="67" t="n"/>
      <c r="AA160" s="67" t="n"/>
      <c r="AB160" s="67" t="n"/>
      <c r="AC160" s="67" t="n"/>
      <c r="AD160" s="67" t="n"/>
      <c r="AE160" s="67" t="n"/>
      <c r="AF160" s="67" t="n"/>
      <c r="AG160" s="67" t="n"/>
      <c r="AH160" s="67" t="n"/>
      <c r="AI160" s="67" t="n"/>
      <c r="AJ160" s="67" t="n"/>
      <c r="AK160" s="67" t="n"/>
    </row>
    <row r="161">
      <c r="B161" s="67" t="n"/>
      <c r="C161" s="67" t="n"/>
      <c r="D161" s="67" t="n"/>
      <c r="E161" s="67" t="n"/>
      <c r="F161" s="67" t="n"/>
      <c r="G161" s="67" t="n"/>
      <c r="H161" s="67" t="n"/>
      <c r="I161" s="67" t="n"/>
      <c r="J161" s="67" t="n"/>
      <c r="K161" s="67" t="n"/>
      <c r="L161" s="67" t="n"/>
      <c r="M161" s="67" t="n"/>
      <c r="N161" s="67" t="n"/>
      <c r="O161" s="67" t="n"/>
      <c r="P161" s="67" t="n"/>
      <c r="Q161" s="67" t="n"/>
      <c r="R161" s="67" t="n"/>
      <c r="S161" s="67" t="n"/>
      <c r="T161" s="67" t="n"/>
      <c r="U161" s="67" t="n"/>
      <c r="V161" s="67" t="n"/>
      <c r="W161" s="67" t="n"/>
      <c r="X161" s="67" t="n"/>
      <c r="Y161" s="67" t="n"/>
      <c r="Z161" s="67" t="n"/>
      <c r="AA161" s="67" t="n"/>
      <c r="AB161" s="67" t="n"/>
      <c r="AC161" s="67" t="n"/>
      <c r="AD161" s="67" t="n"/>
      <c r="AE161" s="67" t="n"/>
      <c r="AF161" s="67" t="n"/>
      <c r="AG161" s="67" t="n"/>
      <c r="AH161" s="67" t="n"/>
      <c r="AI161" s="67" t="n"/>
      <c r="AJ161" s="67" t="n"/>
      <c r="AK161" s="67" t="n"/>
    </row>
    <row r="162">
      <c r="B162" s="67" t="n"/>
      <c r="C162" s="67" t="n"/>
      <c r="D162" s="67" t="n"/>
      <c r="E162" s="67" t="n"/>
      <c r="F162" s="67" t="n"/>
      <c r="G162" s="67" t="n"/>
      <c r="H162" s="67" t="n"/>
      <c r="I162" s="67" t="n"/>
      <c r="J162" s="67" t="n"/>
      <c r="K162" s="67" t="n"/>
      <c r="L162" s="67" t="n"/>
      <c r="M162" s="67" t="n"/>
      <c r="N162" s="67" t="n"/>
      <c r="O162" s="67" t="n"/>
      <c r="P162" s="67" t="n"/>
      <c r="Q162" s="67" t="n"/>
      <c r="R162" s="67" t="n"/>
      <c r="S162" s="67" t="n"/>
      <c r="T162" s="67" t="n"/>
      <c r="U162" s="67" t="n"/>
      <c r="V162" s="67" t="n"/>
      <c r="W162" s="67" t="n"/>
      <c r="X162" s="67" t="n"/>
      <c r="Y162" s="67" t="n"/>
      <c r="Z162" s="67" t="n"/>
      <c r="AA162" s="67" t="n"/>
      <c r="AB162" s="67" t="n"/>
      <c r="AC162" s="67" t="n"/>
      <c r="AD162" s="67" t="n"/>
      <c r="AE162" s="67" t="n"/>
      <c r="AF162" s="67" t="n"/>
      <c r="AG162" s="67" t="n"/>
      <c r="AH162" s="67" t="n"/>
      <c r="AI162" s="67" t="n"/>
      <c r="AJ162" s="67" t="n"/>
      <c r="AK162" s="67" t="n"/>
    </row>
    <row r="163">
      <c r="B163" s="67" t="n"/>
      <c r="C163" s="67" t="n"/>
      <c r="D163" s="67" t="n"/>
      <c r="E163" s="67" t="n"/>
      <c r="F163" s="67" t="n"/>
      <c r="G163" s="67" t="n"/>
      <c r="H163" s="67" t="n"/>
      <c r="I163" s="67" t="n"/>
      <c r="J163" s="67" t="n"/>
      <c r="K163" s="67" t="n"/>
      <c r="L163" s="67" t="n"/>
      <c r="M163" s="67" t="n"/>
      <c r="N163" s="67" t="n"/>
      <c r="O163" s="67" t="n"/>
      <c r="P163" s="67" t="n"/>
      <c r="Q163" s="67" t="n"/>
      <c r="R163" s="67" t="n"/>
      <c r="S163" s="67" t="n"/>
      <c r="T163" s="67" t="n"/>
      <c r="U163" s="67" t="n"/>
      <c r="V163" s="67" t="n"/>
      <c r="W163" s="67" t="n"/>
      <c r="X163" s="67" t="n"/>
      <c r="Y163" s="67" t="n"/>
      <c r="Z163" s="67" t="n"/>
      <c r="AA163" s="67" t="n"/>
      <c r="AB163" s="67" t="n"/>
      <c r="AC163" s="67" t="n"/>
      <c r="AD163" s="67" t="n"/>
      <c r="AE163" s="67" t="n"/>
      <c r="AF163" s="67" t="n"/>
      <c r="AG163" s="67" t="n"/>
      <c r="AH163" s="67" t="n"/>
      <c r="AI163" s="67" t="n"/>
      <c r="AJ163" s="67" t="n"/>
      <c r="AK163" s="67" t="n"/>
    </row>
    <row r="164">
      <c r="B164" s="67" t="n"/>
      <c r="C164" s="67" t="n"/>
      <c r="D164" s="67" t="n"/>
      <c r="E164" s="67" t="n"/>
      <c r="F164" s="67" t="n"/>
      <c r="G164" s="67" t="n"/>
      <c r="H164" s="67" t="n"/>
      <c r="I164" s="67" t="n"/>
      <c r="J164" s="67" t="n"/>
      <c r="K164" s="67" t="n"/>
      <c r="L164" s="67" t="n"/>
      <c r="M164" s="67" t="n"/>
      <c r="N164" s="67" t="n"/>
      <c r="O164" s="67" t="n"/>
      <c r="P164" s="67" t="n"/>
      <c r="Q164" s="67" t="n"/>
      <c r="R164" s="67" t="n"/>
      <c r="S164" s="67" t="n"/>
      <c r="T164" s="67" t="n"/>
      <c r="U164" s="67" t="n"/>
      <c r="V164" s="67" t="n"/>
      <c r="W164" s="67" t="n"/>
      <c r="X164" s="67" t="n"/>
      <c r="Y164" s="67" t="n"/>
      <c r="Z164" s="67" t="n"/>
      <c r="AA164" s="67" t="n"/>
      <c r="AB164" s="67" t="n"/>
      <c r="AC164" s="67" t="n"/>
      <c r="AD164" s="67" t="n"/>
      <c r="AE164" s="67" t="n"/>
      <c r="AF164" s="67" t="n"/>
      <c r="AG164" s="67" t="n"/>
      <c r="AH164" s="67" t="n"/>
      <c r="AI164" s="67" t="n"/>
      <c r="AJ164" s="67" t="n"/>
      <c r="AK164" s="67" t="n"/>
    </row>
    <row r="165">
      <c r="B165" s="67" t="n"/>
      <c r="C165" s="67" t="n"/>
      <c r="D165" s="67" t="n"/>
      <c r="E165" s="67" t="n"/>
      <c r="F165" s="67" t="n"/>
      <c r="G165" s="67" t="n"/>
      <c r="H165" s="67" t="n"/>
      <c r="I165" s="67" t="n"/>
      <c r="J165" s="67" t="n"/>
      <c r="K165" s="67" t="n"/>
      <c r="L165" s="67" t="n"/>
      <c r="M165" s="67" t="n"/>
      <c r="N165" s="67" t="n"/>
      <c r="O165" s="67" t="n"/>
      <c r="P165" s="67" t="n"/>
      <c r="Q165" s="67" t="n"/>
      <c r="R165" s="67" t="n"/>
      <c r="S165" s="67" t="n"/>
      <c r="T165" s="67" t="n"/>
      <c r="U165" s="67" t="n"/>
      <c r="V165" s="67" t="n"/>
      <c r="W165" s="67" t="n"/>
      <c r="X165" s="67" t="n"/>
      <c r="Y165" s="67" t="n"/>
      <c r="Z165" s="67" t="n"/>
      <c r="AA165" s="67" t="n"/>
      <c r="AB165" s="67" t="n"/>
      <c r="AC165" s="67" t="n"/>
      <c r="AD165" s="67" t="n"/>
      <c r="AE165" s="67" t="n"/>
      <c r="AF165" s="67" t="n"/>
      <c r="AG165" s="67" t="n"/>
      <c r="AH165" s="67" t="n"/>
      <c r="AI165" s="67" t="n"/>
      <c r="AJ165" s="67" t="n"/>
      <c r="AK165" s="67" t="n"/>
    </row>
    <row r="166">
      <c r="B166" s="67" t="n"/>
      <c r="C166" s="67" t="n"/>
      <c r="D166" s="67" t="n"/>
      <c r="E166" s="67" t="n"/>
      <c r="F166" s="67" t="n"/>
      <c r="G166" s="67" t="n"/>
      <c r="H166" s="67" t="n"/>
      <c r="I166" s="67" t="n"/>
      <c r="J166" s="67" t="n"/>
      <c r="K166" s="67" t="n"/>
      <c r="L166" s="67" t="n"/>
      <c r="M166" s="67" t="n"/>
      <c r="N166" s="67" t="n"/>
      <c r="O166" s="67" t="n"/>
      <c r="P166" s="67" t="n"/>
      <c r="Q166" s="67" t="n"/>
      <c r="R166" s="67" t="n"/>
      <c r="S166" s="67" t="n"/>
      <c r="T166" s="67" t="n"/>
      <c r="U166" s="67" t="n"/>
      <c r="V166" s="67" t="n"/>
      <c r="W166" s="67" t="n"/>
      <c r="X166" s="67" t="n"/>
      <c r="Y166" s="67" t="n"/>
      <c r="Z166" s="67" t="n"/>
      <c r="AA166" s="67" t="n"/>
      <c r="AB166" s="67" t="n"/>
      <c r="AC166" s="67" t="n"/>
      <c r="AD166" s="67" t="n"/>
      <c r="AE166" s="67" t="n"/>
      <c r="AF166" s="67" t="n"/>
      <c r="AG166" s="67" t="n"/>
      <c r="AH166" s="67" t="n"/>
      <c r="AI166" s="67" t="n"/>
      <c r="AJ166" s="67" t="n"/>
      <c r="AK166" s="67" t="n"/>
    </row>
    <row r="167">
      <c r="B167" s="67" t="n"/>
      <c r="C167" s="67" t="n"/>
      <c r="D167" s="67" t="n"/>
      <c r="E167" s="67" t="n"/>
      <c r="F167" s="67" t="n"/>
      <c r="G167" s="67" t="n"/>
      <c r="H167" s="67" t="n"/>
      <c r="I167" s="67" t="n"/>
      <c r="J167" s="67" t="n"/>
      <c r="K167" s="67" t="n"/>
      <c r="L167" s="67" t="n"/>
      <c r="M167" s="67" t="n"/>
      <c r="N167" s="67" t="n"/>
      <c r="O167" s="67" t="n"/>
      <c r="P167" s="67" t="n"/>
      <c r="Q167" s="67" t="n"/>
      <c r="R167" s="67" t="n"/>
      <c r="S167" s="67" t="n"/>
      <c r="T167" s="67" t="n"/>
      <c r="U167" s="67" t="n"/>
      <c r="V167" s="67" t="n"/>
      <c r="W167" s="67" t="n"/>
      <c r="X167" s="67" t="n"/>
      <c r="Y167" s="67" t="n"/>
      <c r="Z167" s="67" t="n"/>
      <c r="AA167" s="67" t="n"/>
      <c r="AB167" s="67" t="n"/>
      <c r="AC167" s="67" t="n"/>
      <c r="AD167" s="67" t="n"/>
      <c r="AE167" s="67" t="n"/>
      <c r="AF167" s="67" t="n"/>
      <c r="AG167" s="67" t="n"/>
      <c r="AH167" s="67" t="n"/>
      <c r="AI167" s="67" t="n"/>
      <c r="AJ167" s="67" t="n"/>
      <c r="AK167" s="67" t="n"/>
    </row>
    <row r="168">
      <c r="B168" s="67" t="n"/>
      <c r="C168" s="67" t="n"/>
      <c r="D168" s="67" t="n"/>
      <c r="E168" s="67" t="n"/>
      <c r="F168" s="67" t="n"/>
      <c r="G168" s="67" t="n"/>
      <c r="H168" s="67" t="n"/>
      <c r="I168" s="67" t="n"/>
      <c r="J168" s="67" t="n"/>
      <c r="K168" s="67" t="n"/>
      <c r="L168" s="67" t="n"/>
      <c r="M168" s="67" t="n"/>
      <c r="N168" s="67" t="n"/>
      <c r="O168" s="67" t="n"/>
      <c r="P168" s="67" t="n"/>
      <c r="Q168" s="67" t="n"/>
      <c r="R168" s="67" t="n"/>
      <c r="S168" s="67" t="n"/>
      <c r="T168" s="67" t="n"/>
      <c r="U168" s="67" t="n"/>
      <c r="V168" s="67" t="n"/>
      <c r="W168" s="67" t="n"/>
      <c r="X168" s="67" t="n"/>
      <c r="Y168" s="67" t="n"/>
      <c r="Z168" s="67" t="n"/>
      <c r="AA168" s="67" t="n"/>
      <c r="AB168" s="67" t="n"/>
      <c r="AC168" s="67" t="n"/>
      <c r="AD168" s="67" t="n"/>
      <c r="AE168" s="67" t="n"/>
      <c r="AF168" s="67" t="n"/>
      <c r="AG168" s="67" t="n"/>
      <c r="AH168" s="67" t="n"/>
      <c r="AI168" s="67" t="n"/>
      <c r="AJ168" s="67" t="n"/>
      <c r="AK168" s="67" t="n"/>
    </row>
    <row r="169">
      <c r="B169" s="67" t="n"/>
      <c r="C169" s="67" t="n"/>
      <c r="D169" s="67" t="n"/>
      <c r="E169" s="67" t="n"/>
      <c r="F169" s="67" t="n"/>
      <c r="G169" s="67" t="n"/>
      <c r="H169" s="67" t="n"/>
      <c r="I169" s="67" t="n"/>
      <c r="J169" s="67" t="n"/>
      <c r="K169" s="67" t="n"/>
      <c r="L169" s="67" t="n"/>
      <c r="M169" s="67" t="n"/>
      <c r="N169" s="67" t="n"/>
      <c r="O169" s="67" t="n"/>
      <c r="P169" s="67" t="n"/>
      <c r="Q169" s="67" t="n"/>
      <c r="R169" s="67" t="n"/>
      <c r="S169" s="67" t="n"/>
      <c r="T169" s="67" t="n"/>
      <c r="U169" s="67" t="n"/>
      <c r="V169" s="67" t="n"/>
      <c r="W169" s="67" t="n"/>
      <c r="X169" s="67" t="n"/>
      <c r="Y169" s="67" t="n"/>
      <c r="Z169" s="67" t="n"/>
      <c r="AA169" s="67" t="n"/>
      <c r="AB169" s="67" t="n"/>
      <c r="AC169" s="67" t="n"/>
      <c r="AD169" s="67" t="n"/>
      <c r="AE169" s="67" t="n"/>
      <c r="AF169" s="67" t="n"/>
      <c r="AG169" s="67" t="n"/>
      <c r="AH169" s="67" t="n"/>
      <c r="AI169" s="67" t="n"/>
      <c r="AJ169" s="67" t="n"/>
      <c r="AK169" s="67" t="n"/>
    </row>
    <row r="170">
      <c r="B170" s="67" t="n"/>
      <c r="C170" s="67" t="n"/>
      <c r="D170" s="67" t="n"/>
      <c r="E170" s="67" t="n"/>
      <c r="F170" s="67" t="n"/>
      <c r="G170" s="67" t="n"/>
      <c r="H170" s="67" t="n"/>
      <c r="I170" s="67" t="n"/>
      <c r="J170" s="67" t="n"/>
      <c r="K170" s="67" t="n"/>
      <c r="L170" s="67" t="n"/>
      <c r="M170" s="67" t="n"/>
      <c r="N170" s="67" t="n"/>
      <c r="O170" s="67" t="n"/>
      <c r="P170" s="67" t="n"/>
      <c r="Q170" s="67" t="n"/>
      <c r="R170" s="67" t="n"/>
      <c r="S170" s="67" t="n"/>
      <c r="T170" s="67" t="n"/>
      <c r="U170" s="67" t="n"/>
      <c r="V170" s="67" t="n"/>
      <c r="W170" s="67" t="n"/>
      <c r="X170" s="67" t="n"/>
      <c r="Y170" s="67" t="n"/>
      <c r="Z170" s="67" t="n"/>
      <c r="AA170" s="67" t="n"/>
      <c r="AB170" s="67" t="n"/>
      <c r="AC170" s="67" t="n"/>
      <c r="AD170" s="67" t="n"/>
      <c r="AE170" s="67" t="n"/>
      <c r="AF170" s="67" t="n"/>
      <c r="AG170" s="67" t="n"/>
      <c r="AH170" s="67" t="n"/>
      <c r="AI170" s="67" t="n"/>
      <c r="AJ170" s="67" t="n"/>
      <c r="AK170" s="67" t="n"/>
    </row>
    <row r="171">
      <c r="B171" s="67" t="n"/>
      <c r="C171" s="67" t="n"/>
      <c r="D171" s="67" t="n"/>
      <c r="E171" s="67" t="n"/>
      <c r="F171" s="67" t="n"/>
      <c r="G171" s="67" t="n"/>
      <c r="H171" s="67" t="n"/>
      <c r="I171" s="67" t="n"/>
      <c r="J171" s="67" t="n"/>
      <c r="K171" s="67" t="n"/>
      <c r="L171" s="67" t="n"/>
      <c r="M171" s="67" t="n"/>
      <c r="N171" s="67" t="n"/>
      <c r="O171" s="67" t="n"/>
      <c r="P171" s="67" t="n"/>
      <c r="Q171" s="67" t="n"/>
      <c r="R171" s="67" t="n"/>
      <c r="S171" s="67" t="n"/>
      <c r="T171" s="67" t="n"/>
      <c r="U171" s="67" t="n"/>
      <c r="V171" s="67" t="n"/>
      <c r="W171" s="67" t="n"/>
      <c r="X171" s="67" t="n"/>
      <c r="Y171" s="67" t="n"/>
      <c r="Z171" s="67" t="n"/>
      <c r="AA171" s="67" t="n"/>
      <c r="AB171" s="67" t="n"/>
      <c r="AC171" s="67" t="n"/>
      <c r="AD171" s="67" t="n"/>
      <c r="AE171" s="67" t="n"/>
      <c r="AF171" s="67" t="n"/>
      <c r="AG171" s="67" t="n"/>
      <c r="AH171" s="67" t="n"/>
      <c r="AI171" s="67" t="n"/>
      <c r="AJ171" s="67" t="n"/>
      <c r="AK171" s="67" t="n"/>
    </row>
    <row r="172">
      <c r="B172" s="67" t="n"/>
      <c r="C172" s="67" t="n"/>
      <c r="D172" s="67" t="n"/>
      <c r="E172" s="67" t="n"/>
      <c r="F172" s="67" t="n"/>
      <c r="G172" s="67" t="n"/>
      <c r="H172" s="67" t="n"/>
      <c r="I172" s="67" t="n"/>
      <c r="J172" s="67" t="n"/>
      <c r="K172" s="67" t="n"/>
      <c r="L172" s="67" t="n"/>
      <c r="M172" s="67" t="n"/>
      <c r="N172" s="67" t="n"/>
      <c r="O172" s="67" t="n"/>
      <c r="P172" s="67" t="n"/>
      <c r="Q172" s="67" t="n"/>
      <c r="R172" s="67" t="n"/>
      <c r="S172" s="67" t="n"/>
      <c r="T172" s="67" t="n"/>
      <c r="U172" s="67" t="n"/>
      <c r="V172" s="67" t="n"/>
      <c r="W172" s="67" t="n"/>
      <c r="X172" s="67" t="n"/>
      <c r="Y172" s="67" t="n"/>
      <c r="Z172" s="67" t="n"/>
      <c r="AA172" s="67" t="n"/>
      <c r="AB172" s="67" t="n"/>
      <c r="AC172" s="67" t="n"/>
      <c r="AD172" s="67" t="n"/>
      <c r="AE172" s="67" t="n"/>
      <c r="AF172" s="67" t="n"/>
      <c r="AG172" s="67" t="n"/>
      <c r="AH172" s="67" t="n"/>
      <c r="AI172" s="67" t="n"/>
      <c r="AJ172" s="67" t="n"/>
      <c r="AK172" s="67" t="n"/>
    </row>
    <row r="173">
      <c r="B173" s="67" t="n"/>
      <c r="C173" s="67" t="n"/>
      <c r="D173" s="67" t="n"/>
      <c r="E173" s="67" t="n"/>
      <c r="F173" s="67" t="n"/>
      <c r="G173" s="67" t="n"/>
      <c r="H173" s="67" t="n"/>
      <c r="I173" s="67" t="n"/>
      <c r="J173" s="67" t="n"/>
      <c r="K173" s="67" t="n"/>
      <c r="L173" s="67" t="n"/>
      <c r="M173" s="67" t="n"/>
      <c r="N173" s="67" t="n"/>
      <c r="O173" s="67" t="n"/>
      <c r="P173" s="67" t="n"/>
      <c r="Q173" s="67" t="n"/>
      <c r="R173" s="67" t="n"/>
      <c r="S173" s="67" t="n"/>
      <c r="T173" s="67" t="n"/>
      <c r="U173" s="67" t="n"/>
      <c r="V173" s="67" t="n"/>
      <c r="W173" s="67" t="n"/>
      <c r="X173" s="67" t="n"/>
      <c r="Y173" s="67" t="n"/>
      <c r="Z173" s="67" t="n"/>
      <c r="AA173" s="67" t="n"/>
      <c r="AB173" s="67" t="n"/>
      <c r="AC173" s="67" t="n"/>
      <c r="AD173" s="67" t="n"/>
      <c r="AE173" s="67" t="n"/>
      <c r="AF173" s="67" t="n"/>
      <c r="AG173" s="67" t="n"/>
      <c r="AH173" s="67" t="n"/>
      <c r="AI173" s="67" t="n"/>
      <c r="AJ173" s="67" t="n"/>
      <c r="AK173" s="67" t="n"/>
    </row>
    <row r="174">
      <c r="B174" s="67" t="n"/>
      <c r="C174" s="67" t="n"/>
      <c r="D174" s="67" t="n"/>
      <c r="E174" s="67" t="n"/>
      <c r="F174" s="67" t="n"/>
      <c r="G174" s="67" t="n"/>
      <c r="H174" s="67" t="n"/>
      <c r="I174" s="67" t="n"/>
      <c r="J174" s="67" t="n"/>
      <c r="K174" s="67" t="n"/>
      <c r="L174" s="67" t="n"/>
      <c r="M174" s="67" t="n"/>
      <c r="N174" s="67" t="n"/>
      <c r="O174" s="67" t="n"/>
      <c r="P174" s="67" t="n"/>
      <c r="Q174" s="67" t="n"/>
      <c r="R174" s="67" t="n"/>
      <c r="S174" s="67" t="n"/>
      <c r="T174" s="67" t="n"/>
      <c r="U174" s="67" t="n"/>
      <c r="V174" s="67" t="n"/>
      <c r="W174" s="67" t="n"/>
      <c r="X174" s="67" t="n"/>
      <c r="Y174" s="67" t="n"/>
      <c r="Z174" s="67" t="n"/>
      <c r="AA174" s="67" t="n"/>
      <c r="AB174" s="67" t="n"/>
      <c r="AC174" s="67" t="n"/>
      <c r="AD174" s="67" t="n"/>
      <c r="AE174" s="67" t="n"/>
      <c r="AF174" s="67" t="n"/>
      <c r="AG174" s="67" t="n"/>
      <c r="AH174" s="67" t="n"/>
      <c r="AI174" s="67" t="n"/>
      <c r="AJ174" s="67" t="n"/>
      <c r="AK174" s="67" t="n"/>
    </row>
    <row r="175">
      <c r="B175" s="67" t="n"/>
      <c r="C175" s="67" t="n"/>
      <c r="D175" s="67" t="n"/>
      <c r="E175" s="67" t="n"/>
      <c r="F175" s="67" t="n"/>
      <c r="G175" s="67" t="n"/>
      <c r="H175" s="67" t="n"/>
      <c r="I175" s="67" t="n"/>
      <c r="J175" s="67" t="n"/>
      <c r="K175" s="67" t="n"/>
      <c r="L175" s="67" t="n"/>
      <c r="M175" s="67" t="n"/>
      <c r="N175" s="67" t="n"/>
      <c r="O175" s="67" t="n"/>
      <c r="P175" s="67" t="n"/>
      <c r="Q175" s="67" t="n"/>
      <c r="R175" s="67" t="n"/>
      <c r="S175" s="67" t="n"/>
      <c r="T175" s="67" t="n"/>
      <c r="U175" s="67" t="n"/>
      <c r="V175" s="67" t="n"/>
      <c r="W175" s="67" t="n"/>
      <c r="X175" s="67" t="n"/>
      <c r="Y175" s="67" t="n"/>
      <c r="Z175" s="67" t="n"/>
      <c r="AA175" s="67" t="n"/>
      <c r="AB175" s="67" t="n"/>
      <c r="AC175" s="67" t="n"/>
      <c r="AD175" s="67" t="n"/>
      <c r="AE175" s="67" t="n"/>
      <c r="AF175" s="67" t="n"/>
      <c r="AG175" s="67" t="n"/>
      <c r="AH175" s="67" t="n"/>
      <c r="AI175" s="67" t="n"/>
      <c r="AJ175" s="67" t="n"/>
      <c r="AK175" s="67" t="n"/>
    </row>
    <row r="176">
      <c r="B176" s="67" t="n"/>
      <c r="C176" s="67" t="n"/>
      <c r="D176" s="67" t="n"/>
      <c r="E176" s="67" t="n"/>
      <c r="F176" s="67" t="n"/>
      <c r="G176" s="67" t="n"/>
      <c r="H176" s="67" t="n"/>
      <c r="I176" s="67" t="n"/>
      <c r="J176" s="67" t="n"/>
      <c r="K176" s="67" t="n"/>
      <c r="L176" s="67" t="n"/>
      <c r="M176" s="67" t="n"/>
      <c r="N176" s="67" t="n"/>
      <c r="O176" s="67" t="n"/>
      <c r="P176" s="67" t="n"/>
      <c r="Q176" s="67" t="n"/>
      <c r="R176" s="67" t="n"/>
      <c r="S176" s="67" t="n"/>
      <c r="T176" s="67" t="n"/>
      <c r="U176" s="67" t="n"/>
      <c r="V176" s="67" t="n"/>
      <c r="W176" s="67" t="n"/>
      <c r="X176" s="67" t="n"/>
      <c r="Y176" s="67" t="n"/>
      <c r="Z176" s="67" t="n"/>
      <c r="AA176" s="67" t="n"/>
      <c r="AB176" s="67" t="n"/>
      <c r="AC176" s="67" t="n"/>
      <c r="AD176" s="67" t="n"/>
      <c r="AE176" s="67" t="n"/>
      <c r="AF176" s="67" t="n"/>
      <c r="AG176" s="67" t="n"/>
      <c r="AH176" s="67" t="n"/>
      <c r="AI176" s="67" t="n"/>
      <c r="AJ176" s="67" t="n"/>
      <c r="AK176" s="67" t="n"/>
    </row>
    <row r="177">
      <c r="B177" s="67" t="n"/>
      <c r="C177" s="67" t="n"/>
      <c r="D177" s="67" t="n"/>
      <c r="E177" s="67" t="n"/>
      <c r="F177" s="67" t="n"/>
      <c r="G177" s="67" t="n"/>
      <c r="H177" s="67" t="n"/>
      <c r="I177" s="67" t="n"/>
      <c r="J177" s="67" t="n"/>
      <c r="K177" s="67" t="n"/>
      <c r="L177" s="67" t="n"/>
      <c r="M177" s="67" t="n"/>
      <c r="N177" s="67" t="n"/>
      <c r="O177" s="67" t="n"/>
      <c r="P177" s="67" t="n"/>
      <c r="Q177" s="67" t="n"/>
      <c r="R177" s="67" t="n"/>
      <c r="S177" s="67" t="n"/>
      <c r="T177" s="67" t="n"/>
      <c r="U177" s="67" t="n"/>
      <c r="V177" s="67" t="n"/>
      <c r="W177" s="67" t="n"/>
      <c r="X177" s="67" t="n"/>
      <c r="Y177" s="67" t="n"/>
      <c r="Z177" s="67" t="n"/>
      <c r="AA177" s="67" t="n"/>
      <c r="AB177" s="67" t="n"/>
      <c r="AC177" s="67" t="n"/>
      <c r="AD177" s="67" t="n"/>
      <c r="AE177" s="67" t="n"/>
      <c r="AF177" s="67" t="n"/>
      <c r="AG177" s="67" t="n"/>
      <c r="AH177" s="67" t="n"/>
      <c r="AI177" s="67" t="n"/>
      <c r="AJ177" s="67" t="n"/>
      <c r="AK177" s="67" t="n"/>
    </row>
    <row r="178">
      <c r="B178" s="67" t="n"/>
      <c r="C178" s="67" t="n"/>
      <c r="D178" s="67" t="n"/>
      <c r="E178" s="67" t="n"/>
      <c r="F178" s="67" t="n"/>
      <c r="G178" s="67" t="n"/>
      <c r="H178" s="67" t="n"/>
      <c r="I178" s="67" t="n"/>
      <c r="J178" s="67" t="n"/>
      <c r="K178" s="67" t="n"/>
      <c r="L178" s="67" t="n"/>
      <c r="M178" s="67" t="n"/>
      <c r="N178" s="67" t="n"/>
      <c r="O178" s="67" t="n"/>
      <c r="P178" s="67" t="n"/>
      <c r="Q178" s="67" t="n"/>
      <c r="R178" s="67" t="n"/>
      <c r="S178" s="67" t="n"/>
      <c r="T178" s="67" t="n"/>
      <c r="U178" s="67" t="n"/>
      <c r="V178" s="67" t="n"/>
      <c r="W178" s="67" t="n"/>
      <c r="X178" s="67" t="n"/>
      <c r="Y178" s="67" t="n"/>
      <c r="Z178" s="67" t="n"/>
      <c r="AA178" s="67" t="n"/>
      <c r="AB178" s="67" t="n"/>
      <c r="AC178" s="67" t="n"/>
      <c r="AD178" s="67" t="n"/>
      <c r="AE178" s="67" t="n"/>
      <c r="AF178" s="67" t="n"/>
      <c r="AG178" s="67" t="n"/>
      <c r="AH178" s="67" t="n"/>
      <c r="AI178" s="67" t="n"/>
      <c r="AJ178" s="67" t="n"/>
      <c r="AK178" s="67" t="n"/>
    </row>
    <row r="179">
      <c r="B179" s="67" t="n"/>
      <c r="C179" s="67" t="n"/>
      <c r="D179" s="67" t="n"/>
      <c r="E179" s="67" t="n"/>
      <c r="F179" s="67" t="n"/>
      <c r="G179" s="67" t="n"/>
      <c r="H179" s="67" t="n"/>
      <c r="I179" s="67" t="n"/>
      <c r="J179" s="67" t="n"/>
      <c r="K179" s="67" t="n"/>
      <c r="L179" s="67" t="n"/>
      <c r="M179" s="67" t="n"/>
      <c r="N179" s="67" t="n"/>
      <c r="O179" s="67" t="n"/>
      <c r="P179" s="67" t="n"/>
      <c r="Q179" s="67" t="n"/>
      <c r="R179" s="67" t="n"/>
      <c r="S179" s="67" t="n"/>
      <c r="T179" s="67" t="n"/>
      <c r="U179" s="67" t="n"/>
      <c r="V179" s="67" t="n"/>
      <c r="W179" s="67" t="n"/>
      <c r="X179" s="67" t="n"/>
      <c r="Y179" s="67" t="n"/>
      <c r="Z179" s="67" t="n"/>
      <c r="AA179" s="67" t="n"/>
      <c r="AB179" s="67" t="n"/>
      <c r="AC179" s="67" t="n"/>
      <c r="AD179" s="67" t="n"/>
      <c r="AE179" s="67" t="n"/>
      <c r="AF179" s="67" t="n"/>
      <c r="AG179" s="67" t="n"/>
      <c r="AH179" s="67" t="n"/>
      <c r="AI179" s="67" t="n"/>
      <c r="AJ179" s="67" t="n"/>
      <c r="AK179" s="67" t="n"/>
    </row>
    <row r="180">
      <c r="B180" s="67" t="n"/>
      <c r="C180" s="67" t="n"/>
      <c r="D180" s="67" t="n"/>
      <c r="E180" s="67" t="n"/>
      <c r="F180" s="67" t="n"/>
      <c r="G180" s="67" t="n"/>
      <c r="H180" s="67" t="n"/>
      <c r="I180" s="67" t="n"/>
      <c r="J180" s="67" t="n"/>
      <c r="K180" s="67" t="n"/>
      <c r="L180" s="67" t="n"/>
      <c r="M180" s="67" t="n"/>
      <c r="N180" s="67" t="n"/>
      <c r="O180" s="67" t="n"/>
      <c r="P180" s="67" t="n"/>
      <c r="Q180" s="67" t="n"/>
      <c r="R180" s="67" t="n"/>
      <c r="S180" s="67" t="n"/>
      <c r="T180" s="67" t="n"/>
      <c r="U180" s="67" t="n"/>
      <c r="V180" s="67" t="n"/>
      <c r="W180" s="67" t="n"/>
      <c r="X180" s="67" t="n"/>
      <c r="Y180" s="67" t="n"/>
      <c r="Z180" s="67" t="n"/>
      <c r="AA180" s="67" t="n"/>
      <c r="AB180" s="67" t="n"/>
      <c r="AC180" s="67" t="n"/>
      <c r="AD180" s="67" t="n"/>
      <c r="AE180" s="67" t="n"/>
      <c r="AF180" s="67" t="n"/>
      <c r="AG180" s="67" t="n"/>
      <c r="AH180" s="67" t="n"/>
      <c r="AI180" s="67" t="n"/>
      <c r="AJ180" s="67" t="n"/>
      <c r="AK180" s="67" t="n"/>
    </row>
    <row r="181">
      <c r="B181" s="67" t="n"/>
      <c r="C181" s="67" t="n"/>
      <c r="D181" s="67" t="n"/>
      <c r="E181" s="67" t="n"/>
      <c r="F181" s="67" t="n"/>
      <c r="G181" s="67" t="n"/>
      <c r="H181" s="67" t="n"/>
      <c r="I181" s="67" t="n"/>
      <c r="J181" s="67" t="n"/>
      <c r="K181" s="67" t="n"/>
      <c r="L181" s="67" t="n"/>
      <c r="M181" s="67" t="n"/>
      <c r="N181" s="67" t="n"/>
      <c r="O181" s="67" t="n"/>
      <c r="P181" s="67" t="n"/>
      <c r="Q181" s="67" t="n"/>
      <c r="R181" s="67" t="n"/>
      <c r="S181" s="67" t="n"/>
      <c r="T181" s="67" t="n"/>
      <c r="U181" s="67" t="n"/>
      <c r="V181" s="67" t="n"/>
      <c r="W181" s="67" t="n"/>
      <c r="X181" s="67" t="n"/>
      <c r="Y181" s="67" t="n"/>
      <c r="Z181" s="67" t="n"/>
      <c r="AA181" s="67" t="n"/>
      <c r="AB181" s="67" t="n"/>
      <c r="AC181" s="67" t="n"/>
      <c r="AD181" s="67" t="n"/>
      <c r="AE181" s="67" t="n"/>
      <c r="AF181" s="67" t="n"/>
      <c r="AG181" s="67" t="n"/>
      <c r="AH181" s="67" t="n"/>
      <c r="AI181" s="67" t="n"/>
      <c r="AJ181" s="67" t="n"/>
      <c r="AK181" s="67" t="n"/>
    </row>
    <row r="182">
      <c r="B182" s="67" t="n"/>
      <c r="C182" s="67" t="n"/>
      <c r="D182" s="67" t="n"/>
      <c r="E182" s="67" t="n"/>
      <c r="F182" s="67" t="n"/>
      <c r="G182" s="67" t="n"/>
      <c r="H182" s="67" t="n"/>
      <c r="I182" s="67" t="n"/>
      <c r="J182" s="67" t="n"/>
      <c r="K182" s="67" t="n"/>
      <c r="L182" s="67" t="n"/>
      <c r="M182" s="67" t="n"/>
      <c r="N182" s="67" t="n"/>
      <c r="O182" s="67" t="n"/>
      <c r="P182" s="67" t="n"/>
      <c r="Q182" s="67" t="n"/>
      <c r="R182" s="67" t="n"/>
      <c r="S182" s="67" t="n"/>
      <c r="T182" s="67" t="n"/>
      <c r="U182" s="67" t="n"/>
      <c r="V182" s="67" t="n"/>
      <c r="W182" s="67" t="n"/>
      <c r="X182" s="67" t="n"/>
      <c r="Y182" s="67" t="n"/>
      <c r="Z182" s="67" t="n"/>
      <c r="AA182" s="67" t="n"/>
      <c r="AB182" s="67" t="n"/>
      <c r="AC182" s="67" t="n"/>
      <c r="AD182" s="67" t="n"/>
      <c r="AE182" s="67" t="n"/>
      <c r="AF182" s="67" t="n"/>
      <c r="AG182" s="67" t="n"/>
      <c r="AH182" s="67" t="n"/>
      <c r="AI182" s="67" t="n"/>
      <c r="AJ182" s="67" t="n"/>
      <c r="AK182" s="67" t="n"/>
    </row>
    <row r="183">
      <c r="B183" s="67" t="n"/>
      <c r="C183" s="67" t="n"/>
      <c r="D183" s="67" t="n"/>
      <c r="E183" s="67" t="n"/>
      <c r="F183" s="67" t="n"/>
      <c r="G183" s="67" t="n"/>
      <c r="H183" s="67" t="n"/>
      <c r="I183" s="67" t="n"/>
      <c r="J183" s="67" t="n"/>
      <c r="K183" s="67" t="n"/>
      <c r="L183" s="67" t="n"/>
      <c r="M183" s="67" t="n"/>
      <c r="N183" s="67" t="n"/>
      <c r="O183" s="67" t="n"/>
      <c r="P183" s="67" t="n"/>
      <c r="Q183" s="67" t="n"/>
      <c r="R183" s="67" t="n"/>
      <c r="S183" s="67" t="n"/>
      <c r="T183" s="67" t="n"/>
      <c r="U183" s="67" t="n"/>
      <c r="V183" s="67" t="n"/>
      <c r="W183" s="67" t="n"/>
      <c r="X183" s="67" t="n"/>
      <c r="Y183" s="67" t="n"/>
      <c r="Z183" s="67" t="n"/>
      <c r="AA183" s="67" t="n"/>
      <c r="AB183" s="67" t="n"/>
      <c r="AC183" s="67" t="n"/>
      <c r="AD183" s="67" t="n"/>
      <c r="AE183" s="67" t="n"/>
      <c r="AF183" s="67" t="n"/>
      <c r="AG183" s="67" t="n"/>
      <c r="AH183" s="67" t="n"/>
      <c r="AI183" s="67" t="n"/>
      <c r="AJ183" s="67" t="n"/>
      <c r="AK183" s="67" t="n"/>
    </row>
    <row r="184">
      <c r="B184" s="67" t="n"/>
      <c r="C184" s="67" t="n"/>
      <c r="D184" s="67" t="n"/>
      <c r="E184" s="67" t="n"/>
      <c r="F184" s="67" t="n"/>
      <c r="G184" s="67" t="n"/>
      <c r="H184" s="67" t="n"/>
      <c r="I184" s="67" t="n"/>
      <c r="J184" s="67" t="n"/>
      <c r="K184" s="67" t="n"/>
      <c r="L184" s="67" t="n"/>
      <c r="M184" s="67" t="n"/>
      <c r="N184" s="67" t="n"/>
      <c r="O184" s="67" t="n"/>
      <c r="P184" s="67" t="n"/>
      <c r="Q184" s="67" t="n"/>
      <c r="R184" s="67" t="n"/>
      <c r="S184" s="67" t="n"/>
      <c r="T184" s="67" t="n"/>
      <c r="U184" s="67" t="n"/>
      <c r="V184" s="67" t="n"/>
      <c r="W184" s="67" t="n"/>
      <c r="X184" s="67" t="n"/>
      <c r="Y184" s="67" t="n"/>
      <c r="Z184" s="67" t="n"/>
      <c r="AA184" s="67" t="n"/>
      <c r="AB184" s="67" t="n"/>
      <c r="AC184" s="67" t="n"/>
      <c r="AD184" s="67" t="n"/>
      <c r="AE184" s="67" t="n"/>
      <c r="AF184" s="67" t="n"/>
      <c r="AG184" s="67" t="n"/>
      <c r="AH184" s="67" t="n"/>
      <c r="AI184" s="67" t="n"/>
      <c r="AJ184" s="67" t="n"/>
      <c r="AK184" s="67" t="n"/>
    </row>
    <row r="185">
      <c r="B185" s="67" t="n"/>
      <c r="C185" s="67" t="n"/>
      <c r="D185" s="67" t="n"/>
      <c r="E185" s="67" t="n"/>
      <c r="F185" s="67" t="n"/>
      <c r="G185" s="67" t="n"/>
      <c r="H185" s="67" t="n"/>
      <c r="I185" s="67" t="n"/>
      <c r="J185" s="67" t="n"/>
      <c r="K185" s="67" t="n"/>
      <c r="L185" s="67" t="n"/>
      <c r="M185" s="67" t="n"/>
      <c r="N185" s="67" t="n"/>
      <c r="O185" s="67" t="n"/>
      <c r="P185" s="67" t="n"/>
      <c r="Q185" s="67" t="n"/>
      <c r="R185" s="67" t="n"/>
      <c r="S185" s="67" t="n"/>
      <c r="T185" s="67" t="n"/>
      <c r="U185" s="67" t="n"/>
      <c r="V185" s="67" t="n"/>
      <c r="W185" s="67" t="n"/>
      <c r="X185" s="67" t="n"/>
      <c r="Y185" s="67" t="n"/>
      <c r="Z185" s="67" t="n"/>
      <c r="AA185" s="67" t="n"/>
      <c r="AB185" s="67" t="n"/>
      <c r="AC185" s="67" t="n"/>
      <c r="AD185" s="67" t="n"/>
      <c r="AE185" s="67" t="n"/>
      <c r="AF185" s="67" t="n"/>
      <c r="AG185" s="67" t="n"/>
      <c r="AH185" s="67" t="n"/>
      <c r="AI185" s="67" t="n"/>
      <c r="AJ185" s="67" t="n"/>
      <c r="AK185" s="67" t="n"/>
    </row>
    <row r="186">
      <c r="B186" s="67" t="n"/>
      <c r="C186" s="67" t="n"/>
      <c r="D186" s="67" t="n"/>
      <c r="E186" s="67" t="n"/>
      <c r="F186" s="67" t="n"/>
      <c r="G186" s="67" t="n"/>
      <c r="H186" s="67" t="n"/>
      <c r="I186" s="67" t="n"/>
      <c r="J186" s="67" t="n"/>
      <c r="K186" s="67" t="n"/>
      <c r="L186" s="67" t="n"/>
      <c r="M186" s="67" t="n"/>
      <c r="N186" s="67" t="n"/>
      <c r="O186" s="67" t="n"/>
      <c r="P186" s="67" t="n"/>
      <c r="Q186" s="67" t="n"/>
      <c r="R186" s="67" t="n"/>
      <c r="S186" s="67" t="n"/>
      <c r="T186" s="67" t="n"/>
      <c r="U186" s="67" t="n"/>
      <c r="V186" s="67" t="n"/>
      <c r="W186" s="67" t="n"/>
      <c r="X186" s="67" t="n"/>
      <c r="Y186" s="67" t="n"/>
      <c r="Z186" s="67" t="n"/>
      <c r="AA186" s="67" t="n"/>
      <c r="AB186" s="67" t="n"/>
      <c r="AC186" s="67" t="n"/>
      <c r="AD186" s="67" t="n"/>
      <c r="AE186" s="67" t="n"/>
      <c r="AF186" s="67" t="n"/>
      <c r="AG186" s="67" t="n"/>
      <c r="AH186" s="67" t="n"/>
      <c r="AI186" s="67" t="n"/>
      <c r="AJ186" s="67" t="n"/>
      <c r="AK186" s="67" t="n"/>
    </row>
    <row r="187">
      <c r="B187" s="67" t="n"/>
      <c r="C187" s="67" t="n"/>
      <c r="D187" s="67" t="n"/>
      <c r="E187" s="67" t="n"/>
      <c r="F187" s="67" t="n"/>
      <c r="G187" s="67" t="n"/>
      <c r="H187" s="67" t="n"/>
      <c r="I187" s="67" t="n"/>
      <c r="J187" s="67" t="n"/>
      <c r="K187" s="67" t="n"/>
      <c r="L187" s="67" t="n"/>
      <c r="M187" s="67" t="n"/>
      <c r="N187" s="67" t="n"/>
      <c r="O187" s="67" t="n"/>
      <c r="P187" s="67" t="n"/>
      <c r="Q187" s="67" t="n"/>
      <c r="R187" s="67" t="n"/>
      <c r="S187" s="67" t="n"/>
      <c r="T187" s="67" t="n"/>
      <c r="U187" s="67" t="n"/>
      <c r="V187" s="67" t="n"/>
      <c r="W187" s="67" t="n"/>
      <c r="X187" s="67" t="n"/>
      <c r="Y187" s="67" t="n"/>
      <c r="Z187" s="67" t="n"/>
      <c r="AA187" s="67" t="n"/>
      <c r="AB187" s="67" t="n"/>
      <c r="AC187" s="67" t="n"/>
      <c r="AD187" s="67" t="n"/>
      <c r="AE187" s="67" t="n"/>
      <c r="AF187" s="67" t="n"/>
      <c r="AG187" s="67" t="n"/>
      <c r="AH187" s="67" t="n"/>
      <c r="AI187" s="67" t="n"/>
      <c r="AJ187" s="67" t="n"/>
      <c r="AK187" s="67" t="n"/>
    </row>
    <row r="188">
      <c r="B188" s="67" t="n"/>
      <c r="C188" s="67" t="n"/>
      <c r="D188" s="67" t="n"/>
      <c r="E188" s="67" t="n"/>
      <c r="F188" s="67" t="n"/>
      <c r="G188" s="67" t="n"/>
      <c r="H188" s="67" t="n"/>
      <c r="I188" s="67" t="n"/>
      <c r="J188" s="67" t="n"/>
      <c r="K188" s="67" t="n"/>
      <c r="L188" s="67" t="n"/>
      <c r="M188" s="67" t="n"/>
      <c r="N188" s="67" t="n"/>
      <c r="O188" s="67" t="n"/>
      <c r="P188" s="67" t="n"/>
      <c r="Q188" s="67" t="n"/>
      <c r="R188" s="67" t="n"/>
      <c r="S188" s="67" t="n"/>
      <c r="T188" s="67" t="n"/>
      <c r="U188" s="67" t="n"/>
      <c r="V188" s="67" t="n"/>
      <c r="W188" s="67" t="n"/>
      <c r="X188" s="67" t="n"/>
      <c r="Y188" s="67" t="n"/>
      <c r="Z188" s="67" t="n"/>
      <c r="AA188" s="67" t="n"/>
      <c r="AB188" s="67" t="n"/>
      <c r="AC188" s="67" t="n"/>
      <c r="AD188" s="67" t="n"/>
      <c r="AE188" s="67" t="n"/>
      <c r="AF188" s="67" t="n"/>
      <c r="AG188" s="67" t="n"/>
      <c r="AH188" s="67" t="n"/>
      <c r="AI188" s="67" t="n"/>
      <c r="AJ188" s="67" t="n"/>
      <c r="AK188" s="67" t="n"/>
    </row>
    <row r="189">
      <c r="B189" s="67" t="n"/>
      <c r="C189" s="67" t="n"/>
      <c r="D189" s="67" t="n"/>
      <c r="E189" s="67" t="n"/>
      <c r="F189" s="67" t="n"/>
      <c r="G189" s="67" t="n"/>
      <c r="H189" s="67" t="n"/>
      <c r="I189" s="67" t="n"/>
      <c r="J189" s="67" t="n"/>
      <c r="K189" s="67" t="n"/>
      <c r="L189" s="67" t="n"/>
      <c r="M189" s="67" t="n"/>
      <c r="N189" s="67" t="n"/>
      <c r="O189" s="67" t="n"/>
      <c r="P189" s="67" t="n"/>
      <c r="Q189" s="67" t="n"/>
      <c r="R189" s="67" t="n"/>
      <c r="S189" s="67" t="n"/>
      <c r="T189" s="67" t="n"/>
      <c r="U189" s="67" t="n"/>
      <c r="V189" s="67" t="n"/>
      <c r="W189" s="67" t="n"/>
      <c r="X189" s="67" t="n"/>
      <c r="Y189" s="67" t="n"/>
      <c r="Z189" s="67" t="n"/>
      <c r="AA189" s="67" t="n"/>
      <c r="AB189" s="67" t="n"/>
      <c r="AC189" s="67" t="n"/>
      <c r="AD189" s="67" t="n"/>
      <c r="AE189" s="67" t="n"/>
      <c r="AF189" s="67" t="n"/>
      <c r="AG189" s="67" t="n"/>
      <c r="AH189" s="67" t="n"/>
      <c r="AI189" s="67" t="n"/>
      <c r="AJ189" s="67" t="n"/>
      <c r="AK189" s="67" t="n"/>
    </row>
    <row r="190">
      <c r="B190" s="67" t="n"/>
      <c r="C190" s="67" t="n"/>
      <c r="D190" s="67" t="n"/>
      <c r="E190" s="67" t="n"/>
      <c r="F190" s="67" t="n"/>
      <c r="G190" s="67" t="n"/>
      <c r="H190" s="67" t="n"/>
      <c r="I190" s="67" t="n"/>
      <c r="J190" s="67" t="n"/>
      <c r="K190" s="67" t="n"/>
      <c r="L190" s="67" t="n"/>
      <c r="M190" s="67" t="n"/>
      <c r="N190" s="67" t="n"/>
      <c r="O190" s="67" t="n"/>
      <c r="P190" s="67" t="n"/>
      <c r="Q190" s="67" t="n"/>
      <c r="R190" s="67" t="n"/>
      <c r="S190" s="67" t="n"/>
      <c r="T190" s="67" t="n"/>
      <c r="U190" s="67" t="n"/>
      <c r="V190" s="67" t="n"/>
      <c r="W190" s="67" t="n"/>
      <c r="X190" s="67" t="n"/>
      <c r="Y190" s="67" t="n"/>
      <c r="Z190" s="67" t="n"/>
      <c r="AA190" s="67" t="n"/>
      <c r="AB190" s="67" t="n"/>
      <c r="AC190" s="67" t="n"/>
      <c r="AD190" s="67" t="n"/>
      <c r="AE190" s="67" t="n"/>
      <c r="AF190" s="67" t="n"/>
      <c r="AG190" s="67" t="n"/>
      <c r="AH190" s="67" t="n"/>
      <c r="AI190" s="67" t="n"/>
      <c r="AJ190" s="67" t="n"/>
      <c r="AK190" s="67" t="n"/>
    </row>
    <row r="191">
      <c r="B191" s="67" t="n"/>
      <c r="C191" s="67" t="n"/>
      <c r="D191" s="67" t="n"/>
      <c r="E191" s="67" t="n"/>
      <c r="F191" s="67" t="n"/>
      <c r="G191" s="67" t="n"/>
      <c r="H191" s="67" t="n"/>
      <c r="I191" s="67" t="n"/>
      <c r="J191" s="67" t="n"/>
      <c r="K191" s="67" t="n"/>
      <c r="L191" s="67" t="n"/>
      <c r="M191" s="67" t="n"/>
      <c r="N191" s="67" t="n"/>
      <c r="O191" s="67" t="n"/>
      <c r="P191" s="67" t="n"/>
      <c r="Q191" s="67" t="n"/>
      <c r="R191" s="67" t="n"/>
      <c r="S191" s="67" t="n"/>
      <c r="T191" s="67" t="n"/>
      <c r="U191" s="67" t="n"/>
      <c r="V191" s="67" t="n"/>
      <c r="W191" s="67" t="n"/>
      <c r="X191" s="67" t="n"/>
      <c r="Y191" s="67" t="n"/>
      <c r="Z191" s="67" t="n"/>
      <c r="AA191" s="67" t="n"/>
      <c r="AB191" s="67" t="n"/>
      <c r="AC191" s="67" t="n"/>
      <c r="AD191" s="67" t="n"/>
      <c r="AE191" s="67" t="n"/>
      <c r="AF191" s="67" t="n"/>
      <c r="AG191" s="67" t="n"/>
      <c r="AH191" s="67" t="n"/>
      <c r="AI191" s="67" t="n"/>
      <c r="AJ191" s="67" t="n"/>
      <c r="AK191" s="67" t="n"/>
    </row>
    <row r="192">
      <c r="B192" s="67" t="n"/>
      <c r="C192" s="67" t="n"/>
      <c r="D192" s="67" t="n"/>
      <c r="E192" s="67" t="n"/>
      <c r="F192" s="67" t="n"/>
      <c r="G192" s="67" t="n"/>
      <c r="H192" s="67" t="n"/>
      <c r="I192" s="67" t="n"/>
      <c r="J192" s="67" t="n"/>
      <c r="K192" s="67" t="n"/>
      <c r="L192" s="67" t="n"/>
      <c r="M192" s="67" t="n"/>
      <c r="N192" s="67" t="n"/>
      <c r="O192" s="67" t="n"/>
      <c r="P192" s="67" t="n"/>
      <c r="Q192" s="67" t="n"/>
      <c r="R192" s="67" t="n"/>
      <c r="S192" s="67" t="n"/>
      <c r="T192" s="67" t="n"/>
      <c r="U192" s="67" t="n"/>
      <c r="V192" s="67" t="n"/>
      <c r="W192" s="67" t="n"/>
      <c r="X192" s="67" t="n"/>
      <c r="Y192" s="67" t="n"/>
      <c r="Z192" s="67" t="n"/>
      <c r="AA192" s="67" t="n"/>
      <c r="AB192" s="67" t="n"/>
      <c r="AC192" s="67" t="n"/>
      <c r="AD192" s="67" t="n"/>
      <c r="AE192" s="67" t="n"/>
      <c r="AF192" s="67" t="n"/>
      <c r="AG192" s="67" t="n"/>
      <c r="AH192" s="67" t="n"/>
      <c r="AI192" s="67" t="n"/>
      <c r="AJ192" s="67" t="n"/>
      <c r="AK192" s="67" t="n"/>
    </row>
    <row r="193">
      <c r="B193" s="67" t="n"/>
      <c r="C193" s="67" t="n"/>
      <c r="D193" s="67" t="n"/>
      <c r="E193" s="67" t="n"/>
      <c r="F193" s="67" t="n"/>
      <c r="G193" s="67" t="n"/>
      <c r="H193" s="67" t="n"/>
      <c r="I193" s="67" t="n"/>
      <c r="J193" s="67" t="n"/>
      <c r="K193" s="67" t="n"/>
      <c r="L193" s="67" t="n"/>
      <c r="M193" s="67" t="n"/>
      <c r="N193" s="67" t="n"/>
      <c r="O193" s="67" t="n"/>
      <c r="P193" s="67" t="n"/>
      <c r="Q193" s="67" t="n"/>
      <c r="R193" s="67" t="n"/>
      <c r="S193" s="67" t="n"/>
      <c r="T193" s="67" t="n"/>
      <c r="U193" s="67" t="n"/>
      <c r="V193" s="67" t="n"/>
      <c r="W193" s="67" t="n"/>
      <c r="X193" s="67" t="n"/>
      <c r="Y193" s="67" t="n"/>
      <c r="Z193" s="67" t="n"/>
      <c r="AA193" s="67" t="n"/>
      <c r="AB193" s="67" t="n"/>
      <c r="AC193" s="67" t="n"/>
      <c r="AD193" s="67" t="n"/>
      <c r="AE193" s="67" t="n"/>
      <c r="AF193" s="67" t="n"/>
      <c r="AG193" s="67" t="n"/>
      <c r="AH193" s="67" t="n"/>
      <c r="AI193" s="67" t="n"/>
      <c r="AJ193" s="67" t="n"/>
      <c r="AK193" s="67" t="n"/>
    </row>
    <row r="194">
      <c r="B194" s="67" t="n"/>
      <c r="C194" s="67" t="n"/>
      <c r="D194" s="67" t="n"/>
      <c r="E194" s="67" t="n"/>
      <c r="F194" s="67" t="n"/>
      <c r="G194" s="67" t="n"/>
      <c r="H194" s="67" t="n"/>
      <c r="I194" s="67" t="n"/>
      <c r="J194" s="67" t="n"/>
      <c r="K194" s="67" t="n"/>
      <c r="L194" s="67" t="n"/>
      <c r="M194" s="67" t="n"/>
      <c r="N194" s="67" t="n"/>
      <c r="O194" s="67" t="n"/>
      <c r="P194" s="67" t="n"/>
      <c r="Q194" s="67" t="n"/>
      <c r="R194" s="67" t="n"/>
      <c r="S194" s="67" t="n"/>
      <c r="T194" s="67" t="n"/>
      <c r="U194" s="67" t="n"/>
      <c r="V194" s="67" t="n"/>
      <c r="W194" s="67" t="n"/>
      <c r="X194" s="67" t="n"/>
      <c r="Y194" s="67" t="n"/>
      <c r="Z194" s="67" t="n"/>
      <c r="AA194" s="67" t="n"/>
      <c r="AB194" s="67" t="n"/>
      <c r="AC194" s="67" t="n"/>
      <c r="AD194" s="67" t="n"/>
      <c r="AE194" s="67" t="n"/>
      <c r="AF194" s="67" t="n"/>
      <c r="AG194" s="67" t="n"/>
      <c r="AH194" s="67" t="n"/>
      <c r="AI194" s="67" t="n"/>
      <c r="AJ194" s="67" t="n"/>
      <c r="AK194" s="67" t="n"/>
    </row>
    <row r="195">
      <c r="B195" s="67" t="n"/>
      <c r="C195" s="67" t="n"/>
      <c r="D195" s="67" t="n"/>
      <c r="E195" s="67" t="n"/>
      <c r="F195" s="67" t="n"/>
      <c r="G195" s="67" t="n"/>
      <c r="H195" s="67" t="n"/>
      <c r="I195" s="67" t="n"/>
      <c r="J195" s="67" t="n"/>
      <c r="K195" s="67" t="n"/>
      <c r="L195" s="67" t="n"/>
      <c r="M195" s="67" t="n"/>
      <c r="N195" s="67" t="n"/>
      <c r="O195" s="67" t="n"/>
      <c r="P195" s="67" t="n"/>
      <c r="Q195" s="67" t="n"/>
      <c r="R195" s="67" t="n"/>
      <c r="S195" s="67" t="n"/>
      <c r="T195" s="67" t="n"/>
      <c r="U195" s="67" t="n"/>
      <c r="V195" s="67" t="n"/>
      <c r="W195" s="67" t="n"/>
      <c r="X195" s="67" t="n"/>
      <c r="Y195" s="67" t="n"/>
      <c r="Z195" s="67" t="n"/>
      <c r="AA195" s="67" t="n"/>
      <c r="AB195" s="67" t="n"/>
      <c r="AC195" s="67" t="n"/>
      <c r="AD195" s="67" t="n"/>
      <c r="AE195" s="67" t="n"/>
      <c r="AF195" s="67" t="n"/>
      <c r="AG195" s="67" t="n"/>
      <c r="AH195" s="67" t="n"/>
      <c r="AI195" s="67" t="n"/>
      <c r="AJ195" s="67" t="n"/>
      <c r="AK195" s="67" t="n"/>
    </row>
    <row r="196">
      <c r="B196" s="67" t="n"/>
      <c r="C196" s="67" t="n"/>
      <c r="D196" s="67" t="n"/>
      <c r="E196" s="67" t="n"/>
      <c r="F196" s="67" t="n"/>
      <c r="G196" s="67" t="n"/>
      <c r="H196" s="67" t="n"/>
      <c r="I196" s="67" t="n"/>
      <c r="J196" s="67" t="n"/>
      <c r="K196" s="67" t="n"/>
      <c r="L196" s="67" t="n"/>
      <c r="M196" s="67" t="n"/>
      <c r="N196" s="67" t="n"/>
      <c r="O196" s="67" t="n"/>
      <c r="P196" s="67" t="n"/>
      <c r="Q196" s="67" t="n"/>
      <c r="R196" s="67" t="n"/>
      <c r="S196" s="67" t="n"/>
      <c r="T196" s="67" t="n"/>
      <c r="U196" s="67" t="n"/>
      <c r="V196" s="67" t="n"/>
      <c r="W196" s="67" t="n"/>
      <c r="X196" s="67" t="n"/>
      <c r="Y196" s="67" t="n"/>
      <c r="Z196" s="67" t="n"/>
      <c r="AA196" s="67" t="n"/>
      <c r="AB196" s="67" t="n"/>
      <c r="AC196" s="67" t="n"/>
      <c r="AD196" s="67" t="n"/>
      <c r="AE196" s="67" t="n"/>
      <c r="AF196" s="67" t="n"/>
      <c r="AG196" s="67" t="n"/>
      <c r="AH196" s="67" t="n"/>
      <c r="AI196" s="67" t="n"/>
      <c r="AJ196" s="67" t="n"/>
      <c r="AK196" s="67" t="n"/>
    </row>
    <row r="197">
      <c r="B197" s="67" t="n"/>
      <c r="C197" s="67" t="n"/>
      <c r="D197" s="67" t="n"/>
      <c r="E197" s="67" t="n"/>
      <c r="F197" s="67" t="n"/>
      <c r="G197" s="67" t="n"/>
      <c r="H197" s="67" t="n"/>
      <c r="I197" s="67" t="n"/>
      <c r="J197" s="67" t="n"/>
      <c r="K197" s="67" t="n"/>
      <c r="L197" s="67" t="n"/>
      <c r="M197" s="67" t="n"/>
      <c r="N197" s="67" t="n"/>
      <c r="O197" s="67" t="n"/>
      <c r="P197" s="67" t="n"/>
      <c r="Q197" s="67" t="n"/>
      <c r="R197" s="67" t="n"/>
      <c r="S197" s="67" t="n"/>
      <c r="T197" s="67" t="n"/>
      <c r="U197" s="67" t="n"/>
      <c r="V197" s="67" t="n"/>
      <c r="W197" s="67" t="n"/>
      <c r="X197" s="67" t="n"/>
      <c r="Y197" s="67" t="n"/>
      <c r="Z197" s="67" t="n"/>
      <c r="AA197" s="67" t="n"/>
      <c r="AB197" s="67" t="n"/>
      <c r="AC197" s="67" t="n"/>
      <c r="AD197" s="67" t="n"/>
      <c r="AE197" s="67" t="n"/>
      <c r="AF197" s="67" t="n"/>
      <c r="AG197" s="67" t="n"/>
      <c r="AH197" s="67" t="n"/>
      <c r="AI197" s="67" t="n"/>
      <c r="AJ197" s="67" t="n"/>
      <c r="AK197" s="67" t="n"/>
    </row>
    <row r="198">
      <c r="B198" s="67" t="n"/>
      <c r="C198" s="67" t="n"/>
      <c r="D198" s="67" t="n"/>
      <c r="E198" s="67" t="n"/>
      <c r="F198" s="67" t="n"/>
      <c r="G198" s="67" t="n"/>
      <c r="H198" s="67" t="n"/>
      <c r="I198" s="67" t="n"/>
      <c r="J198" s="67" t="n"/>
      <c r="K198" s="67" t="n"/>
      <c r="L198" s="67" t="n"/>
      <c r="M198" s="67" t="n"/>
      <c r="N198" s="67" t="n"/>
      <c r="O198" s="67" t="n"/>
      <c r="P198" s="67" t="n"/>
      <c r="Q198" s="67" t="n"/>
      <c r="R198" s="67" t="n"/>
      <c r="S198" s="67" t="n"/>
      <c r="T198" s="67" t="n"/>
      <c r="U198" s="67" t="n"/>
      <c r="V198" s="67" t="n"/>
      <c r="W198" s="67" t="n"/>
      <c r="X198" s="67" t="n"/>
      <c r="Y198" s="67" t="n"/>
      <c r="Z198" s="67" t="n"/>
      <c r="AA198" s="67" t="n"/>
      <c r="AB198" s="67" t="n"/>
      <c r="AC198" s="67" t="n"/>
      <c r="AD198" s="67" t="n"/>
      <c r="AE198" s="67" t="n"/>
      <c r="AF198" s="67" t="n"/>
      <c r="AG198" s="67" t="n"/>
      <c r="AH198" s="67" t="n"/>
      <c r="AI198" s="67" t="n"/>
      <c r="AJ198" s="67" t="n"/>
      <c r="AK198" s="67" t="n"/>
    </row>
    <row r="199">
      <c r="B199" s="67" t="n"/>
      <c r="C199" s="67" t="n"/>
      <c r="D199" s="67" t="n"/>
      <c r="E199" s="67" t="n"/>
      <c r="F199" s="67" t="n"/>
      <c r="G199" s="67" t="n"/>
      <c r="H199" s="67" t="n"/>
      <c r="I199" s="67" t="n"/>
      <c r="J199" s="67" t="n"/>
      <c r="K199" s="67" t="n"/>
      <c r="L199" s="67" t="n"/>
      <c r="M199" s="67" t="n"/>
      <c r="N199" s="67" t="n"/>
      <c r="O199" s="67" t="n"/>
      <c r="P199" s="67" t="n"/>
      <c r="Q199" s="67" t="n"/>
      <c r="R199" s="67" t="n"/>
      <c r="S199" s="67" t="n"/>
      <c r="T199" s="67" t="n"/>
      <c r="U199" s="67" t="n"/>
      <c r="V199" s="67" t="n"/>
      <c r="W199" s="67" t="n"/>
      <c r="X199" s="67" t="n"/>
      <c r="Y199" s="67" t="n"/>
      <c r="Z199" s="67" t="n"/>
      <c r="AA199" s="67" t="n"/>
      <c r="AB199" s="67" t="n"/>
      <c r="AC199" s="67" t="n"/>
      <c r="AD199" s="67" t="n"/>
      <c r="AE199" s="67" t="n"/>
      <c r="AF199" s="67" t="n"/>
      <c r="AG199" s="67" t="n"/>
      <c r="AH199" s="67" t="n"/>
      <c r="AI199" s="67" t="n"/>
      <c r="AJ199" s="67" t="n"/>
      <c r="AK199" s="67" t="n"/>
    </row>
    <row r="200">
      <c r="B200" s="67" t="n"/>
      <c r="C200" s="67" t="n"/>
      <c r="D200" s="67" t="n"/>
      <c r="E200" s="67" t="n"/>
      <c r="F200" s="67" t="n"/>
      <c r="G200" s="67" t="n"/>
      <c r="H200" s="67" t="n"/>
      <c r="I200" s="67" t="n"/>
      <c r="J200" s="67" t="n"/>
      <c r="K200" s="67" t="n"/>
      <c r="L200" s="67" t="n"/>
      <c r="M200" s="67" t="n"/>
      <c r="N200" s="67" t="n"/>
      <c r="O200" s="67" t="n"/>
      <c r="P200" s="67" t="n"/>
      <c r="Q200" s="67" t="n"/>
      <c r="R200" s="67" t="n"/>
      <c r="S200" s="67" t="n"/>
      <c r="T200" s="67" t="n"/>
      <c r="U200" s="67" t="n"/>
      <c r="V200" s="67" t="n"/>
      <c r="W200" s="67" t="n"/>
      <c r="X200" s="67" t="n"/>
      <c r="Y200" s="67" t="n"/>
      <c r="Z200" s="67" t="n"/>
      <c r="AA200" s="67" t="n"/>
      <c r="AB200" s="67" t="n"/>
      <c r="AC200" s="67" t="n"/>
      <c r="AD200" s="67" t="n"/>
      <c r="AE200" s="67" t="n"/>
      <c r="AF200" s="67" t="n"/>
      <c r="AG200" s="67" t="n"/>
      <c r="AH200" s="67" t="n"/>
      <c r="AI200" s="67" t="n"/>
      <c r="AJ200" s="67" t="n"/>
      <c r="AK200" s="67" t="n"/>
    </row>
    <row r="201">
      <c r="B201" s="67" t="n"/>
      <c r="C201" s="67" t="n"/>
      <c r="D201" s="67" t="n"/>
      <c r="E201" s="67" t="n"/>
      <c r="F201" s="67" t="n"/>
      <c r="G201" s="67" t="n"/>
      <c r="H201" s="67" t="n"/>
      <c r="I201" s="67" t="n"/>
      <c r="J201" s="67" t="n"/>
      <c r="K201" s="67" t="n"/>
      <c r="L201" s="67" t="n"/>
      <c r="M201" s="67" t="n"/>
      <c r="N201" s="67" t="n"/>
      <c r="O201" s="67" t="n"/>
      <c r="P201" s="67" t="n"/>
      <c r="Q201" s="67" t="n"/>
      <c r="R201" s="67" t="n"/>
      <c r="S201" s="67" t="n"/>
      <c r="T201" s="67" t="n"/>
      <c r="U201" s="67" t="n"/>
      <c r="V201" s="67" t="n"/>
      <c r="W201" s="67" t="n"/>
      <c r="X201" s="67" t="n"/>
      <c r="Y201" s="67" t="n"/>
      <c r="Z201" s="67" t="n"/>
      <c r="AA201" s="67" t="n"/>
      <c r="AB201" s="67" t="n"/>
      <c r="AC201" s="67" t="n"/>
      <c r="AD201" s="67" t="n"/>
      <c r="AE201" s="67" t="n"/>
      <c r="AF201" s="67" t="n"/>
      <c r="AG201" s="67" t="n"/>
      <c r="AH201" s="67" t="n"/>
      <c r="AI201" s="67" t="n"/>
      <c r="AJ201" s="67" t="n"/>
      <c r="AK201" s="67" t="n"/>
    </row>
    <row r="202">
      <c r="B202" s="67" t="n"/>
      <c r="C202" s="67" t="n"/>
      <c r="D202" s="67" t="n"/>
      <c r="E202" s="67" t="n"/>
      <c r="F202" s="67" t="n"/>
      <c r="G202" s="67" t="n"/>
      <c r="H202" s="67" t="n"/>
      <c r="I202" s="67" t="n"/>
      <c r="J202" s="67" t="n"/>
      <c r="K202" s="67" t="n"/>
      <c r="L202" s="67" t="n"/>
      <c r="M202" s="67" t="n"/>
      <c r="N202" s="67" t="n"/>
      <c r="O202" s="67" t="n"/>
      <c r="P202" s="67" t="n"/>
      <c r="Q202" s="67" t="n"/>
      <c r="R202" s="67" t="n"/>
      <c r="S202" s="67" t="n"/>
      <c r="T202" s="67" t="n"/>
      <c r="U202" s="67" t="n"/>
      <c r="V202" s="67" t="n"/>
      <c r="W202" s="67" t="n"/>
      <c r="X202" s="67" t="n"/>
      <c r="Y202" s="67" t="n"/>
      <c r="Z202" s="67" t="n"/>
      <c r="AA202" s="67" t="n"/>
      <c r="AB202" s="67" t="n"/>
      <c r="AC202" s="67" t="n"/>
      <c r="AD202" s="67" t="n"/>
      <c r="AE202" s="67" t="n"/>
      <c r="AF202" s="67" t="n"/>
      <c r="AG202" s="67" t="n"/>
      <c r="AH202" s="67" t="n"/>
      <c r="AI202" s="67" t="n"/>
      <c r="AJ202" s="67" t="n"/>
      <c r="AK202" s="67" t="n"/>
    </row>
    <row r="203">
      <c r="B203" s="67" t="n"/>
      <c r="C203" s="67" t="n"/>
      <c r="D203" s="67" t="n"/>
      <c r="E203" s="67" t="n"/>
      <c r="F203" s="67" t="n"/>
      <c r="G203" s="67" t="n"/>
      <c r="H203" s="67" t="n"/>
      <c r="I203" s="67" t="n"/>
      <c r="J203" s="67" t="n"/>
      <c r="K203" s="67" t="n"/>
      <c r="L203" s="67" t="n"/>
      <c r="M203" s="67" t="n"/>
      <c r="N203" s="67" t="n"/>
      <c r="O203" s="67" t="n"/>
      <c r="P203" s="67" t="n"/>
      <c r="Q203" s="67" t="n"/>
      <c r="R203" s="67" t="n"/>
      <c r="S203" s="67" t="n"/>
      <c r="T203" s="67" t="n"/>
      <c r="U203" s="67" t="n"/>
      <c r="V203" s="67" t="n"/>
      <c r="W203" s="67" t="n"/>
      <c r="X203" s="67" t="n"/>
      <c r="Y203" s="67" t="n"/>
      <c r="Z203" s="67" t="n"/>
      <c r="AA203" s="67" t="n"/>
      <c r="AB203" s="67" t="n"/>
      <c r="AC203" s="67" t="n"/>
      <c r="AD203" s="67" t="n"/>
      <c r="AE203" s="67" t="n"/>
      <c r="AF203" s="67" t="n"/>
      <c r="AG203" s="67" t="n"/>
      <c r="AH203" s="67" t="n"/>
      <c r="AI203" s="67" t="n"/>
      <c r="AJ203" s="67" t="n"/>
      <c r="AK203" s="67" t="n"/>
    </row>
    <row r="204">
      <c r="B204" s="67" t="n"/>
      <c r="C204" s="67" t="n"/>
      <c r="D204" s="67" t="n"/>
      <c r="E204" s="67" t="n"/>
      <c r="F204" s="67" t="n"/>
      <c r="G204" s="67" t="n"/>
      <c r="H204" s="67" t="n"/>
      <c r="I204" s="67" t="n"/>
      <c r="J204" s="67" t="n"/>
      <c r="K204" s="67" t="n"/>
      <c r="L204" s="67" t="n"/>
      <c r="M204" s="67" t="n"/>
      <c r="N204" s="67" t="n"/>
      <c r="O204" s="67" t="n"/>
      <c r="P204" s="67" t="n"/>
      <c r="Q204" s="67" t="n"/>
      <c r="R204" s="67" t="n"/>
      <c r="S204" s="67" t="n"/>
      <c r="T204" s="67" t="n"/>
      <c r="U204" s="67" t="n"/>
      <c r="V204" s="67" t="n"/>
      <c r="W204" s="67" t="n"/>
      <c r="X204" s="67" t="n"/>
      <c r="Y204" s="67" t="n"/>
      <c r="Z204" s="67" t="n"/>
      <c r="AA204" s="67" t="n"/>
      <c r="AB204" s="67" t="n"/>
      <c r="AC204" s="67" t="n"/>
      <c r="AD204" s="67" t="n"/>
      <c r="AE204" s="67" t="n"/>
      <c r="AF204" s="67" t="n"/>
      <c r="AG204" s="67" t="n"/>
      <c r="AH204" s="67" t="n"/>
      <c r="AI204" s="67" t="n"/>
      <c r="AJ204" s="67" t="n"/>
      <c r="AK204" s="67" t="n"/>
    </row>
    <row r="205">
      <c r="B205" s="67" t="n"/>
      <c r="C205" s="67" t="n"/>
      <c r="D205" s="67" t="n"/>
      <c r="E205" s="67" t="n"/>
      <c r="F205" s="67" t="n"/>
      <c r="G205" s="67" t="n"/>
      <c r="H205" s="67" t="n"/>
      <c r="I205" s="67" t="n"/>
      <c r="J205" s="67" t="n"/>
      <c r="K205" s="67" t="n"/>
      <c r="L205" s="67" t="n"/>
      <c r="M205" s="67" t="n"/>
      <c r="N205" s="67" t="n"/>
      <c r="O205" s="67" t="n"/>
      <c r="P205" s="67" t="n"/>
      <c r="Q205" s="67" t="n"/>
      <c r="R205" s="67" t="n"/>
      <c r="S205" s="67" t="n"/>
      <c r="T205" s="67" t="n"/>
      <c r="U205" s="67" t="n"/>
      <c r="V205" s="67" t="n"/>
      <c r="W205" s="67" t="n"/>
      <c r="X205" s="67" t="n"/>
      <c r="Y205" s="67" t="n"/>
      <c r="Z205" s="67" t="n"/>
      <c r="AA205" s="67" t="n"/>
      <c r="AB205" s="67" t="n"/>
      <c r="AC205" s="67" t="n"/>
      <c r="AD205" s="67" t="n"/>
      <c r="AE205" s="67" t="n"/>
      <c r="AF205" s="67" t="n"/>
      <c r="AG205" s="67" t="n"/>
      <c r="AH205" s="67" t="n"/>
      <c r="AI205" s="67" t="n"/>
      <c r="AJ205" s="67" t="n"/>
      <c r="AK205" s="67" t="n"/>
    </row>
    <row r="206">
      <c r="B206" s="67" t="n"/>
      <c r="C206" s="67" t="n"/>
      <c r="D206" s="67" t="n"/>
      <c r="E206" s="67" t="n"/>
      <c r="F206" s="67" t="n"/>
      <c r="G206" s="67" t="n"/>
      <c r="H206" s="67" t="n"/>
      <c r="I206" s="67" t="n"/>
      <c r="J206" s="67" t="n"/>
      <c r="K206" s="67" t="n"/>
      <c r="L206" s="67" t="n"/>
      <c r="M206" s="67" t="n"/>
      <c r="N206" s="67" t="n"/>
      <c r="O206" s="67" t="n"/>
      <c r="P206" s="67" t="n"/>
      <c r="Q206" s="67" t="n"/>
      <c r="R206" s="67" t="n"/>
      <c r="S206" s="67" t="n"/>
      <c r="T206" s="67" t="n"/>
      <c r="U206" s="67" t="n"/>
      <c r="V206" s="67" t="n"/>
      <c r="W206" s="67" t="n"/>
      <c r="X206" s="67" t="n"/>
      <c r="Y206" s="67" t="n"/>
      <c r="Z206" s="67" t="n"/>
      <c r="AA206" s="67" t="n"/>
      <c r="AB206" s="67" t="n"/>
      <c r="AC206" s="67" t="n"/>
      <c r="AD206" s="67" t="n"/>
      <c r="AE206" s="67" t="n"/>
      <c r="AF206" s="67" t="n"/>
      <c r="AG206" s="67" t="n"/>
      <c r="AH206" s="67" t="n"/>
      <c r="AI206" s="67" t="n"/>
      <c r="AJ206" s="67" t="n"/>
      <c r="AK206" s="67" t="n"/>
    </row>
    <row r="207">
      <c r="B207" s="67" t="n"/>
      <c r="C207" s="67" t="n"/>
      <c r="D207" s="67" t="n"/>
      <c r="E207" s="67" t="n"/>
      <c r="F207" s="67" t="n"/>
      <c r="G207" s="67" t="n"/>
      <c r="H207" s="67" t="n"/>
      <c r="I207" s="67" t="n"/>
      <c r="J207" s="67" t="n"/>
      <c r="K207" s="67" t="n"/>
      <c r="L207" s="67" t="n"/>
      <c r="M207" s="67" t="n"/>
      <c r="N207" s="67" t="n"/>
      <c r="O207" s="67" t="n"/>
      <c r="P207" s="67" t="n"/>
      <c r="Q207" s="67" t="n"/>
      <c r="R207" s="67" t="n"/>
      <c r="S207" s="67" t="n"/>
      <c r="T207" s="67" t="n"/>
      <c r="U207" s="67" t="n"/>
      <c r="V207" s="67" t="n"/>
      <c r="W207" s="67" t="n"/>
      <c r="X207" s="67" t="n"/>
      <c r="Y207" s="67" t="n"/>
      <c r="Z207" s="67" t="n"/>
      <c r="AA207" s="67" t="n"/>
      <c r="AB207" s="67" t="n"/>
      <c r="AC207" s="67" t="n"/>
      <c r="AD207" s="67" t="n"/>
      <c r="AE207" s="67" t="n"/>
      <c r="AF207" s="67" t="n"/>
      <c r="AG207" s="67" t="n"/>
      <c r="AH207" s="67" t="n"/>
      <c r="AI207" s="67" t="n"/>
      <c r="AJ207" s="67" t="n"/>
      <c r="AK207" s="67" t="n"/>
    </row>
    <row r="208">
      <c r="B208" s="67" t="n"/>
      <c r="C208" s="67" t="n"/>
      <c r="D208" s="67" t="n"/>
      <c r="E208" s="67" t="n"/>
      <c r="F208" s="67" t="n"/>
      <c r="G208" s="67" t="n"/>
      <c r="H208" s="67" t="n"/>
      <c r="I208" s="67" t="n"/>
      <c r="J208" s="67" t="n"/>
      <c r="K208" s="67" t="n"/>
      <c r="L208" s="67" t="n"/>
      <c r="M208" s="67" t="n"/>
      <c r="N208" s="67" t="n"/>
      <c r="O208" s="67" t="n"/>
      <c r="P208" s="67" t="n"/>
      <c r="Q208" s="67" t="n"/>
      <c r="R208" s="67" t="n"/>
      <c r="S208" s="67" t="n"/>
      <c r="T208" s="67" t="n"/>
      <c r="U208" s="67" t="n"/>
      <c r="V208" s="67" t="n"/>
      <c r="W208" s="67" t="n"/>
      <c r="X208" s="67" t="n"/>
      <c r="Y208" s="67" t="n"/>
      <c r="Z208" s="67" t="n"/>
      <c r="AA208" s="67" t="n"/>
      <c r="AB208" s="67" t="n"/>
      <c r="AC208" s="67" t="n"/>
      <c r="AD208" s="67" t="n"/>
      <c r="AE208" s="67" t="n"/>
      <c r="AF208" s="67" t="n"/>
      <c r="AG208" s="67" t="n"/>
      <c r="AH208" s="67" t="n"/>
      <c r="AI208" s="67" t="n"/>
      <c r="AJ208" s="67" t="n"/>
      <c r="AK208" s="67" t="n"/>
    </row>
    <row r="209">
      <c r="B209" s="67" t="n"/>
      <c r="C209" s="67" t="n"/>
      <c r="D209" s="67" t="n"/>
      <c r="E209" s="67" t="n"/>
      <c r="F209" s="67" t="n"/>
      <c r="G209" s="67" t="n"/>
      <c r="H209" s="67" t="n"/>
      <c r="I209" s="67" t="n"/>
      <c r="J209" s="67" t="n"/>
      <c r="K209" s="67" t="n"/>
      <c r="L209" s="67" t="n"/>
      <c r="M209" s="67" t="n"/>
      <c r="N209" s="67" t="n"/>
      <c r="O209" s="67" t="n"/>
      <c r="P209" s="67" t="n"/>
      <c r="Q209" s="67" t="n"/>
      <c r="R209" s="67" t="n"/>
      <c r="S209" s="67" t="n"/>
      <c r="T209" s="67" t="n"/>
      <c r="U209" s="67" t="n"/>
      <c r="V209" s="67" t="n"/>
      <c r="W209" s="67" t="n"/>
      <c r="X209" s="67" t="n"/>
      <c r="Y209" s="67" t="n"/>
      <c r="Z209" s="67" t="n"/>
      <c r="AA209" s="67" t="n"/>
      <c r="AB209" s="67" t="n"/>
      <c r="AC209" s="67" t="n"/>
      <c r="AD209" s="67" t="n"/>
      <c r="AE209" s="67" t="n"/>
      <c r="AF209" s="67" t="n"/>
      <c r="AG209" s="67" t="n"/>
      <c r="AH209" s="67" t="n"/>
      <c r="AI209" s="67" t="n"/>
      <c r="AJ209" s="67" t="n"/>
      <c r="AK209" s="67" t="n"/>
    </row>
    <row r="210">
      <c r="B210" s="67" t="n"/>
      <c r="C210" s="67" t="n"/>
      <c r="D210" s="67" t="n"/>
      <c r="E210" s="67" t="n"/>
      <c r="F210" s="67" t="n"/>
      <c r="G210" s="67" t="n"/>
      <c r="H210" s="67" t="n"/>
      <c r="I210" s="67" t="n"/>
      <c r="J210" s="67" t="n"/>
      <c r="K210" s="67" t="n"/>
      <c r="L210" s="67" t="n"/>
      <c r="M210" s="67" t="n"/>
      <c r="N210" s="67" t="n"/>
      <c r="O210" s="67" t="n"/>
      <c r="P210" s="67" t="n"/>
      <c r="Q210" s="67" t="n"/>
      <c r="R210" s="67" t="n"/>
      <c r="S210" s="67" t="n"/>
      <c r="T210" s="67" t="n"/>
      <c r="U210" s="67" t="n"/>
      <c r="V210" s="67" t="n"/>
      <c r="W210" s="67" t="n"/>
      <c r="X210" s="67" t="n"/>
      <c r="Y210" s="67" t="n"/>
      <c r="Z210" s="67" t="n"/>
      <c r="AA210" s="67" t="n"/>
      <c r="AB210" s="67" t="n"/>
      <c r="AC210" s="67" t="n"/>
      <c r="AD210" s="67" t="n"/>
      <c r="AE210" s="67" t="n"/>
      <c r="AF210" s="67" t="n"/>
      <c r="AG210" s="67" t="n"/>
      <c r="AH210" s="67" t="n"/>
      <c r="AI210" s="67" t="n"/>
      <c r="AJ210" s="67" t="n"/>
      <c r="AK210" s="67" t="n"/>
    </row>
    <row r="211">
      <c r="B211" s="67" t="n"/>
      <c r="C211" s="67" t="n"/>
      <c r="D211" s="67" t="n"/>
      <c r="E211" s="67" t="n"/>
      <c r="F211" s="67" t="n"/>
      <c r="G211" s="67" t="n"/>
      <c r="H211" s="67" t="n"/>
      <c r="I211" s="67" t="n"/>
      <c r="J211" s="67" t="n"/>
      <c r="K211" s="67" t="n"/>
      <c r="L211" s="67" t="n"/>
      <c r="M211" s="67" t="n"/>
      <c r="N211" s="67" t="n"/>
      <c r="O211" s="67" t="n"/>
      <c r="P211" s="67" t="n"/>
      <c r="Q211" s="67" t="n"/>
      <c r="R211" s="67" t="n"/>
      <c r="S211" s="67" t="n"/>
      <c r="T211" s="67" t="n"/>
      <c r="U211" s="67" t="n"/>
      <c r="V211" s="67" t="n"/>
      <c r="W211" s="67" t="n"/>
      <c r="X211" s="67" t="n"/>
      <c r="Y211" s="67" t="n"/>
      <c r="Z211" s="67" t="n"/>
      <c r="AA211" s="67" t="n"/>
      <c r="AB211" s="67" t="n"/>
      <c r="AC211" s="67" t="n"/>
      <c r="AD211" s="67" t="n"/>
      <c r="AE211" s="67" t="n"/>
      <c r="AF211" s="67" t="n"/>
      <c r="AG211" s="67" t="n"/>
      <c r="AH211" s="67" t="n"/>
      <c r="AI211" s="67" t="n"/>
      <c r="AJ211" s="67" t="n"/>
      <c r="AK211" s="67" t="n"/>
    </row>
    <row r="212">
      <c r="B212" s="67" t="n"/>
      <c r="C212" s="67" t="n"/>
      <c r="D212" s="67" t="n"/>
      <c r="E212" s="67" t="n"/>
      <c r="F212" s="67" t="n"/>
      <c r="G212" s="67" t="n"/>
      <c r="H212" s="67" t="n"/>
      <c r="I212" s="67" t="n"/>
      <c r="J212" s="67" t="n"/>
      <c r="K212" s="67" t="n"/>
      <c r="L212" s="67" t="n"/>
      <c r="M212" s="67" t="n"/>
      <c r="N212" s="67" t="n"/>
      <c r="O212" s="67" t="n"/>
      <c r="P212" s="67" t="n"/>
      <c r="Q212" s="67" t="n"/>
      <c r="R212" s="67" t="n"/>
      <c r="S212" s="67" t="n"/>
      <c r="T212" s="67" t="n"/>
      <c r="U212" s="67" t="n"/>
      <c r="V212" s="67" t="n"/>
      <c r="W212" s="67" t="n"/>
      <c r="X212" s="67" t="n"/>
      <c r="Y212" s="67" t="n"/>
      <c r="Z212" s="67" t="n"/>
      <c r="AA212" s="67" t="n"/>
      <c r="AB212" s="67" t="n"/>
      <c r="AC212" s="67" t="n"/>
      <c r="AD212" s="67" t="n"/>
      <c r="AE212" s="67" t="n"/>
      <c r="AF212" s="67" t="n"/>
      <c r="AG212" s="67" t="n"/>
      <c r="AH212" s="67" t="n"/>
      <c r="AI212" s="67" t="n"/>
      <c r="AJ212" s="67" t="n"/>
      <c r="AK212" s="67" t="n"/>
    </row>
    <row r="213">
      <c r="B213" s="67" t="n"/>
      <c r="C213" s="67" t="n"/>
      <c r="D213" s="67" t="n"/>
      <c r="E213" s="67" t="n"/>
      <c r="F213" s="67" t="n"/>
      <c r="G213" s="67" t="n"/>
      <c r="H213" s="67" t="n"/>
      <c r="I213" s="67" t="n"/>
      <c r="J213" s="67" t="n"/>
      <c r="K213" s="67" t="n"/>
      <c r="L213" s="67" t="n"/>
      <c r="M213" s="67" t="n"/>
      <c r="N213" s="67" t="n"/>
      <c r="O213" s="67" t="n"/>
      <c r="P213" s="67" t="n"/>
      <c r="Q213" s="67" t="n"/>
      <c r="R213" s="67" t="n"/>
      <c r="S213" s="67" t="n"/>
      <c r="T213" s="67" t="n"/>
      <c r="U213" s="67" t="n"/>
      <c r="V213" s="67" t="n"/>
      <c r="W213" s="67" t="n"/>
      <c r="X213" s="67" t="n"/>
      <c r="Y213" s="67" t="n"/>
      <c r="Z213" s="67" t="n"/>
      <c r="AA213" s="67" t="n"/>
      <c r="AB213" s="67" t="n"/>
      <c r="AC213" s="67" t="n"/>
      <c r="AD213" s="67" t="n"/>
      <c r="AE213" s="67" t="n"/>
      <c r="AF213" s="67" t="n"/>
      <c r="AG213" s="67" t="n"/>
      <c r="AH213" s="67" t="n"/>
      <c r="AI213" s="67" t="n"/>
      <c r="AJ213" s="67" t="n"/>
      <c r="AK213" s="67" t="n"/>
    </row>
    <row r="214">
      <c r="B214" s="67" t="n"/>
      <c r="C214" s="67" t="n"/>
      <c r="D214" s="67" t="n"/>
      <c r="E214" s="67" t="n"/>
      <c r="F214" s="67" t="n"/>
      <c r="G214" s="67" t="n"/>
      <c r="H214" s="67" t="n"/>
      <c r="I214" s="67" t="n"/>
      <c r="J214" s="67" t="n"/>
      <c r="K214" s="67" t="n"/>
      <c r="L214" s="67" t="n"/>
      <c r="M214" s="67" t="n"/>
      <c r="N214" s="67" t="n"/>
      <c r="O214" s="67" t="n"/>
      <c r="P214" s="67" t="n"/>
      <c r="Q214" s="67" t="n"/>
      <c r="R214" s="67" t="n"/>
      <c r="S214" s="67" t="n"/>
      <c r="T214" s="67" t="n"/>
      <c r="U214" s="67" t="n"/>
      <c r="V214" s="67" t="n"/>
      <c r="W214" s="67" t="n"/>
      <c r="X214" s="67" t="n"/>
      <c r="Y214" s="67" t="n"/>
      <c r="Z214" s="67" t="n"/>
      <c r="AA214" s="67" t="n"/>
      <c r="AB214" s="67" t="n"/>
      <c r="AC214" s="67" t="n"/>
      <c r="AD214" s="67" t="n"/>
      <c r="AE214" s="67" t="n"/>
      <c r="AF214" s="67" t="n"/>
      <c r="AG214" s="67" t="n"/>
      <c r="AH214" s="67" t="n"/>
      <c r="AI214" s="67" t="n"/>
      <c r="AJ214" s="67" t="n"/>
      <c r="AK214" s="67" t="n"/>
    </row>
    <row r="215">
      <c r="B215" s="67" t="n"/>
      <c r="C215" s="67" t="n"/>
      <c r="D215" s="67" t="n"/>
      <c r="E215" s="67" t="n"/>
      <c r="F215" s="67" t="n"/>
      <c r="G215" s="67" t="n"/>
      <c r="H215" s="67" t="n"/>
      <c r="I215" s="67" t="n"/>
      <c r="J215" s="67" t="n"/>
      <c r="K215" s="67" t="n"/>
      <c r="L215" s="67" t="n"/>
      <c r="M215" s="67" t="n"/>
      <c r="N215" s="67" t="n"/>
      <c r="O215" s="67" t="n"/>
      <c r="P215" s="67" t="n"/>
      <c r="Q215" s="67" t="n"/>
      <c r="R215" s="67" t="n"/>
      <c r="S215" s="67" t="n"/>
      <c r="T215" s="67" t="n"/>
      <c r="U215" s="67" t="n"/>
      <c r="V215" s="67" t="n"/>
      <c r="W215" s="67" t="n"/>
      <c r="X215" s="67" t="n"/>
      <c r="Y215" s="67" t="n"/>
      <c r="Z215" s="67" t="n"/>
      <c r="AA215" s="67" t="n"/>
      <c r="AB215" s="67" t="n"/>
      <c r="AC215" s="67" t="n"/>
      <c r="AD215" s="67" t="n"/>
      <c r="AE215" s="67" t="n"/>
      <c r="AF215" s="67" t="n"/>
      <c r="AG215" s="67" t="n"/>
      <c r="AH215" s="67" t="n"/>
      <c r="AI215" s="67" t="n"/>
      <c r="AJ215" s="67" t="n"/>
      <c r="AK215" s="67" t="n"/>
    </row>
    <row r="216">
      <c r="B216" s="67" t="n"/>
      <c r="C216" s="67" t="n"/>
      <c r="D216" s="67" t="n"/>
      <c r="E216" s="67" t="n"/>
      <c r="F216" s="67" t="n"/>
      <c r="G216" s="67" t="n"/>
      <c r="H216" s="67" t="n"/>
      <c r="I216" s="67" t="n"/>
      <c r="J216" s="67" t="n"/>
      <c r="K216" s="67" t="n"/>
      <c r="L216" s="67" t="n"/>
      <c r="M216" s="67" t="n"/>
      <c r="N216" s="67" t="n"/>
      <c r="O216" s="67" t="n"/>
      <c r="P216" s="67" t="n"/>
      <c r="Q216" s="67" t="n"/>
      <c r="R216" s="67" t="n"/>
      <c r="S216" s="67" t="n"/>
      <c r="T216" s="67" t="n"/>
      <c r="U216" s="67" t="n"/>
      <c r="V216" s="67" t="n"/>
      <c r="W216" s="67" t="n"/>
      <c r="X216" s="67" t="n"/>
      <c r="Y216" s="67" t="n"/>
      <c r="Z216" s="67" t="n"/>
      <c r="AA216" s="67" t="n"/>
      <c r="AB216" s="67" t="n"/>
      <c r="AC216" s="67" t="n"/>
      <c r="AD216" s="67" t="n"/>
      <c r="AE216" s="67" t="n"/>
      <c r="AF216" s="67" t="n"/>
      <c r="AG216" s="67" t="n"/>
      <c r="AH216" s="67" t="n"/>
      <c r="AI216" s="67" t="n"/>
      <c r="AJ216" s="67" t="n"/>
      <c r="AK216" s="67" t="n"/>
    </row>
    <row r="217">
      <c r="B217" s="67" t="n"/>
      <c r="C217" s="67" t="n"/>
      <c r="D217" s="67" t="n"/>
      <c r="E217" s="67" t="n"/>
      <c r="F217" s="67" t="n"/>
      <c r="G217" s="67" t="n"/>
      <c r="H217" s="67" t="n"/>
      <c r="I217" s="67" t="n"/>
      <c r="J217" s="67" t="n"/>
      <c r="K217" s="67" t="n"/>
      <c r="L217" s="67" t="n"/>
      <c r="M217" s="67" t="n"/>
      <c r="N217" s="67" t="n"/>
      <c r="O217" s="67" t="n"/>
      <c r="P217" s="67" t="n"/>
      <c r="Q217" s="67" t="n"/>
      <c r="R217" s="67" t="n"/>
      <c r="S217" s="67" t="n"/>
      <c r="T217" s="67" t="n"/>
      <c r="U217" s="67" t="n"/>
      <c r="V217" s="67" t="n"/>
      <c r="W217" s="67" t="n"/>
      <c r="X217" s="67" t="n"/>
      <c r="Y217" s="67" t="n"/>
      <c r="Z217" s="67" t="n"/>
      <c r="AA217" s="67" t="n"/>
      <c r="AB217" s="67" t="n"/>
      <c r="AC217" s="67" t="n"/>
      <c r="AD217" s="67" t="n"/>
      <c r="AE217" s="67" t="n"/>
      <c r="AF217" s="67" t="n"/>
      <c r="AG217" s="67" t="n"/>
      <c r="AH217" s="67" t="n"/>
      <c r="AI217" s="67" t="n"/>
      <c r="AJ217" s="67" t="n"/>
      <c r="AK217" s="67" t="n"/>
    </row>
    <row r="218">
      <c r="B218" s="67" t="n"/>
      <c r="C218" s="67" t="n"/>
      <c r="D218" s="67" t="n"/>
      <c r="E218" s="67" t="n"/>
      <c r="F218" s="67" t="n"/>
      <c r="G218" s="67" t="n"/>
      <c r="H218" s="67" t="n"/>
      <c r="I218" s="67" t="n"/>
      <c r="J218" s="67" t="n"/>
      <c r="K218" s="67" t="n"/>
      <c r="L218" s="67" t="n"/>
      <c r="M218" s="67" t="n"/>
      <c r="N218" s="67" t="n"/>
      <c r="O218" s="67" t="n"/>
      <c r="P218" s="67" t="n"/>
      <c r="Q218" s="67" t="n"/>
      <c r="R218" s="67" t="n"/>
      <c r="S218" s="67" t="n"/>
      <c r="T218" s="67" t="n"/>
      <c r="U218" s="67" t="n"/>
      <c r="V218" s="67" t="n"/>
      <c r="W218" s="67" t="n"/>
      <c r="X218" s="67" t="n"/>
      <c r="Y218" s="67" t="n"/>
      <c r="Z218" s="67" t="n"/>
      <c r="AA218" s="67" t="n"/>
      <c r="AB218" s="67" t="n"/>
      <c r="AC218" s="67" t="n"/>
      <c r="AD218" s="67" t="n"/>
      <c r="AE218" s="67" t="n"/>
      <c r="AF218" s="67" t="n"/>
      <c r="AG218" s="67" t="n"/>
      <c r="AH218" s="67" t="n"/>
      <c r="AI218" s="67" t="n"/>
      <c r="AJ218" s="67" t="n"/>
      <c r="AK218" s="67" t="n"/>
    </row>
    <row r="219">
      <c r="B219" s="67" t="n"/>
      <c r="C219" s="67" t="n"/>
      <c r="D219" s="67" t="n"/>
      <c r="E219" s="67" t="n"/>
      <c r="F219" s="67" t="n"/>
      <c r="G219" s="67" t="n"/>
      <c r="H219" s="67" t="n"/>
      <c r="I219" s="67" t="n"/>
      <c r="J219" s="67" t="n"/>
      <c r="K219" s="67" t="n"/>
      <c r="L219" s="67" t="n"/>
      <c r="M219" s="67" t="n"/>
      <c r="N219" s="67" t="n"/>
      <c r="O219" s="67" t="n"/>
      <c r="P219" s="67" t="n"/>
      <c r="Q219" s="67" t="n"/>
      <c r="R219" s="67" t="n"/>
      <c r="S219" s="67" t="n"/>
      <c r="T219" s="67" t="n"/>
      <c r="U219" s="67" t="n"/>
      <c r="V219" s="67" t="n"/>
      <c r="W219" s="67" t="n"/>
      <c r="X219" s="67" t="n"/>
      <c r="Y219" s="67" t="n"/>
      <c r="Z219" s="67" t="n"/>
      <c r="AA219" s="67" t="n"/>
      <c r="AB219" s="67" t="n"/>
      <c r="AC219" s="67" t="n"/>
      <c r="AD219" s="67" t="n"/>
      <c r="AE219" s="67" t="n"/>
      <c r="AF219" s="67" t="n"/>
      <c r="AG219" s="67" t="n"/>
      <c r="AH219" s="67" t="n"/>
      <c r="AI219" s="67" t="n"/>
      <c r="AJ219" s="67" t="n"/>
      <c r="AK219" s="67" t="n"/>
    </row>
    <row r="220">
      <c r="B220" s="67" t="n"/>
      <c r="C220" s="67" t="n"/>
      <c r="D220" s="67" t="n"/>
      <c r="E220" s="67" t="n"/>
      <c r="F220" s="67" t="n"/>
      <c r="G220" s="67" t="n"/>
      <c r="H220" s="67" t="n"/>
      <c r="I220" s="67" t="n"/>
      <c r="J220" s="67" t="n"/>
      <c r="K220" s="67" t="n"/>
      <c r="L220" s="67" t="n"/>
      <c r="M220" s="67" t="n"/>
      <c r="N220" s="67" t="n"/>
      <c r="O220" s="67" t="n"/>
      <c r="P220" s="67" t="n"/>
      <c r="Q220" s="67" t="n"/>
      <c r="R220" s="67" t="n"/>
      <c r="S220" s="67" t="n"/>
      <c r="T220" s="67" t="n"/>
      <c r="U220" s="67" t="n"/>
      <c r="V220" s="67" t="n"/>
      <c r="W220" s="67" t="n"/>
      <c r="X220" s="67" t="n"/>
      <c r="Y220" s="67" t="n"/>
      <c r="Z220" s="67" t="n"/>
      <c r="AA220" s="67" t="n"/>
      <c r="AB220" s="67" t="n"/>
      <c r="AC220" s="67" t="n"/>
      <c r="AD220" s="67" t="n"/>
      <c r="AE220" s="67" t="n"/>
      <c r="AF220" s="67" t="n"/>
      <c r="AG220" s="67" t="n"/>
      <c r="AH220" s="67" t="n"/>
      <c r="AI220" s="67" t="n"/>
      <c r="AJ220" s="67" t="n"/>
      <c r="AK220" s="67" t="n"/>
    </row>
  </sheetData>
  <mergeCells count="9">
    <mergeCell ref="B8:C8"/>
    <mergeCell ref="D8:E8"/>
    <mergeCell ref="B4:AK4"/>
    <mergeCell ref="B10:C10"/>
    <mergeCell ref="B7:AK7"/>
    <mergeCell ref="B6:AK6"/>
    <mergeCell ref="F8:AK8"/>
    <mergeCell ref="B3:AK3"/>
    <mergeCell ref="B5:AK5"/>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amp;$P20&amp;$Q20&amp;$R20&amp;$S20&amp;$T20&amp;$U20&amp;$V20&amp;$W20&amp;$X20&amp;$Y20&amp;$Z20&amp;$AA20&amp;$AB20&amp;$AC20&amp;$AD20&amp;$AE20&amp;$AF20&amp;$AG20&amp;$AH20&amp;$AI20&amp;$AJ20&amp;$AK20)&gt;0,B20="")</formula>
    </cfRule>
  </conditionalFormatting>
  <conditionalFormatting sqref="C20:C220">
    <cfRule type="expression" priority="3" dxfId="6">
      <formula>AND(LEN($B20&amp;$C20&amp;$D20&amp;$E20&amp;$F20&amp;$G20&amp;$H20&amp;$I20&amp;$J20&amp;$K20&amp;$L20&amp;$M20&amp;$N20&amp;$O20&amp;$P20&amp;$Q20&amp;$R20&amp;$S20&amp;$T20&amp;$U20&amp;$V20&amp;$W20&amp;$X20&amp;$Y20&amp;$Z20&amp;$AA20&amp;$AB20&amp;$AC20&amp;$AD20&amp;$AE20&amp;$AF20&amp;$AG20&amp;$AH20&amp;$AI20&amp;$AJ20&amp;$AK20)&gt;0,C20="")</formula>
    </cfRule>
  </conditionalFormatting>
  <conditionalFormatting sqref="R20:R220">
    <cfRule type="expression" priority="4" dxfId="6">
      <formula>AND(LEN($B20&amp;$C20&amp;$D20&amp;$E20&amp;$F20&amp;$G20&amp;$H20&amp;$I20&amp;$J20&amp;$K20&amp;$L20&amp;$M20&amp;$N20&amp;$O20&amp;$P20&amp;$Q20&amp;$R20&amp;$S20&amp;$T20&amp;$U20&amp;$V20&amp;$W20&amp;$X20&amp;$Y20&amp;$Z20&amp;$AA20&amp;$AB20&amp;$AC20&amp;$AD20&amp;$AE20&amp;$AF20&amp;$AG20&amp;$AH20&amp;$AI20&amp;$AJ20&amp;$AK20)&gt;0,R20="")</formula>
    </cfRule>
  </conditionalFormatting>
  <conditionalFormatting sqref="AI20:AI220">
    <cfRule type="expression" priority="5" dxfId="6">
      <formula>AND(LEN($B20&amp;$C20&amp;$D20&amp;$E20&amp;$F20&amp;$G20&amp;$H20&amp;$I20&amp;$J20&amp;$K20&amp;$L20&amp;$M20&amp;$N20&amp;$O20&amp;$P20&amp;$Q20&amp;$R20&amp;$S20&amp;$T20&amp;$U20&amp;$V20&amp;$W20&amp;$X20&amp;$Y20&amp;$Z20&amp;$AA20&amp;$AB20&amp;$AC20&amp;$AD20&amp;$AE20&amp;$AF20&amp;$AG20&amp;$AH20&amp;$AI20&amp;$AJ20&amp;$AK20)&gt;0,AI20="")</formula>
    </cfRule>
  </conditionalFormatting>
  <conditionalFormatting sqref="AJ20:AJ220">
    <cfRule type="expression" priority="6" dxfId="6">
      <formula>AND(LEN($B20&amp;$C20&amp;$D20&amp;$E20&amp;$F20&amp;$G20&amp;$H20&amp;$I20&amp;$J20&amp;$K20&amp;$L20&amp;$M20&amp;$N20&amp;$O20&amp;$P20&amp;$Q20&amp;$R20&amp;$S20&amp;$T20&amp;$U20&amp;$V20&amp;$W20&amp;$X20&amp;$Y20&amp;$Z20&amp;$AA20&amp;$AB20&amp;$AC20&amp;$AD20&amp;$AE20&amp;$AF20&amp;$AG20&amp;$AH20&amp;$AI20&amp;$AJ20&amp;$AK20)&gt;0,AJ20="")</formula>
    </cfRule>
  </conditionalFormatting>
  <conditionalFormatting sqref="AK20:AK220">
    <cfRule type="expression" priority="7" dxfId="6">
      <formula>AND(LEN($B20&amp;$C20&amp;$D20&amp;$E20&amp;$F20&amp;$G20&amp;$H20&amp;$I20&amp;$J20&amp;$K20&amp;$L20&amp;$M20&amp;$N20&amp;$O20&amp;$P20&amp;$Q20&amp;$R20&amp;$S20&amp;$T20&amp;$U20&amp;$V20&amp;$W20&amp;$X20&amp;$Y20&amp;$Z20&amp;$AA20&amp;$AB20&amp;$AC20&amp;$AD20&amp;$AE20&amp;$AF20&amp;$AG20&amp;$AH20&amp;$AI20&amp;$AJ20&amp;$AK20)&gt;0,AK20="")</formula>
    </cfRule>
  </conditionalFormatting>
  <dataValidations count="38">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AK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client_no" error="At most 30 characters." promptTitle="legacy_client_no" prompt="Yes. Client number in the source system Allowed: Free entry, up to 30 characters" type="textLength" operator="lessThanOrEqual">
      <formula1>30</formula1>
    </dataValidation>
    <dataValidation sqref="C20:C220" showDropDown="0" showInputMessage="1" showErrorMessage="1" allowBlank="1" errorTitle="client_type" error="Choose a value of the list C01 client_type (sheet Reference lists)." promptTitle="client_type" prompt="Yes. Individual or corporate Allowed: I, C (list C01 client_type)" type="list" errorStyle="stop">
      <formula1>=LIST_C01_CLIENT_TYPE</formula1>
    </dataValidation>
    <dataValidation sqref="D20:D220" showDropDown="0" showInputMessage="1" showErrorMessage="1" allowBlank="1" errorTitle="last_name" error="At most 100 characters." promptTitle="last_name" prompt="Conditional: Mandatory for I. Last name (individual) Allowed: Free entry, up to 100 characters" type="textLength" operator="lessThanOrEqual">
      <formula1>100</formula1>
    </dataValidation>
    <dataValidation sqref="E20:E220" showDropDown="0" showInputMessage="1" showErrorMessage="1" allowBlank="1" errorTitle="first_name" error="At most 100 characters." promptTitle="first_name" prompt="Conditional: Mandatory for I. First name (individual) Allowed: Free entry, up to 100 characters" type="textLength" operator="lessThanOrEqual">
      <formula1>100</formula1>
    </dataValidation>
    <dataValidation sqref="F20:F220" showDropDown="0" showInputMessage="1" showErrorMessage="1" allowBlank="1" errorTitle="middle_name" error="At most 100 characters." promptTitle="middle_name" prompt="No. Middle name Allowed: Free entry, up to 100 characters" type="textLength" operator="lessThanOrEqual">
      <formula1>100</formula1>
    </dataValidation>
    <dataValidation sqref="G20:G220" showDropDown="0" showInputMessage="1" showErrorMessage="1" allowBlank="1" errorTitle="suffix" error="At most 20 characters." promptTitle="suffix" prompt="No. Name suffix Allowed: Free entry, up to 20 characters" type="textLength" operator="lessThanOrEqual">
      <formula1>20</formula1>
    </dataValidation>
    <dataValidation sqref="H20:H220" showDropDown="0" showInputMessage="1" showErrorMessage="1" allowBlank="1" errorTitle="corporate_name" error="At most 200 characters." promptTitle="corporate_name" prompt="Conditional: Mandatory for C. Registered name (corporate) Allowed: Free entry, up to 200 characters" type="textLength" operator="lessThanOrEqual">
      <formula1>200</formula1>
    </dataValidation>
    <dataValidation sqref="I20:I220" showDropDown="0" showInputMessage="1" showErrorMessage="1" allowBlank="1" errorTitle="registration_no" error="At most 60 characters." promptTitle="registration_no" prompt="No. SEC or DTI registration number (corporate) Allowed: Free entry, up to 60 characters" type="textLength" operator="lessThanOrEqual">
      <formula1>60</formula1>
    </dataValidation>
    <dataValidation sqref="J20:J220" showDropDown="0" showInputMessage="1" showErrorMessage="0" allowBlank="1" promptTitle="birth_date" prompt="Conditional: Mandatory for I; not in the future; age 0 to 120. Birth date (individual)"/>
    <dataValidation sqref="K20:K220" showDropDown="0" showInputMessage="1" showErrorMessage="1" allowBlank="1" errorTitle="tin" error="At most 20 characters." promptTitle="tin" prompt="No. Tax identification number Allowed: Free entry, up to 20 characters" type="textLength" operator="lessThanOrEqual">
      <formula1>20</formula1>
    </dataValidation>
    <dataValidation sqref="L20:L220" showDropDown="0" showInputMessage="1" showErrorMessage="1" allowBlank="1" errorTitle="id_type" error="At most 40 characters." promptTitle="id_type" prompt="No. Government ID type Allowed: The legacy code; mapped by the code map LOV:ID_TYPE (sheet Code maps)" type="textLength" operator="lessThanOrEqual">
      <formula1>40</formula1>
    </dataValidation>
    <dataValidation sqref="M20:M220" showDropDown="0" showInputMessage="1" showErrorMessage="1" allowBlank="1" errorTitle="id_number" error="At most 60 characters." promptTitle="id_number" prompt="Conditional: Mandatory when id_type is given; duplicate key K2. Government ID number Allowed: Free entry, up to 60 characters" type="textLength" operator="lessThanOrEqual">
      <formula1>60</formula1>
    </dataValidation>
    <dataValidation sqref="N20:N220" showDropDown="0" showInputMessage="1" showErrorMessage="1" allowBlank="1" errorTitle="bank_client_flag" error="Choose a value of the list Yes or no (sheet Reference lists)." promptTitle="bank_client_flag" prompt="No. BDO bank client Allowed: Y or N" type="list" errorStyle="stop">
      <formula1>=LIST_YES_NO</formula1>
    </dataValidation>
    <dataValidation sqref="O20:O220" showDropDown="0" showInputMessage="1" showErrorMessage="1" allowBlank="1" errorTitle="bank_cif" error="At most 40 characters." promptTitle="bank_cif" prompt="No. BDO customer information file number Allowed: Free entry, up to 40 characters" type="textLength" operator="lessThanOrEqual">
      <formula1>40</formula1>
    </dataValidation>
    <dataValidation sqref="P20:P220" showDropDown="0" showInputMessage="1" showErrorMessage="1" allowBlank="1" errorTitle="nationality" error="At most 40 characters." promptTitle="nationality" prompt="No. Nationality Allowed: The legacy code; mapped by the code map LOV:NATIONALITY (sheet Code maps)" type="textLength" operator="lessThanOrEqual">
      <formula1>40</formula1>
    </dataValidation>
    <dataValidation sqref="Q20:Q220" showDropDown="0" showInputMessage="1" showErrorMessage="1" allowBlank="1" errorTitle="source_of_funds" error="At most 40 characters." promptTitle="source_of_funds" prompt="No. Source of funds Allowed: The legacy code; mapped by the code map LOV:SOURCE_OF_FUNDS (sheet Code maps)" type="textLength" operator="lessThanOrEqual">
      <formula1>40</formula1>
    </dataValidation>
    <dataValidation sqref="R20:R220" showDropDown="0" showInputMessage="1" showErrorMessage="1" allowBlank="1" errorTitle="market_segment" error="At most 40 characters." promptTitle="market_segment" prompt="Yes. Market segment Allowed: The legacy code; mapped by the code map LOV:MARKET_SEGMENT (sheet Code maps)" type="textLength" operator="lessThanOrEqual">
      <formula1>40</formula1>
    </dataValidation>
    <dataValidation sqref="S20:S220" showDropDown="0" showInputMessage="1" showErrorMessage="1" allowBlank="1" errorTitle="customer_segment" error="At most 40 characters." promptTitle="customer_segment" prompt="No. Customer segment (MIS) Allowed: The legacy code; mapped by the code map MIS:CUSTOMER_SEGMENT (sheet Code maps)" type="textLength" operator="lessThanOrEqual">
      <formula1>40</formula1>
    </dataValidation>
    <dataValidation sqref="T20:T220" showDropDown="0" showInputMessage="1" showErrorMessage="1" allowBlank="1" errorTitle="business_origin" error="At most 40 characters." promptTitle="business_origin" prompt="No. Business origin (MIS) Allowed: The legacy code; mapped by the code map MIS:BUSINESS_ORIGIN (sheet Code maps)" type="textLength" operator="lessThanOrEqual">
      <formula1>40</formula1>
    </dataValidation>
    <dataValidation sqref="U20:U220" showDropDown="0" showInputMessage="1" showErrorMessage="1" allowBlank="1" errorTitle="ao_user_id" error="At most 50 characters." promptTitle="ao_user_id" prompt="No. Account officer Allowed: The legacy code; mapped by the code map USER (sheet Code maps)" type="textLength" operator="lessThanOrEqual">
      <formula1>50</formula1>
    </dataValidation>
    <dataValidation sqref="V20:V220" showDropDown="0" showInputMessage="1" showErrorMessage="1" allowBlank="1" errorTitle="sales_unit_code" error="At most 20 characters." promptTitle="sales_unit_code" prompt="No. Sales unit of the client Allowed: The legacy code; mapped by the code map SALES_UNIT (sheet Code maps)" type="textLength" operator="lessThanOrEqual">
      <formula1>20</formula1>
    </dataValidation>
    <dataValidation sqref="W20:W220" showDropDown="0" showInputMessage="1" showErrorMessage="1" allowBlank="1" errorTitle="branch_code" error="At most 20 characters." promptTitle="branch_code" prompt="No. Servicing branch Allowed: The legacy code; mapped by the code map BRANCH (sheet Code maps)" type="textLength" operator="lessThanOrEqual">
      <formula1>20</formula1>
    </dataValidation>
    <dataValidation sqref="X20:X220" showDropDown="0" showInputMessage="1" showErrorMessage="1" allowBlank="1" errorTitle="email" error="At most 120 characters." promptTitle="email" prompt="No. Primary e-mail Allowed: Free entry, up to 120 characters" type="textLength" operator="lessThanOrEqual">
      <formula1>120</formula1>
    </dataValidation>
    <dataValidation sqref="Y20:Y220" showDropDown="0" showInputMessage="1" showErrorMessage="1" allowBlank="1" errorTitle="mobile" error="At most 30 characters." promptTitle="mobile" prompt="No. Primary mobile number Allowed: Free entry, up to 30 characters" type="textLength" operator="lessThanOrEqual">
      <formula1>30</formula1>
    </dataValidation>
    <dataValidation sqref="Z20:Z220" showDropDown="0" showInputMessage="1" showErrorMessage="1" allowBlank="1" errorTitle="phone" error="At most 30 characters." promptTitle="phone" prompt="No. Landline Allowed: Free entry, up to 30 characters" type="textLength" operator="lessThanOrEqual">
      <formula1>30</formula1>
    </dataValidation>
    <dataValidation sqref="AA20:AA220" showDropDown="0" showInputMessage="1" showErrorMessage="1" allowBlank="1" errorTitle="address_line" error="At most 300 characters." promptTitle="address_line" prompt="No. Primary street address Allowed: Free entry, up to 300 characters" type="textLength" operator="lessThanOrEqual">
      <formula1>300</formula1>
    </dataValidation>
    <dataValidation sqref="AB20:AB220" showDropDown="0" showInputMessage="1" showErrorMessage="1" allowBlank="1" errorTitle="city" error="At most 80 characters." promptTitle="city" prompt="No. City / municipality Allowed: Free entry, up to 80 characters" type="textLength" operator="lessThanOrEqual">
      <formula1>80</formula1>
    </dataValidation>
    <dataValidation sqref="AC20:AC220" showDropDown="0" showInputMessage="1" showErrorMessage="1" allowBlank="1" errorTitle="province" error="At most 80 characters." promptTitle="province" prompt="No. Province Allowed: Free entry, up to 80 characters" type="textLength" operator="lessThanOrEqual">
      <formula1>80</formula1>
    </dataValidation>
    <dataValidation sqref="AD20:AD220" showDropDown="0" showInputMessage="1" showErrorMessage="1" allowBlank="1" errorTitle="postal_code" error="At most 10 characters." promptTitle="postal_code" prompt="No. Postal code Allowed: Free entry, up to 10 characters" type="textLength" operator="lessThanOrEqual">
      <formula1>10</formula1>
    </dataValidation>
    <dataValidation sqref="AE20:AE220" showDropDown="0" showInputMessage="1" showErrorMessage="1" allowBlank="1" errorTitle="kyc_status" error="At most 20 characters." promptTitle="kyc_status" prompt="No. KYC status in legacy Allowed: The legacy code; mapped by the code map STATUS:KYC (sheet Code maps)" type="textLength" operator="lessThanOrEqual">
      <formula1>20</formula1>
    </dataValidation>
    <dataValidation sqref="AF20:AF220" showDropDown="0" showInputMessage="1" showErrorMessage="0" allowBlank="1" promptTitle="kyc_verified_date" prompt="No. Date KYC was verified"/>
    <dataValidation sqref="AG20:AG220" showDropDown="0" showInputMessage="1" showErrorMessage="0" allowBlank="1" promptTitle="kyc_review_due" prompt="No. Next KYC review date"/>
    <dataValidation sqref="AH20:AH220" showDropDown="0" showInputMessage="1" showErrorMessage="1" allowBlank="1" errorTitle="risk_rating" error="At most 20 characters." promptTitle="risk_rating" prompt="No. KYC risk rating Allowed: The legacy code; mapped by the code map LOV:KYC_RISK_RATING (sheet Code maps)" type="textLength" operator="lessThanOrEqual">
      <formula1>20</formula1>
    </dataValidation>
    <dataValidation sqref="AI20:AI220" showDropDown="0" showInputMessage="1" showErrorMessage="1" allowBlank="1" errorTitle="client_status" error="At most 20 characters." promptTitle="client_status" prompt="Yes. Client status in legacy Allowed: The legacy code; mapped by the code map STATUS:CLIENT (sheet Code maps)" type="textLength" operator="lessThanOrEqual">
      <formula1>20</formula1>
    </dataValidation>
    <dataValidation sqref="AJ20:AJ220" showDropDown="0" showInputMessage="1" showErrorMessage="0" allowBlank="1" promptTitle="created_date" prompt="Yes. Date the client was created in legacy"/>
    <dataValidation sqref="AK20:AK220" showDropDown="0" showInputMessage="1" showErrorMessage="0" allowBlank="1" promptTitle="last_updated" prompt="Yes. Last change in legacy (survivorship and deltas)"/>
  </dataValidations>
  <hyperlinks>
    <hyperlink ref="A2" location="'Load templates'!A1"/>
    <hyperlink ref="AK2" location="'Comments log'!A1"/>
    <hyperlink ref="B8" location="'R01 Lists of values and MIS val'!A1"/>
    <hyperlink ref="D8" location="'R02 Branches and invoicing bran'!A1"/>
    <hyperlink ref="F8" location="'R03 Sales organisation (units a'!A1"/>
    <hyperlink ref="C17" location="'Reference lists'!A43"/>
    <hyperlink ref="L17" location="'Code maps'!A1"/>
    <hyperlink ref="P17" location="'Code maps'!A1"/>
    <hyperlink ref="Q17" location="'Code maps'!A1"/>
    <hyperlink ref="R17" location="'Code maps'!A1"/>
    <hyperlink ref="S17" location="'Code maps'!A1"/>
    <hyperlink ref="T17" location="'Code maps'!A1"/>
    <hyperlink ref="U17" location="'Code maps'!A1"/>
    <hyperlink ref="V17" location="'Code maps'!A1"/>
    <hyperlink ref="W17" location="'Code maps'!A1"/>
    <hyperlink ref="AE17" location="'Code maps'!A1"/>
    <hyperlink ref="AH17" location="'Code maps'!A1"/>
    <hyperlink ref="AI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2.xml><?xml version="1.0" encoding="utf-8"?>
<worksheet xmlns="http://schemas.openxmlformats.org/spreadsheetml/2006/main">
  <sheetPr>
    <tabColor rgb="00004EA8"/>
    <outlinePr summaryBelow="0" summaryRight="1"/>
    <pageSetUpPr fitToPage="1"/>
  </sheetPr>
  <dimension ref="A1:N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6" customWidth="1" min="3" max="3"/>
    <col width="12" customWidth="1" min="4" max="4"/>
    <col width="17" customWidth="1" min="5" max="5"/>
    <col width="33" customWidth="1" min="6" max="6"/>
    <col width="12" customWidth="1" min="7" max="7"/>
    <col width="14" customWidth="1" min="8" max="8"/>
    <col width="16" customWidth="1" min="9" max="9"/>
    <col width="17" customWidth="1" min="10" max="10"/>
    <col width="17" customWidth="1" min="11" max="11"/>
    <col width="26" customWidth="1" min="12" max="12"/>
    <col width="13" customWidth="1" min="13" max="13"/>
    <col width="17" customWidth="1" min="14" max="14"/>
  </cols>
  <sheetData>
    <row r="1" ht="26" customHeight="1">
      <c r="A1" s="44" t="inlineStr">
        <is>
          <t>C02 Client addresses and contacts</t>
        </is>
      </c>
      <c r="N1" s="45" t="inlineStr">
        <is>
          <t>Step 13 of 29</t>
        </is>
      </c>
    </row>
    <row r="2">
      <c r="A2" s="46" t="inlineStr">
        <is>
          <t>← Back to Load templates</t>
        </is>
      </c>
      <c r="B2" s="47" t="inlineStr">
        <is>
          <t>Step 13 of 29. Fill in one row per record below the column headers; the guide above each column says what to enter.</t>
        </is>
      </c>
      <c r="N2" s="48" t="inlineStr">
        <is>
          <t>Ask a question →</t>
        </is>
      </c>
    </row>
    <row r="3" outlineLevel="1" ht="15.5" customHeight="1">
      <c r="A3" s="49" t="inlineStr">
        <is>
          <t>Purpose</t>
        </is>
      </c>
      <c r="B3" s="50" t="inlineStr">
        <is>
          <t>One row per record of Client master (individual and corporate) as extracted from QPS, EBIX, CMS. Key legacy_client_no, record_type, seq_no. Sent as the file C02_template.csv (CSV, header row as below) with its control file (row count, row count).</t>
        </is>
      </c>
    </row>
    <row r="4" outlineLevel="1" ht="15.5" customHeight="1">
      <c r="A4" s="49" t="inlineStr">
        <is>
          <t>Provided by</t>
        </is>
      </c>
      <c r="B4" s="50" t="inlineStr">
        <is>
          <t>Marketing data steward (to name); approved by Product Owner, MBS; Heads, Retail and Corporate Marketing; extracted by BDOI IT</t>
        </is>
      </c>
    </row>
    <row r="5" outlineLevel="1" ht="15.5" customHeight="1">
      <c r="A5" s="49" t="inlineStr">
        <is>
          <t>Due</t>
        </is>
      </c>
      <c r="B5" s="51" t="inlineStr">
        <is>
          <t>M3 (29 Jan 2027); deltas daily from T-14 days</t>
        </is>
      </c>
    </row>
    <row r="6" outlineLevel="1" ht="15.5" customHeight="1">
      <c r="A6" s="49" t="inlineStr">
        <is>
          <t>How it is loaded</t>
        </is>
      </c>
      <c r="B6" s="50" t="inlineStr">
        <is>
          <t>Data migration object C01 (Migrate), layout C02 version 1, through the Migration Console; lands in: Client master, registered as migrated clients</t>
        </is>
      </c>
    </row>
    <row r="7" outlineLevel="1" ht="15.5" customHeight="1">
      <c r="A7" s="49" t="inlineStr">
        <is>
          <t>Source</t>
        </is>
      </c>
      <c r="B7" s="50" t="inlineStr">
        <is>
          <t>QPS, EBIX, CMS</t>
        </is>
      </c>
    </row>
    <row r="8" outlineLevel="1" ht="26" customHeight="1">
      <c r="A8" s="49" t="inlineStr">
        <is>
          <t>Depends on</t>
        </is>
      </c>
      <c r="B8" s="68" t="inlineStr">
        <is>
          <t>C01 Client master →</t>
        </is>
      </c>
      <c r="D8" s="68" t="inlineStr">
        <is>
          <t>R01 Lists of values and MIS values →</t>
        </is>
      </c>
      <c r="F8" s="68" t="inlineStr">
        <is>
          <t>R02 Branches and invoicing branches →</t>
        </is>
      </c>
      <c r="G8" s="68" t="inlineStr">
        <is>
          <t>R03 Sales organisation (units and account officers) →</t>
        </is>
      </c>
    </row>
    <row r="9" ht="26" customHeight="1">
      <c r="A9" s="53" t="inlineStr">
        <is>
          <t>Progress</t>
        </is>
      </c>
      <c r="B9" s="54" t="inlineStr">
        <is>
          <t>Rows entered</t>
        </is>
      </c>
      <c r="C9" s="55">
        <f>SUMPRODUCT(((ROW($B$20:$B$220)&gt;20)+($B$20&lt;&gt;"Q-0012345")&gt;0)*(LEN($B$20:$B$220&amp;$C$20:$C$220&amp;$D$20:$D$220&amp;$E$20:$E$220&amp;$F$20:$F$220&amp;$G$20:$G$220&amp;$H$20:$H$220&amp;$I$20:$I$220&amp;$J$20:$J$220&amp;$K$20:$K$220&amp;$L$20:$L$220&amp;$M$20:$M$220&amp;$N$20:$N$220)&gt;0))</f>
        <v/>
      </c>
      <c r="D9" s="54" t="inlineStr">
        <is>
          <t>Mandatory cells missing</t>
        </is>
      </c>
      <c r="E9" s="55">
        <f>SUMPRODUCT(((ROW($B$20:$B$220)&gt;20)+($B$20&lt;&gt;"Q-0012345")&gt;0)*(LEN($B$20:$B$220&amp;$C$20:$C$220&amp;$D$20:$D$220&amp;$E$20:$E$220&amp;$F$20:$F$220&amp;$G$20:$G$220&amp;$H$20:$H$220&amp;$I$20:$I$220&amp;$J$20:$J$220&amp;$K$20:$K$220&amp;$L$20:$L$220&amp;$M$20:$M$220&amp;$N$20:$N$220)&gt;0)*(($B$20:$B$220="")+($C$20:$C$220="")+($D$20:$D$220="")+($N$20:$N$220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row>
    <row r="12" ht="30" customHeight="1">
      <c r="A12" s="59" t="inlineStr">
        <is>
          <t>BU review</t>
        </is>
      </c>
      <c r="B12" s="60" t="n"/>
      <c r="C12" s="60" t="n"/>
      <c r="D12" s="60" t="n"/>
      <c r="E12" s="60" t="n"/>
      <c r="F12" s="60" t="n"/>
      <c r="G12" s="60" t="n"/>
      <c r="H12" s="60" t="n"/>
      <c r="I12" s="60" t="n"/>
      <c r="J12" s="60" t="n"/>
      <c r="K12" s="60" t="n"/>
      <c r="L12" s="60" t="n"/>
      <c r="M12" s="60" t="n"/>
      <c r="N12" s="60" t="n"/>
    </row>
    <row r="13" ht="30" customHeight="1">
      <c r="A13" s="59" t="inlineStr">
        <is>
          <t>BU comment</t>
        </is>
      </c>
      <c r="B13" s="60" t="n"/>
      <c r="C13" s="60" t="n"/>
      <c r="D13" s="60" t="n"/>
      <c r="E13" s="60" t="n"/>
      <c r="F13" s="60" t="n"/>
      <c r="G13" s="60" t="n"/>
      <c r="H13" s="60" t="n"/>
      <c r="I13" s="60" t="n"/>
      <c r="J13" s="60" t="n"/>
      <c r="K13" s="60" t="n"/>
      <c r="L13" s="60" t="n"/>
      <c r="M13" s="60" t="n"/>
      <c r="N13" s="60" t="n"/>
    </row>
    <row r="14" ht="43" customHeight="1">
      <c r="A14" s="59" t="inlineStr">
        <is>
          <t>Check when loaded</t>
        </is>
      </c>
      <c r="B14" s="61" t="inlineStr">
        <is>
          <t>Exists in C01 of the same source</t>
        </is>
      </c>
      <c r="C14" s="61" t="inlineStr">
        <is>
          <t>In the list</t>
        </is>
      </c>
      <c r="D14" s="61" t="inlineStr">
        <is>
          <t>Unique per client and record type</t>
        </is>
      </c>
      <c r="E14" s="61" t="inlineStr">
        <is>
          <t>Mandatory for ADDRESS</t>
        </is>
      </c>
      <c r="F14" s="61" t="inlineStr">
        <is>
          <t>Mandatory for ADDRESS</t>
        </is>
      </c>
      <c r="G14" s="61" t="inlineStr">
        <is>
          <t>-</t>
        </is>
      </c>
      <c r="H14" s="61" t="inlineStr">
        <is>
          <t>-</t>
        </is>
      </c>
      <c r="I14" s="61" t="inlineStr">
        <is>
          <t>4 digits</t>
        </is>
      </c>
      <c r="J14" s="61" t="inlineStr">
        <is>
          <t>Mandatory for CONTACT</t>
        </is>
      </c>
      <c r="K14" s="61" t="inlineStr">
        <is>
          <t>-</t>
        </is>
      </c>
      <c r="L14" s="61" t="inlineStr">
        <is>
          <t>Valid e-mail</t>
        </is>
      </c>
      <c r="M14" s="61" t="inlineStr">
        <is>
          <t>PH mobile format</t>
        </is>
      </c>
      <c r="N14" s="61" t="inlineStr">
        <is>
          <t>One primary ADDRESS per client</t>
        </is>
      </c>
    </row>
    <row r="15" ht="30" customHeight="1">
      <c r="A15" s="59" t="inlineStr">
        <is>
          <t>Mandatory</t>
        </is>
      </c>
      <c r="B15" s="62" t="inlineStr">
        <is>
          <t>Yes</t>
        </is>
      </c>
      <c r="C15" s="62" t="inlineStr">
        <is>
          <t>Yes</t>
        </is>
      </c>
      <c r="D15" s="62" t="inlineStr">
        <is>
          <t>Yes</t>
        </is>
      </c>
      <c r="E15" s="61" t="inlineStr">
        <is>
          <t>Conditional: Mandatory for ADDRESS</t>
        </is>
      </c>
      <c r="F15" s="61" t="inlineStr">
        <is>
          <t>Conditional: Mandatory for ADDRESS</t>
        </is>
      </c>
      <c r="G15" s="61" t="inlineStr">
        <is>
          <t>No</t>
        </is>
      </c>
      <c r="H15" s="61" t="inlineStr">
        <is>
          <t>No</t>
        </is>
      </c>
      <c r="I15" s="61" t="inlineStr">
        <is>
          <t>No</t>
        </is>
      </c>
      <c r="J15" s="61" t="inlineStr">
        <is>
          <t>Conditional: Mandatory for CONTACT</t>
        </is>
      </c>
      <c r="K15" s="61" t="inlineStr">
        <is>
          <t>No</t>
        </is>
      </c>
      <c r="L15" s="61" t="inlineStr">
        <is>
          <t>No</t>
        </is>
      </c>
      <c r="M15" s="61" t="inlineStr">
        <is>
          <t>No</t>
        </is>
      </c>
      <c r="N15" s="62" t="inlineStr">
        <is>
          <t>Yes</t>
        </is>
      </c>
    </row>
    <row r="16" ht="30" customHeight="1">
      <c r="A16" s="59" t="inlineStr">
        <is>
          <t>Format</t>
        </is>
      </c>
      <c r="B16" s="61" t="inlineStr">
        <is>
          <t>Code, up to 30; As stored in legacy</t>
        </is>
      </c>
      <c r="C16" s="61" t="inlineStr">
        <is>
          <t>Code, up to 10; Upper case</t>
        </is>
      </c>
      <c r="D16" s="61" t="inlineStr">
        <is>
          <t>Integer, up to 3; Digits</t>
        </is>
      </c>
      <c r="E16" s="61" t="inlineStr">
        <is>
          <t>Code, up to 12; Upper case</t>
        </is>
      </c>
      <c r="F16" s="61" t="inlineStr">
        <is>
          <t>Text, up to 300; Free text</t>
        </is>
      </c>
      <c r="G16" s="61" t="inlineStr">
        <is>
          <t>Text, up to 80; Free text</t>
        </is>
      </c>
      <c r="H16" s="61" t="inlineStr">
        <is>
          <t>Text, up to 80; Free text</t>
        </is>
      </c>
      <c r="I16" s="61" t="inlineStr">
        <is>
          <t>Text, up to 10; 4 digits</t>
        </is>
      </c>
      <c r="J16" s="61" t="inlineStr">
        <is>
          <t>Text, up to 200; Free text</t>
        </is>
      </c>
      <c r="K16" s="61" t="inlineStr">
        <is>
          <t>Text, up to 60; Free text</t>
        </is>
      </c>
      <c r="L16" s="61" t="inlineStr">
        <is>
          <t>Text, up to 120; name@domain</t>
        </is>
      </c>
      <c r="M16" s="61" t="inlineStr">
        <is>
          <t>Text, up to 30; 09xxxxxxxxx</t>
        </is>
      </c>
      <c r="N16" s="61" t="inlineStr">
        <is>
          <t>Flag, up to 1; Y or N</t>
        </is>
      </c>
    </row>
    <row r="17" ht="43" customHeight="1">
      <c r="A17" s="59" t="inlineStr">
        <is>
          <t>Allowed values</t>
        </is>
      </c>
      <c r="B17" s="61" t="inlineStr">
        <is>
          <t>legacy_client_no of C01</t>
        </is>
      </c>
      <c r="C17" s="69" t="inlineStr">
        <is>
          <t>ADDRESS, CONTACT (list C02 record_type)</t>
        </is>
      </c>
      <c r="D17" s="61" t="inlineStr">
        <is>
          <t>A whole number</t>
        </is>
      </c>
      <c r="E17" s="69" t="inlineStr">
        <is>
          <t>HOME, BUSINESS, MAILING, BILLING (list C02 address_type)</t>
        </is>
      </c>
      <c r="F17" s="61" t="inlineStr">
        <is>
          <t>Free entry, up to 300 characters</t>
        </is>
      </c>
      <c r="G17" s="61" t="inlineStr">
        <is>
          <t>Free entry, up to 80 characters</t>
        </is>
      </c>
      <c r="H17" s="61" t="inlineStr">
        <is>
          <t>Free entry, up to 80 characters</t>
        </is>
      </c>
      <c r="I17" s="61" t="inlineStr">
        <is>
          <t>Free entry, up to 10 characters</t>
        </is>
      </c>
      <c r="J17" s="61" t="inlineStr">
        <is>
          <t>Free entry, up to 200 characters</t>
        </is>
      </c>
      <c r="K17" s="61" t="inlineStr">
        <is>
          <t>Free entry, up to 60 characters</t>
        </is>
      </c>
      <c r="L17" s="61" t="inlineStr">
        <is>
          <t>Free entry, up to 120 characters</t>
        </is>
      </c>
      <c r="M17" s="61" t="inlineStr">
        <is>
          <t>Free entry, up to 30 characters</t>
        </is>
      </c>
      <c r="N17" s="61" t="inlineStr">
        <is>
          <t>Y or N</t>
        </is>
      </c>
    </row>
    <row r="18" ht="56" customHeight="1">
      <c r="A18" s="59" t="inlineStr">
        <is>
          <t>What to enter</t>
        </is>
      </c>
      <c r="B18" s="61" t="inlineStr">
        <is>
          <t>Client number in the source system</t>
        </is>
      </c>
      <c r="C18" s="61" t="inlineStr">
        <is>
          <t>Address or contact person</t>
        </is>
      </c>
      <c r="D18" s="61" t="inlineStr">
        <is>
          <t>Sequence within the client and record type</t>
        </is>
      </c>
      <c r="E18" s="61" t="inlineStr">
        <is>
          <t>Kind of address</t>
        </is>
      </c>
      <c r="F18" s="61" t="inlineStr">
        <is>
          <t>Street address</t>
        </is>
      </c>
      <c r="G18" s="61" t="inlineStr">
        <is>
          <t>City / municipality</t>
        </is>
      </c>
      <c r="H18" s="61" t="inlineStr">
        <is>
          <t>Province</t>
        </is>
      </c>
      <c r="I18" s="61" t="inlineStr">
        <is>
          <t>Postal code</t>
        </is>
      </c>
      <c r="J18" s="61" t="inlineStr">
        <is>
          <t>Contact person (corporate clients)</t>
        </is>
      </c>
      <c r="K18" s="61" t="inlineStr">
        <is>
          <t>Role of the contact</t>
        </is>
      </c>
      <c r="L18" s="61" t="inlineStr">
        <is>
          <t>E-mail</t>
        </is>
      </c>
      <c r="M18" s="61" t="inlineStr">
        <is>
          <t>Mobile number</t>
        </is>
      </c>
      <c r="N18" s="61" t="inlineStr">
        <is>
          <t>Primary address or contact</t>
        </is>
      </c>
    </row>
    <row r="19" ht="30" customHeight="1">
      <c r="A19" s="63" t="inlineStr">
        <is>
          <t>Row</t>
        </is>
      </c>
      <c r="B19" s="24" t="inlineStr">
        <is>
          <t>legacy_client_no *</t>
        </is>
      </c>
      <c r="C19" s="24" t="inlineStr">
        <is>
          <t>record_type *</t>
        </is>
      </c>
      <c r="D19" s="24" t="inlineStr">
        <is>
          <t>seq_no *</t>
        </is>
      </c>
      <c r="E19" s="24" t="inlineStr">
        <is>
          <t>address_type</t>
        </is>
      </c>
      <c r="F19" s="24" t="inlineStr">
        <is>
          <t>address_line</t>
        </is>
      </c>
      <c r="G19" s="24" t="inlineStr">
        <is>
          <t>city</t>
        </is>
      </c>
      <c r="H19" s="24" t="inlineStr">
        <is>
          <t>province</t>
        </is>
      </c>
      <c r="I19" s="24" t="inlineStr">
        <is>
          <t>postal_code</t>
        </is>
      </c>
      <c r="J19" s="24" t="inlineStr">
        <is>
          <t>contact_name</t>
        </is>
      </c>
      <c r="K19" s="24" t="inlineStr">
        <is>
          <t>contact_role</t>
        </is>
      </c>
      <c r="L19" s="24" t="inlineStr">
        <is>
          <t>email</t>
        </is>
      </c>
      <c r="M19" s="24" t="inlineStr">
        <is>
          <t>mobile</t>
        </is>
      </c>
      <c r="N19" s="24" t="inlineStr">
        <is>
          <t>primary_flag *</t>
        </is>
      </c>
    </row>
    <row r="20" ht="18" customHeight="1">
      <c r="A20" s="64" t="inlineStr">
        <is>
          <t>Example – overwrite or delete</t>
        </is>
      </c>
      <c r="B20" s="65" t="inlineStr">
        <is>
          <t>Q-0012345</t>
        </is>
      </c>
      <c r="C20" s="65" t="inlineStr">
        <is>
          <t>ADDRESS</t>
        </is>
      </c>
      <c r="D20" s="66" t="n">
        <v>1</v>
      </c>
      <c r="E20" s="65" t="inlineStr">
        <is>
          <t>MAILING</t>
        </is>
      </c>
      <c r="F20" s="65" t="inlineStr">
        <is>
          <t>12 Rizal St., Brgy. San Antonio</t>
        </is>
      </c>
      <c r="G20" s="65" t="inlineStr">
        <is>
          <t>Pasig</t>
        </is>
      </c>
      <c r="H20" s="65" t="inlineStr">
        <is>
          <t>Metro Manila</t>
        </is>
      </c>
      <c r="I20" s="65" t="inlineStr">
        <is>
          <t>1600</t>
        </is>
      </c>
      <c r="J20" s="65" t="inlineStr">
        <is>
          <t>Jose Santos</t>
        </is>
      </c>
      <c r="K20" s="65" t="inlineStr">
        <is>
          <t>HR Manager</t>
        </is>
      </c>
      <c r="L20" s="65" t="inlineStr">
        <is>
          <t>jose.santos@acme.example</t>
        </is>
      </c>
      <c r="M20" s="65" t="inlineStr">
        <is>
          <t>09181234567</t>
        </is>
      </c>
      <c r="N20" s="65" t="inlineStr">
        <is>
          <t>Y</t>
        </is>
      </c>
    </row>
    <row r="21">
      <c r="B21" s="67" t="n"/>
      <c r="C21" s="67" t="n"/>
      <c r="E21" s="67" t="n"/>
      <c r="F21" s="67" t="n"/>
      <c r="G21" s="67" t="n"/>
      <c r="H21" s="67" t="n"/>
      <c r="I21" s="67" t="n"/>
      <c r="J21" s="67" t="n"/>
      <c r="K21" s="67" t="n"/>
      <c r="L21" s="67" t="n"/>
      <c r="M21" s="67" t="n"/>
      <c r="N21" s="67" t="n"/>
    </row>
    <row r="22">
      <c r="B22" s="67" t="n"/>
      <c r="C22" s="67" t="n"/>
      <c r="E22" s="67" t="n"/>
      <c r="F22" s="67" t="n"/>
      <c r="G22" s="67" t="n"/>
      <c r="H22" s="67" t="n"/>
      <c r="I22" s="67" t="n"/>
      <c r="J22" s="67" t="n"/>
      <c r="K22" s="67" t="n"/>
      <c r="L22" s="67" t="n"/>
      <c r="M22" s="67" t="n"/>
      <c r="N22" s="67" t="n"/>
    </row>
    <row r="23">
      <c r="B23" s="67" t="n"/>
      <c r="C23" s="67" t="n"/>
      <c r="E23" s="67" t="n"/>
      <c r="F23" s="67" t="n"/>
      <c r="G23" s="67" t="n"/>
      <c r="H23" s="67" t="n"/>
      <c r="I23" s="67" t="n"/>
      <c r="J23" s="67" t="n"/>
      <c r="K23" s="67" t="n"/>
      <c r="L23" s="67" t="n"/>
      <c r="M23" s="67" t="n"/>
      <c r="N23" s="67" t="n"/>
    </row>
    <row r="24">
      <c r="B24" s="67" t="n"/>
      <c r="C24" s="67" t="n"/>
      <c r="E24" s="67" t="n"/>
      <c r="F24" s="67" t="n"/>
      <c r="G24" s="67" t="n"/>
      <c r="H24" s="67" t="n"/>
      <c r="I24" s="67" t="n"/>
      <c r="J24" s="67" t="n"/>
      <c r="K24" s="67" t="n"/>
      <c r="L24" s="67" t="n"/>
      <c r="M24" s="67" t="n"/>
      <c r="N24" s="67" t="n"/>
    </row>
    <row r="25">
      <c r="B25" s="67" t="n"/>
      <c r="C25" s="67" t="n"/>
      <c r="E25" s="67" t="n"/>
      <c r="F25" s="67" t="n"/>
      <c r="G25" s="67" t="n"/>
      <c r="H25" s="67" t="n"/>
      <c r="I25" s="67" t="n"/>
      <c r="J25" s="67" t="n"/>
      <c r="K25" s="67" t="n"/>
      <c r="L25" s="67" t="n"/>
      <c r="M25" s="67" t="n"/>
      <c r="N25" s="67" t="n"/>
    </row>
    <row r="26">
      <c r="B26" s="67" t="n"/>
      <c r="C26" s="67" t="n"/>
      <c r="E26" s="67" t="n"/>
      <c r="F26" s="67" t="n"/>
      <c r="G26" s="67" t="n"/>
      <c r="H26" s="67" t="n"/>
      <c r="I26" s="67" t="n"/>
      <c r="J26" s="67" t="n"/>
      <c r="K26" s="67" t="n"/>
      <c r="L26" s="67" t="n"/>
      <c r="M26" s="67" t="n"/>
      <c r="N26" s="67" t="n"/>
    </row>
    <row r="27">
      <c r="B27" s="67" t="n"/>
      <c r="C27" s="67" t="n"/>
      <c r="E27" s="67" t="n"/>
      <c r="F27" s="67" t="n"/>
      <c r="G27" s="67" t="n"/>
      <c r="H27" s="67" t="n"/>
      <c r="I27" s="67" t="n"/>
      <c r="J27" s="67" t="n"/>
      <c r="K27" s="67" t="n"/>
      <c r="L27" s="67" t="n"/>
      <c r="M27" s="67" t="n"/>
      <c r="N27" s="67" t="n"/>
    </row>
    <row r="28">
      <c r="B28" s="67" t="n"/>
      <c r="C28" s="67" t="n"/>
      <c r="E28" s="67" t="n"/>
      <c r="F28" s="67" t="n"/>
      <c r="G28" s="67" t="n"/>
      <c r="H28" s="67" t="n"/>
      <c r="I28" s="67" t="n"/>
      <c r="J28" s="67" t="n"/>
      <c r="K28" s="67" t="n"/>
      <c r="L28" s="67" t="n"/>
      <c r="M28" s="67" t="n"/>
      <c r="N28" s="67" t="n"/>
    </row>
    <row r="29">
      <c r="B29" s="67" t="n"/>
      <c r="C29" s="67" t="n"/>
      <c r="E29" s="67" t="n"/>
      <c r="F29" s="67" t="n"/>
      <c r="G29" s="67" t="n"/>
      <c r="H29" s="67" t="n"/>
      <c r="I29" s="67" t="n"/>
      <c r="J29" s="67" t="n"/>
      <c r="K29" s="67" t="n"/>
      <c r="L29" s="67" t="n"/>
      <c r="M29" s="67" t="n"/>
      <c r="N29" s="67" t="n"/>
    </row>
    <row r="30">
      <c r="B30" s="67" t="n"/>
      <c r="C30" s="67" t="n"/>
      <c r="E30" s="67" t="n"/>
      <c r="F30" s="67" t="n"/>
      <c r="G30" s="67" t="n"/>
      <c r="H30" s="67" t="n"/>
      <c r="I30" s="67" t="n"/>
      <c r="J30" s="67" t="n"/>
      <c r="K30" s="67" t="n"/>
      <c r="L30" s="67" t="n"/>
      <c r="M30" s="67" t="n"/>
      <c r="N30" s="67" t="n"/>
    </row>
    <row r="31">
      <c r="B31" s="67" t="n"/>
      <c r="C31" s="67" t="n"/>
      <c r="E31" s="67" t="n"/>
      <c r="F31" s="67" t="n"/>
      <c r="G31" s="67" t="n"/>
      <c r="H31" s="67" t="n"/>
      <c r="I31" s="67" t="n"/>
      <c r="J31" s="67" t="n"/>
      <c r="K31" s="67" t="n"/>
      <c r="L31" s="67" t="n"/>
      <c r="M31" s="67" t="n"/>
      <c r="N31" s="67" t="n"/>
    </row>
    <row r="32">
      <c r="B32" s="67" t="n"/>
      <c r="C32" s="67" t="n"/>
      <c r="E32" s="67" t="n"/>
      <c r="F32" s="67" t="n"/>
      <c r="G32" s="67" t="n"/>
      <c r="H32" s="67" t="n"/>
      <c r="I32" s="67" t="n"/>
      <c r="J32" s="67" t="n"/>
      <c r="K32" s="67" t="n"/>
      <c r="L32" s="67" t="n"/>
      <c r="M32" s="67" t="n"/>
      <c r="N32" s="67" t="n"/>
    </row>
    <row r="33">
      <c r="B33" s="67" t="n"/>
      <c r="C33" s="67" t="n"/>
      <c r="E33" s="67" t="n"/>
      <c r="F33" s="67" t="n"/>
      <c r="G33" s="67" t="n"/>
      <c r="H33" s="67" t="n"/>
      <c r="I33" s="67" t="n"/>
      <c r="J33" s="67" t="n"/>
      <c r="K33" s="67" t="n"/>
      <c r="L33" s="67" t="n"/>
      <c r="M33" s="67" t="n"/>
      <c r="N33" s="67" t="n"/>
    </row>
    <row r="34">
      <c r="B34" s="67" t="n"/>
      <c r="C34" s="67" t="n"/>
      <c r="E34" s="67" t="n"/>
      <c r="F34" s="67" t="n"/>
      <c r="G34" s="67" t="n"/>
      <c r="H34" s="67" t="n"/>
      <c r="I34" s="67" t="n"/>
      <c r="J34" s="67" t="n"/>
      <c r="K34" s="67" t="n"/>
      <c r="L34" s="67" t="n"/>
      <c r="M34" s="67" t="n"/>
      <c r="N34" s="67" t="n"/>
    </row>
    <row r="35">
      <c r="B35" s="67" t="n"/>
      <c r="C35" s="67" t="n"/>
      <c r="E35" s="67" t="n"/>
      <c r="F35" s="67" t="n"/>
      <c r="G35" s="67" t="n"/>
      <c r="H35" s="67" t="n"/>
      <c r="I35" s="67" t="n"/>
      <c r="J35" s="67" t="n"/>
      <c r="K35" s="67" t="n"/>
      <c r="L35" s="67" t="n"/>
      <c r="M35" s="67" t="n"/>
      <c r="N35" s="67" t="n"/>
    </row>
    <row r="36">
      <c r="B36" s="67" t="n"/>
      <c r="C36" s="67" t="n"/>
      <c r="E36" s="67" t="n"/>
      <c r="F36" s="67" t="n"/>
      <c r="G36" s="67" t="n"/>
      <c r="H36" s="67" t="n"/>
      <c r="I36" s="67" t="n"/>
      <c r="J36" s="67" t="n"/>
      <c r="K36" s="67" t="n"/>
      <c r="L36" s="67" t="n"/>
      <c r="M36" s="67" t="n"/>
      <c r="N36" s="67" t="n"/>
    </row>
    <row r="37">
      <c r="B37" s="67" t="n"/>
      <c r="C37" s="67" t="n"/>
      <c r="E37" s="67" t="n"/>
      <c r="F37" s="67" t="n"/>
      <c r="G37" s="67" t="n"/>
      <c r="H37" s="67" t="n"/>
      <c r="I37" s="67" t="n"/>
      <c r="J37" s="67" t="n"/>
      <c r="K37" s="67" t="n"/>
      <c r="L37" s="67" t="n"/>
      <c r="M37" s="67" t="n"/>
      <c r="N37" s="67" t="n"/>
    </row>
    <row r="38">
      <c r="B38" s="67" t="n"/>
      <c r="C38" s="67" t="n"/>
      <c r="E38" s="67" t="n"/>
      <c r="F38" s="67" t="n"/>
      <c r="G38" s="67" t="n"/>
      <c r="H38" s="67" t="n"/>
      <c r="I38" s="67" t="n"/>
      <c r="J38" s="67" t="n"/>
      <c r="K38" s="67" t="n"/>
      <c r="L38" s="67" t="n"/>
      <c r="M38" s="67" t="n"/>
      <c r="N38" s="67" t="n"/>
    </row>
    <row r="39">
      <c r="B39" s="67" t="n"/>
      <c r="C39" s="67" t="n"/>
      <c r="E39" s="67" t="n"/>
      <c r="F39" s="67" t="n"/>
      <c r="G39" s="67" t="n"/>
      <c r="H39" s="67" t="n"/>
      <c r="I39" s="67" t="n"/>
      <c r="J39" s="67" t="n"/>
      <c r="K39" s="67" t="n"/>
      <c r="L39" s="67" t="n"/>
      <c r="M39" s="67" t="n"/>
      <c r="N39" s="67" t="n"/>
    </row>
    <row r="40">
      <c r="B40" s="67" t="n"/>
      <c r="C40" s="67" t="n"/>
      <c r="E40" s="67" t="n"/>
      <c r="F40" s="67" t="n"/>
      <c r="G40" s="67" t="n"/>
      <c r="H40" s="67" t="n"/>
      <c r="I40" s="67" t="n"/>
      <c r="J40" s="67" t="n"/>
      <c r="K40" s="67" t="n"/>
      <c r="L40" s="67" t="n"/>
      <c r="M40" s="67" t="n"/>
      <c r="N40" s="67" t="n"/>
    </row>
    <row r="41">
      <c r="B41" s="67" t="n"/>
      <c r="C41" s="67" t="n"/>
      <c r="E41" s="67" t="n"/>
      <c r="F41" s="67" t="n"/>
      <c r="G41" s="67" t="n"/>
      <c r="H41" s="67" t="n"/>
      <c r="I41" s="67" t="n"/>
      <c r="J41" s="67" t="n"/>
      <c r="K41" s="67" t="n"/>
      <c r="L41" s="67" t="n"/>
      <c r="M41" s="67" t="n"/>
      <c r="N41" s="67" t="n"/>
    </row>
    <row r="42">
      <c r="B42" s="67" t="n"/>
      <c r="C42" s="67" t="n"/>
      <c r="E42" s="67" t="n"/>
      <c r="F42" s="67" t="n"/>
      <c r="G42" s="67" t="n"/>
      <c r="H42" s="67" t="n"/>
      <c r="I42" s="67" t="n"/>
      <c r="J42" s="67" t="n"/>
      <c r="K42" s="67" t="n"/>
      <c r="L42" s="67" t="n"/>
      <c r="M42" s="67" t="n"/>
      <c r="N42" s="67" t="n"/>
    </row>
    <row r="43">
      <c r="B43" s="67" t="n"/>
      <c r="C43" s="67" t="n"/>
      <c r="E43" s="67" t="n"/>
      <c r="F43" s="67" t="n"/>
      <c r="G43" s="67" t="n"/>
      <c r="H43" s="67" t="n"/>
      <c r="I43" s="67" t="n"/>
      <c r="J43" s="67" t="n"/>
      <c r="K43" s="67" t="n"/>
      <c r="L43" s="67" t="n"/>
      <c r="M43" s="67" t="n"/>
      <c r="N43" s="67" t="n"/>
    </row>
    <row r="44">
      <c r="B44" s="67" t="n"/>
      <c r="C44" s="67" t="n"/>
      <c r="E44" s="67" t="n"/>
      <c r="F44" s="67" t="n"/>
      <c r="G44" s="67" t="n"/>
      <c r="H44" s="67" t="n"/>
      <c r="I44" s="67" t="n"/>
      <c r="J44" s="67" t="n"/>
      <c r="K44" s="67" t="n"/>
      <c r="L44" s="67" t="n"/>
      <c r="M44" s="67" t="n"/>
      <c r="N44" s="67" t="n"/>
    </row>
    <row r="45">
      <c r="B45" s="67" t="n"/>
      <c r="C45" s="67" t="n"/>
      <c r="E45" s="67" t="n"/>
      <c r="F45" s="67" t="n"/>
      <c r="G45" s="67" t="n"/>
      <c r="H45" s="67" t="n"/>
      <c r="I45" s="67" t="n"/>
      <c r="J45" s="67" t="n"/>
      <c r="K45" s="67" t="n"/>
      <c r="L45" s="67" t="n"/>
      <c r="M45" s="67" t="n"/>
      <c r="N45" s="67" t="n"/>
    </row>
    <row r="46">
      <c r="B46" s="67" t="n"/>
      <c r="C46" s="67" t="n"/>
      <c r="E46" s="67" t="n"/>
      <c r="F46" s="67" t="n"/>
      <c r="G46" s="67" t="n"/>
      <c r="H46" s="67" t="n"/>
      <c r="I46" s="67" t="n"/>
      <c r="J46" s="67" t="n"/>
      <c r="K46" s="67" t="n"/>
      <c r="L46" s="67" t="n"/>
      <c r="M46" s="67" t="n"/>
      <c r="N46" s="67" t="n"/>
    </row>
    <row r="47">
      <c r="B47" s="67" t="n"/>
      <c r="C47" s="67" t="n"/>
      <c r="E47" s="67" t="n"/>
      <c r="F47" s="67" t="n"/>
      <c r="G47" s="67" t="n"/>
      <c r="H47" s="67" t="n"/>
      <c r="I47" s="67" t="n"/>
      <c r="J47" s="67" t="n"/>
      <c r="K47" s="67" t="n"/>
      <c r="L47" s="67" t="n"/>
      <c r="M47" s="67" t="n"/>
      <c r="N47" s="67" t="n"/>
    </row>
    <row r="48">
      <c r="B48" s="67" t="n"/>
      <c r="C48" s="67" t="n"/>
      <c r="E48" s="67" t="n"/>
      <c r="F48" s="67" t="n"/>
      <c r="G48" s="67" t="n"/>
      <c r="H48" s="67" t="n"/>
      <c r="I48" s="67" t="n"/>
      <c r="J48" s="67" t="n"/>
      <c r="K48" s="67" t="n"/>
      <c r="L48" s="67" t="n"/>
      <c r="M48" s="67" t="n"/>
      <c r="N48" s="67" t="n"/>
    </row>
    <row r="49">
      <c r="B49" s="67" t="n"/>
      <c r="C49" s="67" t="n"/>
      <c r="E49" s="67" t="n"/>
      <c r="F49" s="67" t="n"/>
      <c r="G49" s="67" t="n"/>
      <c r="H49" s="67" t="n"/>
      <c r="I49" s="67" t="n"/>
      <c r="J49" s="67" t="n"/>
      <c r="K49" s="67" t="n"/>
      <c r="L49" s="67" t="n"/>
      <c r="M49" s="67" t="n"/>
      <c r="N49" s="67" t="n"/>
    </row>
    <row r="50">
      <c r="B50" s="67" t="n"/>
      <c r="C50" s="67" t="n"/>
      <c r="E50" s="67" t="n"/>
      <c r="F50" s="67" t="n"/>
      <c r="G50" s="67" t="n"/>
      <c r="H50" s="67" t="n"/>
      <c r="I50" s="67" t="n"/>
      <c r="J50" s="67" t="n"/>
      <c r="K50" s="67" t="n"/>
      <c r="L50" s="67" t="n"/>
      <c r="M50" s="67" t="n"/>
      <c r="N50" s="67" t="n"/>
    </row>
    <row r="51">
      <c r="B51" s="67" t="n"/>
      <c r="C51" s="67" t="n"/>
      <c r="E51" s="67" t="n"/>
      <c r="F51" s="67" t="n"/>
      <c r="G51" s="67" t="n"/>
      <c r="H51" s="67" t="n"/>
      <c r="I51" s="67" t="n"/>
      <c r="J51" s="67" t="n"/>
      <c r="K51" s="67" t="n"/>
      <c r="L51" s="67" t="n"/>
      <c r="M51" s="67" t="n"/>
      <c r="N51" s="67" t="n"/>
    </row>
    <row r="52">
      <c r="B52" s="67" t="n"/>
      <c r="C52" s="67" t="n"/>
      <c r="E52" s="67" t="n"/>
      <c r="F52" s="67" t="n"/>
      <c r="G52" s="67" t="n"/>
      <c r="H52" s="67" t="n"/>
      <c r="I52" s="67" t="n"/>
      <c r="J52" s="67" t="n"/>
      <c r="K52" s="67" t="n"/>
      <c r="L52" s="67" t="n"/>
      <c r="M52" s="67" t="n"/>
      <c r="N52" s="67" t="n"/>
    </row>
    <row r="53">
      <c r="B53" s="67" t="n"/>
      <c r="C53" s="67" t="n"/>
      <c r="E53" s="67" t="n"/>
      <c r="F53" s="67" t="n"/>
      <c r="G53" s="67" t="n"/>
      <c r="H53" s="67" t="n"/>
      <c r="I53" s="67" t="n"/>
      <c r="J53" s="67" t="n"/>
      <c r="K53" s="67" t="n"/>
      <c r="L53" s="67" t="n"/>
      <c r="M53" s="67" t="n"/>
      <c r="N53" s="67" t="n"/>
    </row>
    <row r="54">
      <c r="B54" s="67" t="n"/>
      <c r="C54" s="67" t="n"/>
      <c r="E54" s="67" t="n"/>
      <c r="F54" s="67" t="n"/>
      <c r="G54" s="67" t="n"/>
      <c r="H54" s="67" t="n"/>
      <c r="I54" s="67" t="n"/>
      <c r="J54" s="67" t="n"/>
      <c r="K54" s="67" t="n"/>
      <c r="L54" s="67" t="n"/>
      <c r="M54" s="67" t="n"/>
      <c r="N54" s="67" t="n"/>
    </row>
    <row r="55">
      <c r="B55" s="67" t="n"/>
      <c r="C55" s="67" t="n"/>
      <c r="E55" s="67" t="n"/>
      <c r="F55" s="67" t="n"/>
      <c r="G55" s="67" t="n"/>
      <c r="H55" s="67" t="n"/>
      <c r="I55" s="67" t="n"/>
      <c r="J55" s="67" t="n"/>
      <c r="K55" s="67" t="n"/>
      <c r="L55" s="67" t="n"/>
      <c r="M55" s="67" t="n"/>
      <c r="N55" s="67" t="n"/>
    </row>
    <row r="56">
      <c r="B56" s="67" t="n"/>
      <c r="C56" s="67" t="n"/>
      <c r="E56" s="67" t="n"/>
      <c r="F56" s="67" t="n"/>
      <c r="G56" s="67" t="n"/>
      <c r="H56" s="67" t="n"/>
      <c r="I56" s="67" t="n"/>
      <c r="J56" s="67" t="n"/>
      <c r="K56" s="67" t="n"/>
      <c r="L56" s="67" t="n"/>
      <c r="M56" s="67" t="n"/>
      <c r="N56" s="67" t="n"/>
    </row>
    <row r="57">
      <c r="B57" s="67" t="n"/>
      <c r="C57" s="67" t="n"/>
      <c r="E57" s="67" t="n"/>
      <c r="F57" s="67" t="n"/>
      <c r="G57" s="67" t="n"/>
      <c r="H57" s="67" t="n"/>
      <c r="I57" s="67" t="n"/>
      <c r="J57" s="67" t="n"/>
      <c r="K57" s="67" t="n"/>
      <c r="L57" s="67" t="n"/>
      <c r="M57" s="67" t="n"/>
      <c r="N57" s="67" t="n"/>
    </row>
    <row r="58">
      <c r="B58" s="67" t="n"/>
      <c r="C58" s="67" t="n"/>
      <c r="E58" s="67" t="n"/>
      <c r="F58" s="67" t="n"/>
      <c r="G58" s="67" t="n"/>
      <c r="H58" s="67" t="n"/>
      <c r="I58" s="67" t="n"/>
      <c r="J58" s="67" t="n"/>
      <c r="K58" s="67" t="n"/>
      <c r="L58" s="67" t="n"/>
      <c r="M58" s="67" t="n"/>
      <c r="N58" s="67" t="n"/>
    </row>
    <row r="59">
      <c r="B59" s="67" t="n"/>
      <c r="C59" s="67" t="n"/>
      <c r="E59" s="67" t="n"/>
      <c r="F59" s="67" t="n"/>
      <c r="G59" s="67" t="n"/>
      <c r="H59" s="67" t="n"/>
      <c r="I59" s="67" t="n"/>
      <c r="J59" s="67" t="n"/>
      <c r="K59" s="67" t="n"/>
      <c r="L59" s="67" t="n"/>
      <c r="M59" s="67" t="n"/>
      <c r="N59" s="67" t="n"/>
    </row>
    <row r="60">
      <c r="B60" s="67" t="n"/>
      <c r="C60" s="67" t="n"/>
      <c r="E60" s="67" t="n"/>
      <c r="F60" s="67" t="n"/>
      <c r="G60" s="67" t="n"/>
      <c r="H60" s="67" t="n"/>
      <c r="I60" s="67" t="n"/>
      <c r="J60" s="67" t="n"/>
      <c r="K60" s="67" t="n"/>
      <c r="L60" s="67" t="n"/>
      <c r="M60" s="67" t="n"/>
      <c r="N60" s="67" t="n"/>
    </row>
    <row r="61">
      <c r="B61" s="67" t="n"/>
      <c r="C61" s="67" t="n"/>
      <c r="E61" s="67" t="n"/>
      <c r="F61" s="67" t="n"/>
      <c r="G61" s="67" t="n"/>
      <c r="H61" s="67" t="n"/>
      <c r="I61" s="67" t="n"/>
      <c r="J61" s="67" t="n"/>
      <c r="K61" s="67" t="n"/>
      <c r="L61" s="67" t="n"/>
      <c r="M61" s="67" t="n"/>
      <c r="N61" s="67" t="n"/>
    </row>
    <row r="62">
      <c r="B62" s="67" t="n"/>
      <c r="C62" s="67" t="n"/>
      <c r="E62" s="67" t="n"/>
      <c r="F62" s="67" t="n"/>
      <c r="G62" s="67" t="n"/>
      <c r="H62" s="67" t="n"/>
      <c r="I62" s="67" t="n"/>
      <c r="J62" s="67" t="n"/>
      <c r="K62" s="67" t="n"/>
      <c r="L62" s="67" t="n"/>
      <c r="M62" s="67" t="n"/>
      <c r="N62" s="67" t="n"/>
    </row>
    <row r="63">
      <c r="B63" s="67" t="n"/>
      <c r="C63" s="67" t="n"/>
      <c r="E63" s="67" t="n"/>
      <c r="F63" s="67" t="n"/>
      <c r="G63" s="67" t="n"/>
      <c r="H63" s="67" t="n"/>
      <c r="I63" s="67" t="n"/>
      <c r="J63" s="67" t="n"/>
      <c r="K63" s="67" t="n"/>
      <c r="L63" s="67" t="n"/>
      <c r="M63" s="67" t="n"/>
      <c r="N63" s="67" t="n"/>
    </row>
    <row r="64">
      <c r="B64" s="67" t="n"/>
      <c r="C64" s="67" t="n"/>
      <c r="E64" s="67" t="n"/>
      <c r="F64" s="67" t="n"/>
      <c r="G64" s="67" t="n"/>
      <c r="H64" s="67" t="n"/>
      <c r="I64" s="67" t="n"/>
      <c r="J64" s="67" t="n"/>
      <c r="K64" s="67" t="n"/>
      <c r="L64" s="67" t="n"/>
      <c r="M64" s="67" t="n"/>
      <c r="N64" s="67" t="n"/>
    </row>
    <row r="65">
      <c r="B65" s="67" t="n"/>
      <c r="C65" s="67" t="n"/>
      <c r="E65" s="67" t="n"/>
      <c r="F65" s="67" t="n"/>
      <c r="G65" s="67" t="n"/>
      <c r="H65" s="67" t="n"/>
      <c r="I65" s="67" t="n"/>
      <c r="J65" s="67" t="n"/>
      <c r="K65" s="67" t="n"/>
      <c r="L65" s="67" t="n"/>
      <c r="M65" s="67" t="n"/>
      <c r="N65" s="67" t="n"/>
    </row>
    <row r="66">
      <c r="B66" s="67" t="n"/>
      <c r="C66" s="67" t="n"/>
      <c r="E66" s="67" t="n"/>
      <c r="F66" s="67" t="n"/>
      <c r="G66" s="67" t="n"/>
      <c r="H66" s="67" t="n"/>
      <c r="I66" s="67" t="n"/>
      <c r="J66" s="67" t="n"/>
      <c r="K66" s="67" t="n"/>
      <c r="L66" s="67" t="n"/>
      <c r="M66" s="67" t="n"/>
      <c r="N66" s="67" t="n"/>
    </row>
    <row r="67">
      <c r="B67" s="67" t="n"/>
      <c r="C67" s="67" t="n"/>
      <c r="E67" s="67" t="n"/>
      <c r="F67" s="67" t="n"/>
      <c r="G67" s="67" t="n"/>
      <c r="H67" s="67" t="n"/>
      <c r="I67" s="67" t="n"/>
      <c r="J67" s="67" t="n"/>
      <c r="K67" s="67" t="n"/>
      <c r="L67" s="67" t="n"/>
      <c r="M67" s="67" t="n"/>
      <c r="N67" s="67" t="n"/>
    </row>
    <row r="68">
      <c r="B68" s="67" t="n"/>
      <c r="C68" s="67" t="n"/>
      <c r="E68" s="67" t="n"/>
      <c r="F68" s="67" t="n"/>
      <c r="G68" s="67" t="n"/>
      <c r="H68" s="67" t="n"/>
      <c r="I68" s="67" t="n"/>
      <c r="J68" s="67" t="n"/>
      <c r="K68" s="67" t="n"/>
      <c r="L68" s="67" t="n"/>
      <c r="M68" s="67" t="n"/>
      <c r="N68" s="67" t="n"/>
    </row>
    <row r="69">
      <c r="B69" s="67" t="n"/>
      <c r="C69" s="67" t="n"/>
      <c r="E69" s="67" t="n"/>
      <c r="F69" s="67" t="n"/>
      <c r="G69" s="67" t="n"/>
      <c r="H69" s="67" t="n"/>
      <c r="I69" s="67" t="n"/>
      <c r="J69" s="67" t="n"/>
      <c r="K69" s="67" t="n"/>
      <c r="L69" s="67" t="n"/>
      <c r="M69" s="67" t="n"/>
      <c r="N69" s="67" t="n"/>
    </row>
    <row r="70">
      <c r="B70" s="67" t="n"/>
      <c r="C70" s="67" t="n"/>
      <c r="E70" s="67" t="n"/>
      <c r="F70" s="67" t="n"/>
      <c r="G70" s="67" t="n"/>
      <c r="H70" s="67" t="n"/>
      <c r="I70" s="67" t="n"/>
      <c r="J70" s="67" t="n"/>
      <c r="K70" s="67" t="n"/>
      <c r="L70" s="67" t="n"/>
      <c r="M70" s="67" t="n"/>
      <c r="N70" s="67" t="n"/>
    </row>
    <row r="71">
      <c r="B71" s="67" t="n"/>
      <c r="C71" s="67" t="n"/>
      <c r="E71" s="67" t="n"/>
      <c r="F71" s="67" t="n"/>
      <c r="G71" s="67" t="n"/>
      <c r="H71" s="67" t="n"/>
      <c r="I71" s="67" t="n"/>
      <c r="J71" s="67" t="n"/>
      <c r="K71" s="67" t="n"/>
      <c r="L71" s="67" t="n"/>
      <c r="M71" s="67" t="n"/>
      <c r="N71" s="67" t="n"/>
    </row>
    <row r="72">
      <c r="B72" s="67" t="n"/>
      <c r="C72" s="67" t="n"/>
      <c r="E72" s="67" t="n"/>
      <c r="F72" s="67" t="n"/>
      <c r="G72" s="67" t="n"/>
      <c r="H72" s="67" t="n"/>
      <c r="I72" s="67" t="n"/>
      <c r="J72" s="67" t="n"/>
      <c r="K72" s="67" t="n"/>
      <c r="L72" s="67" t="n"/>
      <c r="M72" s="67" t="n"/>
      <c r="N72" s="67" t="n"/>
    </row>
    <row r="73">
      <c r="B73" s="67" t="n"/>
      <c r="C73" s="67" t="n"/>
      <c r="E73" s="67" t="n"/>
      <c r="F73" s="67" t="n"/>
      <c r="G73" s="67" t="n"/>
      <c r="H73" s="67" t="n"/>
      <c r="I73" s="67" t="n"/>
      <c r="J73" s="67" t="n"/>
      <c r="K73" s="67" t="n"/>
      <c r="L73" s="67" t="n"/>
      <c r="M73" s="67" t="n"/>
      <c r="N73" s="67" t="n"/>
    </row>
    <row r="74">
      <c r="B74" s="67" t="n"/>
      <c r="C74" s="67" t="n"/>
      <c r="E74" s="67" t="n"/>
      <c r="F74" s="67" t="n"/>
      <c r="G74" s="67" t="n"/>
      <c r="H74" s="67" t="n"/>
      <c r="I74" s="67" t="n"/>
      <c r="J74" s="67" t="n"/>
      <c r="K74" s="67" t="n"/>
      <c r="L74" s="67" t="n"/>
      <c r="M74" s="67" t="n"/>
      <c r="N74" s="67" t="n"/>
    </row>
    <row r="75">
      <c r="B75" s="67" t="n"/>
      <c r="C75" s="67" t="n"/>
      <c r="E75" s="67" t="n"/>
      <c r="F75" s="67" t="n"/>
      <c r="G75" s="67" t="n"/>
      <c r="H75" s="67" t="n"/>
      <c r="I75" s="67" t="n"/>
      <c r="J75" s="67" t="n"/>
      <c r="K75" s="67" t="n"/>
      <c r="L75" s="67" t="n"/>
      <c r="M75" s="67" t="n"/>
      <c r="N75" s="67" t="n"/>
    </row>
    <row r="76">
      <c r="B76" s="67" t="n"/>
      <c r="C76" s="67" t="n"/>
      <c r="E76" s="67" t="n"/>
      <c r="F76" s="67" t="n"/>
      <c r="G76" s="67" t="n"/>
      <c r="H76" s="67" t="n"/>
      <c r="I76" s="67" t="n"/>
      <c r="J76" s="67" t="n"/>
      <c r="K76" s="67" t="n"/>
      <c r="L76" s="67" t="n"/>
      <c r="M76" s="67" t="n"/>
      <c r="N76" s="67" t="n"/>
    </row>
    <row r="77">
      <c r="B77" s="67" t="n"/>
      <c r="C77" s="67" t="n"/>
      <c r="E77" s="67" t="n"/>
      <c r="F77" s="67" t="n"/>
      <c r="G77" s="67" t="n"/>
      <c r="H77" s="67" t="n"/>
      <c r="I77" s="67" t="n"/>
      <c r="J77" s="67" t="n"/>
      <c r="K77" s="67" t="n"/>
      <c r="L77" s="67" t="n"/>
      <c r="M77" s="67" t="n"/>
      <c r="N77" s="67" t="n"/>
    </row>
    <row r="78">
      <c r="B78" s="67" t="n"/>
      <c r="C78" s="67" t="n"/>
      <c r="E78" s="67" t="n"/>
      <c r="F78" s="67" t="n"/>
      <c r="G78" s="67" t="n"/>
      <c r="H78" s="67" t="n"/>
      <c r="I78" s="67" t="n"/>
      <c r="J78" s="67" t="n"/>
      <c r="K78" s="67" t="n"/>
      <c r="L78" s="67" t="n"/>
      <c r="M78" s="67" t="n"/>
      <c r="N78" s="67" t="n"/>
    </row>
    <row r="79">
      <c r="B79" s="67" t="n"/>
      <c r="C79" s="67" t="n"/>
      <c r="E79" s="67" t="n"/>
      <c r="F79" s="67" t="n"/>
      <c r="G79" s="67" t="n"/>
      <c r="H79" s="67" t="n"/>
      <c r="I79" s="67" t="n"/>
      <c r="J79" s="67" t="n"/>
      <c r="K79" s="67" t="n"/>
      <c r="L79" s="67" t="n"/>
      <c r="M79" s="67" t="n"/>
      <c r="N79" s="67" t="n"/>
    </row>
    <row r="80">
      <c r="B80" s="67" t="n"/>
      <c r="C80" s="67" t="n"/>
      <c r="E80" s="67" t="n"/>
      <c r="F80" s="67" t="n"/>
      <c r="G80" s="67" t="n"/>
      <c r="H80" s="67" t="n"/>
      <c r="I80" s="67" t="n"/>
      <c r="J80" s="67" t="n"/>
      <c r="K80" s="67" t="n"/>
      <c r="L80" s="67" t="n"/>
      <c r="M80" s="67" t="n"/>
      <c r="N80" s="67" t="n"/>
    </row>
    <row r="81">
      <c r="B81" s="67" t="n"/>
      <c r="C81" s="67" t="n"/>
      <c r="E81" s="67" t="n"/>
      <c r="F81" s="67" t="n"/>
      <c r="G81" s="67" t="n"/>
      <c r="H81" s="67" t="n"/>
      <c r="I81" s="67" t="n"/>
      <c r="J81" s="67" t="n"/>
      <c r="K81" s="67" t="n"/>
      <c r="L81" s="67" t="n"/>
      <c r="M81" s="67" t="n"/>
      <c r="N81" s="67" t="n"/>
    </row>
    <row r="82">
      <c r="B82" s="67" t="n"/>
      <c r="C82" s="67" t="n"/>
      <c r="E82" s="67" t="n"/>
      <c r="F82" s="67" t="n"/>
      <c r="G82" s="67" t="n"/>
      <c r="H82" s="67" t="n"/>
      <c r="I82" s="67" t="n"/>
      <c r="J82" s="67" t="n"/>
      <c r="K82" s="67" t="n"/>
      <c r="L82" s="67" t="n"/>
      <c r="M82" s="67" t="n"/>
      <c r="N82" s="67" t="n"/>
    </row>
    <row r="83">
      <c r="B83" s="67" t="n"/>
      <c r="C83" s="67" t="n"/>
      <c r="E83" s="67" t="n"/>
      <c r="F83" s="67" t="n"/>
      <c r="G83" s="67" t="n"/>
      <c r="H83" s="67" t="n"/>
      <c r="I83" s="67" t="n"/>
      <c r="J83" s="67" t="n"/>
      <c r="K83" s="67" t="n"/>
      <c r="L83" s="67" t="n"/>
      <c r="M83" s="67" t="n"/>
      <c r="N83" s="67" t="n"/>
    </row>
    <row r="84">
      <c r="B84" s="67" t="n"/>
      <c r="C84" s="67" t="n"/>
      <c r="E84" s="67" t="n"/>
      <c r="F84" s="67" t="n"/>
      <c r="G84" s="67" t="n"/>
      <c r="H84" s="67" t="n"/>
      <c r="I84" s="67" t="n"/>
      <c r="J84" s="67" t="n"/>
      <c r="K84" s="67" t="n"/>
      <c r="L84" s="67" t="n"/>
      <c r="M84" s="67" t="n"/>
      <c r="N84" s="67" t="n"/>
    </row>
    <row r="85">
      <c r="B85" s="67" t="n"/>
      <c r="C85" s="67" t="n"/>
      <c r="E85" s="67" t="n"/>
      <c r="F85" s="67" t="n"/>
      <c r="G85" s="67" t="n"/>
      <c r="H85" s="67" t="n"/>
      <c r="I85" s="67" t="n"/>
      <c r="J85" s="67" t="n"/>
      <c r="K85" s="67" t="n"/>
      <c r="L85" s="67" t="n"/>
      <c r="M85" s="67" t="n"/>
      <c r="N85" s="67" t="n"/>
    </row>
    <row r="86">
      <c r="B86" s="67" t="n"/>
      <c r="C86" s="67" t="n"/>
      <c r="E86" s="67" t="n"/>
      <c r="F86" s="67" t="n"/>
      <c r="G86" s="67" t="n"/>
      <c r="H86" s="67" t="n"/>
      <c r="I86" s="67" t="n"/>
      <c r="J86" s="67" t="n"/>
      <c r="K86" s="67" t="n"/>
      <c r="L86" s="67" t="n"/>
      <c r="M86" s="67" t="n"/>
      <c r="N86" s="67" t="n"/>
    </row>
    <row r="87">
      <c r="B87" s="67" t="n"/>
      <c r="C87" s="67" t="n"/>
      <c r="E87" s="67" t="n"/>
      <c r="F87" s="67" t="n"/>
      <c r="G87" s="67" t="n"/>
      <c r="H87" s="67" t="n"/>
      <c r="I87" s="67" t="n"/>
      <c r="J87" s="67" t="n"/>
      <c r="K87" s="67" t="n"/>
      <c r="L87" s="67" t="n"/>
      <c r="M87" s="67" t="n"/>
      <c r="N87" s="67" t="n"/>
    </row>
    <row r="88">
      <c r="B88" s="67" t="n"/>
      <c r="C88" s="67" t="n"/>
      <c r="E88" s="67" t="n"/>
      <c r="F88" s="67" t="n"/>
      <c r="G88" s="67" t="n"/>
      <c r="H88" s="67" t="n"/>
      <c r="I88" s="67" t="n"/>
      <c r="J88" s="67" t="n"/>
      <c r="K88" s="67" t="n"/>
      <c r="L88" s="67" t="n"/>
      <c r="M88" s="67" t="n"/>
      <c r="N88" s="67" t="n"/>
    </row>
    <row r="89">
      <c r="B89" s="67" t="n"/>
      <c r="C89" s="67" t="n"/>
      <c r="E89" s="67" t="n"/>
      <c r="F89" s="67" t="n"/>
      <c r="G89" s="67" t="n"/>
      <c r="H89" s="67" t="n"/>
      <c r="I89" s="67" t="n"/>
      <c r="J89" s="67" t="n"/>
      <c r="K89" s="67" t="n"/>
      <c r="L89" s="67" t="n"/>
      <c r="M89" s="67" t="n"/>
      <c r="N89" s="67" t="n"/>
    </row>
    <row r="90">
      <c r="B90" s="67" t="n"/>
      <c r="C90" s="67" t="n"/>
      <c r="E90" s="67" t="n"/>
      <c r="F90" s="67" t="n"/>
      <c r="G90" s="67" t="n"/>
      <c r="H90" s="67" t="n"/>
      <c r="I90" s="67" t="n"/>
      <c r="J90" s="67" t="n"/>
      <c r="K90" s="67" t="n"/>
      <c r="L90" s="67" t="n"/>
      <c r="M90" s="67" t="n"/>
      <c r="N90" s="67" t="n"/>
    </row>
    <row r="91">
      <c r="B91" s="67" t="n"/>
      <c r="C91" s="67" t="n"/>
      <c r="E91" s="67" t="n"/>
      <c r="F91" s="67" t="n"/>
      <c r="G91" s="67" t="n"/>
      <c r="H91" s="67" t="n"/>
      <c r="I91" s="67" t="n"/>
      <c r="J91" s="67" t="n"/>
      <c r="K91" s="67" t="n"/>
      <c r="L91" s="67" t="n"/>
      <c r="M91" s="67" t="n"/>
      <c r="N91" s="67" t="n"/>
    </row>
    <row r="92">
      <c r="B92" s="67" t="n"/>
      <c r="C92" s="67" t="n"/>
      <c r="E92" s="67" t="n"/>
      <c r="F92" s="67" t="n"/>
      <c r="G92" s="67" t="n"/>
      <c r="H92" s="67" t="n"/>
      <c r="I92" s="67" t="n"/>
      <c r="J92" s="67" t="n"/>
      <c r="K92" s="67" t="n"/>
      <c r="L92" s="67" t="n"/>
      <c r="M92" s="67" t="n"/>
      <c r="N92" s="67" t="n"/>
    </row>
    <row r="93">
      <c r="B93" s="67" t="n"/>
      <c r="C93" s="67" t="n"/>
      <c r="E93" s="67" t="n"/>
      <c r="F93" s="67" t="n"/>
      <c r="G93" s="67" t="n"/>
      <c r="H93" s="67" t="n"/>
      <c r="I93" s="67" t="n"/>
      <c r="J93" s="67" t="n"/>
      <c r="K93" s="67" t="n"/>
      <c r="L93" s="67" t="n"/>
      <c r="M93" s="67" t="n"/>
      <c r="N93" s="67" t="n"/>
    </row>
    <row r="94">
      <c r="B94" s="67" t="n"/>
      <c r="C94" s="67" t="n"/>
      <c r="E94" s="67" t="n"/>
      <c r="F94" s="67" t="n"/>
      <c r="G94" s="67" t="n"/>
      <c r="H94" s="67" t="n"/>
      <c r="I94" s="67" t="n"/>
      <c r="J94" s="67" t="n"/>
      <c r="K94" s="67" t="n"/>
      <c r="L94" s="67" t="n"/>
      <c r="M94" s="67" t="n"/>
      <c r="N94" s="67" t="n"/>
    </row>
    <row r="95">
      <c r="B95" s="67" t="n"/>
      <c r="C95" s="67" t="n"/>
      <c r="E95" s="67" t="n"/>
      <c r="F95" s="67" t="n"/>
      <c r="G95" s="67" t="n"/>
      <c r="H95" s="67" t="n"/>
      <c r="I95" s="67" t="n"/>
      <c r="J95" s="67" t="n"/>
      <c r="K95" s="67" t="n"/>
      <c r="L95" s="67" t="n"/>
      <c r="M95" s="67" t="n"/>
      <c r="N95" s="67" t="n"/>
    </row>
    <row r="96">
      <c r="B96" s="67" t="n"/>
      <c r="C96" s="67" t="n"/>
      <c r="E96" s="67" t="n"/>
      <c r="F96" s="67" t="n"/>
      <c r="G96" s="67" t="n"/>
      <c r="H96" s="67" t="n"/>
      <c r="I96" s="67" t="n"/>
      <c r="J96" s="67" t="n"/>
      <c r="K96" s="67" t="n"/>
      <c r="L96" s="67" t="n"/>
      <c r="M96" s="67" t="n"/>
      <c r="N96" s="67" t="n"/>
    </row>
    <row r="97">
      <c r="B97" s="67" t="n"/>
      <c r="C97" s="67" t="n"/>
      <c r="E97" s="67" t="n"/>
      <c r="F97" s="67" t="n"/>
      <c r="G97" s="67" t="n"/>
      <c r="H97" s="67" t="n"/>
      <c r="I97" s="67" t="n"/>
      <c r="J97" s="67" t="n"/>
      <c r="K97" s="67" t="n"/>
      <c r="L97" s="67" t="n"/>
      <c r="M97" s="67" t="n"/>
      <c r="N97" s="67" t="n"/>
    </row>
    <row r="98">
      <c r="B98" s="67" t="n"/>
      <c r="C98" s="67" t="n"/>
      <c r="E98" s="67" t="n"/>
      <c r="F98" s="67" t="n"/>
      <c r="G98" s="67" t="n"/>
      <c r="H98" s="67" t="n"/>
      <c r="I98" s="67" t="n"/>
      <c r="J98" s="67" t="n"/>
      <c r="K98" s="67" t="n"/>
      <c r="L98" s="67" t="n"/>
      <c r="M98" s="67" t="n"/>
      <c r="N98" s="67" t="n"/>
    </row>
    <row r="99">
      <c r="B99" s="67" t="n"/>
      <c r="C99" s="67" t="n"/>
      <c r="E99" s="67" t="n"/>
      <c r="F99" s="67" t="n"/>
      <c r="G99" s="67" t="n"/>
      <c r="H99" s="67" t="n"/>
      <c r="I99" s="67" t="n"/>
      <c r="J99" s="67" t="n"/>
      <c r="K99" s="67" t="n"/>
      <c r="L99" s="67" t="n"/>
      <c r="M99" s="67" t="n"/>
      <c r="N99" s="67" t="n"/>
    </row>
    <row r="100">
      <c r="B100" s="67" t="n"/>
      <c r="C100" s="67" t="n"/>
      <c r="E100" s="67" t="n"/>
      <c r="F100" s="67" t="n"/>
      <c r="G100" s="67" t="n"/>
      <c r="H100" s="67" t="n"/>
      <c r="I100" s="67" t="n"/>
      <c r="J100" s="67" t="n"/>
      <c r="K100" s="67" t="n"/>
      <c r="L100" s="67" t="n"/>
      <c r="M100" s="67" t="n"/>
      <c r="N100" s="67" t="n"/>
    </row>
    <row r="101">
      <c r="B101" s="67" t="n"/>
      <c r="C101" s="67" t="n"/>
      <c r="E101" s="67" t="n"/>
      <c r="F101" s="67" t="n"/>
      <c r="G101" s="67" t="n"/>
      <c r="H101" s="67" t="n"/>
      <c r="I101" s="67" t="n"/>
      <c r="J101" s="67" t="n"/>
      <c r="K101" s="67" t="n"/>
      <c r="L101" s="67" t="n"/>
      <c r="M101" s="67" t="n"/>
      <c r="N101" s="67" t="n"/>
    </row>
    <row r="102">
      <c r="B102" s="67" t="n"/>
      <c r="C102" s="67" t="n"/>
      <c r="E102" s="67" t="n"/>
      <c r="F102" s="67" t="n"/>
      <c r="G102" s="67" t="n"/>
      <c r="H102" s="67" t="n"/>
      <c r="I102" s="67" t="n"/>
      <c r="J102" s="67" t="n"/>
      <c r="K102" s="67" t="n"/>
      <c r="L102" s="67" t="n"/>
      <c r="M102" s="67" t="n"/>
      <c r="N102" s="67" t="n"/>
    </row>
    <row r="103">
      <c r="B103" s="67" t="n"/>
      <c r="C103" s="67" t="n"/>
      <c r="E103" s="67" t="n"/>
      <c r="F103" s="67" t="n"/>
      <c r="G103" s="67" t="n"/>
      <c r="H103" s="67" t="n"/>
      <c r="I103" s="67" t="n"/>
      <c r="J103" s="67" t="n"/>
      <c r="K103" s="67" t="n"/>
      <c r="L103" s="67" t="n"/>
      <c r="M103" s="67" t="n"/>
      <c r="N103" s="67" t="n"/>
    </row>
    <row r="104">
      <c r="B104" s="67" t="n"/>
      <c r="C104" s="67" t="n"/>
      <c r="E104" s="67" t="n"/>
      <c r="F104" s="67" t="n"/>
      <c r="G104" s="67" t="n"/>
      <c r="H104" s="67" t="n"/>
      <c r="I104" s="67" t="n"/>
      <c r="J104" s="67" t="n"/>
      <c r="K104" s="67" t="n"/>
      <c r="L104" s="67" t="n"/>
      <c r="M104" s="67" t="n"/>
      <c r="N104" s="67" t="n"/>
    </row>
    <row r="105">
      <c r="B105" s="67" t="n"/>
      <c r="C105" s="67" t="n"/>
      <c r="E105" s="67" t="n"/>
      <c r="F105" s="67" t="n"/>
      <c r="G105" s="67" t="n"/>
      <c r="H105" s="67" t="n"/>
      <c r="I105" s="67" t="n"/>
      <c r="J105" s="67" t="n"/>
      <c r="K105" s="67" t="n"/>
      <c r="L105" s="67" t="n"/>
      <c r="M105" s="67" t="n"/>
      <c r="N105" s="67" t="n"/>
    </row>
    <row r="106">
      <c r="B106" s="67" t="n"/>
      <c r="C106" s="67" t="n"/>
      <c r="E106" s="67" t="n"/>
      <c r="F106" s="67" t="n"/>
      <c r="G106" s="67" t="n"/>
      <c r="H106" s="67" t="n"/>
      <c r="I106" s="67" t="n"/>
      <c r="J106" s="67" t="n"/>
      <c r="K106" s="67" t="n"/>
      <c r="L106" s="67" t="n"/>
      <c r="M106" s="67" t="n"/>
      <c r="N106" s="67" t="n"/>
    </row>
    <row r="107">
      <c r="B107" s="67" t="n"/>
      <c r="C107" s="67" t="n"/>
      <c r="E107" s="67" t="n"/>
      <c r="F107" s="67" t="n"/>
      <c r="G107" s="67" t="n"/>
      <c r="H107" s="67" t="n"/>
      <c r="I107" s="67" t="n"/>
      <c r="J107" s="67" t="n"/>
      <c r="K107" s="67" t="n"/>
      <c r="L107" s="67" t="n"/>
      <c r="M107" s="67" t="n"/>
      <c r="N107" s="67" t="n"/>
    </row>
    <row r="108">
      <c r="B108" s="67" t="n"/>
      <c r="C108" s="67" t="n"/>
      <c r="E108" s="67" t="n"/>
      <c r="F108" s="67" t="n"/>
      <c r="G108" s="67" t="n"/>
      <c r="H108" s="67" t="n"/>
      <c r="I108" s="67" t="n"/>
      <c r="J108" s="67" t="n"/>
      <c r="K108" s="67" t="n"/>
      <c r="L108" s="67" t="n"/>
      <c r="M108" s="67" t="n"/>
      <c r="N108" s="67" t="n"/>
    </row>
    <row r="109">
      <c r="B109" s="67" t="n"/>
      <c r="C109" s="67" t="n"/>
      <c r="E109" s="67" t="n"/>
      <c r="F109" s="67" t="n"/>
      <c r="G109" s="67" t="n"/>
      <c r="H109" s="67" t="n"/>
      <c r="I109" s="67" t="n"/>
      <c r="J109" s="67" t="n"/>
      <c r="K109" s="67" t="n"/>
      <c r="L109" s="67" t="n"/>
      <c r="M109" s="67" t="n"/>
      <c r="N109" s="67" t="n"/>
    </row>
    <row r="110">
      <c r="B110" s="67" t="n"/>
      <c r="C110" s="67" t="n"/>
      <c r="E110" s="67" t="n"/>
      <c r="F110" s="67" t="n"/>
      <c r="G110" s="67" t="n"/>
      <c r="H110" s="67" t="n"/>
      <c r="I110" s="67" t="n"/>
      <c r="J110" s="67" t="n"/>
      <c r="K110" s="67" t="n"/>
      <c r="L110" s="67" t="n"/>
      <c r="M110" s="67" t="n"/>
      <c r="N110" s="67" t="n"/>
    </row>
    <row r="111">
      <c r="B111" s="67" t="n"/>
      <c r="C111" s="67" t="n"/>
      <c r="E111" s="67" t="n"/>
      <c r="F111" s="67" t="n"/>
      <c r="G111" s="67" t="n"/>
      <c r="H111" s="67" t="n"/>
      <c r="I111" s="67" t="n"/>
      <c r="J111" s="67" t="n"/>
      <c r="K111" s="67" t="n"/>
      <c r="L111" s="67" t="n"/>
      <c r="M111" s="67" t="n"/>
      <c r="N111" s="67" t="n"/>
    </row>
    <row r="112">
      <c r="B112" s="67" t="n"/>
      <c r="C112" s="67" t="n"/>
      <c r="E112" s="67" t="n"/>
      <c r="F112" s="67" t="n"/>
      <c r="G112" s="67" t="n"/>
      <c r="H112" s="67" t="n"/>
      <c r="I112" s="67" t="n"/>
      <c r="J112" s="67" t="n"/>
      <c r="K112" s="67" t="n"/>
      <c r="L112" s="67" t="n"/>
      <c r="M112" s="67" t="n"/>
      <c r="N112" s="67" t="n"/>
    </row>
    <row r="113">
      <c r="B113" s="67" t="n"/>
      <c r="C113" s="67" t="n"/>
      <c r="E113" s="67" t="n"/>
      <c r="F113" s="67" t="n"/>
      <c r="G113" s="67" t="n"/>
      <c r="H113" s="67" t="n"/>
      <c r="I113" s="67" t="n"/>
      <c r="J113" s="67" t="n"/>
      <c r="K113" s="67" t="n"/>
      <c r="L113" s="67" t="n"/>
      <c r="M113" s="67" t="n"/>
      <c r="N113" s="67" t="n"/>
    </row>
    <row r="114">
      <c r="B114" s="67" t="n"/>
      <c r="C114" s="67" t="n"/>
      <c r="E114" s="67" t="n"/>
      <c r="F114" s="67" t="n"/>
      <c r="G114" s="67" t="n"/>
      <c r="H114" s="67" t="n"/>
      <c r="I114" s="67" t="n"/>
      <c r="J114" s="67" t="n"/>
      <c r="K114" s="67" t="n"/>
      <c r="L114" s="67" t="n"/>
      <c r="M114" s="67" t="n"/>
      <c r="N114" s="67" t="n"/>
    </row>
    <row r="115">
      <c r="B115" s="67" t="n"/>
      <c r="C115" s="67" t="n"/>
      <c r="E115" s="67" t="n"/>
      <c r="F115" s="67" t="n"/>
      <c r="G115" s="67" t="n"/>
      <c r="H115" s="67" t="n"/>
      <c r="I115" s="67" t="n"/>
      <c r="J115" s="67" t="n"/>
      <c r="K115" s="67" t="n"/>
      <c r="L115" s="67" t="n"/>
      <c r="M115" s="67" t="n"/>
      <c r="N115" s="67" t="n"/>
    </row>
    <row r="116">
      <c r="B116" s="67" t="n"/>
      <c r="C116" s="67" t="n"/>
      <c r="E116" s="67" t="n"/>
      <c r="F116" s="67" t="n"/>
      <c r="G116" s="67" t="n"/>
      <c r="H116" s="67" t="n"/>
      <c r="I116" s="67" t="n"/>
      <c r="J116" s="67" t="n"/>
      <c r="K116" s="67" t="n"/>
      <c r="L116" s="67" t="n"/>
      <c r="M116" s="67" t="n"/>
      <c r="N116" s="67" t="n"/>
    </row>
    <row r="117">
      <c r="B117" s="67" t="n"/>
      <c r="C117" s="67" t="n"/>
      <c r="E117" s="67" t="n"/>
      <c r="F117" s="67" t="n"/>
      <c r="G117" s="67" t="n"/>
      <c r="H117" s="67" t="n"/>
      <c r="I117" s="67" t="n"/>
      <c r="J117" s="67" t="n"/>
      <c r="K117" s="67" t="n"/>
      <c r="L117" s="67" t="n"/>
      <c r="M117" s="67" t="n"/>
      <c r="N117" s="67" t="n"/>
    </row>
    <row r="118">
      <c r="B118" s="67" t="n"/>
      <c r="C118" s="67" t="n"/>
      <c r="E118" s="67" t="n"/>
      <c r="F118" s="67" t="n"/>
      <c r="G118" s="67" t="n"/>
      <c r="H118" s="67" t="n"/>
      <c r="I118" s="67" t="n"/>
      <c r="J118" s="67" t="n"/>
      <c r="K118" s="67" t="n"/>
      <c r="L118" s="67" t="n"/>
      <c r="M118" s="67" t="n"/>
      <c r="N118" s="67" t="n"/>
    </row>
    <row r="119">
      <c r="B119" s="67" t="n"/>
      <c r="C119" s="67" t="n"/>
      <c r="E119" s="67" t="n"/>
      <c r="F119" s="67" t="n"/>
      <c r="G119" s="67" t="n"/>
      <c r="H119" s="67" t="n"/>
      <c r="I119" s="67" t="n"/>
      <c r="J119" s="67" t="n"/>
      <c r="K119" s="67" t="n"/>
      <c r="L119" s="67" t="n"/>
      <c r="M119" s="67" t="n"/>
      <c r="N119" s="67" t="n"/>
    </row>
    <row r="120">
      <c r="B120" s="67" t="n"/>
      <c r="C120" s="67" t="n"/>
      <c r="E120" s="67" t="n"/>
      <c r="F120" s="67" t="n"/>
      <c r="G120" s="67" t="n"/>
      <c r="H120" s="67" t="n"/>
      <c r="I120" s="67" t="n"/>
      <c r="J120" s="67" t="n"/>
      <c r="K120" s="67" t="n"/>
      <c r="L120" s="67" t="n"/>
      <c r="M120" s="67" t="n"/>
      <c r="N120" s="67" t="n"/>
    </row>
    <row r="121">
      <c r="B121" s="67" t="n"/>
      <c r="C121" s="67" t="n"/>
      <c r="E121" s="67" t="n"/>
      <c r="F121" s="67" t="n"/>
      <c r="G121" s="67" t="n"/>
      <c r="H121" s="67" t="n"/>
      <c r="I121" s="67" t="n"/>
      <c r="J121" s="67" t="n"/>
      <c r="K121" s="67" t="n"/>
      <c r="L121" s="67" t="n"/>
      <c r="M121" s="67" t="n"/>
      <c r="N121" s="67" t="n"/>
    </row>
    <row r="122">
      <c r="B122" s="67" t="n"/>
      <c r="C122" s="67" t="n"/>
      <c r="E122" s="67" t="n"/>
      <c r="F122" s="67" t="n"/>
      <c r="G122" s="67" t="n"/>
      <c r="H122" s="67" t="n"/>
      <c r="I122" s="67" t="n"/>
      <c r="J122" s="67" t="n"/>
      <c r="K122" s="67" t="n"/>
      <c r="L122" s="67" t="n"/>
      <c r="M122" s="67" t="n"/>
      <c r="N122" s="67" t="n"/>
    </row>
    <row r="123">
      <c r="B123" s="67" t="n"/>
      <c r="C123" s="67" t="n"/>
      <c r="E123" s="67" t="n"/>
      <c r="F123" s="67" t="n"/>
      <c r="G123" s="67" t="n"/>
      <c r="H123" s="67" t="n"/>
      <c r="I123" s="67" t="n"/>
      <c r="J123" s="67" t="n"/>
      <c r="K123" s="67" t="n"/>
      <c r="L123" s="67" t="n"/>
      <c r="M123" s="67" t="n"/>
      <c r="N123" s="67" t="n"/>
    </row>
    <row r="124">
      <c r="B124" s="67" t="n"/>
      <c r="C124" s="67" t="n"/>
      <c r="E124" s="67" t="n"/>
      <c r="F124" s="67" t="n"/>
      <c r="G124" s="67" t="n"/>
      <c r="H124" s="67" t="n"/>
      <c r="I124" s="67" t="n"/>
      <c r="J124" s="67" t="n"/>
      <c r="K124" s="67" t="n"/>
      <c r="L124" s="67" t="n"/>
      <c r="M124" s="67" t="n"/>
      <c r="N124" s="67" t="n"/>
    </row>
    <row r="125">
      <c r="B125" s="67" t="n"/>
      <c r="C125" s="67" t="n"/>
      <c r="E125" s="67" t="n"/>
      <c r="F125" s="67" t="n"/>
      <c r="G125" s="67" t="n"/>
      <c r="H125" s="67" t="n"/>
      <c r="I125" s="67" t="n"/>
      <c r="J125" s="67" t="n"/>
      <c r="K125" s="67" t="n"/>
      <c r="L125" s="67" t="n"/>
      <c r="M125" s="67" t="n"/>
      <c r="N125" s="67" t="n"/>
    </row>
    <row r="126">
      <c r="B126" s="67" t="n"/>
      <c r="C126" s="67" t="n"/>
      <c r="E126" s="67" t="n"/>
      <c r="F126" s="67" t="n"/>
      <c r="G126" s="67" t="n"/>
      <c r="H126" s="67" t="n"/>
      <c r="I126" s="67" t="n"/>
      <c r="J126" s="67" t="n"/>
      <c r="K126" s="67" t="n"/>
      <c r="L126" s="67" t="n"/>
      <c r="M126" s="67" t="n"/>
      <c r="N126" s="67" t="n"/>
    </row>
    <row r="127">
      <c r="B127" s="67" t="n"/>
      <c r="C127" s="67" t="n"/>
      <c r="E127" s="67" t="n"/>
      <c r="F127" s="67" t="n"/>
      <c r="G127" s="67" t="n"/>
      <c r="H127" s="67" t="n"/>
      <c r="I127" s="67" t="n"/>
      <c r="J127" s="67" t="n"/>
      <c r="K127" s="67" t="n"/>
      <c r="L127" s="67" t="n"/>
      <c r="M127" s="67" t="n"/>
      <c r="N127" s="67" t="n"/>
    </row>
    <row r="128">
      <c r="B128" s="67" t="n"/>
      <c r="C128" s="67" t="n"/>
      <c r="E128" s="67" t="n"/>
      <c r="F128" s="67" t="n"/>
      <c r="G128" s="67" t="n"/>
      <c r="H128" s="67" t="n"/>
      <c r="I128" s="67" t="n"/>
      <c r="J128" s="67" t="n"/>
      <c r="K128" s="67" t="n"/>
      <c r="L128" s="67" t="n"/>
      <c r="M128" s="67" t="n"/>
      <c r="N128" s="67" t="n"/>
    </row>
    <row r="129">
      <c r="B129" s="67" t="n"/>
      <c r="C129" s="67" t="n"/>
      <c r="E129" s="67" t="n"/>
      <c r="F129" s="67" t="n"/>
      <c r="G129" s="67" t="n"/>
      <c r="H129" s="67" t="n"/>
      <c r="I129" s="67" t="n"/>
      <c r="J129" s="67" t="n"/>
      <c r="K129" s="67" t="n"/>
      <c r="L129" s="67" t="n"/>
      <c r="M129" s="67" t="n"/>
      <c r="N129" s="67" t="n"/>
    </row>
    <row r="130">
      <c r="B130" s="67" t="n"/>
      <c r="C130" s="67" t="n"/>
      <c r="E130" s="67" t="n"/>
      <c r="F130" s="67" t="n"/>
      <c r="G130" s="67" t="n"/>
      <c r="H130" s="67" t="n"/>
      <c r="I130" s="67" t="n"/>
      <c r="J130" s="67" t="n"/>
      <c r="K130" s="67" t="n"/>
      <c r="L130" s="67" t="n"/>
      <c r="M130" s="67" t="n"/>
      <c r="N130" s="67" t="n"/>
    </row>
    <row r="131">
      <c r="B131" s="67" t="n"/>
      <c r="C131" s="67" t="n"/>
      <c r="E131" s="67" t="n"/>
      <c r="F131" s="67" t="n"/>
      <c r="G131" s="67" t="n"/>
      <c r="H131" s="67" t="n"/>
      <c r="I131" s="67" t="n"/>
      <c r="J131" s="67" t="n"/>
      <c r="K131" s="67" t="n"/>
      <c r="L131" s="67" t="n"/>
      <c r="M131" s="67" t="n"/>
      <c r="N131" s="67" t="n"/>
    </row>
    <row r="132">
      <c r="B132" s="67" t="n"/>
      <c r="C132" s="67" t="n"/>
      <c r="E132" s="67" t="n"/>
      <c r="F132" s="67" t="n"/>
      <c r="G132" s="67" t="n"/>
      <c r="H132" s="67" t="n"/>
      <c r="I132" s="67" t="n"/>
      <c r="J132" s="67" t="n"/>
      <c r="K132" s="67" t="n"/>
      <c r="L132" s="67" t="n"/>
      <c r="M132" s="67" t="n"/>
      <c r="N132" s="67" t="n"/>
    </row>
    <row r="133">
      <c r="B133" s="67" t="n"/>
      <c r="C133" s="67" t="n"/>
      <c r="E133" s="67" t="n"/>
      <c r="F133" s="67" t="n"/>
      <c r="G133" s="67" t="n"/>
      <c r="H133" s="67" t="n"/>
      <c r="I133" s="67" t="n"/>
      <c r="J133" s="67" t="n"/>
      <c r="K133" s="67" t="n"/>
      <c r="L133" s="67" t="n"/>
      <c r="M133" s="67" t="n"/>
      <c r="N133" s="67" t="n"/>
    </row>
    <row r="134">
      <c r="B134" s="67" t="n"/>
      <c r="C134" s="67" t="n"/>
      <c r="E134" s="67" t="n"/>
      <c r="F134" s="67" t="n"/>
      <c r="G134" s="67" t="n"/>
      <c r="H134" s="67" t="n"/>
      <c r="I134" s="67" t="n"/>
      <c r="J134" s="67" t="n"/>
      <c r="K134" s="67" t="n"/>
      <c r="L134" s="67" t="n"/>
      <c r="M134" s="67" t="n"/>
      <c r="N134" s="67" t="n"/>
    </row>
    <row r="135">
      <c r="B135" s="67" t="n"/>
      <c r="C135" s="67" t="n"/>
      <c r="E135" s="67" t="n"/>
      <c r="F135" s="67" t="n"/>
      <c r="G135" s="67" t="n"/>
      <c r="H135" s="67" t="n"/>
      <c r="I135" s="67" t="n"/>
      <c r="J135" s="67" t="n"/>
      <c r="K135" s="67" t="n"/>
      <c r="L135" s="67" t="n"/>
      <c r="M135" s="67" t="n"/>
      <c r="N135" s="67" t="n"/>
    </row>
    <row r="136">
      <c r="B136" s="67" t="n"/>
      <c r="C136" s="67" t="n"/>
      <c r="E136" s="67" t="n"/>
      <c r="F136" s="67" t="n"/>
      <c r="G136" s="67" t="n"/>
      <c r="H136" s="67" t="n"/>
      <c r="I136" s="67" t="n"/>
      <c r="J136" s="67" t="n"/>
      <c r="K136" s="67" t="n"/>
      <c r="L136" s="67" t="n"/>
      <c r="M136" s="67" t="n"/>
      <c r="N136" s="67" t="n"/>
    </row>
    <row r="137">
      <c r="B137" s="67" t="n"/>
      <c r="C137" s="67" t="n"/>
      <c r="E137" s="67" t="n"/>
      <c r="F137" s="67" t="n"/>
      <c r="G137" s="67" t="n"/>
      <c r="H137" s="67" t="n"/>
      <c r="I137" s="67" t="n"/>
      <c r="J137" s="67" t="n"/>
      <c r="K137" s="67" t="n"/>
      <c r="L137" s="67" t="n"/>
      <c r="M137" s="67" t="n"/>
      <c r="N137" s="67" t="n"/>
    </row>
    <row r="138">
      <c r="B138" s="67" t="n"/>
      <c r="C138" s="67" t="n"/>
      <c r="E138" s="67" t="n"/>
      <c r="F138" s="67" t="n"/>
      <c r="G138" s="67" t="n"/>
      <c r="H138" s="67" t="n"/>
      <c r="I138" s="67" t="n"/>
      <c r="J138" s="67" t="n"/>
      <c r="K138" s="67" t="n"/>
      <c r="L138" s="67" t="n"/>
      <c r="M138" s="67" t="n"/>
      <c r="N138" s="67" t="n"/>
    </row>
    <row r="139">
      <c r="B139" s="67" t="n"/>
      <c r="C139" s="67" t="n"/>
      <c r="E139" s="67" t="n"/>
      <c r="F139" s="67" t="n"/>
      <c r="G139" s="67" t="n"/>
      <c r="H139" s="67" t="n"/>
      <c r="I139" s="67" t="n"/>
      <c r="J139" s="67" t="n"/>
      <c r="K139" s="67" t="n"/>
      <c r="L139" s="67" t="n"/>
      <c r="M139" s="67" t="n"/>
      <c r="N139" s="67" t="n"/>
    </row>
    <row r="140">
      <c r="B140" s="67" t="n"/>
      <c r="C140" s="67" t="n"/>
      <c r="E140" s="67" t="n"/>
      <c r="F140" s="67" t="n"/>
      <c r="G140" s="67" t="n"/>
      <c r="H140" s="67" t="n"/>
      <c r="I140" s="67" t="n"/>
      <c r="J140" s="67" t="n"/>
      <c r="K140" s="67" t="n"/>
      <c r="L140" s="67" t="n"/>
      <c r="M140" s="67" t="n"/>
      <c r="N140" s="67" t="n"/>
    </row>
    <row r="141">
      <c r="B141" s="67" t="n"/>
      <c r="C141" s="67" t="n"/>
      <c r="E141" s="67" t="n"/>
      <c r="F141" s="67" t="n"/>
      <c r="G141" s="67" t="n"/>
      <c r="H141" s="67" t="n"/>
      <c r="I141" s="67" t="n"/>
      <c r="J141" s="67" t="n"/>
      <c r="K141" s="67" t="n"/>
      <c r="L141" s="67" t="n"/>
      <c r="M141" s="67" t="n"/>
      <c r="N141" s="67" t="n"/>
    </row>
    <row r="142">
      <c r="B142" s="67" t="n"/>
      <c r="C142" s="67" t="n"/>
      <c r="E142" s="67" t="n"/>
      <c r="F142" s="67" t="n"/>
      <c r="G142" s="67" t="n"/>
      <c r="H142" s="67" t="n"/>
      <c r="I142" s="67" t="n"/>
      <c r="J142" s="67" t="n"/>
      <c r="K142" s="67" t="n"/>
      <c r="L142" s="67" t="n"/>
      <c r="M142" s="67" t="n"/>
      <c r="N142" s="67" t="n"/>
    </row>
    <row r="143">
      <c r="B143" s="67" t="n"/>
      <c r="C143" s="67" t="n"/>
      <c r="E143" s="67" t="n"/>
      <c r="F143" s="67" t="n"/>
      <c r="G143" s="67" t="n"/>
      <c r="H143" s="67" t="n"/>
      <c r="I143" s="67" t="n"/>
      <c r="J143" s="67" t="n"/>
      <c r="K143" s="67" t="n"/>
      <c r="L143" s="67" t="n"/>
      <c r="M143" s="67" t="n"/>
      <c r="N143" s="67" t="n"/>
    </row>
    <row r="144">
      <c r="B144" s="67" t="n"/>
      <c r="C144" s="67" t="n"/>
      <c r="E144" s="67" t="n"/>
      <c r="F144" s="67" t="n"/>
      <c r="G144" s="67" t="n"/>
      <c r="H144" s="67" t="n"/>
      <c r="I144" s="67" t="n"/>
      <c r="J144" s="67" t="n"/>
      <c r="K144" s="67" t="n"/>
      <c r="L144" s="67" t="n"/>
      <c r="M144" s="67" t="n"/>
      <c r="N144" s="67" t="n"/>
    </row>
    <row r="145">
      <c r="B145" s="67" t="n"/>
      <c r="C145" s="67" t="n"/>
      <c r="E145" s="67" t="n"/>
      <c r="F145" s="67" t="n"/>
      <c r="G145" s="67" t="n"/>
      <c r="H145" s="67" t="n"/>
      <c r="I145" s="67" t="n"/>
      <c r="J145" s="67" t="n"/>
      <c r="K145" s="67" t="n"/>
      <c r="L145" s="67" t="n"/>
      <c r="M145" s="67" t="n"/>
      <c r="N145" s="67" t="n"/>
    </row>
    <row r="146">
      <c r="B146" s="67" t="n"/>
      <c r="C146" s="67" t="n"/>
      <c r="E146" s="67" t="n"/>
      <c r="F146" s="67" t="n"/>
      <c r="G146" s="67" t="n"/>
      <c r="H146" s="67" t="n"/>
      <c r="I146" s="67" t="n"/>
      <c r="J146" s="67" t="n"/>
      <c r="K146" s="67" t="n"/>
      <c r="L146" s="67" t="n"/>
      <c r="M146" s="67" t="n"/>
      <c r="N146" s="67" t="n"/>
    </row>
    <row r="147">
      <c r="B147" s="67" t="n"/>
      <c r="C147" s="67" t="n"/>
      <c r="E147" s="67" t="n"/>
      <c r="F147" s="67" t="n"/>
      <c r="G147" s="67" t="n"/>
      <c r="H147" s="67" t="n"/>
      <c r="I147" s="67" t="n"/>
      <c r="J147" s="67" t="n"/>
      <c r="K147" s="67" t="n"/>
      <c r="L147" s="67" t="n"/>
      <c r="M147" s="67" t="n"/>
      <c r="N147" s="67" t="n"/>
    </row>
    <row r="148">
      <c r="B148" s="67" t="n"/>
      <c r="C148" s="67" t="n"/>
      <c r="E148" s="67" t="n"/>
      <c r="F148" s="67" t="n"/>
      <c r="G148" s="67" t="n"/>
      <c r="H148" s="67" t="n"/>
      <c r="I148" s="67" t="n"/>
      <c r="J148" s="67" t="n"/>
      <c r="K148" s="67" t="n"/>
      <c r="L148" s="67" t="n"/>
      <c r="M148" s="67" t="n"/>
      <c r="N148" s="67" t="n"/>
    </row>
    <row r="149">
      <c r="B149" s="67" t="n"/>
      <c r="C149" s="67" t="n"/>
      <c r="E149" s="67" t="n"/>
      <c r="F149" s="67" t="n"/>
      <c r="G149" s="67" t="n"/>
      <c r="H149" s="67" t="n"/>
      <c r="I149" s="67" t="n"/>
      <c r="J149" s="67" t="n"/>
      <c r="K149" s="67" t="n"/>
      <c r="L149" s="67" t="n"/>
      <c r="M149" s="67" t="n"/>
      <c r="N149" s="67" t="n"/>
    </row>
    <row r="150">
      <c r="B150" s="67" t="n"/>
      <c r="C150" s="67" t="n"/>
      <c r="E150" s="67" t="n"/>
      <c r="F150" s="67" t="n"/>
      <c r="G150" s="67" t="n"/>
      <c r="H150" s="67" t="n"/>
      <c r="I150" s="67" t="n"/>
      <c r="J150" s="67" t="n"/>
      <c r="K150" s="67" t="n"/>
      <c r="L150" s="67" t="n"/>
      <c r="M150" s="67" t="n"/>
      <c r="N150" s="67" t="n"/>
    </row>
    <row r="151">
      <c r="B151" s="67" t="n"/>
      <c r="C151" s="67" t="n"/>
      <c r="E151" s="67" t="n"/>
      <c r="F151" s="67" t="n"/>
      <c r="G151" s="67" t="n"/>
      <c r="H151" s="67" t="n"/>
      <c r="I151" s="67" t="n"/>
      <c r="J151" s="67" t="n"/>
      <c r="K151" s="67" t="n"/>
      <c r="L151" s="67" t="n"/>
      <c r="M151" s="67" t="n"/>
      <c r="N151" s="67" t="n"/>
    </row>
    <row r="152">
      <c r="B152" s="67" t="n"/>
      <c r="C152" s="67" t="n"/>
      <c r="E152" s="67" t="n"/>
      <c r="F152" s="67" t="n"/>
      <c r="G152" s="67" t="n"/>
      <c r="H152" s="67" t="n"/>
      <c r="I152" s="67" t="n"/>
      <c r="J152" s="67" t="n"/>
      <c r="K152" s="67" t="n"/>
      <c r="L152" s="67" t="n"/>
      <c r="M152" s="67" t="n"/>
      <c r="N152" s="67" t="n"/>
    </row>
    <row r="153">
      <c r="B153" s="67" t="n"/>
      <c r="C153" s="67" t="n"/>
      <c r="E153" s="67" t="n"/>
      <c r="F153" s="67" t="n"/>
      <c r="G153" s="67" t="n"/>
      <c r="H153" s="67" t="n"/>
      <c r="I153" s="67" t="n"/>
      <c r="J153" s="67" t="n"/>
      <c r="K153" s="67" t="n"/>
      <c r="L153" s="67" t="n"/>
      <c r="M153" s="67" t="n"/>
      <c r="N153" s="67" t="n"/>
    </row>
    <row r="154">
      <c r="B154" s="67" t="n"/>
      <c r="C154" s="67" t="n"/>
      <c r="E154" s="67" t="n"/>
      <c r="F154" s="67" t="n"/>
      <c r="G154" s="67" t="n"/>
      <c r="H154" s="67" t="n"/>
      <c r="I154" s="67" t="n"/>
      <c r="J154" s="67" t="n"/>
      <c r="K154" s="67" t="n"/>
      <c r="L154" s="67" t="n"/>
      <c r="M154" s="67" t="n"/>
      <c r="N154" s="67" t="n"/>
    </row>
    <row r="155">
      <c r="B155" s="67" t="n"/>
      <c r="C155" s="67" t="n"/>
      <c r="E155" s="67" t="n"/>
      <c r="F155" s="67" t="n"/>
      <c r="G155" s="67" t="n"/>
      <c r="H155" s="67" t="n"/>
      <c r="I155" s="67" t="n"/>
      <c r="J155" s="67" t="n"/>
      <c r="K155" s="67" t="n"/>
      <c r="L155" s="67" t="n"/>
      <c r="M155" s="67" t="n"/>
      <c r="N155" s="67" t="n"/>
    </row>
    <row r="156">
      <c r="B156" s="67" t="n"/>
      <c r="C156" s="67" t="n"/>
      <c r="E156" s="67" t="n"/>
      <c r="F156" s="67" t="n"/>
      <c r="G156" s="67" t="n"/>
      <c r="H156" s="67" t="n"/>
      <c r="I156" s="67" t="n"/>
      <c r="J156" s="67" t="n"/>
      <c r="K156" s="67" t="n"/>
      <c r="L156" s="67" t="n"/>
      <c r="M156" s="67" t="n"/>
      <c r="N156" s="67" t="n"/>
    </row>
    <row r="157">
      <c r="B157" s="67" t="n"/>
      <c r="C157" s="67" t="n"/>
      <c r="E157" s="67" t="n"/>
      <c r="F157" s="67" t="n"/>
      <c r="G157" s="67" t="n"/>
      <c r="H157" s="67" t="n"/>
      <c r="I157" s="67" t="n"/>
      <c r="J157" s="67" t="n"/>
      <c r="K157" s="67" t="n"/>
      <c r="L157" s="67" t="n"/>
      <c r="M157" s="67" t="n"/>
      <c r="N157" s="67" t="n"/>
    </row>
    <row r="158">
      <c r="B158" s="67" t="n"/>
      <c r="C158" s="67" t="n"/>
      <c r="E158" s="67" t="n"/>
      <c r="F158" s="67" t="n"/>
      <c r="G158" s="67" t="n"/>
      <c r="H158" s="67" t="n"/>
      <c r="I158" s="67" t="n"/>
      <c r="J158" s="67" t="n"/>
      <c r="K158" s="67" t="n"/>
      <c r="L158" s="67" t="n"/>
      <c r="M158" s="67" t="n"/>
      <c r="N158" s="67" t="n"/>
    </row>
    <row r="159">
      <c r="B159" s="67" t="n"/>
      <c r="C159" s="67" t="n"/>
      <c r="E159" s="67" t="n"/>
      <c r="F159" s="67" t="n"/>
      <c r="G159" s="67" t="n"/>
      <c r="H159" s="67" t="n"/>
      <c r="I159" s="67" t="n"/>
      <c r="J159" s="67" t="n"/>
      <c r="K159" s="67" t="n"/>
      <c r="L159" s="67" t="n"/>
      <c r="M159" s="67" t="n"/>
      <c r="N159" s="67" t="n"/>
    </row>
    <row r="160">
      <c r="B160" s="67" t="n"/>
      <c r="C160" s="67" t="n"/>
      <c r="E160" s="67" t="n"/>
      <c r="F160" s="67" t="n"/>
      <c r="G160" s="67" t="n"/>
      <c r="H160" s="67" t="n"/>
      <c r="I160" s="67" t="n"/>
      <c r="J160" s="67" t="n"/>
      <c r="K160" s="67" t="n"/>
      <c r="L160" s="67" t="n"/>
      <c r="M160" s="67" t="n"/>
      <c r="N160" s="67" t="n"/>
    </row>
    <row r="161">
      <c r="B161" s="67" t="n"/>
      <c r="C161" s="67" t="n"/>
      <c r="E161" s="67" t="n"/>
      <c r="F161" s="67" t="n"/>
      <c r="G161" s="67" t="n"/>
      <c r="H161" s="67" t="n"/>
      <c r="I161" s="67" t="n"/>
      <c r="J161" s="67" t="n"/>
      <c r="K161" s="67" t="n"/>
      <c r="L161" s="67" t="n"/>
      <c r="M161" s="67" t="n"/>
      <c r="N161" s="67" t="n"/>
    </row>
    <row r="162">
      <c r="B162" s="67" t="n"/>
      <c r="C162" s="67" t="n"/>
      <c r="E162" s="67" t="n"/>
      <c r="F162" s="67" t="n"/>
      <c r="G162" s="67" t="n"/>
      <c r="H162" s="67" t="n"/>
      <c r="I162" s="67" t="n"/>
      <c r="J162" s="67" t="n"/>
      <c r="K162" s="67" t="n"/>
      <c r="L162" s="67" t="n"/>
      <c r="M162" s="67" t="n"/>
      <c r="N162" s="67" t="n"/>
    </row>
    <row r="163">
      <c r="B163" s="67" t="n"/>
      <c r="C163" s="67" t="n"/>
      <c r="E163" s="67" t="n"/>
      <c r="F163" s="67" t="n"/>
      <c r="G163" s="67" t="n"/>
      <c r="H163" s="67" t="n"/>
      <c r="I163" s="67" t="n"/>
      <c r="J163" s="67" t="n"/>
      <c r="K163" s="67" t="n"/>
      <c r="L163" s="67" t="n"/>
      <c r="M163" s="67" t="n"/>
      <c r="N163" s="67" t="n"/>
    </row>
    <row r="164">
      <c r="B164" s="67" t="n"/>
      <c r="C164" s="67" t="n"/>
      <c r="E164" s="67" t="n"/>
      <c r="F164" s="67" t="n"/>
      <c r="G164" s="67" t="n"/>
      <c r="H164" s="67" t="n"/>
      <c r="I164" s="67" t="n"/>
      <c r="J164" s="67" t="n"/>
      <c r="K164" s="67" t="n"/>
      <c r="L164" s="67" t="n"/>
      <c r="M164" s="67" t="n"/>
      <c r="N164" s="67" t="n"/>
    </row>
    <row r="165">
      <c r="B165" s="67" t="n"/>
      <c r="C165" s="67" t="n"/>
      <c r="E165" s="67" t="n"/>
      <c r="F165" s="67" t="n"/>
      <c r="G165" s="67" t="n"/>
      <c r="H165" s="67" t="n"/>
      <c r="I165" s="67" t="n"/>
      <c r="J165" s="67" t="n"/>
      <c r="K165" s="67" t="n"/>
      <c r="L165" s="67" t="n"/>
      <c r="M165" s="67" t="n"/>
      <c r="N165" s="67" t="n"/>
    </row>
    <row r="166">
      <c r="B166" s="67" t="n"/>
      <c r="C166" s="67" t="n"/>
      <c r="E166" s="67" t="n"/>
      <c r="F166" s="67" t="n"/>
      <c r="G166" s="67" t="n"/>
      <c r="H166" s="67" t="n"/>
      <c r="I166" s="67" t="n"/>
      <c r="J166" s="67" t="n"/>
      <c r="K166" s="67" t="n"/>
      <c r="L166" s="67" t="n"/>
      <c r="M166" s="67" t="n"/>
      <c r="N166" s="67" t="n"/>
    </row>
    <row r="167">
      <c r="B167" s="67" t="n"/>
      <c r="C167" s="67" t="n"/>
      <c r="E167" s="67" t="n"/>
      <c r="F167" s="67" t="n"/>
      <c r="G167" s="67" t="n"/>
      <c r="H167" s="67" t="n"/>
      <c r="I167" s="67" t="n"/>
      <c r="J167" s="67" t="n"/>
      <c r="K167" s="67" t="n"/>
      <c r="L167" s="67" t="n"/>
      <c r="M167" s="67" t="n"/>
      <c r="N167" s="67" t="n"/>
    </row>
    <row r="168">
      <c r="B168" s="67" t="n"/>
      <c r="C168" s="67" t="n"/>
      <c r="E168" s="67" t="n"/>
      <c r="F168" s="67" t="n"/>
      <c r="G168" s="67" t="n"/>
      <c r="H168" s="67" t="n"/>
      <c r="I168" s="67" t="n"/>
      <c r="J168" s="67" t="n"/>
      <c r="K168" s="67" t="n"/>
      <c r="L168" s="67" t="n"/>
      <c r="M168" s="67" t="n"/>
      <c r="N168" s="67" t="n"/>
    </row>
    <row r="169">
      <c r="B169" s="67" t="n"/>
      <c r="C169" s="67" t="n"/>
      <c r="E169" s="67" t="n"/>
      <c r="F169" s="67" t="n"/>
      <c r="G169" s="67" t="n"/>
      <c r="H169" s="67" t="n"/>
      <c r="I169" s="67" t="n"/>
      <c r="J169" s="67" t="n"/>
      <c r="K169" s="67" t="n"/>
      <c r="L169" s="67" t="n"/>
      <c r="M169" s="67" t="n"/>
      <c r="N169" s="67" t="n"/>
    </row>
    <row r="170">
      <c r="B170" s="67" t="n"/>
      <c r="C170" s="67" t="n"/>
      <c r="E170" s="67" t="n"/>
      <c r="F170" s="67" t="n"/>
      <c r="G170" s="67" t="n"/>
      <c r="H170" s="67" t="n"/>
      <c r="I170" s="67" t="n"/>
      <c r="J170" s="67" t="n"/>
      <c r="K170" s="67" t="n"/>
      <c r="L170" s="67" t="n"/>
      <c r="M170" s="67" t="n"/>
      <c r="N170" s="67" t="n"/>
    </row>
    <row r="171">
      <c r="B171" s="67" t="n"/>
      <c r="C171" s="67" t="n"/>
      <c r="E171" s="67" t="n"/>
      <c r="F171" s="67" t="n"/>
      <c r="G171" s="67" t="n"/>
      <c r="H171" s="67" t="n"/>
      <c r="I171" s="67" t="n"/>
      <c r="J171" s="67" t="n"/>
      <c r="K171" s="67" t="n"/>
      <c r="L171" s="67" t="n"/>
      <c r="M171" s="67" t="n"/>
      <c r="N171" s="67" t="n"/>
    </row>
    <row r="172">
      <c r="B172" s="67" t="n"/>
      <c r="C172" s="67" t="n"/>
      <c r="E172" s="67" t="n"/>
      <c r="F172" s="67" t="n"/>
      <c r="G172" s="67" t="n"/>
      <c r="H172" s="67" t="n"/>
      <c r="I172" s="67" t="n"/>
      <c r="J172" s="67" t="n"/>
      <c r="K172" s="67" t="n"/>
      <c r="L172" s="67" t="n"/>
      <c r="M172" s="67" t="n"/>
      <c r="N172" s="67" t="n"/>
    </row>
    <row r="173">
      <c r="B173" s="67" t="n"/>
      <c r="C173" s="67" t="n"/>
      <c r="E173" s="67" t="n"/>
      <c r="F173" s="67" t="n"/>
      <c r="G173" s="67" t="n"/>
      <c r="H173" s="67" t="n"/>
      <c r="I173" s="67" t="n"/>
      <c r="J173" s="67" t="n"/>
      <c r="K173" s="67" t="n"/>
      <c r="L173" s="67" t="n"/>
      <c r="M173" s="67" t="n"/>
      <c r="N173" s="67" t="n"/>
    </row>
    <row r="174">
      <c r="B174" s="67" t="n"/>
      <c r="C174" s="67" t="n"/>
      <c r="E174" s="67" t="n"/>
      <c r="F174" s="67" t="n"/>
      <c r="G174" s="67" t="n"/>
      <c r="H174" s="67" t="n"/>
      <c r="I174" s="67" t="n"/>
      <c r="J174" s="67" t="n"/>
      <c r="K174" s="67" t="n"/>
      <c r="L174" s="67" t="n"/>
      <c r="M174" s="67" t="n"/>
      <c r="N174" s="67" t="n"/>
    </row>
    <row r="175">
      <c r="B175" s="67" t="n"/>
      <c r="C175" s="67" t="n"/>
      <c r="E175" s="67" t="n"/>
      <c r="F175" s="67" t="n"/>
      <c r="G175" s="67" t="n"/>
      <c r="H175" s="67" t="n"/>
      <c r="I175" s="67" t="n"/>
      <c r="J175" s="67" t="n"/>
      <c r="K175" s="67" t="n"/>
      <c r="L175" s="67" t="n"/>
      <c r="M175" s="67" t="n"/>
      <c r="N175" s="67" t="n"/>
    </row>
    <row r="176">
      <c r="B176" s="67" t="n"/>
      <c r="C176" s="67" t="n"/>
      <c r="E176" s="67" t="n"/>
      <c r="F176" s="67" t="n"/>
      <c r="G176" s="67" t="n"/>
      <c r="H176" s="67" t="n"/>
      <c r="I176" s="67" t="n"/>
      <c r="J176" s="67" t="n"/>
      <c r="K176" s="67" t="n"/>
      <c r="L176" s="67" t="n"/>
      <c r="M176" s="67" t="n"/>
      <c r="N176" s="67" t="n"/>
    </row>
    <row r="177">
      <c r="B177" s="67" t="n"/>
      <c r="C177" s="67" t="n"/>
      <c r="E177" s="67" t="n"/>
      <c r="F177" s="67" t="n"/>
      <c r="G177" s="67" t="n"/>
      <c r="H177" s="67" t="n"/>
      <c r="I177" s="67" t="n"/>
      <c r="J177" s="67" t="n"/>
      <c r="K177" s="67" t="n"/>
      <c r="L177" s="67" t="n"/>
      <c r="M177" s="67" t="n"/>
      <c r="N177" s="67" t="n"/>
    </row>
    <row r="178">
      <c r="B178" s="67" t="n"/>
      <c r="C178" s="67" t="n"/>
      <c r="E178" s="67" t="n"/>
      <c r="F178" s="67" t="n"/>
      <c r="G178" s="67" t="n"/>
      <c r="H178" s="67" t="n"/>
      <c r="I178" s="67" t="n"/>
      <c r="J178" s="67" t="n"/>
      <c r="K178" s="67" t="n"/>
      <c r="L178" s="67" t="n"/>
      <c r="M178" s="67" t="n"/>
      <c r="N178" s="67" t="n"/>
    </row>
    <row r="179">
      <c r="B179" s="67" t="n"/>
      <c r="C179" s="67" t="n"/>
      <c r="E179" s="67" t="n"/>
      <c r="F179" s="67" t="n"/>
      <c r="G179" s="67" t="n"/>
      <c r="H179" s="67" t="n"/>
      <c r="I179" s="67" t="n"/>
      <c r="J179" s="67" t="n"/>
      <c r="K179" s="67" t="n"/>
      <c r="L179" s="67" t="n"/>
      <c r="M179" s="67" t="n"/>
      <c r="N179" s="67" t="n"/>
    </row>
    <row r="180">
      <c r="B180" s="67" t="n"/>
      <c r="C180" s="67" t="n"/>
      <c r="E180" s="67" t="n"/>
      <c r="F180" s="67" t="n"/>
      <c r="G180" s="67" t="n"/>
      <c r="H180" s="67" t="n"/>
      <c r="I180" s="67" t="n"/>
      <c r="J180" s="67" t="n"/>
      <c r="K180" s="67" t="n"/>
      <c r="L180" s="67" t="n"/>
      <c r="M180" s="67" t="n"/>
      <c r="N180" s="67" t="n"/>
    </row>
    <row r="181">
      <c r="B181" s="67" t="n"/>
      <c r="C181" s="67" t="n"/>
      <c r="E181" s="67" t="n"/>
      <c r="F181" s="67" t="n"/>
      <c r="G181" s="67" t="n"/>
      <c r="H181" s="67" t="n"/>
      <c r="I181" s="67" t="n"/>
      <c r="J181" s="67" t="n"/>
      <c r="K181" s="67" t="n"/>
      <c r="L181" s="67" t="n"/>
      <c r="M181" s="67" t="n"/>
      <c r="N181" s="67" t="n"/>
    </row>
    <row r="182">
      <c r="B182" s="67" t="n"/>
      <c r="C182" s="67" t="n"/>
      <c r="E182" s="67" t="n"/>
      <c r="F182" s="67" t="n"/>
      <c r="G182" s="67" t="n"/>
      <c r="H182" s="67" t="n"/>
      <c r="I182" s="67" t="n"/>
      <c r="J182" s="67" t="n"/>
      <c r="K182" s="67" t="n"/>
      <c r="L182" s="67" t="n"/>
      <c r="M182" s="67" t="n"/>
      <c r="N182" s="67" t="n"/>
    </row>
    <row r="183">
      <c r="B183" s="67" t="n"/>
      <c r="C183" s="67" t="n"/>
      <c r="E183" s="67" t="n"/>
      <c r="F183" s="67" t="n"/>
      <c r="G183" s="67" t="n"/>
      <c r="H183" s="67" t="n"/>
      <c r="I183" s="67" t="n"/>
      <c r="J183" s="67" t="n"/>
      <c r="K183" s="67" t="n"/>
      <c r="L183" s="67" t="n"/>
      <c r="M183" s="67" t="n"/>
      <c r="N183" s="67" t="n"/>
    </row>
    <row r="184">
      <c r="B184" s="67" t="n"/>
      <c r="C184" s="67" t="n"/>
      <c r="E184" s="67" t="n"/>
      <c r="F184" s="67" t="n"/>
      <c r="G184" s="67" t="n"/>
      <c r="H184" s="67" t="n"/>
      <c r="I184" s="67" t="n"/>
      <c r="J184" s="67" t="n"/>
      <c r="K184" s="67" t="n"/>
      <c r="L184" s="67" t="n"/>
      <c r="M184" s="67" t="n"/>
      <c r="N184" s="67" t="n"/>
    </row>
    <row r="185">
      <c r="B185" s="67" t="n"/>
      <c r="C185" s="67" t="n"/>
      <c r="E185" s="67" t="n"/>
      <c r="F185" s="67" t="n"/>
      <c r="G185" s="67" t="n"/>
      <c r="H185" s="67" t="n"/>
      <c r="I185" s="67" t="n"/>
      <c r="J185" s="67" t="n"/>
      <c r="K185" s="67" t="n"/>
      <c r="L185" s="67" t="n"/>
      <c r="M185" s="67" t="n"/>
      <c r="N185" s="67" t="n"/>
    </row>
    <row r="186">
      <c r="B186" s="67" t="n"/>
      <c r="C186" s="67" t="n"/>
      <c r="E186" s="67" t="n"/>
      <c r="F186" s="67" t="n"/>
      <c r="G186" s="67" t="n"/>
      <c r="H186" s="67" t="n"/>
      <c r="I186" s="67" t="n"/>
      <c r="J186" s="67" t="n"/>
      <c r="K186" s="67" t="n"/>
      <c r="L186" s="67" t="n"/>
      <c r="M186" s="67" t="n"/>
      <c r="N186" s="67" t="n"/>
    </row>
    <row r="187">
      <c r="B187" s="67" t="n"/>
      <c r="C187" s="67" t="n"/>
      <c r="E187" s="67" t="n"/>
      <c r="F187" s="67" t="n"/>
      <c r="G187" s="67" t="n"/>
      <c r="H187" s="67" t="n"/>
      <c r="I187" s="67" t="n"/>
      <c r="J187" s="67" t="n"/>
      <c r="K187" s="67" t="n"/>
      <c r="L187" s="67" t="n"/>
      <c r="M187" s="67" t="n"/>
      <c r="N187" s="67" t="n"/>
    </row>
    <row r="188">
      <c r="B188" s="67" t="n"/>
      <c r="C188" s="67" t="n"/>
      <c r="E188" s="67" t="n"/>
      <c r="F188" s="67" t="n"/>
      <c r="G188" s="67" t="n"/>
      <c r="H188" s="67" t="n"/>
      <c r="I188" s="67" t="n"/>
      <c r="J188" s="67" t="n"/>
      <c r="K188" s="67" t="n"/>
      <c r="L188" s="67" t="n"/>
      <c r="M188" s="67" t="n"/>
      <c r="N188" s="67" t="n"/>
    </row>
    <row r="189">
      <c r="B189" s="67" t="n"/>
      <c r="C189" s="67" t="n"/>
      <c r="E189" s="67" t="n"/>
      <c r="F189" s="67" t="n"/>
      <c r="G189" s="67" t="n"/>
      <c r="H189" s="67" t="n"/>
      <c r="I189" s="67" t="n"/>
      <c r="J189" s="67" t="n"/>
      <c r="K189" s="67" t="n"/>
      <c r="L189" s="67" t="n"/>
      <c r="M189" s="67" t="n"/>
      <c r="N189" s="67" t="n"/>
    </row>
    <row r="190">
      <c r="B190" s="67" t="n"/>
      <c r="C190" s="67" t="n"/>
      <c r="E190" s="67" t="n"/>
      <c r="F190" s="67" t="n"/>
      <c r="G190" s="67" t="n"/>
      <c r="H190" s="67" t="n"/>
      <c r="I190" s="67" t="n"/>
      <c r="J190" s="67" t="n"/>
      <c r="K190" s="67" t="n"/>
      <c r="L190" s="67" t="n"/>
      <c r="M190" s="67" t="n"/>
      <c r="N190" s="67" t="n"/>
    </row>
    <row r="191">
      <c r="B191" s="67" t="n"/>
      <c r="C191" s="67" t="n"/>
      <c r="E191" s="67" t="n"/>
      <c r="F191" s="67" t="n"/>
      <c r="G191" s="67" t="n"/>
      <c r="H191" s="67" t="n"/>
      <c r="I191" s="67" t="n"/>
      <c r="J191" s="67" t="n"/>
      <c r="K191" s="67" t="n"/>
      <c r="L191" s="67" t="n"/>
      <c r="M191" s="67" t="n"/>
      <c r="N191" s="67" t="n"/>
    </row>
    <row r="192">
      <c r="B192" s="67" t="n"/>
      <c r="C192" s="67" t="n"/>
      <c r="E192" s="67" t="n"/>
      <c r="F192" s="67" t="n"/>
      <c r="G192" s="67" t="n"/>
      <c r="H192" s="67" t="n"/>
      <c r="I192" s="67" t="n"/>
      <c r="J192" s="67" t="n"/>
      <c r="K192" s="67" t="n"/>
      <c r="L192" s="67" t="n"/>
      <c r="M192" s="67" t="n"/>
      <c r="N192" s="67" t="n"/>
    </row>
    <row r="193">
      <c r="B193" s="67" t="n"/>
      <c r="C193" s="67" t="n"/>
      <c r="E193" s="67" t="n"/>
      <c r="F193" s="67" t="n"/>
      <c r="G193" s="67" t="n"/>
      <c r="H193" s="67" t="n"/>
      <c r="I193" s="67" t="n"/>
      <c r="J193" s="67" t="n"/>
      <c r="K193" s="67" t="n"/>
      <c r="L193" s="67" t="n"/>
      <c r="M193" s="67" t="n"/>
      <c r="N193" s="67" t="n"/>
    </row>
    <row r="194">
      <c r="B194" s="67" t="n"/>
      <c r="C194" s="67" t="n"/>
      <c r="E194" s="67" t="n"/>
      <c r="F194" s="67" t="n"/>
      <c r="G194" s="67" t="n"/>
      <c r="H194" s="67" t="n"/>
      <c r="I194" s="67" t="n"/>
      <c r="J194" s="67" t="n"/>
      <c r="K194" s="67" t="n"/>
      <c r="L194" s="67" t="n"/>
      <c r="M194" s="67" t="n"/>
      <c r="N194" s="67" t="n"/>
    </row>
    <row r="195">
      <c r="B195" s="67" t="n"/>
      <c r="C195" s="67" t="n"/>
      <c r="E195" s="67" t="n"/>
      <c r="F195" s="67" t="n"/>
      <c r="G195" s="67" t="n"/>
      <c r="H195" s="67" t="n"/>
      <c r="I195" s="67" t="n"/>
      <c r="J195" s="67" t="n"/>
      <c r="K195" s="67" t="n"/>
      <c r="L195" s="67" t="n"/>
      <c r="M195" s="67" t="n"/>
      <c r="N195" s="67" t="n"/>
    </row>
    <row r="196">
      <c r="B196" s="67" t="n"/>
      <c r="C196" s="67" t="n"/>
      <c r="E196" s="67" t="n"/>
      <c r="F196" s="67" t="n"/>
      <c r="G196" s="67" t="n"/>
      <c r="H196" s="67" t="n"/>
      <c r="I196" s="67" t="n"/>
      <c r="J196" s="67" t="n"/>
      <c r="K196" s="67" t="n"/>
      <c r="L196" s="67" t="n"/>
      <c r="M196" s="67" t="n"/>
      <c r="N196" s="67" t="n"/>
    </row>
    <row r="197">
      <c r="B197" s="67" t="n"/>
      <c r="C197" s="67" t="n"/>
      <c r="E197" s="67" t="n"/>
      <c r="F197" s="67" t="n"/>
      <c r="G197" s="67" t="n"/>
      <c r="H197" s="67" t="n"/>
      <c r="I197" s="67" t="n"/>
      <c r="J197" s="67" t="n"/>
      <c r="K197" s="67" t="n"/>
      <c r="L197" s="67" t="n"/>
      <c r="M197" s="67" t="n"/>
      <c r="N197" s="67" t="n"/>
    </row>
    <row r="198">
      <c r="B198" s="67" t="n"/>
      <c r="C198" s="67" t="n"/>
      <c r="E198" s="67" t="n"/>
      <c r="F198" s="67" t="n"/>
      <c r="G198" s="67" t="n"/>
      <c r="H198" s="67" t="n"/>
      <c r="I198" s="67" t="n"/>
      <c r="J198" s="67" t="n"/>
      <c r="K198" s="67" t="n"/>
      <c r="L198" s="67" t="n"/>
      <c r="M198" s="67" t="n"/>
      <c r="N198" s="67" t="n"/>
    </row>
    <row r="199">
      <c r="B199" s="67" t="n"/>
      <c r="C199" s="67" t="n"/>
      <c r="E199" s="67" t="n"/>
      <c r="F199" s="67" t="n"/>
      <c r="G199" s="67" t="n"/>
      <c r="H199" s="67" t="n"/>
      <c r="I199" s="67" t="n"/>
      <c r="J199" s="67" t="n"/>
      <c r="K199" s="67" t="n"/>
      <c r="L199" s="67" t="n"/>
      <c r="M199" s="67" t="n"/>
      <c r="N199" s="67" t="n"/>
    </row>
    <row r="200">
      <c r="B200" s="67" t="n"/>
      <c r="C200" s="67" t="n"/>
      <c r="E200" s="67" t="n"/>
      <c r="F200" s="67" t="n"/>
      <c r="G200" s="67" t="n"/>
      <c r="H200" s="67" t="n"/>
      <c r="I200" s="67" t="n"/>
      <c r="J200" s="67" t="n"/>
      <c r="K200" s="67" t="n"/>
      <c r="L200" s="67" t="n"/>
      <c r="M200" s="67" t="n"/>
      <c r="N200" s="67" t="n"/>
    </row>
    <row r="201">
      <c r="B201" s="67" t="n"/>
      <c r="C201" s="67" t="n"/>
      <c r="E201" s="67" t="n"/>
      <c r="F201" s="67" t="n"/>
      <c r="G201" s="67" t="n"/>
      <c r="H201" s="67" t="n"/>
      <c r="I201" s="67" t="n"/>
      <c r="J201" s="67" t="n"/>
      <c r="K201" s="67" t="n"/>
      <c r="L201" s="67" t="n"/>
      <c r="M201" s="67" t="n"/>
      <c r="N201" s="67" t="n"/>
    </row>
    <row r="202">
      <c r="B202" s="67" t="n"/>
      <c r="C202" s="67" t="n"/>
      <c r="E202" s="67" t="n"/>
      <c r="F202" s="67" t="n"/>
      <c r="G202" s="67" t="n"/>
      <c r="H202" s="67" t="n"/>
      <c r="I202" s="67" t="n"/>
      <c r="J202" s="67" t="n"/>
      <c r="K202" s="67" t="n"/>
      <c r="L202" s="67" t="n"/>
      <c r="M202" s="67" t="n"/>
      <c r="N202" s="67" t="n"/>
    </row>
    <row r="203">
      <c r="B203" s="67" t="n"/>
      <c r="C203" s="67" t="n"/>
      <c r="E203" s="67" t="n"/>
      <c r="F203" s="67" t="n"/>
      <c r="G203" s="67" t="n"/>
      <c r="H203" s="67" t="n"/>
      <c r="I203" s="67" t="n"/>
      <c r="J203" s="67" t="n"/>
      <c r="K203" s="67" t="n"/>
      <c r="L203" s="67" t="n"/>
      <c r="M203" s="67" t="n"/>
      <c r="N203" s="67" t="n"/>
    </row>
    <row r="204">
      <c r="B204" s="67" t="n"/>
      <c r="C204" s="67" t="n"/>
      <c r="E204" s="67" t="n"/>
      <c r="F204" s="67" t="n"/>
      <c r="G204" s="67" t="n"/>
      <c r="H204" s="67" t="n"/>
      <c r="I204" s="67" t="n"/>
      <c r="J204" s="67" t="n"/>
      <c r="K204" s="67" t="n"/>
      <c r="L204" s="67" t="n"/>
      <c r="M204" s="67" t="n"/>
      <c r="N204" s="67" t="n"/>
    </row>
    <row r="205">
      <c r="B205" s="67" t="n"/>
      <c r="C205" s="67" t="n"/>
      <c r="E205" s="67" t="n"/>
      <c r="F205" s="67" t="n"/>
      <c r="G205" s="67" t="n"/>
      <c r="H205" s="67" t="n"/>
      <c r="I205" s="67" t="n"/>
      <c r="J205" s="67" t="n"/>
      <c r="K205" s="67" t="n"/>
      <c r="L205" s="67" t="n"/>
      <c r="M205" s="67" t="n"/>
      <c r="N205" s="67" t="n"/>
    </row>
    <row r="206">
      <c r="B206" s="67" t="n"/>
      <c r="C206" s="67" t="n"/>
      <c r="E206" s="67" t="n"/>
      <c r="F206" s="67" t="n"/>
      <c r="G206" s="67" t="n"/>
      <c r="H206" s="67" t="n"/>
      <c r="I206" s="67" t="n"/>
      <c r="J206" s="67" t="n"/>
      <c r="K206" s="67" t="n"/>
      <c r="L206" s="67" t="n"/>
      <c r="M206" s="67" t="n"/>
      <c r="N206" s="67" t="n"/>
    </row>
    <row r="207">
      <c r="B207" s="67" t="n"/>
      <c r="C207" s="67" t="n"/>
      <c r="E207" s="67" t="n"/>
      <c r="F207" s="67" t="n"/>
      <c r="G207" s="67" t="n"/>
      <c r="H207" s="67" t="n"/>
      <c r="I207" s="67" t="n"/>
      <c r="J207" s="67" t="n"/>
      <c r="K207" s="67" t="n"/>
      <c r="L207" s="67" t="n"/>
      <c r="M207" s="67" t="n"/>
      <c r="N207" s="67" t="n"/>
    </row>
    <row r="208">
      <c r="B208" s="67" t="n"/>
      <c r="C208" s="67" t="n"/>
      <c r="E208" s="67" t="n"/>
      <c r="F208" s="67" t="n"/>
      <c r="G208" s="67" t="n"/>
      <c r="H208" s="67" t="n"/>
      <c r="I208" s="67" t="n"/>
      <c r="J208" s="67" t="n"/>
      <c r="K208" s="67" t="n"/>
      <c r="L208" s="67" t="n"/>
      <c r="M208" s="67" t="n"/>
      <c r="N208" s="67" t="n"/>
    </row>
    <row r="209">
      <c r="B209" s="67" t="n"/>
      <c r="C209" s="67" t="n"/>
      <c r="E209" s="67" t="n"/>
      <c r="F209" s="67" t="n"/>
      <c r="G209" s="67" t="n"/>
      <c r="H209" s="67" t="n"/>
      <c r="I209" s="67" t="n"/>
      <c r="J209" s="67" t="n"/>
      <c r="K209" s="67" t="n"/>
      <c r="L209" s="67" t="n"/>
      <c r="M209" s="67" t="n"/>
      <c r="N209" s="67" t="n"/>
    </row>
    <row r="210">
      <c r="B210" s="67" t="n"/>
      <c r="C210" s="67" t="n"/>
      <c r="E210" s="67" t="n"/>
      <c r="F210" s="67" t="n"/>
      <c r="G210" s="67" t="n"/>
      <c r="H210" s="67" t="n"/>
      <c r="I210" s="67" t="n"/>
      <c r="J210" s="67" t="n"/>
      <c r="K210" s="67" t="n"/>
      <c r="L210" s="67" t="n"/>
      <c r="M210" s="67" t="n"/>
      <c r="N210" s="67" t="n"/>
    </row>
    <row r="211">
      <c r="B211" s="67" t="n"/>
      <c r="C211" s="67" t="n"/>
      <c r="E211" s="67" t="n"/>
      <c r="F211" s="67" t="n"/>
      <c r="G211" s="67" t="n"/>
      <c r="H211" s="67" t="n"/>
      <c r="I211" s="67" t="n"/>
      <c r="J211" s="67" t="n"/>
      <c r="K211" s="67" t="n"/>
      <c r="L211" s="67" t="n"/>
      <c r="M211" s="67" t="n"/>
      <c r="N211" s="67" t="n"/>
    </row>
    <row r="212">
      <c r="B212" s="67" t="n"/>
      <c r="C212" s="67" t="n"/>
      <c r="E212" s="67" t="n"/>
      <c r="F212" s="67" t="n"/>
      <c r="G212" s="67" t="n"/>
      <c r="H212" s="67" t="n"/>
      <c r="I212" s="67" t="n"/>
      <c r="J212" s="67" t="n"/>
      <c r="K212" s="67" t="n"/>
      <c r="L212" s="67" t="n"/>
      <c r="M212" s="67" t="n"/>
      <c r="N212" s="67" t="n"/>
    </row>
    <row r="213">
      <c r="B213" s="67" t="n"/>
      <c r="C213" s="67" t="n"/>
      <c r="E213" s="67" t="n"/>
      <c r="F213" s="67" t="n"/>
      <c r="G213" s="67" t="n"/>
      <c r="H213" s="67" t="n"/>
      <c r="I213" s="67" t="n"/>
      <c r="J213" s="67" t="n"/>
      <c r="K213" s="67" t="n"/>
      <c r="L213" s="67" t="n"/>
      <c r="M213" s="67" t="n"/>
      <c r="N213" s="67" t="n"/>
    </row>
    <row r="214">
      <c r="B214" s="67" t="n"/>
      <c r="C214" s="67" t="n"/>
      <c r="E214" s="67" t="n"/>
      <c r="F214" s="67" t="n"/>
      <c r="G214" s="67" t="n"/>
      <c r="H214" s="67" t="n"/>
      <c r="I214" s="67" t="n"/>
      <c r="J214" s="67" t="n"/>
      <c r="K214" s="67" t="n"/>
      <c r="L214" s="67" t="n"/>
      <c r="M214" s="67" t="n"/>
      <c r="N214" s="67" t="n"/>
    </row>
    <row r="215">
      <c r="B215" s="67" t="n"/>
      <c r="C215" s="67" t="n"/>
      <c r="E215" s="67" t="n"/>
      <c r="F215" s="67" t="n"/>
      <c r="G215" s="67" t="n"/>
      <c r="H215" s="67" t="n"/>
      <c r="I215" s="67" t="n"/>
      <c r="J215" s="67" t="n"/>
      <c r="K215" s="67" t="n"/>
      <c r="L215" s="67" t="n"/>
      <c r="M215" s="67" t="n"/>
      <c r="N215" s="67" t="n"/>
    </row>
    <row r="216">
      <c r="B216" s="67" t="n"/>
      <c r="C216" s="67" t="n"/>
      <c r="E216" s="67" t="n"/>
      <c r="F216" s="67" t="n"/>
      <c r="G216" s="67" t="n"/>
      <c r="H216" s="67" t="n"/>
      <c r="I216" s="67" t="n"/>
      <c r="J216" s="67" t="n"/>
      <c r="K216" s="67" t="n"/>
      <c r="L216" s="67" t="n"/>
      <c r="M216" s="67" t="n"/>
      <c r="N216" s="67" t="n"/>
    </row>
    <row r="217">
      <c r="B217" s="67" t="n"/>
      <c r="C217" s="67" t="n"/>
      <c r="E217" s="67" t="n"/>
      <c r="F217" s="67" t="n"/>
      <c r="G217" s="67" t="n"/>
      <c r="H217" s="67" t="n"/>
      <c r="I217" s="67" t="n"/>
      <c r="J217" s="67" t="n"/>
      <c r="K217" s="67" t="n"/>
      <c r="L217" s="67" t="n"/>
      <c r="M217" s="67" t="n"/>
      <c r="N217" s="67" t="n"/>
    </row>
    <row r="218">
      <c r="B218" s="67" t="n"/>
      <c r="C218" s="67" t="n"/>
      <c r="E218" s="67" t="n"/>
      <c r="F218" s="67" t="n"/>
      <c r="G218" s="67" t="n"/>
      <c r="H218" s="67" t="n"/>
      <c r="I218" s="67" t="n"/>
      <c r="J218" s="67" t="n"/>
      <c r="K218" s="67" t="n"/>
      <c r="L218" s="67" t="n"/>
      <c r="M218" s="67" t="n"/>
      <c r="N218" s="67" t="n"/>
    </row>
    <row r="219">
      <c r="B219" s="67" t="n"/>
      <c r="C219" s="67" t="n"/>
      <c r="E219" s="67" t="n"/>
      <c r="F219" s="67" t="n"/>
      <c r="G219" s="67" t="n"/>
      <c r="H219" s="67" t="n"/>
      <c r="I219" s="67" t="n"/>
      <c r="J219" s="67" t="n"/>
      <c r="K219" s="67" t="n"/>
      <c r="L219" s="67" t="n"/>
      <c r="M219" s="67" t="n"/>
      <c r="N219" s="67" t="n"/>
    </row>
    <row r="220">
      <c r="B220" s="67" t="n"/>
      <c r="C220" s="67" t="n"/>
      <c r="E220" s="67" t="n"/>
      <c r="F220" s="67" t="n"/>
      <c r="G220" s="67" t="n"/>
      <c r="H220" s="67" t="n"/>
      <c r="I220" s="67" t="n"/>
      <c r="J220" s="67" t="n"/>
      <c r="K220" s="67" t="n"/>
      <c r="L220" s="67" t="n"/>
      <c r="M220" s="67" t="n"/>
      <c r="N220" s="67" t="n"/>
    </row>
  </sheetData>
  <mergeCells count="9">
    <mergeCell ref="B8:C8"/>
    <mergeCell ref="D8:E8"/>
    <mergeCell ref="B5:N5"/>
    <mergeCell ref="G8:N8"/>
    <mergeCell ref="B4:N4"/>
    <mergeCell ref="B10:C10"/>
    <mergeCell ref="B7:N7"/>
    <mergeCell ref="B6:N6"/>
    <mergeCell ref="B3:N3"/>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AND(LEN($B20&amp;$C20&amp;$D20&amp;$E20&amp;$F20&amp;$G20&amp;$H20&amp;$I20&amp;$J20&amp;$K20&amp;$L20&amp;$M20&amp;$N20)&gt;0,B20="")</formula>
    </cfRule>
  </conditionalFormatting>
  <conditionalFormatting sqref="C20:C220">
    <cfRule type="expression" priority="3" dxfId="6">
      <formula>AND(LEN($B20&amp;$C20&amp;$D20&amp;$E20&amp;$F20&amp;$G20&amp;$H20&amp;$I20&amp;$J20&amp;$K20&amp;$L20&amp;$M20&amp;$N20)&gt;0,C20="")</formula>
    </cfRule>
  </conditionalFormatting>
  <conditionalFormatting sqref="D20:D220">
    <cfRule type="expression" priority="4" dxfId="6">
      <formula>AND(LEN($B20&amp;$C20&amp;$D20&amp;$E20&amp;$F20&amp;$G20&amp;$H20&amp;$I20&amp;$J20&amp;$K20&amp;$L20&amp;$M20&amp;$N20)&gt;0,D20="")</formula>
    </cfRule>
  </conditionalFormatting>
  <conditionalFormatting sqref="N20:N220">
    <cfRule type="expression" priority="5" dxfId="6">
      <formula>AND(LEN($B20&amp;$C20&amp;$D20&amp;$E20&amp;$F20&amp;$G20&amp;$H20&amp;$I20&amp;$J20&amp;$K20&amp;$L20&amp;$M20&amp;$N20)&gt;0,N20="")</formula>
    </cfRule>
  </conditionalFormatting>
  <dataValidations count="15">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N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client_no" error="At most 30 characters." promptTitle="legacy_client_no" prompt="Yes. Client number in the source system Allowed: legacy_client_no of C01" type="textLength" operator="lessThanOrEqual">
      <formula1>30</formula1>
    </dataValidation>
    <dataValidation sqref="C20:C220" showDropDown="0" showInputMessage="1" showErrorMessage="1" allowBlank="1" errorTitle="record_type" error="Choose a value of the list C02 record_type (sheet Reference lists)." promptTitle="record_type" prompt="Yes. Address or contact person Allowed: ADDRESS, CONTACT (list C02 record_type)" type="list" errorStyle="stop">
      <formula1>=LIST_C02_RECORD_TYPE</formula1>
    </dataValidation>
    <dataValidation sqref="D20:D220" showDropDown="0" showInputMessage="1" showErrorMessage="1" allowBlank="1" errorTitle="seq_no" error="Enter a whole number." promptTitle="seq_no" prompt="Yes. Sequence within the client and record type Allowed: A whole number" type="whole" operator="greaterThanOrEqual">
      <formula1>-1E+15</formula1>
    </dataValidation>
    <dataValidation sqref="E20:E220" showDropDown="0" showInputMessage="1" showErrorMessage="1" allowBlank="1" errorTitle="address_type" error="Choose a value of the list C02 address_type (sheet Reference lists)." promptTitle="address_type" prompt="Conditional: Mandatory for ADDRESS. Kind of address Allowed: HOME, BUSINESS, MAILING, BILLING (list C02 address_type)" type="list" errorStyle="stop">
      <formula1>=LIST_C02_ADDRESS_TYPE</formula1>
    </dataValidation>
    <dataValidation sqref="F20:F220" showDropDown="0" showInputMessage="1" showErrorMessage="1" allowBlank="1" errorTitle="address_line" error="At most 300 characters." promptTitle="address_line" prompt="Conditional: Mandatory for ADDRESS. Street address Allowed: Free entry, up to 300 characters" type="textLength" operator="lessThanOrEqual">
      <formula1>300</formula1>
    </dataValidation>
    <dataValidation sqref="G20:G220" showDropDown="0" showInputMessage="1" showErrorMessage="1" allowBlank="1" errorTitle="city" error="At most 80 characters." promptTitle="city" prompt="No. City / municipality Allowed: Free entry, up to 80 characters" type="textLength" operator="lessThanOrEqual">
      <formula1>80</formula1>
    </dataValidation>
    <dataValidation sqref="H20:H220" showDropDown="0" showInputMessage="1" showErrorMessage="1" allowBlank="1" errorTitle="province" error="At most 80 characters." promptTitle="province" prompt="No. Province Allowed: Free entry, up to 80 characters" type="textLength" operator="lessThanOrEqual">
      <formula1>80</formula1>
    </dataValidation>
    <dataValidation sqref="I20:I220" showDropDown="0" showInputMessage="1" showErrorMessage="1" allowBlank="1" errorTitle="postal_code" error="At most 10 characters." promptTitle="postal_code" prompt="No. Postal code Allowed: Free entry, up to 10 characters" type="textLength" operator="lessThanOrEqual">
      <formula1>10</formula1>
    </dataValidation>
    <dataValidation sqref="J20:J220" showDropDown="0" showInputMessage="1" showErrorMessage="1" allowBlank="1" errorTitle="contact_name" error="At most 200 characters." promptTitle="contact_name" prompt="Conditional: Mandatory for CONTACT. Contact person (corporate clients) Allowed: Free entry, up to 200 characters" type="textLength" operator="lessThanOrEqual">
      <formula1>200</formula1>
    </dataValidation>
    <dataValidation sqref="K20:K220" showDropDown="0" showInputMessage="1" showErrorMessage="1" allowBlank="1" errorTitle="contact_role" error="At most 60 characters." promptTitle="contact_role" prompt="No. Role of the contact Allowed: Free entry, up to 60 characters" type="textLength" operator="lessThanOrEqual">
      <formula1>60</formula1>
    </dataValidation>
    <dataValidation sqref="L20:L220" showDropDown="0" showInputMessage="1" showErrorMessage="1" allowBlank="1" errorTitle="email" error="At most 120 characters." promptTitle="email" prompt="No. E-mail Allowed: Free entry, up to 120 characters" type="textLength" operator="lessThanOrEqual">
      <formula1>120</formula1>
    </dataValidation>
    <dataValidation sqref="M20:M220" showDropDown="0" showInputMessage="1" showErrorMessage="1" allowBlank="1" errorTitle="mobile" error="At most 30 characters." promptTitle="mobile" prompt="No. Mobile number Allowed: Free entry, up to 30 characters" type="textLength" operator="lessThanOrEqual">
      <formula1>30</formula1>
    </dataValidation>
    <dataValidation sqref="N20:N220" showDropDown="0" showInputMessage="1" showErrorMessage="1" allowBlank="1" errorTitle="primary_flag" error="Choose a value of the list Yes or no (sheet Reference lists)." promptTitle="primary_flag" prompt="Yes. Primary address or contact Allowed: Y or N" type="list" errorStyle="stop">
      <formula1>=LIST_YES_NO</formula1>
    </dataValidation>
  </dataValidations>
  <hyperlinks>
    <hyperlink ref="A2" location="'Load templates'!A1"/>
    <hyperlink ref="N2" location="'Comments log'!A1"/>
    <hyperlink ref="B8" location="'C01 Client master'!A1"/>
    <hyperlink ref="D8" location="'R01 Lists of values and MIS val'!A1"/>
    <hyperlink ref="F8" location="'R02 Branches and invoicing bran'!A1"/>
    <hyperlink ref="G8" location="'R03 Sales organisation (units a'!A1"/>
    <hyperlink ref="C17" location="'Reference lists'!A45"/>
    <hyperlink ref="E17" location="'Reference lists'!A47"/>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3.xml><?xml version="1.0" encoding="utf-8"?>
<worksheet xmlns="http://schemas.openxmlformats.org/spreadsheetml/2006/main">
  <sheetPr>
    <tabColor rgb="00004EA8"/>
    <outlinePr summaryBelow="0" summaryRight="1"/>
    <pageSetUpPr fitToPage="1"/>
  </sheetPr>
  <dimension ref="A1:G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2" customWidth="1" min="3" max="3"/>
    <col width="15" customWidth="1" min="4" max="4"/>
    <col width="15.90909090909091" customWidth="1" min="5" max="5"/>
    <col width="15" customWidth="1" min="6" max="6"/>
    <col width="16" customWidth="1" min="7" max="7"/>
  </cols>
  <sheetData>
    <row r="1" ht="26" customHeight="1">
      <c r="A1" s="44" t="inlineStr">
        <is>
          <t>C03 Client payout accounts</t>
        </is>
      </c>
      <c r="G1" s="45" t="inlineStr">
        <is>
          <t>Step 14 of 29</t>
        </is>
      </c>
    </row>
    <row r="2">
      <c r="A2" s="46" t="inlineStr">
        <is>
          <t>← Back to Load templates</t>
        </is>
      </c>
      <c r="B2" s="47" t="inlineStr">
        <is>
          <t>Step 14 of 29. Fill in one row per record below the column headers; the guide above each column says what to enter.</t>
        </is>
      </c>
      <c r="G2" s="48" t="inlineStr">
        <is>
          <t>Ask a question →</t>
        </is>
      </c>
    </row>
    <row r="3" outlineLevel="1" ht="28" customHeight="1">
      <c r="A3" s="49" t="inlineStr">
        <is>
          <t>Purpose</t>
        </is>
      </c>
      <c r="B3" s="50" t="inlineStr">
        <is>
          <t>One row per record of Client payout accounts (for refunds) as extracted from EBIX. Key legacy_client_no, account_no. Sent as the file C03_template.csv (CSV, header row as below) with its control file (row count, row count).</t>
        </is>
      </c>
    </row>
    <row r="4" outlineLevel="1" ht="28" customHeight="1">
      <c r="A4" s="49" t="inlineStr">
        <is>
          <t>Provided by</t>
        </is>
      </c>
      <c r="B4" s="50" t="inlineStr">
        <is>
          <t>Disbursement data steward (to name); approved by Product Owner, Comptrollership - Disbursement; extracted by BDOI IT</t>
        </is>
      </c>
    </row>
    <row r="5" outlineLevel="1" ht="15.5" customHeight="1">
      <c r="A5" s="49" t="inlineStr">
        <is>
          <t>Due</t>
        </is>
      </c>
      <c r="B5" s="51" t="inlineStr">
        <is>
          <t>M3 (29 Jan 2027)</t>
        </is>
      </c>
    </row>
    <row r="6" outlineLevel="1" ht="28" customHeight="1">
      <c r="A6" s="49" t="inlineStr">
        <is>
          <t>How it is loaded</t>
        </is>
      </c>
      <c r="B6" s="50" t="inlineStr">
        <is>
          <t>Data migration object C03 (Migrate), layout C03 version 1, through the Migration Console; lands in: Client payout accounts</t>
        </is>
      </c>
    </row>
    <row r="7" outlineLevel="1" ht="15.5" customHeight="1">
      <c r="A7" s="49" t="inlineStr">
        <is>
          <t>Source</t>
        </is>
      </c>
      <c r="B7" s="50" t="inlineStr">
        <is>
          <t>EBIX</t>
        </is>
      </c>
    </row>
    <row r="8" outlineLevel="1" ht="26" customHeight="1">
      <c r="A8" s="49" t="inlineStr">
        <is>
          <t>Depends on</t>
        </is>
      </c>
      <c r="B8" s="68" t="inlineStr">
        <is>
          <t>C01 Client master →</t>
        </is>
      </c>
      <c r="D8" s="68" t="inlineStr">
        <is>
          <t>C02 Client addresses and contacts →</t>
        </is>
      </c>
    </row>
    <row r="9" ht="26" customHeight="1">
      <c r="A9" s="53" t="inlineStr">
        <is>
          <t>Progress</t>
        </is>
      </c>
      <c r="B9" s="54" t="inlineStr">
        <is>
          <t>Rows entered</t>
        </is>
      </c>
      <c r="C9" s="55">
        <f>SUMPRODUCT(((ROW($B$20:$B$220)&gt;20)+($B$20&lt;&gt;"E-0098765")&gt;0)*(LEN($B$20:$B$220&amp;$C$20:$C$220&amp;$D$20:$D$220&amp;$E$20:$E$220&amp;$F$20:$F$220&amp;$G$20:$G$220)&gt;0))</f>
        <v/>
      </c>
      <c r="D9" s="54" t="inlineStr">
        <is>
          <t>Mandatory cells missing</t>
        </is>
      </c>
      <c r="E9" s="55">
        <f>SUMPRODUCT(((ROW($B$20:$B$220)&gt;20)+($B$20&lt;&gt;"E-0098765")&gt;0)*(LEN($B$20:$B$220&amp;$C$20:$C$220&amp;$D$20:$D$220&amp;$E$20:$E$220&amp;$F$20:$F$220&amp;$G$20:$G$220)&gt;0)*(($B$20:$B$220="")+($C$20:$C$220="")+($D$20:$D$220="")+($G$20:$G$220="")))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row>
    <row r="12" ht="30" customHeight="1">
      <c r="A12" s="59" t="inlineStr">
        <is>
          <t>BU review</t>
        </is>
      </c>
      <c r="B12" s="60" t="n"/>
      <c r="C12" s="60" t="n"/>
      <c r="D12" s="60" t="n"/>
      <c r="E12" s="60" t="n"/>
      <c r="F12" s="60" t="n"/>
      <c r="G12" s="60" t="n"/>
    </row>
    <row r="13" ht="30" customHeight="1">
      <c r="A13" s="59" t="inlineStr">
        <is>
          <t>BU comment</t>
        </is>
      </c>
      <c r="B13" s="60" t="n"/>
      <c r="C13" s="60" t="n"/>
      <c r="D13" s="60" t="n"/>
      <c r="E13" s="60" t="n"/>
      <c r="F13" s="60" t="n"/>
      <c r="G13" s="60" t="n"/>
    </row>
    <row r="14" ht="30" customHeight="1">
      <c r="A14" s="59" t="inlineStr">
        <is>
          <t>Check when loaded</t>
        </is>
      </c>
      <c r="B14" s="61" t="inlineStr">
        <is>
          <t>Client loaded</t>
        </is>
      </c>
      <c r="C14" s="61" t="inlineStr">
        <is>
          <t>In the list</t>
        </is>
      </c>
      <c r="D14" s="61" t="inlineStr">
        <is>
          <t>Not blank</t>
        </is>
      </c>
      <c r="E14" s="61" t="inlineStr">
        <is>
          <t>Mandatory for CTA; mapped</t>
        </is>
      </c>
      <c r="F14" s="61" t="inlineStr">
        <is>
          <t>Mandatory for CTA</t>
        </is>
      </c>
      <c r="G14" s="61" t="inlineStr">
        <is>
          <t>Y or N</t>
        </is>
      </c>
    </row>
    <row r="15" ht="43" customHeight="1">
      <c r="A15" s="59" t="inlineStr">
        <is>
          <t>Mandatory</t>
        </is>
      </c>
      <c r="B15" s="62" t="inlineStr">
        <is>
          <t>Yes</t>
        </is>
      </c>
      <c r="C15" s="62" t="inlineStr">
        <is>
          <t>Yes</t>
        </is>
      </c>
      <c r="D15" s="62" t="inlineStr">
        <is>
          <t>Yes</t>
        </is>
      </c>
      <c r="E15" s="61" t="inlineStr">
        <is>
          <t>Conditional: Mandatory for CTA; mapped</t>
        </is>
      </c>
      <c r="F15" s="61" t="inlineStr">
        <is>
          <t>Conditional: Mandatory for CTA</t>
        </is>
      </c>
      <c r="G15" s="62" t="inlineStr">
        <is>
          <t>Yes</t>
        </is>
      </c>
    </row>
    <row r="16" ht="30" customHeight="1">
      <c r="A16" s="59" t="inlineStr">
        <is>
          <t>Format</t>
        </is>
      </c>
      <c r="B16" s="61" t="inlineStr">
        <is>
          <t>Code, up to 30; As stored in legacy</t>
        </is>
      </c>
      <c r="C16" s="61" t="inlineStr">
        <is>
          <t>Code, up to 10; Upper case</t>
        </is>
      </c>
      <c r="D16" s="61" t="inlineStr">
        <is>
          <t>Text, up to 250; Free text</t>
        </is>
      </c>
      <c r="E16" s="61" t="inlineStr">
        <is>
          <t>Code, up to 30; As stored in legacy</t>
        </is>
      </c>
      <c r="F16" s="61" t="inlineStr">
        <is>
          <t>Text, up to 40; Digits</t>
        </is>
      </c>
      <c r="G16" s="61" t="inlineStr">
        <is>
          <t>Flag, up to 1; Y or N</t>
        </is>
      </c>
    </row>
    <row r="17" ht="56" customHeight="1">
      <c r="A17" s="59" t="inlineStr">
        <is>
          <t>Allowed values</t>
        </is>
      </c>
      <c r="B17" s="61" t="inlineStr">
        <is>
          <t>legacy_client_no of C01</t>
        </is>
      </c>
      <c r="C17" s="69" t="inlineStr">
        <is>
          <t>CTA, CHECK (list C03 mode)</t>
        </is>
      </c>
      <c r="D17" s="61" t="inlineStr">
        <is>
          <t>Free entry, up to 250 characters</t>
        </is>
      </c>
      <c r="E17" s="69" t="inlineStr">
        <is>
          <t>The legacy code; mapped by the code map BANK (sheet Code maps)</t>
        </is>
      </c>
      <c r="F17" s="61" t="inlineStr">
        <is>
          <t>Free entry, up to 40 characters</t>
        </is>
      </c>
      <c r="G17" s="61" t="inlineStr">
        <is>
          <t>Y or N</t>
        </is>
      </c>
    </row>
    <row r="18" ht="30" customHeight="1">
      <c r="A18" s="59" t="inlineStr">
        <is>
          <t>What to enter</t>
        </is>
      </c>
      <c r="B18" s="61" t="inlineStr">
        <is>
          <t>Client number in the source system</t>
        </is>
      </c>
      <c r="C18" s="61" t="inlineStr">
        <is>
          <t>Payout mode</t>
        </is>
      </c>
      <c r="D18" s="61" t="inlineStr">
        <is>
          <t>Name on the account or check</t>
        </is>
      </c>
      <c r="E18" s="61" t="inlineStr">
        <is>
          <t>Bank of the account</t>
        </is>
      </c>
      <c r="F18" s="61" t="inlineStr">
        <is>
          <t>Account number</t>
        </is>
      </c>
      <c r="G18" s="61" t="inlineStr">
        <is>
          <t>Account in use</t>
        </is>
      </c>
    </row>
    <row r="19" ht="30" customHeight="1">
      <c r="A19" s="63" t="inlineStr">
        <is>
          <t>Row</t>
        </is>
      </c>
      <c r="B19" s="24" t="inlineStr">
        <is>
          <t>legacy_client_no *</t>
        </is>
      </c>
      <c r="C19" s="24" t="inlineStr">
        <is>
          <t>mode *</t>
        </is>
      </c>
      <c r="D19" s="24" t="inlineStr">
        <is>
          <t>payee_name *</t>
        </is>
      </c>
      <c r="E19" s="24" t="inlineStr">
        <is>
          <t>bank_code</t>
        </is>
      </c>
      <c r="F19" s="24" t="inlineStr">
        <is>
          <t>account_no</t>
        </is>
      </c>
      <c r="G19" s="24" t="inlineStr">
        <is>
          <t>active_flag *</t>
        </is>
      </c>
    </row>
    <row r="20" ht="18" customHeight="1">
      <c r="A20" s="64" t="inlineStr">
        <is>
          <t>Example – overwrite or delete</t>
        </is>
      </c>
      <c r="B20" s="65" t="inlineStr">
        <is>
          <t>E-0098765</t>
        </is>
      </c>
      <c r="C20" s="65" t="inlineStr">
        <is>
          <t>CTA</t>
        </is>
      </c>
      <c r="D20" s="65" t="inlineStr">
        <is>
          <t>Ana C. Reyes</t>
        </is>
      </c>
      <c r="E20" s="65" t="inlineStr">
        <is>
          <t>BDO</t>
        </is>
      </c>
      <c r="F20" s="65" t="inlineStr">
        <is>
          <t>001234567890</t>
        </is>
      </c>
      <c r="G20" s="65" t="inlineStr">
        <is>
          <t>Y</t>
        </is>
      </c>
    </row>
    <row r="21">
      <c r="B21" s="67" t="n"/>
      <c r="C21" s="67" t="n"/>
      <c r="D21" s="67" t="n"/>
      <c r="E21" s="67" t="n"/>
      <c r="F21" s="67" t="n"/>
      <c r="G21" s="67" t="n"/>
    </row>
    <row r="22">
      <c r="B22" s="67" t="n"/>
      <c r="C22" s="67" t="n"/>
      <c r="D22" s="67" t="n"/>
      <c r="E22" s="67" t="n"/>
      <c r="F22" s="67" t="n"/>
      <c r="G22" s="67" t="n"/>
    </row>
    <row r="23">
      <c r="B23" s="67" t="n"/>
      <c r="C23" s="67" t="n"/>
      <c r="D23" s="67" t="n"/>
      <c r="E23" s="67" t="n"/>
      <c r="F23" s="67" t="n"/>
      <c r="G23" s="67" t="n"/>
    </row>
    <row r="24">
      <c r="B24" s="67" t="n"/>
      <c r="C24" s="67" t="n"/>
      <c r="D24" s="67" t="n"/>
      <c r="E24" s="67" t="n"/>
      <c r="F24" s="67" t="n"/>
      <c r="G24" s="67" t="n"/>
    </row>
    <row r="25">
      <c r="B25" s="67" t="n"/>
      <c r="C25" s="67" t="n"/>
      <c r="D25" s="67" t="n"/>
      <c r="E25" s="67" t="n"/>
      <c r="F25" s="67" t="n"/>
      <c r="G25" s="67" t="n"/>
    </row>
    <row r="26">
      <c r="B26" s="67" t="n"/>
      <c r="C26" s="67" t="n"/>
      <c r="D26" s="67" t="n"/>
      <c r="E26" s="67" t="n"/>
      <c r="F26" s="67" t="n"/>
      <c r="G26" s="67" t="n"/>
    </row>
    <row r="27">
      <c r="B27" s="67" t="n"/>
      <c r="C27" s="67" t="n"/>
      <c r="D27" s="67" t="n"/>
      <c r="E27" s="67" t="n"/>
      <c r="F27" s="67" t="n"/>
      <c r="G27" s="67" t="n"/>
    </row>
    <row r="28">
      <c r="B28" s="67" t="n"/>
      <c r="C28" s="67" t="n"/>
      <c r="D28" s="67" t="n"/>
      <c r="E28" s="67" t="n"/>
      <c r="F28" s="67" t="n"/>
      <c r="G28" s="67" t="n"/>
    </row>
    <row r="29">
      <c r="B29" s="67" t="n"/>
      <c r="C29" s="67" t="n"/>
      <c r="D29" s="67" t="n"/>
      <c r="E29" s="67" t="n"/>
      <c r="F29" s="67" t="n"/>
      <c r="G29" s="67" t="n"/>
    </row>
    <row r="30">
      <c r="B30" s="67" t="n"/>
      <c r="C30" s="67" t="n"/>
      <c r="D30" s="67" t="n"/>
      <c r="E30" s="67" t="n"/>
      <c r="F30" s="67" t="n"/>
      <c r="G30" s="67" t="n"/>
    </row>
    <row r="31">
      <c r="B31" s="67" t="n"/>
      <c r="C31" s="67" t="n"/>
      <c r="D31" s="67" t="n"/>
      <c r="E31" s="67" t="n"/>
      <c r="F31" s="67" t="n"/>
      <c r="G31" s="67" t="n"/>
    </row>
    <row r="32">
      <c r="B32" s="67" t="n"/>
      <c r="C32" s="67" t="n"/>
      <c r="D32" s="67" t="n"/>
      <c r="E32" s="67" t="n"/>
      <c r="F32" s="67" t="n"/>
      <c r="G32" s="67" t="n"/>
    </row>
    <row r="33">
      <c r="B33" s="67" t="n"/>
      <c r="C33" s="67" t="n"/>
      <c r="D33" s="67" t="n"/>
      <c r="E33" s="67" t="n"/>
      <c r="F33" s="67" t="n"/>
      <c r="G33" s="67" t="n"/>
    </row>
    <row r="34">
      <c r="B34" s="67" t="n"/>
      <c r="C34" s="67" t="n"/>
      <c r="D34" s="67" t="n"/>
      <c r="E34" s="67" t="n"/>
      <c r="F34" s="67" t="n"/>
      <c r="G34" s="67" t="n"/>
    </row>
    <row r="35">
      <c r="B35" s="67" t="n"/>
      <c r="C35" s="67" t="n"/>
      <c r="D35" s="67" t="n"/>
      <c r="E35" s="67" t="n"/>
      <c r="F35" s="67" t="n"/>
      <c r="G35" s="67" t="n"/>
    </row>
    <row r="36">
      <c r="B36" s="67" t="n"/>
      <c r="C36" s="67" t="n"/>
      <c r="D36" s="67" t="n"/>
      <c r="E36" s="67" t="n"/>
      <c r="F36" s="67" t="n"/>
      <c r="G36" s="67" t="n"/>
    </row>
    <row r="37">
      <c r="B37" s="67" t="n"/>
      <c r="C37" s="67" t="n"/>
      <c r="D37" s="67" t="n"/>
      <c r="E37" s="67" t="n"/>
      <c r="F37" s="67" t="n"/>
      <c r="G37" s="67" t="n"/>
    </row>
    <row r="38">
      <c r="B38" s="67" t="n"/>
      <c r="C38" s="67" t="n"/>
      <c r="D38" s="67" t="n"/>
      <c r="E38" s="67" t="n"/>
      <c r="F38" s="67" t="n"/>
      <c r="G38" s="67" t="n"/>
    </row>
    <row r="39">
      <c r="B39" s="67" t="n"/>
      <c r="C39" s="67" t="n"/>
      <c r="D39" s="67" t="n"/>
      <c r="E39" s="67" t="n"/>
      <c r="F39" s="67" t="n"/>
      <c r="G39" s="67" t="n"/>
    </row>
    <row r="40">
      <c r="B40" s="67" t="n"/>
      <c r="C40" s="67" t="n"/>
      <c r="D40" s="67" t="n"/>
      <c r="E40" s="67" t="n"/>
      <c r="F40" s="67" t="n"/>
      <c r="G40" s="67" t="n"/>
    </row>
    <row r="41">
      <c r="B41" s="67" t="n"/>
      <c r="C41" s="67" t="n"/>
      <c r="D41" s="67" t="n"/>
      <c r="E41" s="67" t="n"/>
      <c r="F41" s="67" t="n"/>
      <c r="G41" s="67" t="n"/>
    </row>
    <row r="42">
      <c r="B42" s="67" t="n"/>
      <c r="C42" s="67" t="n"/>
      <c r="D42" s="67" t="n"/>
      <c r="E42" s="67" t="n"/>
      <c r="F42" s="67" t="n"/>
      <c r="G42" s="67" t="n"/>
    </row>
    <row r="43">
      <c r="B43" s="67" t="n"/>
      <c r="C43" s="67" t="n"/>
      <c r="D43" s="67" t="n"/>
      <c r="E43" s="67" t="n"/>
      <c r="F43" s="67" t="n"/>
      <c r="G43" s="67" t="n"/>
    </row>
    <row r="44">
      <c r="B44" s="67" t="n"/>
      <c r="C44" s="67" t="n"/>
      <c r="D44" s="67" t="n"/>
      <c r="E44" s="67" t="n"/>
      <c r="F44" s="67" t="n"/>
      <c r="G44" s="67" t="n"/>
    </row>
    <row r="45">
      <c r="B45" s="67" t="n"/>
      <c r="C45" s="67" t="n"/>
      <c r="D45" s="67" t="n"/>
      <c r="E45" s="67" t="n"/>
      <c r="F45" s="67" t="n"/>
      <c r="G45" s="67" t="n"/>
    </row>
    <row r="46">
      <c r="B46" s="67" t="n"/>
      <c r="C46" s="67" t="n"/>
      <c r="D46" s="67" t="n"/>
      <c r="E46" s="67" t="n"/>
      <c r="F46" s="67" t="n"/>
      <c r="G46" s="67" t="n"/>
    </row>
    <row r="47">
      <c r="B47" s="67" t="n"/>
      <c r="C47" s="67" t="n"/>
      <c r="D47" s="67" t="n"/>
      <c r="E47" s="67" t="n"/>
      <c r="F47" s="67" t="n"/>
      <c r="G47" s="67" t="n"/>
    </row>
    <row r="48">
      <c r="B48" s="67" t="n"/>
      <c r="C48" s="67" t="n"/>
      <c r="D48" s="67" t="n"/>
      <c r="E48" s="67" t="n"/>
      <c r="F48" s="67" t="n"/>
      <c r="G48" s="67" t="n"/>
    </row>
    <row r="49">
      <c r="B49" s="67" t="n"/>
      <c r="C49" s="67" t="n"/>
      <c r="D49" s="67" t="n"/>
      <c r="E49" s="67" t="n"/>
      <c r="F49" s="67" t="n"/>
      <c r="G49" s="67" t="n"/>
    </row>
    <row r="50">
      <c r="B50" s="67" t="n"/>
      <c r="C50" s="67" t="n"/>
      <c r="D50" s="67" t="n"/>
      <c r="E50" s="67" t="n"/>
      <c r="F50" s="67" t="n"/>
      <c r="G50" s="67" t="n"/>
    </row>
    <row r="51">
      <c r="B51" s="67" t="n"/>
      <c r="C51" s="67" t="n"/>
      <c r="D51" s="67" t="n"/>
      <c r="E51" s="67" t="n"/>
      <c r="F51" s="67" t="n"/>
      <c r="G51" s="67" t="n"/>
    </row>
    <row r="52">
      <c r="B52" s="67" t="n"/>
      <c r="C52" s="67" t="n"/>
      <c r="D52" s="67" t="n"/>
      <c r="E52" s="67" t="n"/>
      <c r="F52" s="67" t="n"/>
      <c r="G52" s="67" t="n"/>
    </row>
    <row r="53">
      <c r="B53" s="67" t="n"/>
      <c r="C53" s="67" t="n"/>
      <c r="D53" s="67" t="n"/>
      <c r="E53" s="67" t="n"/>
      <c r="F53" s="67" t="n"/>
      <c r="G53" s="67" t="n"/>
    </row>
    <row r="54">
      <c r="B54" s="67" t="n"/>
      <c r="C54" s="67" t="n"/>
      <c r="D54" s="67" t="n"/>
      <c r="E54" s="67" t="n"/>
      <c r="F54" s="67" t="n"/>
      <c r="G54" s="67" t="n"/>
    </row>
    <row r="55">
      <c r="B55" s="67" t="n"/>
      <c r="C55" s="67" t="n"/>
      <c r="D55" s="67" t="n"/>
      <c r="E55" s="67" t="n"/>
      <c r="F55" s="67" t="n"/>
      <c r="G55" s="67" t="n"/>
    </row>
    <row r="56">
      <c r="B56" s="67" t="n"/>
      <c r="C56" s="67" t="n"/>
      <c r="D56" s="67" t="n"/>
      <c r="E56" s="67" t="n"/>
      <c r="F56" s="67" t="n"/>
      <c r="G56" s="67" t="n"/>
    </row>
    <row r="57">
      <c r="B57" s="67" t="n"/>
      <c r="C57" s="67" t="n"/>
      <c r="D57" s="67" t="n"/>
      <c r="E57" s="67" t="n"/>
      <c r="F57" s="67" t="n"/>
      <c r="G57" s="67" t="n"/>
    </row>
    <row r="58">
      <c r="B58" s="67" t="n"/>
      <c r="C58" s="67" t="n"/>
      <c r="D58" s="67" t="n"/>
      <c r="E58" s="67" t="n"/>
      <c r="F58" s="67" t="n"/>
      <c r="G58" s="67" t="n"/>
    </row>
    <row r="59">
      <c r="B59" s="67" t="n"/>
      <c r="C59" s="67" t="n"/>
      <c r="D59" s="67" t="n"/>
      <c r="E59" s="67" t="n"/>
      <c r="F59" s="67" t="n"/>
      <c r="G59" s="67" t="n"/>
    </row>
    <row r="60">
      <c r="B60" s="67" t="n"/>
      <c r="C60" s="67" t="n"/>
      <c r="D60" s="67" t="n"/>
      <c r="E60" s="67" t="n"/>
      <c r="F60" s="67" t="n"/>
      <c r="G60" s="67" t="n"/>
    </row>
    <row r="61">
      <c r="B61" s="67" t="n"/>
      <c r="C61" s="67" t="n"/>
      <c r="D61" s="67" t="n"/>
      <c r="E61" s="67" t="n"/>
      <c r="F61" s="67" t="n"/>
      <c r="G61" s="67" t="n"/>
    </row>
    <row r="62">
      <c r="B62" s="67" t="n"/>
      <c r="C62" s="67" t="n"/>
      <c r="D62" s="67" t="n"/>
      <c r="E62" s="67" t="n"/>
      <c r="F62" s="67" t="n"/>
      <c r="G62" s="67" t="n"/>
    </row>
    <row r="63">
      <c r="B63" s="67" t="n"/>
      <c r="C63" s="67" t="n"/>
      <c r="D63" s="67" t="n"/>
      <c r="E63" s="67" t="n"/>
      <c r="F63" s="67" t="n"/>
      <c r="G63" s="67" t="n"/>
    </row>
    <row r="64">
      <c r="B64" s="67" t="n"/>
      <c r="C64" s="67" t="n"/>
      <c r="D64" s="67" t="n"/>
      <c r="E64" s="67" t="n"/>
      <c r="F64" s="67" t="n"/>
      <c r="G64" s="67" t="n"/>
    </row>
    <row r="65">
      <c r="B65" s="67" t="n"/>
      <c r="C65" s="67" t="n"/>
      <c r="D65" s="67" t="n"/>
      <c r="E65" s="67" t="n"/>
      <c r="F65" s="67" t="n"/>
      <c r="G65" s="67" t="n"/>
    </row>
    <row r="66">
      <c r="B66" s="67" t="n"/>
      <c r="C66" s="67" t="n"/>
      <c r="D66" s="67" t="n"/>
      <c r="E66" s="67" t="n"/>
      <c r="F66" s="67" t="n"/>
      <c r="G66" s="67" t="n"/>
    </row>
    <row r="67">
      <c r="B67" s="67" t="n"/>
      <c r="C67" s="67" t="n"/>
      <c r="D67" s="67" t="n"/>
      <c r="E67" s="67" t="n"/>
      <c r="F67" s="67" t="n"/>
      <c r="G67" s="67" t="n"/>
    </row>
    <row r="68">
      <c r="B68" s="67" t="n"/>
      <c r="C68" s="67" t="n"/>
      <c r="D68" s="67" t="n"/>
      <c r="E68" s="67" t="n"/>
      <c r="F68" s="67" t="n"/>
      <c r="G68" s="67" t="n"/>
    </row>
    <row r="69">
      <c r="B69" s="67" t="n"/>
      <c r="C69" s="67" t="n"/>
      <c r="D69" s="67" t="n"/>
      <c r="E69" s="67" t="n"/>
      <c r="F69" s="67" t="n"/>
      <c r="G69" s="67" t="n"/>
    </row>
    <row r="70">
      <c r="B70" s="67" t="n"/>
      <c r="C70" s="67" t="n"/>
      <c r="D70" s="67" t="n"/>
      <c r="E70" s="67" t="n"/>
      <c r="F70" s="67" t="n"/>
      <c r="G70" s="67" t="n"/>
    </row>
    <row r="71">
      <c r="B71" s="67" t="n"/>
      <c r="C71" s="67" t="n"/>
      <c r="D71" s="67" t="n"/>
      <c r="E71" s="67" t="n"/>
      <c r="F71" s="67" t="n"/>
      <c r="G71" s="67" t="n"/>
    </row>
    <row r="72">
      <c r="B72" s="67" t="n"/>
      <c r="C72" s="67" t="n"/>
      <c r="D72" s="67" t="n"/>
      <c r="E72" s="67" t="n"/>
      <c r="F72" s="67" t="n"/>
      <c r="G72" s="67" t="n"/>
    </row>
    <row r="73">
      <c r="B73" s="67" t="n"/>
      <c r="C73" s="67" t="n"/>
      <c r="D73" s="67" t="n"/>
      <c r="E73" s="67" t="n"/>
      <c r="F73" s="67" t="n"/>
      <c r="G73" s="67" t="n"/>
    </row>
    <row r="74">
      <c r="B74" s="67" t="n"/>
      <c r="C74" s="67" t="n"/>
      <c r="D74" s="67" t="n"/>
      <c r="E74" s="67" t="n"/>
      <c r="F74" s="67" t="n"/>
      <c r="G74" s="67" t="n"/>
    </row>
    <row r="75">
      <c r="B75" s="67" t="n"/>
      <c r="C75" s="67" t="n"/>
      <c r="D75" s="67" t="n"/>
      <c r="E75" s="67" t="n"/>
      <c r="F75" s="67" t="n"/>
      <c r="G75" s="67" t="n"/>
    </row>
    <row r="76">
      <c r="B76" s="67" t="n"/>
      <c r="C76" s="67" t="n"/>
      <c r="D76" s="67" t="n"/>
      <c r="E76" s="67" t="n"/>
      <c r="F76" s="67" t="n"/>
      <c r="G76" s="67" t="n"/>
    </row>
    <row r="77">
      <c r="B77" s="67" t="n"/>
      <c r="C77" s="67" t="n"/>
      <c r="D77" s="67" t="n"/>
      <c r="E77" s="67" t="n"/>
      <c r="F77" s="67" t="n"/>
      <c r="G77" s="67" t="n"/>
    </row>
    <row r="78">
      <c r="B78" s="67" t="n"/>
      <c r="C78" s="67" t="n"/>
      <c r="D78" s="67" t="n"/>
      <c r="E78" s="67" t="n"/>
      <c r="F78" s="67" t="n"/>
      <c r="G78" s="67" t="n"/>
    </row>
    <row r="79">
      <c r="B79" s="67" t="n"/>
      <c r="C79" s="67" t="n"/>
      <c r="D79" s="67" t="n"/>
      <c r="E79" s="67" t="n"/>
      <c r="F79" s="67" t="n"/>
      <c r="G79" s="67" t="n"/>
    </row>
    <row r="80">
      <c r="B80" s="67" t="n"/>
      <c r="C80" s="67" t="n"/>
      <c r="D80" s="67" t="n"/>
      <c r="E80" s="67" t="n"/>
      <c r="F80" s="67" t="n"/>
      <c r="G80" s="67" t="n"/>
    </row>
    <row r="81">
      <c r="B81" s="67" t="n"/>
      <c r="C81" s="67" t="n"/>
      <c r="D81" s="67" t="n"/>
      <c r="E81" s="67" t="n"/>
      <c r="F81" s="67" t="n"/>
      <c r="G81" s="67" t="n"/>
    </row>
    <row r="82">
      <c r="B82" s="67" t="n"/>
      <c r="C82" s="67" t="n"/>
      <c r="D82" s="67" t="n"/>
      <c r="E82" s="67" t="n"/>
      <c r="F82" s="67" t="n"/>
      <c r="G82" s="67" t="n"/>
    </row>
    <row r="83">
      <c r="B83" s="67" t="n"/>
      <c r="C83" s="67" t="n"/>
      <c r="D83" s="67" t="n"/>
      <c r="E83" s="67" t="n"/>
      <c r="F83" s="67" t="n"/>
      <c r="G83" s="67" t="n"/>
    </row>
    <row r="84">
      <c r="B84" s="67" t="n"/>
      <c r="C84" s="67" t="n"/>
      <c r="D84" s="67" t="n"/>
      <c r="E84" s="67" t="n"/>
      <c r="F84" s="67" t="n"/>
      <c r="G84" s="67" t="n"/>
    </row>
    <row r="85">
      <c r="B85" s="67" t="n"/>
      <c r="C85" s="67" t="n"/>
      <c r="D85" s="67" t="n"/>
      <c r="E85" s="67" t="n"/>
      <c r="F85" s="67" t="n"/>
      <c r="G85" s="67" t="n"/>
    </row>
    <row r="86">
      <c r="B86" s="67" t="n"/>
      <c r="C86" s="67" t="n"/>
      <c r="D86" s="67" t="n"/>
      <c r="E86" s="67" t="n"/>
      <c r="F86" s="67" t="n"/>
      <c r="G86" s="67" t="n"/>
    </row>
    <row r="87">
      <c r="B87" s="67" t="n"/>
      <c r="C87" s="67" t="n"/>
      <c r="D87" s="67" t="n"/>
      <c r="E87" s="67" t="n"/>
      <c r="F87" s="67" t="n"/>
      <c r="G87" s="67" t="n"/>
    </row>
    <row r="88">
      <c r="B88" s="67" t="n"/>
      <c r="C88" s="67" t="n"/>
      <c r="D88" s="67" t="n"/>
      <c r="E88" s="67" t="n"/>
      <c r="F88" s="67" t="n"/>
      <c r="G88" s="67" t="n"/>
    </row>
    <row r="89">
      <c r="B89" s="67" t="n"/>
      <c r="C89" s="67" t="n"/>
      <c r="D89" s="67" t="n"/>
      <c r="E89" s="67" t="n"/>
      <c r="F89" s="67" t="n"/>
      <c r="G89" s="67" t="n"/>
    </row>
    <row r="90">
      <c r="B90" s="67" t="n"/>
      <c r="C90" s="67" t="n"/>
      <c r="D90" s="67" t="n"/>
      <c r="E90" s="67" t="n"/>
      <c r="F90" s="67" t="n"/>
      <c r="G90" s="67" t="n"/>
    </row>
    <row r="91">
      <c r="B91" s="67" t="n"/>
      <c r="C91" s="67" t="n"/>
      <c r="D91" s="67" t="n"/>
      <c r="E91" s="67" t="n"/>
      <c r="F91" s="67" t="n"/>
      <c r="G91" s="67" t="n"/>
    </row>
    <row r="92">
      <c r="B92" s="67" t="n"/>
      <c r="C92" s="67" t="n"/>
      <c r="D92" s="67" t="n"/>
      <c r="E92" s="67" t="n"/>
      <c r="F92" s="67" t="n"/>
      <c r="G92" s="67" t="n"/>
    </row>
    <row r="93">
      <c r="B93" s="67" t="n"/>
      <c r="C93" s="67" t="n"/>
      <c r="D93" s="67" t="n"/>
      <c r="E93" s="67" t="n"/>
      <c r="F93" s="67" t="n"/>
      <c r="G93" s="67" t="n"/>
    </row>
    <row r="94">
      <c r="B94" s="67" t="n"/>
      <c r="C94" s="67" t="n"/>
      <c r="D94" s="67" t="n"/>
      <c r="E94" s="67" t="n"/>
      <c r="F94" s="67" t="n"/>
      <c r="G94" s="67" t="n"/>
    </row>
    <row r="95">
      <c r="B95" s="67" t="n"/>
      <c r="C95" s="67" t="n"/>
      <c r="D95" s="67" t="n"/>
      <c r="E95" s="67" t="n"/>
      <c r="F95" s="67" t="n"/>
      <c r="G95" s="67" t="n"/>
    </row>
    <row r="96">
      <c r="B96" s="67" t="n"/>
      <c r="C96" s="67" t="n"/>
      <c r="D96" s="67" t="n"/>
      <c r="E96" s="67" t="n"/>
      <c r="F96" s="67" t="n"/>
      <c r="G96" s="67" t="n"/>
    </row>
    <row r="97">
      <c r="B97" s="67" t="n"/>
      <c r="C97" s="67" t="n"/>
      <c r="D97" s="67" t="n"/>
      <c r="E97" s="67" t="n"/>
      <c r="F97" s="67" t="n"/>
      <c r="G97" s="67" t="n"/>
    </row>
    <row r="98">
      <c r="B98" s="67" t="n"/>
      <c r="C98" s="67" t="n"/>
      <c r="D98" s="67" t="n"/>
      <c r="E98" s="67" t="n"/>
      <c r="F98" s="67" t="n"/>
      <c r="G98" s="67" t="n"/>
    </row>
    <row r="99">
      <c r="B99" s="67" t="n"/>
      <c r="C99" s="67" t="n"/>
      <c r="D99" s="67" t="n"/>
      <c r="E99" s="67" t="n"/>
      <c r="F99" s="67" t="n"/>
      <c r="G99" s="67" t="n"/>
    </row>
    <row r="100">
      <c r="B100" s="67" t="n"/>
      <c r="C100" s="67" t="n"/>
      <c r="D100" s="67" t="n"/>
      <c r="E100" s="67" t="n"/>
      <c r="F100" s="67" t="n"/>
      <c r="G100" s="67" t="n"/>
    </row>
    <row r="101">
      <c r="B101" s="67" t="n"/>
      <c r="C101" s="67" t="n"/>
      <c r="D101" s="67" t="n"/>
      <c r="E101" s="67" t="n"/>
      <c r="F101" s="67" t="n"/>
      <c r="G101" s="67" t="n"/>
    </row>
    <row r="102">
      <c r="B102" s="67" t="n"/>
      <c r="C102" s="67" t="n"/>
      <c r="D102" s="67" t="n"/>
      <c r="E102" s="67" t="n"/>
      <c r="F102" s="67" t="n"/>
      <c r="G102" s="67" t="n"/>
    </row>
    <row r="103">
      <c r="B103" s="67" t="n"/>
      <c r="C103" s="67" t="n"/>
      <c r="D103" s="67" t="n"/>
      <c r="E103" s="67" t="n"/>
      <c r="F103" s="67" t="n"/>
      <c r="G103" s="67" t="n"/>
    </row>
    <row r="104">
      <c r="B104" s="67" t="n"/>
      <c r="C104" s="67" t="n"/>
      <c r="D104" s="67" t="n"/>
      <c r="E104" s="67" t="n"/>
      <c r="F104" s="67" t="n"/>
      <c r="G104" s="67" t="n"/>
    </row>
    <row r="105">
      <c r="B105" s="67" t="n"/>
      <c r="C105" s="67" t="n"/>
      <c r="D105" s="67" t="n"/>
      <c r="E105" s="67" t="n"/>
      <c r="F105" s="67" t="n"/>
      <c r="G105" s="67" t="n"/>
    </row>
    <row r="106">
      <c r="B106" s="67" t="n"/>
      <c r="C106" s="67" t="n"/>
      <c r="D106" s="67" t="n"/>
      <c r="E106" s="67" t="n"/>
      <c r="F106" s="67" t="n"/>
      <c r="G106" s="67" t="n"/>
    </row>
    <row r="107">
      <c r="B107" s="67" t="n"/>
      <c r="C107" s="67" t="n"/>
      <c r="D107" s="67" t="n"/>
      <c r="E107" s="67" t="n"/>
      <c r="F107" s="67" t="n"/>
      <c r="G107" s="67" t="n"/>
    </row>
    <row r="108">
      <c r="B108" s="67" t="n"/>
      <c r="C108" s="67" t="n"/>
      <c r="D108" s="67" t="n"/>
      <c r="E108" s="67" t="n"/>
      <c r="F108" s="67" t="n"/>
      <c r="G108" s="67" t="n"/>
    </row>
    <row r="109">
      <c r="B109" s="67" t="n"/>
      <c r="C109" s="67" t="n"/>
      <c r="D109" s="67" t="n"/>
      <c r="E109" s="67" t="n"/>
      <c r="F109" s="67" t="n"/>
      <c r="G109" s="67" t="n"/>
    </row>
    <row r="110">
      <c r="B110" s="67" t="n"/>
      <c r="C110" s="67" t="n"/>
      <c r="D110" s="67" t="n"/>
      <c r="E110" s="67" t="n"/>
      <c r="F110" s="67" t="n"/>
      <c r="G110" s="67" t="n"/>
    </row>
    <row r="111">
      <c r="B111" s="67" t="n"/>
      <c r="C111" s="67" t="n"/>
      <c r="D111" s="67" t="n"/>
      <c r="E111" s="67" t="n"/>
      <c r="F111" s="67" t="n"/>
      <c r="G111" s="67" t="n"/>
    </row>
    <row r="112">
      <c r="B112" s="67" t="n"/>
      <c r="C112" s="67" t="n"/>
      <c r="D112" s="67" t="n"/>
      <c r="E112" s="67" t="n"/>
      <c r="F112" s="67" t="n"/>
      <c r="G112" s="67" t="n"/>
    </row>
    <row r="113">
      <c r="B113" s="67" t="n"/>
      <c r="C113" s="67" t="n"/>
      <c r="D113" s="67" t="n"/>
      <c r="E113" s="67" t="n"/>
      <c r="F113" s="67" t="n"/>
      <c r="G113" s="67" t="n"/>
    </row>
    <row r="114">
      <c r="B114" s="67" t="n"/>
      <c r="C114" s="67" t="n"/>
      <c r="D114" s="67" t="n"/>
      <c r="E114" s="67" t="n"/>
      <c r="F114" s="67" t="n"/>
      <c r="G114" s="67" t="n"/>
    </row>
    <row r="115">
      <c r="B115" s="67" t="n"/>
      <c r="C115" s="67" t="n"/>
      <c r="D115" s="67" t="n"/>
      <c r="E115" s="67" t="n"/>
      <c r="F115" s="67" t="n"/>
      <c r="G115" s="67" t="n"/>
    </row>
    <row r="116">
      <c r="B116" s="67" t="n"/>
      <c r="C116" s="67" t="n"/>
      <c r="D116" s="67" t="n"/>
      <c r="E116" s="67" t="n"/>
      <c r="F116" s="67" t="n"/>
      <c r="G116" s="67" t="n"/>
    </row>
    <row r="117">
      <c r="B117" s="67" t="n"/>
      <c r="C117" s="67" t="n"/>
      <c r="D117" s="67" t="n"/>
      <c r="E117" s="67" t="n"/>
      <c r="F117" s="67" t="n"/>
      <c r="G117" s="67" t="n"/>
    </row>
    <row r="118">
      <c r="B118" s="67" t="n"/>
      <c r="C118" s="67" t="n"/>
      <c r="D118" s="67" t="n"/>
      <c r="E118" s="67" t="n"/>
      <c r="F118" s="67" t="n"/>
      <c r="G118" s="67" t="n"/>
    </row>
    <row r="119">
      <c r="B119" s="67" t="n"/>
      <c r="C119" s="67" t="n"/>
      <c r="D119" s="67" t="n"/>
      <c r="E119" s="67" t="n"/>
      <c r="F119" s="67" t="n"/>
      <c r="G119" s="67" t="n"/>
    </row>
    <row r="120">
      <c r="B120" s="67" t="n"/>
      <c r="C120" s="67" t="n"/>
      <c r="D120" s="67" t="n"/>
      <c r="E120" s="67" t="n"/>
      <c r="F120" s="67" t="n"/>
      <c r="G120" s="67" t="n"/>
    </row>
    <row r="121">
      <c r="B121" s="67" t="n"/>
      <c r="C121" s="67" t="n"/>
      <c r="D121" s="67" t="n"/>
      <c r="E121" s="67" t="n"/>
      <c r="F121" s="67" t="n"/>
      <c r="G121" s="67" t="n"/>
    </row>
    <row r="122">
      <c r="B122" s="67" t="n"/>
      <c r="C122" s="67" t="n"/>
      <c r="D122" s="67" t="n"/>
      <c r="E122" s="67" t="n"/>
      <c r="F122" s="67" t="n"/>
      <c r="G122" s="67" t="n"/>
    </row>
    <row r="123">
      <c r="B123" s="67" t="n"/>
      <c r="C123" s="67" t="n"/>
      <c r="D123" s="67" t="n"/>
      <c r="E123" s="67" t="n"/>
      <c r="F123" s="67" t="n"/>
      <c r="G123" s="67" t="n"/>
    </row>
    <row r="124">
      <c r="B124" s="67" t="n"/>
      <c r="C124" s="67" t="n"/>
      <c r="D124" s="67" t="n"/>
      <c r="E124" s="67" t="n"/>
      <c r="F124" s="67" t="n"/>
      <c r="G124" s="67" t="n"/>
    </row>
    <row r="125">
      <c r="B125" s="67" t="n"/>
      <c r="C125" s="67" t="n"/>
      <c r="D125" s="67" t="n"/>
      <c r="E125" s="67" t="n"/>
      <c r="F125" s="67" t="n"/>
      <c r="G125" s="67" t="n"/>
    </row>
    <row r="126">
      <c r="B126" s="67" t="n"/>
      <c r="C126" s="67" t="n"/>
      <c r="D126" s="67" t="n"/>
      <c r="E126" s="67" t="n"/>
      <c r="F126" s="67" t="n"/>
      <c r="G126" s="67" t="n"/>
    </row>
    <row r="127">
      <c r="B127" s="67" t="n"/>
      <c r="C127" s="67" t="n"/>
      <c r="D127" s="67" t="n"/>
      <c r="E127" s="67" t="n"/>
      <c r="F127" s="67" t="n"/>
      <c r="G127" s="67" t="n"/>
    </row>
    <row r="128">
      <c r="B128" s="67" t="n"/>
      <c r="C128" s="67" t="n"/>
      <c r="D128" s="67" t="n"/>
      <c r="E128" s="67" t="n"/>
      <c r="F128" s="67" t="n"/>
      <c r="G128" s="67" t="n"/>
    </row>
    <row r="129">
      <c r="B129" s="67" t="n"/>
      <c r="C129" s="67" t="n"/>
      <c r="D129" s="67" t="n"/>
      <c r="E129" s="67" t="n"/>
      <c r="F129" s="67" t="n"/>
      <c r="G129" s="67" t="n"/>
    </row>
    <row r="130">
      <c r="B130" s="67" t="n"/>
      <c r="C130" s="67" t="n"/>
      <c r="D130" s="67" t="n"/>
      <c r="E130" s="67" t="n"/>
      <c r="F130" s="67" t="n"/>
      <c r="G130" s="67" t="n"/>
    </row>
    <row r="131">
      <c r="B131" s="67" t="n"/>
      <c r="C131" s="67" t="n"/>
      <c r="D131" s="67" t="n"/>
      <c r="E131" s="67" t="n"/>
      <c r="F131" s="67" t="n"/>
      <c r="G131" s="67" t="n"/>
    </row>
    <row r="132">
      <c r="B132" s="67" t="n"/>
      <c r="C132" s="67" t="n"/>
      <c r="D132" s="67" t="n"/>
      <c r="E132" s="67" t="n"/>
      <c r="F132" s="67" t="n"/>
      <c r="G132" s="67" t="n"/>
    </row>
    <row r="133">
      <c r="B133" s="67" t="n"/>
      <c r="C133" s="67" t="n"/>
      <c r="D133" s="67" t="n"/>
      <c r="E133" s="67" t="n"/>
      <c r="F133" s="67" t="n"/>
      <c r="G133" s="67" t="n"/>
    </row>
    <row r="134">
      <c r="B134" s="67" t="n"/>
      <c r="C134" s="67" t="n"/>
      <c r="D134" s="67" t="n"/>
      <c r="E134" s="67" t="n"/>
      <c r="F134" s="67" t="n"/>
      <c r="G134" s="67" t="n"/>
    </row>
    <row r="135">
      <c r="B135" s="67" t="n"/>
      <c r="C135" s="67" t="n"/>
      <c r="D135" s="67" t="n"/>
      <c r="E135" s="67" t="n"/>
      <c r="F135" s="67" t="n"/>
      <c r="G135" s="67" t="n"/>
    </row>
    <row r="136">
      <c r="B136" s="67" t="n"/>
      <c r="C136" s="67" t="n"/>
      <c r="D136" s="67" t="n"/>
      <c r="E136" s="67" t="n"/>
      <c r="F136" s="67" t="n"/>
      <c r="G136" s="67" t="n"/>
    </row>
    <row r="137">
      <c r="B137" s="67" t="n"/>
      <c r="C137" s="67" t="n"/>
      <c r="D137" s="67" t="n"/>
      <c r="E137" s="67" t="n"/>
      <c r="F137" s="67" t="n"/>
      <c r="G137" s="67" t="n"/>
    </row>
    <row r="138">
      <c r="B138" s="67" t="n"/>
      <c r="C138" s="67" t="n"/>
      <c r="D138" s="67" t="n"/>
      <c r="E138" s="67" t="n"/>
      <c r="F138" s="67" t="n"/>
      <c r="G138" s="67" t="n"/>
    </row>
    <row r="139">
      <c r="B139" s="67" t="n"/>
      <c r="C139" s="67" t="n"/>
      <c r="D139" s="67" t="n"/>
      <c r="E139" s="67" t="n"/>
      <c r="F139" s="67" t="n"/>
      <c r="G139" s="67" t="n"/>
    </row>
    <row r="140">
      <c r="B140" s="67" t="n"/>
      <c r="C140" s="67" t="n"/>
      <c r="D140" s="67" t="n"/>
      <c r="E140" s="67" t="n"/>
      <c r="F140" s="67" t="n"/>
      <c r="G140" s="67" t="n"/>
    </row>
    <row r="141">
      <c r="B141" s="67" t="n"/>
      <c r="C141" s="67" t="n"/>
      <c r="D141" s="67" t="n"/>
      <c r="E141" s="67" t="n"/>
      <c r="F141" s="67" t="n"/>
      <c r="G141" s="67" t="n"/>
    </row>
    <row r="142">
      <c r="B142" s="67" t="n"/>
      <c r="C142" s="67" t="n"/>
      <c r="D142" s="67" t="n"/>
      <c r="E142" s="67" t="n"/>
      <c r="F142" s="67" t="n"/>
      <c r="G142" s="67" t="n"/>
    </row>
    <row r="143">
      <c r="B143" s="67" t="n"/>
      <c r="C143" s="67" t="n"/>
      <c r="D143" s="67" t="n"/>
      <c r="E143" s="67" t="n"/>
      <c r="F143" s="67" t="n"/>
      <c r="G143" s="67" t="n"/>
    </row>
    <row r="144">
      <c r="B144" s="67" t="n"/>
      <c r="C144" s="67" t="n"/>
      <c r="D144" s="67" t="n"/>
      <c r="E144" s="67" t="n"/>
      <c r="F144" s="67" t="n"/>
      <c r="G144" s="67" t="n"/>
    </row>
    <row r="145">
      <c r="B145" s="67" t="n"/>
      <c r="C145" s="67" t="n"/>
      <c r="D145" s="67" t="n"/>
      <c r="E145" s="67" t="n"/>
      <c r="F145" s="67" t="n"/>
      <c r="G145" s="67" t="n"/>
    </row>
    <row r="146">
      <c r="B146" s="67" t="n"/>
      <c r="C146" s="67" t="n"/>
      <c r="D146" s="67" t="n"/>
      <c r="E146" s="67" t="n"/>
      <c r="F146" s="67" t="n"/>
      <c r="G146" s="67" t="n"/>
    </row>
    <row r="147">
      <c r="B147" s="67" t="n"/>
      <c r="C147" s="67" t="n"/>
      <c r="D147" s="67" t="n"/>
      <c r="E147" s="67" t="n"/>
      <c r="F147" s="67" t="n"/>
      <c r="G147" s="67" t="n"/>
    </row>
    <row r="148">
      <c r="B148" s="67" t="n"/>
      <c r="C148" s="67" t="n"/>
      <c r="D148" s="67" t="n"/>
      <c r="E148" s="67" t="n"/>
      <c r="F148" s="67" t="n"/>
      <c r="G148" s="67" t="n"/>
    </row>
    <row r="149">
      <c r="B149" s="67" t="n"/>
      <c r="C149" s="67" t="n"/>
      <c r="D149" s="67" t="n"/>
      <c r="E149" s="67" t="n"/>
      <c r="F149" s="67" t="n"/>
      <c r="G149" s="67" t="n"/>
    </row>
    <row r="150">
      <c r="B150" s="67" t="n"/>
      <c r="C150" s="67" t="n"/>
      <c r="D150" s="67" t="n"/>
      <c r="E150" s="67" t="n"/>
      <c r="F150" s="67" t="n"/>
      <c r="G150" s="67" t="n"/>
    </row>
    <row r="151">
      <c r="B151" s="67" t="n"/>
      <c r="C151" s="67" t="n"/>
      <c r="D151" s="67" t="n"/>
      <c r="E151" s="67" t="n"/>
      <c r="F151" s="67" t="n"/>
      <c r="G151" s="67" t="n"/>
    </row>
    <row r="152">
      <c r="B152" s="67" t="n"/>
      <c r="C152" s="67" t="n"/>
      <c r="D152" s="67" t="n"/>
      <c r="E152" s="67" t="n"/>
      <c r="F152" s="67" t="n"/>
      <c r="G152" s="67" t="n"/>
    </row>
    <row r="153">
      <c r="B153" s="67" t="n"/>
      <c r="C153" s="67" t="n"/>
      <c r="D153" s="67" t="n"/>
      <c r="E153" s="67" t="n"/>
      <c r="F153" s="67" t="n"/>
      <c r="G153" s="67" t="n"/>
    </row>
    <row r="154">
      <c r="B154" s="67" t="n"/>
      <c r="C154" s="67" t="n"/>
      <c r="D154" s="67" t="n"/>
      <c r="E154" s="67" t="n"/>
      <c r="F154" s="67" t="n"/>
      <c r="G154" s="67" t="n"/>
    </row>
    <row r="155">
      <c r="B155" s="67" t="n"/>
      <c r="C155" s="67" t="n"/>
      <c r="D155" s="67" t="n"/>
      <c r="E155" s="67" t="n"/>
      <c r="F155" s="67" t="n"/>
      <c r="G155" s="67" t="n"/>
    </row>
    <row r="156">
      <c r="B156" s="67" t="n"/>
      <c r="C156" s="67" t="n"/>
      <c r="D156" s="67" t="n"/>
      <c r="E156" s="67" t="n"/>
      <c r="F156" s="67" t="n"/>
      <c r="G156" s="67" t="n"/>
    </row>
    <row r="157">
      <c r="B157" s="67" t="n"/>
      <c r="C157" s="67" t="n"/>
      <c r="D157" s="67" t="n"/>
      <c r="E157" s="67" t="n"/>
      <c r="F157" s="67" t="n"/>
      <c r="G157" s="67" t="n"/>
    </row>
    <row r="158">
      <c r="B158" s="67" t="n"/>
      <c r="C158" s="67" t="n"/>
      <c r="D158" s="67" t="n"/>
      <c r="E158" s="67" t="n"/>
      <c r="F158" s="67" t="n"/>
      <c r="G158" s="67" t="n"/>
    </row>
    <row r="159">
      <c r="B159" s="67" t="n"/>
      <c r="C159" s="67" t="n"/>
      <c r="D159" s="67" t="n"/>
      <c r="E159" s="67" t="n"/>
      <c r="F159" s="67" t="n"/>
      <c r="G159" s="67" t="n"/>
    </row>
    <row r="160">
      <c r="B160" s="67" t="n"/>
      <c r="C160" s="67" t="n"/>
      <c r="D160" s="67" t="n"/>
      <c r="E160" s="67" t="n"/>
      <c r="F160" s="67" t="n"/>
      <c r="G160" s="67" t="n"/>
    </row>
    <row r="161">
      <c r="B161" s="67" t="n"/>
      <c r="C161" s="67" t="n"/>
      <c r="D161" s="67" t="n"/>
      <c r="E161" s="67" t="n"/>
      <c r="F161" s="67" t="n"/>
      <c r="G161" s="67" t="n"/>
    </row>
    <row r="162">
      <c r="B162" s="67" t="n"/>
      <c r="C162" s="67" t="n"/>
      <c r="D162" s="67" t="n"/>
      <c r="E162" s="67" t="n"/>
      <c r="F162" s="67" t="n"/>
      <c r="G162" s="67" t="n"/>
    </row>
    <row r="163">
      <c r="B163" s="67" t="n"/>
      <c r="C163" s="67" t="n"/>
      <c r="D163" s="67" t="n"/>
      <c r="E163" s="67" t="n"/>
      <c r="F163" s="67" t="n"/>
      <c r="G163" s="67" t="n"/>
    </row>
    <row r="164">
      <c r="B164" s="67" t="n"/>
      <c r="C164" s="67" t="n"/>
      <c r="D164" s="67" t="n"/>
      <c r="E164" s="67" t="n"/>
      <c r="F164" s="67" t="n"/>
      <c r="G164" s="67" t="n"/>
    </row>
    <row r="165">
      <c r="B165" s="67" t="n"/>
      <c r="C165" s="67" t="n"/>
      <c r="D165" s="67" t="n"/>
      <c r="E165" s="67" t="n"/>
      <c r="F165" s="67" t="n"/>
      <c r="G165" s="67" t="n"/>
    </row>
    <row r="166">
      <c r="B166" s="67" t="n"/>
      <c r="C166" s="67" t="n"/>
      <c r="D166" s="67" t="n"/>
      <c r="E166" s="67" t="n"/>
      <c r="F166" s="67" t="n"/>
      <c r="G166" s="67" t="n"/>
    </row>
    <row r="167">
      <c r="B167" s="67" t="n"/>
      <c r="C167" s="67" t="n"/>
      <c r="D167" s="67" t="n"/>
      <c r="E167" s="67" t="n"/>
      <c r="F167" s="67" t="n"/>
      <c r="G167" s="67" t="n"/>
    </row>
    <row r="168">
      <c r="B168" s="67" t="n"/>
      <c r="C168" s="67" t="n"/>
      <c r="D168" s="67" t="n"/>
      <c r="E168" s="67" t="n"/>
      <c r="F168" s="67" t="n"/>
      <c r="G168" s="67" t="n"/>
    </row>
    <row r="169">
      <c r="B169" s="67" t="n"/>
      <c r="C169" s="67" t="n"/>
      <c r="D169" s="67" t="n"/>
      <c r="E169" s="67" t="n"/>
      <c r="F169" s="67" t="n"/>
      <c r="G169" s="67" t="n"/>
    </row>
    <row r="170">
      <c r="B170" s="67" t="n"/>
      <c r="C170" s="67" t="n"/>
      <c r="D170" s="67" t="n"/>
      <c r="E170" s="67" t="n"/>
      <c r="F170" s="67" t="n"/>
      <c r="G170" s="67" t="n"/>
    </row>
    <row r="171">
      <c r="B171" s="67" t="n"/>
      <c r="C171" s="67" t="n"/>
      <c r="D171" s="67" t="n"/>
      <c r="E171" s="67" t="n"/>
      <c r="F171" s="67" t="n"/>
      <c r="G171" s="67" t="n"/>
    </row>
    <row r="172">
      <c r="B172" s="67" t="n"/>
      <c r="C172" s="67" t="n"/>
      <c r="D172" s="67" t="n"/>
      <c r="E172" s="67" t="n"/>
      <c r="F172" s="67" t="n"/>
      <c r="G172" s="67" t="n"/>
    </row>
    <row r="173">
      <c r="B173" s="67" t="n"/>
      <c r="C173" s="67" t="n"/>
      <c r="D173" s="67" t="n"/>
      <c r="E173" s="67" t="n"/>
      <c r="F173" s="67" t="n"/>
      <c r="G173" s="67" t="n"/>
    </row>
    <row r="174">
      <c r="B174" s="67" t="n"/>
      <c r="C174" s="67" t="n"/>
      <c r="D174" s="67" t="n"/>
      <c r="E174" s="67" t="n"/>
      <c r="F174" s="67" t="n"/>
      <c r="G174" s="67" t="n"/>
    </row>
    <row r="175">
      <c r="B175" s="67" t="n"/>
      <c r="C175" s="67" t="n"/>
      <c r="D175" s="67" t="n"/>
      <c r="E175" s="67" t="n"/>
      <c r="F175" s="67" t="n"/>
      <c r="G175" s="67" t="n"/>
    </row>
    <row r="176">
      <c r="B176" s="67" t="n"/>
      <c r="C176" s="67" t="n"/>
      <c r="D176" s="67" t="n"/>
      <c r="E176" s="67" t="n"/>
      <c r="F176" s="67" t="n"/>
      <c r="G176" s="67" t="n"/>
    </row>
    <row r="177">
      <c r="B177" s="67" t="n"/>
      <c r="C177" s="67" t="n"/>
      <c r="D177" s="67" t="n"/>
      <c r="E177" s="67" t="n"/>
      <c r="F177" s="67" t="n"/>
      <c r="G177" s="67" t="n"/>
    </row>
    <row r="178">
      <c r="B178" s="67" t="n"/>
      <c r="C178" s="67" t="n"/>
      <c r="D178" s="67" t="n"/>
      <c r="E178" s="67" t="n"/>
      <c r="F178" s="67" t="n"/>
      <c r="G178" s="67" t="n"/>
    </row>
    <row r="179">
      <c r="B179" s="67" t="n"/>
      <c r="C179" s="67" t="n"/>
      <c r="D179" s="67" t="n"/>
      <c r="E179" s="67" t="n"/>
      <c r="F179" s="67" t="n"/>
      <c r="G179" s="67" t="n"/>
    </row>
    <row r="180">
      <c r="B180" s="67" t="n"/>
      <c r="C180" s="67" t="n"/>
      <c r="D180" s="67" t="n"/>
      <c r="E180" s="67" t="n"/>
      <c r="F180" s="67" t="n"/>
      <c r="G180" s="67" t="n"/>
    </row>
    <row r="181">
      <c r="B181" s="67" t="n"/>
      <c r="C181" s="67" t="n"/>
      <c r="D181" s="67" t="n"/>
      <c r="E181" s="67" t="n"/>
      <c r="F181" s="67" t="n"/>
      <c r="G181" s="67" t="n"/>
    </row>
    <row r="182">
      <c r="B182" s="67" t="n"/>
      <c r="C182" s="67" t="n"/>
      <c r="D182" s="67" t="n"/>
      <c r="E182" s="67" t="n"/>
      <c r="F182" s="67" t="n"/>
      <c r="G182" s="67" t="n"/>
    </row>
    <row r="183">
      <c r="B183" s="67" t="n"/>
      <c r="C183" s="67" t="n"/>
      <c r="D183" s="67" t="n"/>
      <c r="E183" s="67" t="n"/>
      <c r="F183" s="67" t="n"/>
      <c r="G183" s="67" t="n"/>
    </row>
    <row r="184">
      <c r="B184" s="67" t="n"/>
      <c r="C184" s="67" t="n"/>
      <c r="D184" s="67" t="n"/>
      <c r="E184" s="67" t="n"/>
      <c r="F184" s="67" t="n"/>
      <c r="G184" s="67" t="n"/>
    </row>
    <row r="185">
      <c r="B185" s="67" t="n"/>
      <c r="C185" s="67" t="n"/>
      <c r="D185" s="67" t="n"/>
      <c r="E185" s="67" t="n"/>
      <c r="F185" s="67" t="n"/>
      <c r="G185" s="67" t="n"/>
    </row>
    <row r="186">
      <c r="B186" s="67" t="n"/>
      <c r="C186" s="67" t="n"/>
      <c r="D186" s="67" t="n"/>
      <c r="E186" s="67" t="n"/>
      <c r="F186" s="67" t="n"/>
      <c r="G186" s="67" t="n"/>
    </row>
    <row r="187">
      <c r="B187" s="67" t="n"/>
      <c r="C187" s="67" t="n"/>
      <c r="D187" s="67" t="n"/>
      <c r="E187" s="67" t="n"/>
      <c r="F187" s="67" t="n"/>
      <c r="G187" s="67" t="n"/>
    </row>
    <row r="188">
      <c r="B188" s="67" t="n"/>
      <c r="C188" s="67" t="n"/>
      <c r="D188" s="67" t="n"/>
      <c r="E188" s="67" t="n"/>
      <c r="F188" s="67" t="n"/>
      <c r="G188" s="67" t="n"/>
    </row>
    <row r="189">
      <c r="B189" s="67" t="n"/>
      <c r="C189" s="67" t="n"/>
      <c r="D189" s="67" t="n"/>
      <c r="E189" s="67" t="n"/>
      <c r="F189" s="67" t="n"/>
      <c r="G189" s="67" t="n"/>
    </row>
    <row r="190">
      <c r="B190" s="67" t="n"/>
      <c r="C190" s="67" t="n"/>
      <c r="D190" s="67" t="n"/>
      <c r="E190" s="67" t="n"/>
      <c r="F190" s="67" t="n"/>
      <c r="G190" s="67" t="n"/>
    </row>
    <row r="191">
      <c r="B191" s="67" t="n"/>
      <c r="C191" s="67" t="n"/>
      <c r="D191" s="67" t="n"/>
      <c r="E191" s="67" t="n"/>
      <c r="F191" s="67" t="n"/>
      <c r="G191" s="67" t="n"/>
    </row>
    <row r="192">
      <c r="B192" s="67" t="n"/>
      <c r="C192" s="67" t="n"/>
      <c r="D192" s="67" t="n"/>
      <c r="E192" s="67" t="n"/>
      <c r="F192" s="67" t="n"/>
      <c r="G192" s="67" t="n"/>
    </row>
    <row r="193">
      <c r="B193" s="67" t="n"/>
      <c r="C193" s="67" t="n"/>
      <c r="D193" s="67" t="n"/>
      <c r="E193" s="67" t="n"/>
      <c r="F193" s="67" t="n"/>
      <c r="G193" s="67" t="n"/>
    </row>
    <row r="194">
      <c r="B194" s="67" t="n"/>
      <c r="C194" s="67" t="n"/>
      <c r="D194" s="67" t="n"/>
      <c r="E194" s="67" t="n"/>
      <c r="F194" s="67" t="n"/>
      <c r="G194" s="67" t="n"/>
    </row>
    <row r="195">
      <c r="B195" s="67" t="n"/>
      <c r="C195" s="67" t="n"/>
      <c r="D195" s="67" t="n"/>
      <c r="E195" s="67" t="n"/>
      <c r="F195" s="67" t="n"/>
      <c r="G195" s="67" t="n"/>
    </row>
    <row r="196">
      <c r="B196" s="67" t="n"/>
      <c r="C196" s="67" t="n"/>
      <c r="D196" s="67" t="n"/>
      <c r="E196" s="67" t="n"/>
      <c r="F196" s="67" t="n"/>
      <c r="G196" s="67" t="n"/>
    </row>
    <row r="197">
      <c r="B197" s="67" t="n"/>
      <c r="C197" s="67" t="n"/>
      <c r="D197" s="67" t="n"/>
      <c r="E197" s="67" t="n"/>
      <c r="F197" s="67" t="n"/>
      <c r="G197" s="67" t="n"/>
    </row>
    <row r="198">
      <c r="B198" s="67" t="n"/>
      <c r="C198" s="67" t="n"/>
      <c r="D198" s="67" t="n"/>
      <c r="E198" s="67" t="n"/>
      <c r="F198" s="67" t="n"/>
      <c r="G198" s="67" t="n"/>
    </row>
    <row r="199">
      <c r="B199" s="67" t="n"/>
      <c r="C199" s="67" t="n"/>
      <c r="D199" s="67" t="n"/>
      <c r="E199" s="67" t="n"/>
      <c r="F199" s="67" t="n"/>
      <c r="G199" s="67" t="n"/>
    </row>
    <row r="200">
      <c r="B200" s="67" t="n"/>
      <c r="C200" s="67" t="n"/>
      <c r="D200" s="67" t="n"/>
      <c r="E200" s="67" t="n"/>
      <c r="F200" s="67" t="n"/>
      <c r="G200" s="67" t="n"/>
    </row>
    <row r="201">
      <c r="B201" s="67" t="n"/>
      <c r="C201" s="67" t="n"/>
      <c r="D201" s="67" t="n"/>
      <c r="E201" s="67" t="n"/>
      <c r="F201" s="67" t="n"/>
      <c r="G201" s="67" t="n"/>
    </row>
    <row r="202">
      <c r="B202" s="67" t="n"/>
      <c r="C202" s="67" t="n"/>
      <c r="D202" s="67" t="n"/>
      <c r="E202" s="67" t="n"/>
      <c r="F202" s="67" t="n"/>
      <c r="G202" s="67" t="n"/>
    </row>
    <row r="203">
      <c r="B203" s="67" t="n"/>
      <c r="C203" s="67" t="n"/>
      <c r="D203" s="67" t="n"/>
      <c r="E203" s="67" t="n"/>
      <c r="F203" s="67" t="n"/>
      <c r="G203" s="67" t="n"/>
    </row>
    <row r="204">
      <c r="B204" s="67" t="n"/>
      <c r="C204" s="67" t="n"/>
      <c r="D204" s="67" t="n"/>
      <c r="E204" s="67" t="n"/>
      <c r="F204" s="67" t="n"/>
      <c r="G204" s="67" t="n"/>
    </row>
    <row r="205">
      <c r="B205" s="67" t="n"/>
      <c r="C205" s="67" t="n"/>
      <c r="D205" s="67" t="n"/>
      <c r="E205" s="67" t="n"/>
      <c r="F205" s="67" t="n"/>
      <c r="G205" s="67" t="n"/>
    </row>
    <row r="206">
      <c r="B206" s="67" t="n"/>
      <c r="C206" s="67" t="n"/>
      <c r="D206" s="67" t="n"/>
      <c r="E206" s="67" t="n"/>
      <c r="F206" s="67" t="n"/>
      <c r="G206" s="67" t="n"/>
    </row>
    <row r="207">
      <c r="B207" s="67" t="n"/>
      <c r="C207" s="67" t="n"/>
      <c r="D207" s="67" t="n"/>
      <c r="E207" s="67" t="n"/>
      <c r="F207" s="67" t="n"/>
      <c r="G207" s="67" t="n"/>
    </row>
    <row r="208">
      <c r="B208" s="67" t="n"/>
      <c r="C208" s="67" t="n"/>
      <c r="D208" s="67" t="n"/>
      <c r="E208" s="67" t="n"/>
      <c r="F208" s="67" t="n"/>
      <c r="G208" s="67" t="n"/>
    </row>
    <row r="209">
      <c r="B209" s="67" t="n"/>
      <c r="C209" s="67" t="n"/>
      <c r="D209" s="67" t="n"/>
      <c r="E209" s="67" t="n"/>
      <c r="F209" s="67" t="n"/>
      <c r="G209" s="67" t="n"/>
    </row>
    <row r="210">
      <c r="B210" s="67" t="n"/>
      <c r="C210" s="67" t="n"/>
      <c r="D210" s="67" t="n"/>
      <c r="E210" s="67" t="n"/>
      <c r="F210" s="67" t="n"/>
      <c r="G210" s="67" t="n"/>
    </row>
    <row r="211">
      <c r="B211" s="67" t="n"/>
      <c r="C211" s="67" t="n"/>
      <c r="D211" s="67" t="n"/>
      <c r="E211" s="67" t="n"/>
      <c r="F211" s="67" t="n"/>
      <c r="G211" s="67" t="n"/>
    </row>
    <row r="212">
      <c r="B212" s="67" t="n"/>
      <c r="C212" s="67" t="n"/>
      <c r="D212" s="67" t="n"/>
      <c r="E212" s="67" t="n"/>
      <c r="F212" s="67" t="n"/>
      <c r="G212" s="67" t="n"/>
    </row>
    <row r="213">
      <c r="B213" s="67" t="n"/>
      <c r="C213" s="67" t="n"/>
      <c r="D213" s="67" t="n"/>
      <c r="E213" s="67" t="n"/>
      <c r="F213" s="67" t="n"/>
      <c r="G213" s="67" t="n"/>
    </row>
    <row r="214">
      <c r="B214" s="67" t="n"/>
      <c r="C214" s="67" t="n"/>
      <c r="D214" s="67" t="n"/>
      <c r="E214" s="67" t="n"/>
      <c r="F214" s="67" t="n"/>
      <c r="G214" s="67" t="n"/>
    </row>
    <row r="215">
      <c r="B215" s="67" t="n"/>
      <c r="C215" s="67" t="n"/>
      <c r="D215" s="67" t="n"/>
      <c r="E215" s="67" t="n"/>
      <c r="F215" s="67" t="n"/>
      <c r="G215" s="67" t="n"/>
    </row>
    <row r="216">
      <c r="B216" s="67" t="n"/>
      <c r="C216" s="67" t="n"/>
      <c r="D216" s="67" t="n"/>
      <c r="E216" s="67" t="n"/>
      <c r="F216" s="67" t="n"/>
      <c r="G216" s="67" t="n"/>
    </row>
    <row r="217">
      <c r="B217" s="67" t="n"/>
      <c r="C217" s="67" t="n"/>
      <c r="D217" s="67" t="n"/>
      <c r="E217" s="67" t="n"/>
      <c r="F217" s="67" t="n"/>
      <c r="G217" s="67" t="n"/>
    </row>
    <row r="218">
      <c r="B218" s="67" t="n"/>
      <c r="C218" s="67" t="n"/>
      <c r="D218" s="67" t="n"/>
      <c r="E218" s="67" t="n"/>
      <c r="F218" s="67" t="n"/>
      <c r="G218" s="67" t="n"/>
    </row>
    <row r="219">
      <c r="B219" s="67" t="n"/>
      <c r="C219" s="67" t="n"/>
      <c r="D219" s="67" t="n"/>
      <c r="E219" s="67" t="n"/>
      <c r="F219" s="67" t="n"/>
      <c r="G219" s="67" t="n"/>
    </row>
    <row r="220">
      <c r="B220" s="67" t="n"/>
      <c r="C220" s="67" t="n"/>
      <c r="D220" s="67" t="n"/>
      <c r="E220" s="67" t="n"/>
      <c r="F220" s="67" t="n"/>
      <c r="G220" s="67" t="n"/>
    </row>
  </sheetData>
  <mergeCells count="8">
    <mergeCell ref="B3:G3"/>
    <mergeCell ref="B5:G5"/>
    <mergeCell ref="D8:G8"/>
    <mergeCell ref="B10:C10"/>
    <mergeCell ref="B4:G4"/>
    <mergeCell ref="B8:C8"/>
    <mergeCell ref="B7:G7"/>
    <mergeCell ref="B6:G6"/>
  </mergeCells>
  <conditionalFormatting sqref="E9">
    <cfRule type="cellIs" priority="1" operator="greaterThan" dxfId="5">
      <formula>0</formula>
    </cfRule>
  </conditionalFormatting>
  <conditionalFormatting sqref="B20:B220">
    <cfRule type="expression" priority="2" dxfId="6">
      <formula>AND(LEN($B20&amp;$C20&amp;$D20&amp;$E20&amp;$F20&amp;$G20)&gt;0,B20="")</formula>
    </cfRule>
  </conditionalFormatting>
  <conditionalFormatting sqref="C20:C220">
    <cfRule type="expression" priority="3" dxfId="6">
      <formula>AND(LEN($B20&amp;$C20&amp;$D20&amp;$E20&amp;$F20&amp;$G20)&gt;0,C20="")</formula>
    </cfRule>
  </conditionalFormatting>
  <conditionalFormatting sqref="D20:D220">
    <cfRule type="expression" priority="4" dxfId="6">
      <formula>AND(LEN($B20&amp;$C20&amp;$D20&amp;$E20&amp;$F20&amp;$G20)&gt;0,D20="")</formula>
    </cfRule>
  </conditionalFormatting>
  <conditionalFormatting sqref="G20:G220">
    <cfRule type="expression" priority="5" dxfId="6">
      <formula>AND(LEN($B20&amp;$C20&amp;$D20&amp;$E20&amp;$F20&amp;$G20)&gt;0,G20="")</formula>
    </cfRule>
  </conditionalFormatting>
  <dataValidations count="8">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G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client_no" error="At most 30 characters." promptTitle="legacy_client_no" prompt="Yes. Client number in the source system Allowed: legacy_client_no of C01" type="textLength" operator="lessThanOrEqual">
      <formula1>30</formula1>
    </dataValidation>
    <dataValidation sqref="C20:C220" showDropDown="0" showInputMessage="1" showErrorMessage="1" allowBlank="1" errorTitle="mode" error="Choose a value of the list C03 mode (sheet Reference lists)." promptTitle="mode" prompt="Yes. Payout mode Allowed: CTA, CHECK (list C03 mode)" type="list" errorStyle="stop">
      <formula1>=LIST_C03_MODE</formula1>
    </dataValidation>
    <dataValidation sqref="D20:D220" showDropDown="0" showInputMessage="1" showErrorMessage="1" allowBlank="1" errorTitle="payee_name" error="At most 250 characters." promptTitle="payee_name" prompt="Yes. Name on the account or check Allowed: Free entry, up to 250 characters" type="textLength" operator="lessThanOrEqual">
      <formula1>250</formula1>
    </dataValidation>
    <dataValidation sqref="E20:E220" showDropDown="0" showInputMessage="1" showErrorMessage="1" allowBlank="1" errorTitle="bank_code" error="At most 30 characters." promptTitle="bank_code" prompt="Conditional: Mandatory for CTA; mapped. Bank of the account Allowed: The legacy code; mapped by the code map BANK (sheet Code maps)" type="textLength" operator="lessThanOrEqual">
      <formula1>30</formula1>
    </dataValidation>
    <dataValidation sqref="F20:F220" showDropDown="0" showInputMessage="1" showErrorMessage="1" allowBlank="1" errorTitle="account_no" error="At most 40 characters." promptTitle="account_no" prompt="Conditional: Mandatory for CTA. Account number Allowed: Free entry, up to 40 characters" type="textLength" operator="lessThanOrEqual">
      <formula1>40</formula1>
    </dataValidation>
    <dataValidation sqref="G20:G220" showDropDown="0" showInputMessage="1" showErrorMessage="1" allowBlank="1" errorTitle="active_flag" error="Choose a value of the list Yes or no (sheet Reference lists)." promptTitle="active_flag" prompt="Yes. Account in use Allowed: Y or N" type="list" errorStyle="stop">
      <formula1>=LIST_YES_NO</formula1>
    </dataValidation>
  </dataValidations>
  <hyperlinks>
    <hyperlink ref="A2" location="'Load templates'!A1"/>
    <hyperlink ref="G2" location="'Comments log'!A1"/>
    <hyperlink ref="B8" location="'C01 Client master'!A1"/>
    <hyperlink ref="D8" location="'C02 Client addresses and contac'!A1"/>
    <hyperlink ref="C17" location="'Reference lists'!A51"/>
    <hyperlink ref="E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4.xml><?xml version="1.0" encoding="utf-8"?>
<worksheet xmlns="http://schemas.openxmlformats.org/spreadsheetml/2006/main">
  <sheetPr>
    <tabColor rgb="00004EA8"/>
    <outlinePr summaryBelow="0" summaryRight="1"/>
    <pageSetUpPr fitToPage="1"/>
  </sheetPr>
  <dimension ref="A1:AF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5.90909090909091" customWidth="1" min="3" max="3"/>
    <col width="18" customWidth="1" min="4" max="4"/>
    <col width="18" customWidth="1" min="5" max="5"/>
    <col width="21" customWidth="1" min="6" max="6"/>
    <col width="17" customWidth="1" min="7" max="7"/>
    <col width="15.90909090909091" customWidth="1" min="8" max="8"/>
    <col width="17" customWidth="1" min="9" max="9"/>
    <col width="20" customWidth="1" min="10" max="10"/>
    <col width="15.90909090909091" customWidth="1" min="11" max="11"/>
    <col width="20" customWidth="1" min="12" max="12"/>
    <col width="18" customWidth="1" min="13" max="13"/>
    <col width="18" customWidth="1" min="14" max="14"/>
    <col width="19" customWidth="1" min="15" max="15"/>
    <col width="16" customWidth="1" min="16" max="16"/>
    <col width="13" customWidth="1" min="17" max="17"/>
    <col width="19.54545454545454" customWidth="1" min="18" max="18"/>
    <col width="19.54545454545454" customWidth="1" min="19" max="19"/>
    <col width="19.54545454545454" customWidth="1" min="20" max="20"/>
    <col width="24" customWidth="1" min="21" max="21"/>
    <col width="24" customWidth="1" min="22" max="22"/>
    <col width="16" customWidth="1" min="23" max="23"/>
    <col width="24" customWidth="1" min="24" max="24"/>
    <col width="19" customWidth="1" min="25" max="25"/>
    <col width="13" customWidth="1" min="26" max="26"/>
    <col width="15.90909090909091" customWidth="1" min="27" max="27"/>
    <col width="20" customWidth="1" min="28" max="28"/>
    <col width="16" customWidth="1" min="29" max="29"/>
    <col width="19" customWidth="1" min="30" max="30"/>
    <col width="19" customWidth="1" min="31" max="31"/>
    <col width="27" customWidth="1" min="32" max="32"/>
  </cols>
  <sheetData>
    <row r="1" ht="26" customHeight="1">
      <c r="A1" s="44" t="inlineStr">
        <is>
          <t>P01 In-force policy headers</t>
        </is>
      </c>
      <c r="AF1" s="45" t="inlineStr">
        <is>
          <t>Step 15 of 29</t>
        </is>
      </c>
    </row>
    <row r="2">
      <c r="A2" s="46" t="inlineStr">
        <is>
          <t>← Back to Load templates</t>
        </is>
      </c>
      <c r="B2" s="47" t="inlineStr">
        <is>
          <t>Step 15 of 29. Fill in one row per record below the column headers; the guide above each column says what to enter.</t>
        </is>
      </c>
      <c r="AF2" s="48" t="inlineStr">
        <is>
          <t>Ask a question →</t>
        </is>
      </c>
    </row>
    <row r="3" outlineLevel="1" ht="15.5" customHeight="1">
      <c r="A3" s="49" t="inlineStr">
        <is>
          <t>Purpose</t>
        </is>
      </c>
      <c r="B3" s="50" t="inlineStr">
        <is>
          <t>One row per record of In-force policy headers as extracted from QPS, EBIX. Key legacy_policy_ref. Sent as the file P01_template.csv (CSV, header row as below) with its control file (row count, count of distinct keys; amount totals per currency: sum_insured, gross_premium, net_premium).</t>
        </is>
      </c>
    </row>
    <row r="4" outlineLevel="1" ht="15.5" customHeight="1">
      <c r="A4" s="49" t="inlineStr">
        <is>
          <t>Provided by</t>
        </is>
      </c>
      <c r="B4" s="50" t="inlineStr">
        <is>
          <t>Operations data steward (to name); approved by Head, Operations; extracted by BDOI IT</t>
        </is>
      </c>
    </row>
    <row r="5" outlineLevel="1" ht="15.5" customHeight="1">
      <c r="A5" s="49" t="inlineStr">
        <is>
          <t>Due</t>
        </is>
      </c>
      <c r="B5" s="51" t="inlineStr">
        <is>
          <t>M3 (29 Jan 2027); final at T-2</t>
        </is>
      </c>
    </row>
    <row r="6" outlineLevel="1" ht="15.5" customHeight="1">
      <c r="A6" s="49" t="inlineStr">
        <is>
          <t>How it is loaded</t>
        </is>
      </c>
      <c r="B6" s="50" t="inlineStr">
        <is>
          <t>Data migration object P01 (Conditional), layout P01 version 1, through the Migration Console; lands in: Accounts, imported as legacy policy headers</t>
        </is>
      </c>
    </row>
    <row r="7" outlineLevel="1" ht="15.5" customHeight="1">
      <c r="A7" s="49" t="inlineStr">
        <is>
          <t>Source</t>
        </is>
      </c>
      <c r="B7" s="50" t="inlineStr">
        <is>
          <t>QPS, EBIX</t>
        </is>
      </c>
    </row>
    <row r="8" outlineLevel="1" ht="26" customHeight="1">
      <c r="A8" s="49" t="inlineStr">
        <is>
          <t>Depends on</t>
        </is>
      </c>
      <c r="B8" s="68" t="inlineStr">
        <is>
          <t>C01 Client master →</t>
        </is>
      </c>
      <c r="D8" s="68" t="inlineStr">
        <is>
          <t>C02 Client addresses and contacts →</t>
        </is>
      </c>
      <c r="F8" s="68" t="inlineStr">
        <is>
          <t>R04 Insurers →</t>
        </is>
      </c>
      <c r="H8" s="68" t="inlineStr">
        <is>
          <t>R04B Insurer branches →</t>
        </is>
      </c>
      <c r="J8" s="68" t="inlineStr">
        <is>
          <t>R05 Product lines, cover types, products and risk codes →</t>
        </is>
      </c>
    </row>
    <row r="9" ht="26" customHeight="1">
      <c r="A9" s="53" t="inlineStr">
        <is>
          <t>Progress</t>
        </is>
      </c>
      <c r="B9" s="54" t="inlineStr">
        <is>
          <t>Rows entered</t>
        </is>
      </c>
      <c r="C9" s="55">
        <f>SUMPRODUCT(((ROW($B$20:$B$220)&gt;20)+($B$20&lt;&gt;"C-2026-004512-01")&gt;0)*(LEN($B$20:$B$220&amp;$C$20:$C$220&amp;$D$20:$D$220&amp;$E$20:$E$220&amp;$F$20:$F$220&amp;$G$20:$G$220&amp;$H$20:$H$220&amp;$I$20:$I$220&amp;$J$20:$J$220&amp;$K$20:$K$220&amp;$L$20:$L$220&amp;$M$20:$M$220&amp;$N$20:$N$220&amp;$O$20:$O$220&amp;$P$20:$P$220&amp;$Q$20:$Q$220&amp;$R$20:$R$220&amp;$S$20:$S$220&amp;$T$20:$T$220&amp;$U$20:$U$220&amp;$V$20:$V$220&amp;$W$20:$W$220&amp;$X$20:$X$220&amp;$Y$20:$Y$220&amp;$Z$20:$Z$220&amp;$AA$20:$AA$220&amp;$AB$20:$AB$220&amp;$AC$20:$AC$220&amp;$AD$20:$AD$220&amp;$AE$20:$AE$220&amp;$AF$20:$AF$220)&gt;0))</f>
        <v/>
      </c>
      <c r="D9" s="54" t="inlineStr">
        <is>
          <t>Mandatory cells missing</t>
        </is>
      </c>
      <c r="E9" s="55">
        <f>SUMPRODUCT(((ROW($B$20:$B$220)&gt;20)+($B$20&lt;&gt;"C-2026-004512-01")&gt;0)*(LEN($B$20:$B$220&amp;$C$20:$C$220&amp;$D$20:$D$220&amp;$E$20:$E$220&amp;$F$20:$F$220&amp;$G$20:$G$220&amp;$H$20:$H$220&amp;$I$20:$I$220&amp;$J$20:$J$220&amp;$K$20:$K$220&amp;$L$20:$L$220&amp;$M$20:$M$220&amp;$N$20:$N$220&amp;$O$20:$O$220&amp;$P$20:$P$220&amp;$Q$20:$Q$220&amp;$R$20:$R$220&amp;$S$20:$S$220&amp;$T$20:$T$220&amp;$U$20:$U$220&amp;$V$20:$V$220&amp;$W$20:$W$220&amp;$X$20:$X$220&amp;$Y$20:$Y$220&amp;$Z$20:$Z$220&amp;$AA$20:$AA$220&amp;$AB$20:$AB$220&amp;$AC$20:$AC$220&amp;$AD$20:$AD$220&amp;$AE$20:$AE$220&amp;$AF$20:$AF$220)&gt;0)*(($B$20:$B$220="")+($C$20:$C$220="")+($E$20:$E$220="")+($F$20:$F$220="")+($G$20:$G$220="")+($H$20:$H$220="")+($K$20:$K$220="")+($M$20:$M$220="")+($N$20:$N$220="")+($O$20:$O$220="")+($P$20:$P$220="")+($Q$20:$Q$220="")+($R$20:$R$220="")+($S$20:$S$220="")+($T$20:$T$220="")+($V$20:$V$220="")+($AA$20:$AA$220="")+($AB$20:$AB$220="")+($AC$20:$AC$220="")+($AD$20:$AD$220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row>
    <row r="12" ht="30" customHeight="1">
      <c r="A12" s="59" t="inlineStr">
        <is>
          <t>BU review</t>
        </is>
      </c>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c r="AB12" s="60" t="n"/>
      <c r="AC12" s="60" t="n"/>
      <c r="AD12" s="60" t="n"/>
      <c r="AE12" s="60" t="n"/>
      <c r="AF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c r="AA13" s="60" t="n"/>
      <c r="AB13" s="60" t="n"/>
      <c r="AC13" s="60" t="n"/>
      <c r="AD13" s="60" t="n"/>
      <c r="AE13" s="60" t="n"/>
      <c r="AF13" s="60" t="n"/>
    </row>
    <row r="14" ht="95" customHeight="1">
      <c r="A14" s="59" t="inlineStr">
        <is>
          <t>Check when loaded</t>
        </is>
      </c>
      <c r="B14" s="61" t="inlineStr">
        <is>
          <t>Unique in the file</t>
        </is>
      </c>
      <c r="C14" s="61" t="inlineStr">
        <is>
          <t>Not blank</t>
        </is>
      </c>
      <c r="D14" s="61" t="inlineStr">
        <is>
          <t>0 or more</t>
        </is>
      </c>
      <c r="E14" s="61" t="inlineStr">
        <is>
          <t>Not blank</t>
        </is>
      </c>
      <c r="F14" s="61" t="inlineStr">
        <is>
          <t>Client loaded</t>
        </is>
      </c>
      <c r="G14" s="61" t="inlineStr">
        <is>
          <t>Not blank</t>
        </is>
      </c>
      <c r="H14" s="61" t="inlineStr">
        <is>
          <t>Mapped</t>
        </is>
      </c>
      <c r="I14" s="61" t="inlineStr">
        <is>
          <t>Mandatory for packaged policies; not mapped at load</t>
        </is>
      </c>
      <c r="J14" s="61" t="inlineStr">
        <is>
          <t>Mandatory with package_code</t>
        </is>
      </c>
      <c r="K14" s="61" t="inlineStr">
        <is>
          <t>Mapped; consistent with risk_code</t>
        </is>
      </c>
      <c r="L14" s="61" t="inlineStr">
        <is>
          <t>Mapped</t>
        </is>
      </c>
      <c r="M14" s="61" t="inlineStr">
        <is>
          <t>In the list</t>
        </is>
      </c>
      <c r="N14" s="61" t="inlineStr">
        <is>
          <t>Mapped to an in-force status</t>
        </is>
      </c>
      <c r="O14" s="61" t="inlineStr">
        <is>
          <t>Valid date</t>
        </is>
      </c>
      <c r="P14" s="61" t="inlineStr">
        <is>
          <t>After inception_date; on or after the cutover date; every expiry to 31-May-2028 present (go-live renewal extraction)</t>
        </is>
      </c>
      <c r="Q14" s="61" t="inlineStr">
        <is>
          <t>Valid code</t>
        </is>
      </c>
      <c r="R14" s="61" t="inlineStr">
        <is>
          <t>0 or more</t>
        </is>
      </c>
      <c r="S14" s="61" t="inlineStr">
        <is>
          <t>0 or more</t>
        </is>
      </c>
      <c r="T14" s="61" t="inlineStr">
        <is>
          <t>Not below net_premium</t>
        </is>
      </c>
      <c r="U14" s="61" t="inlineStr">
        <is>
          <t>0 to 100</t>
        </is>
      </c>
      <c r="V14" s="61" t="inlineStr">
        <is>
          <t>In the list</t>
        </is>
      </c>
      <c r="W14" s="61" t="inlineStr">
        <is>
          <t>-</t>
        </is>
      </c>
      <c r="X14" s="61" t="inlineStr">
        <is>
          <t>-</t>
        </is>
      </c>
      <c r="Y14" s="61" t="inlineStr">
        <is>
          <t>Mapped</t>
        </is>
      </c>
      <c r="Z14" s="61" t="inlineStr">
        <is>
          <t>Y or N</t>
        </is>
      </c>
      <c r="AA14" s="61" t="inlineStr">
        <is>
          <t>Mapped in USER</t>
        </is>
      </c>
      <c r="AB14" s="61" t="inlineStr">
        <is>
          <t>Mapped</t>
        </is>
      </c>
      <c r="AC14" s="61" t="inlineStr">
        <is>
          <t>Mapped</t>
        </is>
      </c>
      <c r="AD14" s="61" t="inlineStr">
        <is>
          <t>Mapped</t>
        </is>
      </c>
      <c r="AE14" s="61" t="inlineStr">
        <is>
          <t>Mapped</t>
        </is>
      </c>
      <c r="AF14" s="61" t="inlineStr">
        <is>
          <t>-</t>
        </is>
      </c>
    </row>
    <row r="15" ht="56" customHeight="1">
      <c r="A15" s="59" t="inlineStr">
        <is>
          <t>Mandatory</t>
        </is>
      </c>
      <c r="B15" s="62" t="inlineStr">
        <is>
          <t>Yes</t>
        </is>
      </c>
      <c r="C15" s="62" t="inlineStr">
        <is>
          <t>Yes</t>
        </is>
      </c>
      <c r="D15" s="61" t="inlineStr">
        <is>
          <t>No</t>
        </is>
      </c>
      <c r="E15" s="62" t="inlineStr">
        <is>
          <t>Yes</t>
        </is>
      </c>
      <c r="F15" s="62" t="inlineStr">
        <is>
          <t>Yes</t>
        </is>
      </c>
      <c r="G15" s="62" t="inlineStr">
        <is>
          <t>Yes</t>
        </is>
      </c>
      <c r="H15" s="62" t="inlineStr">
        <is>
          <t>Yes</t>
        </is>
      </c>
      <c r="I15" s="61" t="inlineStr">
        <is>
          <t>Conditional: Mandatory for packaged policies; not mapped at load</t>
        </is>
      </c>
      <c r="J15" s="61" t="inlineStr">
        <is>
          <t>Conditional: Mandatory with package_code</t>
        </is>
      </c>
      <c r="K15" s="62" t="inlineStr">
        <is>
          <t>Yes</t>
        </is>
      </c>
      <c r="L15" s="61" t="inlineStr">
        <is>
          <t>No</t>
        </is>
      </c>
      <c r="M15" s="62" t="inlineStr">
        <is>
          <t>Yes</t>
        </is>
      </c>
      <c r="N15" s="62" t="inlineStr">
        <is>
          <t>Yes</t>
        </is>
      </c>
      <c r="O15" s="62" t="inlineStr">
        <is>
          <t>Yes</t>
        </is>
      </c>
      <c r="P15" s="62" t="inlineStr">
        <is>
          <t>Yes</t>
        </is>
      </c>
      <c r="Q15" s="62" t="inlineStr">
        <is>
          <t>Yes</t>
        </is>
      </c>
      <c r="R15" s="62" t="inlineStr">
        <is>
          <t>Yes</t>
        </is>
      </c>
      <c r="S15" s="62" t="inlineStr">
        <is>
          <t>Yes</t>
        </is>
      </c>
      <c r="T15" s="62" t="inlineStr">
        <is>
          <t>Yes</t>
        </is>
      </c>
      <c r="U15" s="61" t="inlineStr">
        <is>
          <t>No</t>
        </is>
      </c>
      <c r="V15" s="62" t="inlineStr">
        <is>
          <t>Yes</t>
        </is>
      </c>
      <c r="W15" s="61" t="inlineStr">
        <is>
          <t>No</t>
        </is>
      </c>
      <c r="X15" s="61" t="inlineStr">
        <is>
          <t>No</t>
        </is>
      </c>
      <c r="Y15" s="61" t="inlineStr">
        <is>
          <t>No</t>
        </is>
      </c>
      <c r="Z15" s="61" t="inlineStr">
        <is>
          <t>No</t>
        </is>
      </c>
      <c r="AA15" s="62" t="inlineStr">
        <is>
          <t>Yes</t>
        </is>
      </c>
      <c r="AB15" s="62" t="inlineStr">
        <is>
          <t>Yes</t>
        </is>
      </c>
      <c r="AC15" s="62" t="inlineStr">
        <is>
          <t>Yes</t>
        </is>
      </c>
      <c r="AD15" s="62" t="inlineStr">
        <is>
          <t>Yes</t>
        </is>
      </c>
      <c r="AE15" s="61" t="inlineStr">
        <is>
          <t>No</t>
        </is>
      </c>
      <c r="AF15" s="61" t="inlineStr">
        <is>
          <t>No</t>
        </is>
      </c>
    </row>
    <row r="16" ht="30" customHeight="1">
      <c r="A16" s="59" t="inlineStr">
        <is>
          <t>Format</t>
        </is>
      </c>
      <c r="B16" s="61" t="inlineStr">
        <is>
          <t>Code, up to 60; &lt;cover no.&gt;-&lt;version&gt;</t>
        </is>
      </c>
      <c r="C16" s="61" t="inlineStr">
        <is>
          <t>Text, up to 40; As stored in legacy</t>
        </is>
      </c>
      <c r="D16" s="61" t="inlineStr">
        <is>
          <t>Integer, up to 4; Digits</t>
        </is>
      </c>
      <c r="E16" s="61" t="inlineStr">
        <is>
          <t>Text, up to 60; As issued</t>
        </is>
      </c>
      <c r="F16" s="61" t="inlineStr">
        <is>
          <t>Code, up to 30; As stored in legacy</t>
        </is>
      </c>
      <c r="G16" s="61" t="inlineStr">
        <is>
          <t>Text, up to 250; Free text</t>
        </is>
      </c>
      <c r="H16" s="61" t="inlineStr">
        <is>
          <t>Code, up to 20; As stored in legacy</t>
        </is>
      </c>
      <c r="I16" s="61" t="inlineStr">
        <is>
          <t>Code, up to 20; As stored in legacy</t>
        </is>
      </c>
      <c r="J16" s="61" t="inlineStr">
        <is>
          <t>Integer, up to 4; Digits</t>
        </is>
      </c>
      <c r="K16" s="61" t="inlineStr">
        <is>
          <t>Code, up to 30; As stored in legacy</t>
        </is>
      </c>
      <c r="L16" s="61" t="inlineStr">
        <is>
          <t>Code, up to 30; As stored in legacy</t>
        </is>
      </c>
      <c r="M16" s="61" t="inlineStr">
        <is>
          <t>Code, up to 2; Upper case</t>
        </is>
      </c>
      <c r="N16" s="61" t="inlineStr">
        <is>
          <t>Code, up to 20; As stored in legacy</t>
        </is>
      </c>
      <c r="O16" s="61" t="inlineStr">
        <is>
          <t>Date, up to 10; yyyy-MM-dd</t>
        </is>
      </c>
      <c r="P16" s="61" t="inlineStr">
        <is>
          <t>Date, up to 10; yyyy-MM-dd</t>
        </is>
      </c>
      <c r="Q16" s="61" t="inlineStr">
        <is>
          <t>Code, up to 3; Upper case</t>
        </is>
      </c>
      <c r="R16" s="61" t="inlineStr">
        <is>
          <t>Amount, up to 19,2; Dot decimal, 2 decimals</t>
        </is>
      </c>
      <c r="S16" s="61" t="inlineStr">
        <is>
          <t>Amount, up to 19,2; Dot decimal, 2 decimals</t>
        </is>
      </c>
      <c r="T16" s="61" t="inlineStr">
        <is>
          <t>Amount, up to 19,2; Dot decimal, 2 decimals</t>
        </is>
      </c>
      <c r="U16" s="61" t="inlineStr">
        <is>
          <t>Decimal, up to 9,4; Dot decimal</t>
        </is>
      </c>
      <c r="V16" s="61" t="inlineStr">
        <is>
          <t>Code, up to 20; Upper case</t>
        </is>
      </c>
      <c r="W16" s="61" t="inlineStr">
        <is>
          <t>Text, up to 500; PN;PN</t>
        </is>
      </c>
      <c r="X16" s="61" t="inlineStr">
        <is>
          <t>Text, up to 40; As stored in legacy</t>
        </is>
      </c>
      <c r="Y16" s="61" t="inlineStr">
        <is>
          <t>Code, up to 40; As stored in legacy</t>
        </is>
      </c>
      <c r="Z16" s="61" t="inlineStr">
        <is>
          <t>Flag, up to 1; Y or N</t>
        </is>
      </c>
      <c r="AA16" s="61" t="inlineStr">
        <is>
          <t>Code, up to 50; As stored in legacy</t>
        </is>
      </c>
      <c r="AB16" s="61" t="inlineStr">
        <is>
          <t>Code, up to 20; As stored in legacy</t>
        </is>
      </c>
      <c r="AC16" s="61" t="inlineStr">
        <is>
          <t>Code, up to 20; As stored in legacy</t>
        </is>
      </c>
      <c r="AD16" s="61" t="inlineStr">
        <is>
          <t>Code, up to 40; As stored in legacy</t>
        </is>
      </c>
      <c r="AE16" s="61" t="inlineStr">
        <is>
          <t>Code, up to 40; As stored in legacy</t>
        </is>
      </c>
      <c r="AF16" s="61" t="inlineStr">
        <is>
          <t>Text, up to 300; Free text</t>
        </is>
      </c>
    </row>
    <row r="17" ht="56" customHeight="1">
      <c r="A17" s="59" t="inlineStr">
        <is>
          <t>Allowed values</t>
        </is>
      </c>
      <c r="B17" s="61" t="inlineStr">
        <is>
          <t>Free entry, up to 60 characters</t>
        </is>
      </c>
      <c r="C17" s="61" t="inlineStr">
        <is>
          <t>Free entry, up to 40 characters</t>
        </is>
      </c>
      <c r="D17" s="61" t="inlineStr">
        <is>
          <t>A whole number</t>
        </is>
      </c>
      <c r="E17" s="61" t="inlineStr">
        <is>
          <t>Free entry, up to 60 characters</t>
        </is>
      </c>
      <c r="F17" s="61" t="inlineStr">
        <is>
          <t>legacy_client_no of C01</t>
        </is>
      </c>
      <c r="G17" s="61" t="inlineStr">
        <is>
          <t>Free entry, up to 250 characters</t>
        </is>
      </c>
      <c r="H17" s="69" t="inlineStr">
        <is>
          <t>The legacy code; mapped by the code map PRODUCT (sheet Code maps)</t>
        </is>
      </c>
      <c r="I17" s="61" t="inlineStr">
        <is>
          <t>Free entry, up to 20 characters</t>
        </is>
      </c>
      <c r="J17" s="61" t="inlineStr">
        <is>
          <t>A whole number</t>
        </is>
      </c>
      <c r="K17" s="69" t="inlineStr">
        <is>
          <t>The legacy code; mapped by the code map LINE (sheet Code maps)</t>
        </is>
      </c>
      <c r="L17" s="69" t="inlineStr">
        <is>
          <t>The legacy code; mapped by the code map COVER_TYPE (sheet Code maps)</t>
        </is>
      </c>
      <c r="M17" s="69" t="inlineStr">
        <is>
          <t>NB, RB (list P01 business_type)</t>
        </is>
      </c>
      <c r="N17" s="69" t="inlineStr">
        <is>
          <t>The legacy code; mapped by the code map STATUS:POLICY (sheet Code maps)</t>
        </is>
      </c>
      <c r="O17" s="61" t="inlineStr">
        <is>
          <t>Free entry</t>
        </is>
      </c>
      <c r="P17" s="61" t="inlineStr">
        <is>
          <t>Free entry</t>
        </is>
      </c>
      <c r="Q17" s="61" t="inlineStr">
        <is>
          <t>ISO 4217</t>
        </is>
      </c>
      <c r="R17" s="61" t="inlineStr">
        <is>
          <t>A number</t>
        </is>
      </c>
      <c r="S17" s="61" t="inlineStr">
        <is>
          <t>A number</t>
        </is>
      </c>
      <c r="T17" s="61" t="inlineStr">
        <is>
          <t>A number</t>
        </is>
      </c>
      <c r="U17" s="61" t="inlineStr">
        <is>
          <t>A number</t>
        </is>
      </c>
      <c r="V17" s="69" t="inlineStr">
        <is>
          <t>VIA_BDOI, DIRECT (list P01 payment_arrangement)</t>
        </is>
      </c>
      <c r="W17" s="61" t="inlineStr">
        <is>
          <t>Free entry, up to 500 characters</t>
        </is>
      </c>
      <c r="X17" s="61" t="inlineStr">
        <is>
          <t>Free entry, up to 40 characters</t>
        </is>
      </c>
      <c r="Y17" s="69" t="inlineStr">
        <is>
          <t>The legacy code; mapped by the code map BANK (sheet Code maps)</t>
        </is>
      </c>
      <c r="Z17" s="61" t="inlineStr">
        <is>
          <t>Y or N</t>
        </is>
      </c>
      <c r="AA17" s="69" t="inlineStr">
        <is>
          <t>The legacy code; mapped by the code map USER (sheet Code maps)</t>
        </is>
      </c>
      <c r="AB17" s="69" t="inlineStr">
        <is>
          <t>The legacy code; mapped by the code map SALES_UNIT (sheet Code maps)</t>
        </is>
      </c>
      <c r="AC17" s="69" t="inlineStr">
        <is>
          <t>The legacy code; mapped by the code map BRANCH (sheet Code maps)</t>
        </is>
      </c>
      <c r="AD17" s="69" t="inlineStr">
        <is>
          <t>The legacy code; mapped by the code map LOV:MARKET_SEGMENT (sheet Code maps)</t>
        </is>
      </c>
      <c r="AE17" s="69" t="inlineStr">
        <is>
          <t>The legacy code; mapped by the code map MIS:BUSINESS_ORIGIN (sheet Code maps)</t>
        </is>
      </c>
      <c r="AF17" s="61" t="inlineStr">
        <is>
          <t>Free entry, up to 300 characters</t>
        </is>
      </c>
    </row>
    <row r="18" ht="56" customHeight="1">
      <c r="A18" s="59" t="inlineStr">
        <is>
          <t>What to enter</t>
        </is>
      </c>
      <c r="B18" s="61" t="inlineStr">
        <is>
          <t>Unique legacy reference of the policy term (cover no. and version, or policy reference)</t>
        </is>
      </c>
      <c r="C18" s="61" t="inlineStr">
        <is>
          <t>Legacy cover number</t>
        </is>
      </c>
      <c r="D18" s="61" t="inlineStr">
        <is>
          <t>Legacy cover version</t>
        </is>
      </c>
      <c r="E18" s="61" t="inlineStr">
        <is>
          <t>Insurer policy number</t>
        </is>
      </c>
      <c r="F18" s="61" t="inlineStr">
        <is>
          <t>Client number of the assured</t>
        </is>
      </c>
      <c r="G18" s="61" t="inlineStr">
        <is>
          <t>Assured name as on the policy</t>
        </is>
      </c>
      <c r="H18" s="61" t="inlineStr">
        <is>
          <t>Product / risk code</t>
        </is>
      </c>
      <c r="I18" s="61" t="inlineStr">
        <is>
          <t>Legacy package of a packaged policy</t>
        </is>
      </c>
      <c r="J18" s="61" t="inlineStr">
        <is>
          <t>Version of the legacy package</t>
        </is>
      </c>
      <c r="K18" s="61" t="inlineStr">
        <is>
          <t>Line of business</t>
        </is>
      </c>
      <c r="L18" s="61" t="inlineStr">
        <is>
          <t>Cover type</t>
        </is>
      </c>
      <c r="M18" s="61" t="inlineStr">
        <is>
          <t>New business or renewal</t>
        </is>
      </c>
      <c r="N18" s="61" t="inlineStr">
        <is>
          <t>Status of the term in legacy</t>
        </is>
      </c>
      <c r="O18" s="61" t="inlineStr">
        <is>
          <t>Period from</t>
        </is>
      </c>
      <c r="P18" s="61" t="inlineStr">
        <is>
          <t>Period to</t>
        </is>
      </c>
      <c r="Q18" s="61" t="inlineStr">
        <is>
          <t>Policy currency</t>
        </is>
      </c>
      <c r="R18" s="61" t="inlineStr">
        <is>
          <t>Total sum insured</t>
        </is>
      </c>
      <c r="S18" s="61" t="inlineStr">
        <is>
          <t>Basic premium</t>
        </is>
      </c>
      <c r="T18" s="61" t="inlineStr">
        <is>
          <t>Gross premium including taxes and charges</t>
        </is>
      </c>
      <c r="U18" s="61" t="inlineStr">
        <is>
          <t>Commission rate in percent</t>
        </is>
      </c>
      <c r="V18" s="61" t="inlineStr">
        <is>
          <t>Premium paid through BDOI or directly to the insurer</t>
        </is>
      </c>
      <c r="W18" s="61" t="inlineStr">
        <is>
          <t>Loan promissory note numbers, separated by semicolons</t>
        </is>
      </c>
      <c r="X18" s="61" t="inlineStr">
        <is>
          <t>Loan application number</t>
        </is>
      </c>
      <c r="Y18" s="61" t="inlineStr">
        <is>
          <t>Mortgagee</t>
        </is>
      </c>
      <c r="Z18" s="61" t="inlineStr">
        <is>
          <t>Free first year</t>
        </is>
      </c>
      <c r="AA18" s="61" t="inlineStr">
        <is>
          <t>Account officer</t>
        </is>
      </c>
      <c r="AB18" s="61" t="inlineStr">
        <is>
          <t>Sales team</t>
        </is>
      </c>
      <c r="AC18" s="61" t="inlineStr">
        <is>
          <t>Branch</t>
        </is>
      </c>
      <c r="AD18" s="61" t="inlineStr">
        <is>
          <t>Market segment</t>
        </is>
      </c>
      <c r="AE18" s="61" t="inlineStr">
        <is>
          <t>Business origin / channel</t>
        </is>
      </c>
      <c r="AF18" s="61" t="inlineStr">
        <is>
          <t>Short risk description (vehicle, location)</t>
        </is>
      </c>
    </row>
    <row r="19" ht="30" customHeight="1">
      <c r="A19" s="63" t="inlineStr">
        <is>
          <t>Row</t>
        </is>
      </c>
      <c r="B19" s="24" t="inlineStr">
        <is>
          <t>legacy_policy_ref *</t>
        </is>
      </c>
      <c r="C19" s="24" t="inlineStr">
        <is>
          <t>cover_no *</t>
        </is>
      </c>
      <c r="D19" s="24" t="inlineStr">
        <is>
          <t>cover_version</t>
        </is>
      </c>
      <c r="E19" s="24" t="inlineStr">
        <is>
          <t>policy_no *</t>
        </is>
      </c>
      <c r="F19" s="24" t="inlineStr">
        <is>
          <t>legacy_client_no *</t>
        </is>
      </c>
      <c r="G19" s="24" t="inlineStr">
        <is>
          <t>assured_name *</t>
        </is>
      </c>
      <c r="H19" s="24" t="inlineStr">
        <is>
          <t>risk_code *</t>
        </is>
      </c>
      <c r="I19" s="24" t="inlineStr">
        <is>
          <t>package_code</t>
        </is>
      </c>
      <c r="J19" s="24" t="inlineStr">
        <is>
          <t>package_version</t>
        </is>
      </c>
      <c r="K19" s="24" t="inlineStr">
        <is>
          <t>line_code *</t>
        </is>
      </c>
      <c r="L19" s="24" t="inlineStr">
        <is>
          <t>cover_type_code</t>
        </is>
      </c>
      <c r="M19" s="24" t="inlineStr">
        <is>
          <t>business_type *</t>
        </is>
      </c>
      <c r="N19" s="24" t="inlineStr">
        <is>
          <t>policy_status *</t>
        </is>
      </c>
      <c r="O19" s="24" t="inlineStr">
        <is>
          <t>inception_date *</t>
        </is>
      </c>
      <c r="P19" s="24" t="inlineStr">
        <is>
          <t>expiry_date *</t>
        </is>
      </c>
      <c r="Q19" s="24" t="inlineStr">
        <is>
          <t>currency *</t>
        </is>
      </c>
      <c r="R19" s="24" t="inlineStr">
        <is>
          <t>sum_insured *</t>
        </is>
      </c>
      <c r="S19" s="24" t="inlineStr">
        <is>
          <t>net_premium *</t>
        </is>
      </c>
      <c r="T19" s="24" t="inlineStr">
        <is>
          <t>gross_premium *</t>
        </is>
      </c>
      <c r="U19" s="24" t="inlineStr">
        <is>
          <t>commission_rate_pct</t>
        </is>
      </c>
      <c r="V19" s="24" t="inlineStr">
        <is>
          <t>payment_arrangement *</t>
        </is>
      </c>
      <c r="W19" s="24" t="inlineStr">
        <is>
          <t>pn_nos</t>
        </is>
      </c>
      <c r="X19" s="24" t="inlineStr">
        <is>
          <t>loan_application_no</t>
        </is>
      </c>
      <c r="Y19" s="24" t="inlineStr">
        <is>
          <t>mortgagee_bank</t>
        </is>
      </c>
      <c r="Z19" s="24" t="inlineStr">
        <is>
          <t>ffy_flag</t>
        </is>
      </c>
      <c r="AA19" s="24" t="inlineStr">
        <is>
          <t>ao_user_id *</t>
        </is>
      </c>
      <c r="AB19" s="24" t="inlineStr">
        <is>
          <t>sales_unit_code *</t>
        </is>
      </c>
      <c r="AC19" s="24" t="inlineStr">
        <is>
          <t>branch_code *</t>
        </is>
      </c>
      <c r="AD19" s="24" t="inlineStr">
        <is>
          <t>market_segment *</t>
        </is>
      </c>
      <c r="AE19" s="24" t="inlineStr">
        <is>
          <t>source_channel</t>
        </is>
      </c>
      <c r="AF19" s="24" t="inlineStr">
        <is>
          <t>risk_description</t>
        </is>
      </c>
    </row>
    <row r="20" ht="18" customHeight="1">
      <c r="A20" s="64" t="inlineStr">
        <is>
          <t>Example – overwrite or delete</t>
        </is>
      </c>
      <c r="B20" s="65" t="inlineStr">
        <is>
          <t>C-2026-004512-01</t>
        </is>
      </c>
      <c r="C20" s="65" t="inlineStr">
        <is>
          <t>C-2026-004512</t>
        </is>
      </c>
      <c r="D20" s="66" t="n">
        <v>1</v>
      </c>
      <c r="E20" s="65" t="inlineStr">
        <is>
          <t>MC-PC-26-0012345</t>
        </is>
      </c>
      <c r="F20" s="65" t="inlineStr">
        <is>
          <t>Q-0012345</t>
        </is>
      </c>
      <c r="G20" s="65" t="inlineStr">
        <is>
          <t>Ana C. Reyes</t>
        </is>
      </c>
      <c r="H20" s="65" t="inlineStr">
        <is>
          <t>MC-PC-COMP</t>
        </is>
      </c>
      <c r="I20" s="65" t="inlineStr">
        <is>
          <t>PKG-MC-PRIV</t>
        </is>
      </c>
      <c r="J20" s="66" t="n">
        <v>3</v>
      </c>
      <c r="K20" s="65" t="inlineStr">
        <is>
          <t>MOTOR</t>
        </is>
      </c>
      <c r="L20" s="65" t="inlineStr">
        <is>
          <t>COMP</t>
        </is>
      </c>
      <c r="M20" s="65" t="inlineStr">
        <is>
          <t>RB</t>
        </is>
      </c>
      <c r="N20" s="65" t="inlineStr">
        <is>
          <t>ISSUED</t>
        </is>
      </c>
      <c r="O20" s="65" t="inlineStr">
        <is>
          <t>2027-03-15</t>
        </is>
      </c>
      <c r="P20" s="65" t="inlineStr">
        <is>
          <t>2028-03-15</t>
        </is>
      </c>
      <c r="Q20" s="65" t="inlineStr">
        <is>
          <t>PHP</t>
        </is>
      </c>
      <c r="R20" s="66" t="n">
        <v>950000</v>
      </c>
      <c r="S20" s="66" t="n">
        <v>21375</v>
      </c>
      <c r="T20" s="66" t="n">
        <v>25946.25</v>
      </c>
      <c r="U20" s="66" t="n">
        <v>20</v>
      </c>
      <c r="V20" s="65" t="inlineStr">
        <is>
          <t>VIA_BDOI</t>
        </is>
      </c>
      <c r="W20" s="65" t="inlineStr">
        <is>
          <t>PN-2019-000123</t>
        </is>
      </c>
      <c r="X20" s="65" t="inlineStr">
        <is>
          <t>LA-2019-5566</t>
        </is>
      </c>
      <c r="Y20" s="65" t="inlineStr">
        <is>
          <t>BDO</t>
        </is>
      </c>
      <c r="Z20" s="65" t="inlineStr">
        <is>
          <t>N</t>
        </is>
      </c>
      <c r="AA20" s="65" t="inlineStr">
        <is>
          <t>mreyes</t>
        </is>
      </c>
      <c r="AB20" s="65" t="inlineStr">
        <is>
          <t>T-RET-07</t>
        </is>
      </c>
      <c r="AC20" s="65" t="inlineStr">
        <is>
          <t>MKT01</t>
        </is>
      </c>
      <c r="AD20" s="65" t="inlineStr">
        <is>
          <t>CBG</t>
        </is>
      </c>
      <c r="AE20" s="65" t="inlineStr">
        <is>
          <t>BANK_REFERRAL</t>
        </is>
      </c>
      <c r="AF20" s="65" t="inlineStr">
        <is>
          <t>2022 Toyota Vios ABC 1234</t>
        </is>
      </c>
    </row>
    <row r="21">
      <c r="B21" s="67" t="n"/>
      <c r="C21" s="67" t="n"/>
      <c r="E21" s="67" t="n"/>
      <c r="F21" s="67" t="n"/>
      <c r="G21" s="67" t="n"/>
      <c r="H21" s="67" t="n"/>
      <c r="I21" s="67" t="n"/>
      <c r="K21" s="67" t="n"/>
      <c r="L21" s="67" t="n"/>
      <c r="M21" s="67" t="n"/>
      <c r="N21" s="67" t="n"/>
      <c r="O21" s="67" t="n"/>
      <c r="P21" s="67" t="n"/>
      <c r="Q21" s="67" t="n"/>
      <c r="V21" s="67" t="n"/>
      <c r="W21" s="67" t="n"/>
      <c r="X21" s="67" t="n"/>
      <c r="Y21" s="67" t="n"/>
      <c r="Z21" s="67" t="n"/>
      <c r="AA21" s="67" t="n"/>
      <c r="AB21" s="67" t="n"/>
      <c r="AC21" s="67" t="n"/>
      <c r="AD21" s="67" t="n"/>
      <c r="AE21" s="67" t="n"/>
      <c r="AF21" s="67" t="n"/>
    </row>
    <row r="22">
      <c r="B22" s="67" t="n"/>
      <c r="C22" s="67" t="n"/>
      <c r="E22" s="67" t="n"/>
      <c r="F22" s="67" t="n"/>
      <c r="G22" s="67" t="n"/>
      <c r="H22" s="67" t="n"/>
      <c r="I22" s="67" t="n"/>
      <c r="K22" s="67" t="n"/>
      <c r="L22" s="67" t="n"/>
      <c r="M22" s="67" t="n"/>
      <c r="N22" s="67" t="n"/>
      <c r="O22" s="67" t="n"/>
      <c r="P22" s="67" t="n"/>
      <c r="Q22" s="67" t="n"/>
      <c r="V22" s="67" t="n"/>
      <c r="W22" s="67" t="n"/>
      <c r="X22" s="67" t="n"/>
      <c r="Y22" s="67" t="n"/>
      <c r="Z22" s="67" t="n"/>
      <c r="AA22" s="67" t="n"/>
      <c r="AB22" s="67" t="n"/>
      <c r="AC22" s="67" t="n"/>
      <c r="AD22" s="67" t="n"/>
      <c r="AE22" s="67" t="n"/>
      <c r="AF22" s="67" t="n"/>
    </row>
    <row r="23">
      <c r="B23" s="67" t="n"/>
      <c r="C23" s="67" t="n"/>
      <c r="E23" s="67" t="n"/>
      <c r="F23" s="67" t="n"/>
      <c r="G23" s="67" t="n"/>
      <c r="H23" s="67" t="n"/>
      <c r="I23" s="67" t="n"/>
      <c r="K23" s="67" t="n"/>
      <c r="L23" s="67" t="n"/>
      <c r="M23" s="67" t="n"/>
      <c r="N23" s="67" t="n"/>
      <c r="O23" s="67" t="n"/>
      <c r="P23" s="67" t="n"/>
      <c r="Q23" s="67" t="n"/>
      <c r="V23" s="67" t="n"/>
      <c r="W23" s="67" t="n"/>
      <c r="X23" s="67" t="n"/>
      <c r="Y23" s="67" t="n"/>
      <c r="Z23" s="67" t="n"/>
      <c r="AA23" s="67" t="n"/>
      <c r="AB23" s="67" t="n"/>
      <c r="AC23" s="67" t="n"/>
      <c r="AD23" s="67" t="n"/>
      <c r="AE23" s="67" t="n"/>
      <c r="AF23" s="67" t="n"/>
    </row>
    <row r="24">
      <c r="B24" s="67" t="n"/>
      <c r="C24" s="67" t="n"/>
      <c r="E24" s="67" t="n"/>
      <c r="F24" s="67" t="n"/>
      <c r="G24" s="67" t="n"/>
      <c r="H24" s="67" t="n"/>
      <c r="I24" s="67" t="n"/>
      <c r="K24" s="67" t="n"/>
      <c r="L24" s="67" t="n"/>
      <c r="M24" s="67" t="n"/>
      <c r="N24" s="67" t="n"/>
      <c r="O24" s="67" t="n"/>
      <c r="P24" s="67" t="n"/>
      <c r="Q24" s="67" t="n"/>
      <c r="V24" s="67" t="n"/>
      <c r="W24" s="67" t="n"/>
      <c r="X24" s="67" t="n"/>
      <c r="Y24" s="67" t="n"/>
      <c r="Z24" s="67" t="n"/>
      <c r="AA24" s="67" t="n"/>
      <c r="AB24" s="67" t="n"/>
      <c r="AC24" s="67" t="n"/>
      <c r="AD24" s="67" t="n"/>
      <c r="AE24" s="67" t="n"/>
      <c r="AF24" s="67" t="n"/>
    </row>
    <row r="25">
      <c r="B25" s="67" t="n"/>
      <c r="C25" s="67" t="n"/>
      <c r="E25" s="67" t="n"/>
      <c r="F25" s="67" t="n"/>
      <c r="G25" s="67" t="n"/>
      <c r="H25" s="67" t="n"/>
      <c r="I25" s="67" t="n"/>
      <c r="K25" s="67" t="n"/>
      <c r="L25" s="67" t="n"/>
      <c r="M25" s="67" t="n"/>
      <c r="N25" s="67" t="n"/>
      <c r="O25" s="67" t="n"/>
      <c r="P25" s="67" t="n"/>
      <c r="Q25" s="67" t="n"/>
      <c r="V25" s="67" t="n"/>
      <c r="W25" s="67" t="n"/>
      <c r="X25" s="67" t="n"/>
      <c r="Y25" s="67" t="n"/>
      <c r="Z25" s="67" t="n"/>
      <c r="AA25" s="67" t="n"/>
      <c r="AB25" s="67" t="n"/>
      <c r="AC25" s="67" t="n"/>
      <c r="AD25" s="67" t="n"/>
      <c r="AE25" s="67" t="n"/>
      <c r="AF25" s="67" t="n"/>
    </row>
    <row r="26">
      <c r="B26" s="67" t="n"/>
      <c r="C26" s="67" t="n"/>
      <c r="E26" s="67" t="n"/>
      <c r="F26" s="67" t="n"/>
      <c r="G26" s="67" t="n"/>
      <c r="H26" s="67" t="n"/>
      <c r="I26" s="67" t="n"/>
      <c r="K26" s="67" t="n"/>
      <c r="L26" s="67" t="n"/>
      <c r="M26" s="67" t="n"/>
      <c r="N26" s="67" t="n"/>
      <c r="O26" s="67" t="n"/>
      <c r="P26" s="67" t="n"/>
      <c r="Q26" s="67" t="n"/>
      <c r="V26" s="67" t="n"/>
      <c r="W26" s="67" t="n"/>
      <c r="X26" s="67" t="n"/>
      <c r="Y26" s="67" t="n"/>
      <c r="Z26" s="67" t="n"/>
      <c r="AA26" s="67" t="n"/>
      <c r="AB26" s="67" t="n"/>
      <c r="AC26" s="67" t="n"/>
      <c r="AD26" s="67" t="n"/>
      <c r="AE26" s="67" t="n"/>
      <c r="AF26" s="67" t="n"/>
    </row>
    <row r="27">
      <c r="B27" s="67" t="n"/>
      <c r="C27" s="67" t="n"/>
      <c r="E27" s="67" t="n"/>
      <c r="F27" s="67" t="n"/>
      <c r="G27" s="67" t="n"/>
      <c r="H27" s="67" t="n"/>
      <c r="I27" s="67" t="n"/>
      <c r="K27" s="67" t="n"/>
      <c r="L27" s="67" t="n"/>
      <c r="M27" s="67" t="n"/>
      <c r="N27" s="67" t="n"/>
      <c r="O27" s="67" t="n"/>
      <c r="P27" s="67" t="n"/>
      <c r="Q27" s="67" t="n"/>
      <c r="V27" s="67" t="n"/>
      <c r="W27" s="67" t="n"/>
      <c r="X27" s="67" t="n"/>
      <c r="Y27" s="67" t="n"/>
      <c r="Z27" s="67" t="n"/>
      <c r="AA27" s="67" t="n"/>
      <c r="AB27" s="67" t="n"/>
      <c r="AC27" s="67" t="n"/>
      <c r="AD27" s="67" t="n"/>
      <c r="AE27" s="67" t="n"/>
      <c r="AF27" s="67" t="n"/>
    </row>
    <row r="28">
      <c r="B28" s="67" t="n"/>
      <c r="C28" s="67" t="n"/>
      <c r="E28" s="67" t="n"/>
      <c r="F28" s="67" t="n"/>
      <c r="G28" s="67" t="n"/>
      <c r="H28" s="67" t="n"/>
      <c r="I28" s="67" t="n"/>
      <c r="K28" s="67" t="n"/>
      <c r="L28" s="67" t="n"/>
      <c r="M28" s="67" t="n"/>
      <c r="N28" s="67" t="n"/>
      <c r="O28" s="67" t="n"/>
      <c r="P28" s="67" t="n"/>
      <c r="Q28" s="67" t="n"/>
      <c r="V28" s="67" t="n"/>
      <c r="W28" s="67" t="n"/>
      <c r="X28" s="67" t="n"/>
      <c r="Y28" s="67" t="n"/>
      <c r="Z28" s="67" t="n"/>
      <c r="AA28" s="67" t="n"/>
      <c r="AB28" s="67" t="n"/>
      <c r="AC28" s="67" t="n"/>
      <c r="AD28" s="67" t="n"/>
      <c r="AE28" s="67" t="n"/>
      <c r="AF28" s="67" t="n"/>
    </row>
    <row r="29">
      <c r="B29" s="67" t="n"/>
      <c r="C29" s="67" t="n"/>
      <c r="E29" s="67" t="n"/>
      <c r="F29" s="67" t="n"/>
      <c r="G29" s="67" t="n"/>
      <c r="H29" s="67" t="n"/>
      <c r="I29" s="67" t="n"/>
      <c r="K29" s="67" t="n"/>
      <c r="L29" s="67" t="n"/>
      <c r="M29" s="67" t="n"/>
      <c r="N29" s="67" t="n"/>
      <c r="O29" s="67" t="n"/>
      <c r="P29" s="67" t="n"/>
      <c r="Q29" s="67" t="n"/>
      <c r="V29" s="67" t="n"/>
      <c r="W29" s="67" t="n"/>
      <c r="X29" s="67" t="n"/>
      <c r="Y29" s="67" t="n"/>
      <c r="Z29" s="67" t="n"/>
      <c r="AA29" s="67" t="n"/>
      <c r="AB29" s="67" t="n"/>
      <c r="AC29" s="67" t="n"/>
      <c r="AD29" s="67" t="n"/>
      <c r="AE29" s="67" t="n"/>
      <c r="AF29" s="67" t="n"/>
    </row>
    <row r="30">
      <c r="B30" s="67" t="n"/>
      <c r="C30" s="67" t="n"/>
      <c r="E30" s="67" t="n"/>
      <c r="F30" s="67" t="n"/>
      <c r="G30" s="67" t="n"/>
      <c r="H30" s="67" t="n"/>
      <c r="I30" s="67" t="n"/>
      <c r="K30" s="67" t="n"/>
      <c r="L30" s="67" t="n"/>
      <c r="M30" s="67" t="n"/>
      <c r="N30" s="67" t="n"/>
      <c r="O30" s="67" t="n"/>
      <c r="P30" s="67" t="n"/>
      <c r="Q30" s="67" t="n"/>
      <c r="V30" s="67" t="n"/>
      <c r="W30" s="67" t="n"/>
      <c r="X30" s="67" t="n"/>
      <c r="Y30" s="67" t="n"/>
      <c r="Z30" s="67" t="n"/>
      <c r="AA30" s="67" t="n"/>
      <c r="AB30" s="67" t="n"/>
      <c r="AC30" s="67" t="n"/>
      <c r="AD30" s="67" t="n"/>
      <c r="AE30" s="67" t="n"/>
      <c r="AF30" s="67" t="n"/>
    </row>
    <row r="31">
      <c r="B31" s="67" t="n"/>
      <c r="C31" s="67" t="n"/>
      <c r="E31" s="67" t="n"/>
      <c r="F31" s="67" t="n"/>
      <c r="G31" s="67" t="n"/>
      <c r="H31" s="67" t="n"/>
      <c r="I31" s="67" t="n"/>
      <c r="K31" s="67" t="n"/>
      <c r="L31" s="67" t="n"/>
      <c r="M31" s="67" t="n"/>
      <c r="N31" s="67" t="n"/>
      <c r="O31" s="67" t="n"/>
      <c r="P31" s="67" t="n"/>
      <c r="Q31" s="67" t="n"/>
      <c r="V31" s="67" t="n"/>
      <c r="W31" s="67" t="n"/>
      <c r="X31" s="67" t="n"/>
      <c r="Y31" s="67" t="n"/>
      <c r="Z31" s="67" t="n"/>
      <c r="AA31" s="67" t="n"/>
      <c r="AB31" s="67" t="n"/>
      <c r="AC31" s="67" t="n"/>
      <c r="AD31" s="67" t="n"/>
      <c r="AE31" s="67" t="n"/>
      <c r="AF31" s="67" t="n"/>
    </row>
    <row r="32">
      <c r="B32" s="67" t="n"/>
      <c r="C32" s="67" t="n"/>
      <c r="E32" s="67" t="n"/>
      <c r="F32" s="67" t="n"/>
      <c r="G32" s="67" t="n"/>
      <c r="H32" s="67" t="n"/>
      <c r="I32" s="67" t="n"/>
      <c r="K32" s="67" t="n"/>
      <c r="L32" s="67" t="n"/>
      <c r="M32" s="67" t="n"/>
      <c r="N32" s="67" t="n"/>
      <c r="O32" s="67" t="n"/>
      <c r="P32" s="67" t="n"/>
      <c r="Q32" s="67" t="n"/>
      <c r="V32" s="67" t="n"/>
      <c r="W32" s="67" t="n"/>
      <c r="X32" s="67" t="n"/>
      <c r="Y32" s="67" t="n"/>
      <c r="Z32" s="67" t="n"/>
      <c r="AA32" s="67" t="n"/>
      <c r="AB32" s="67" t="n"/>
      <c r="AC32" s="67" t="n"/>
      <c r="AD32" s="67" t="n"/>
      <c r="AE32" s="67" t="n"/>
      <c r="AF32" s="67" t="n"/>
    </row>
    <row r="33">
      <c r="B33" s="67" t="n"/>
      <c r="C33" s="67" t="n"/>
      <c r="E33" s="67" t="n"/>
      <c r="F33" s="67" t="n"/>
      <c r="G33" s="67" t="n"/>
      <c r="H33" s="67" t="n"/>
      <c r="I33" s="67" t="n"/>
      <c r="K33" s="67" t="n"/>
      <c r="L33" s="67" t="n"/>
      <c r="M33" s="67" t="n"/>
      <c r="N33" s="67" t="n"/>
      <c r="O33" s="67" t="n"/>
      <c r="P33" s="67" t="n"/>
      <c r="Q33" s="67" t="n"/>
      <c r="V33" s="67" t="n"/>
      <c r="W33" s="67" t="n"/>
      <c r="X33" s="67" t="n"/>
      <c r="Y33" s="67" t="n"/>
      <c r="Z33" s="67" t="n"/>
      <c r="AA33" s="67" t="n"/>
      <c r="AB33" s="67" t="n"/>
      <c r="AC33" s="67" t="n"/>
      <c r="AD33" s="67" t="n"/>
      <c r="AE33" s="67" t="n"/>
      <c r="AF33" s="67" t="n"/>
    </row>
    <row r="34">
      <c r="B34" s="67" t="n"/>
      <c r="C34" s="67" t="n"/>
      <c r="E34" s="67" t="n"/>
      <c r="F34" s="67" t="n"/>
      <c r="G34" s="67" t="n"/>
      <c r="H34" s="67" t="n"/>
      <c r="I34" s="67" t="n"/>
      <c r="K34" s="67" t="n"/>
      <c r="L34" s="67" t="n"/>
      <c r="M34" s="67" t="n"/>
      <c r="N34" s="67" t="n"/>
      <c r="O34" s="67" t="n"/>
      <c r="P34" s="67" t="n"/>
      <c r="Q34" s="67" t="n"/>
      <c r="V34" s="67" t="n"/>
      <c r="W34" s="67" t="n"/>
      <c r="X34" s="67" t="n"/>
      <c r="Y34" s="67" t="n"/>
      <c r="Z34" s="67" t="n"/>
      <c r="AA34" s="67" t="n"/>
      <c r="AB34" s="67" t="n"/>
      <c r="AC34" s="67" t="n"/>
      <c r="AD34" s="67" t="n"/>
      <c r="AE34" s="67" t="n"/>
      <c r="AF34" s="67" t="n"/>
    </row>
    <row r="35">
      <c r="B35" s="67" t="n"/>
      <c r="C35" s="67" t="n"/>
      <c r="E35" s="67" t="n"/>
      <c r="F35" s="67" t="n"/>
      <c r="G35" s="67" t="n"/>
      <c r="H35" s="67" t="n"/>
      <c r="I35" s="67" t="n"/>
      <c r="K35" s="67" t="n"/>
      <c r="L35" s="67" t="n"/>
      <c r="M35" s="67" t="n"/>
      <c r="N35" s="67" t="n"/>
      <c r="O35" s="67" t="n"/>
      <c r="P35" s="67" t="n"/>
      <c r="Q35" s="67" t="n"/>
      <c r="V35" s="67" t="n"/>
      <c r="W35" s="67" t="n"/>
      <c r="X35" s="67" t="n"/>
      <c r="Y35" s="67" t="n"/>
      <c r="Z35" s="67" t="n"/>
      <c r="AA35" s="67" t="n"/>
      <c r="AB35" s="67" t="n"/>
      <c r="AC35" s="67" t="n"/>
      <c r="AD35" s="67" t="n"/>
      <c r="AE35" s="67" t="n"/>
      <c r="AF35" s="67" t="n"/>
    </row>
    <row r="36">
      <c r="B36" s="67" t="n"/>
      <c r="C36" s="67" t="n"/>
      <c r="E36" s="67" t="n"/>
      <c r="F36" s="67" t="n"/>
      <c r="G36" s="67" t="n"/>
      <c r="H36" s="67" t="n"/>
      <c r="I36" s="67" t="n"/>
      <c r="K36" s="67" t="n"/>
      <c r="L36" s="67" t="n"/>
      <c r="M36" s="67" t="n"/>
      <c r="N36" s="67" t="n"/>
      <c r="O36" s="67" t="n"/>
      <c r="P36" s="67" t="n"/>
      <c r="Q36" s="67" t="n"/>
      <c r="V36" s="67" t="n"/>
      <c r="W36" s="67" t="n"/>
      <c r="X36" s="67" t="n"/>
      <c r="Y36" s="67" t="n"/>
      <c r="Z36" s="67" t="n"/>
      <c r="AA36" s="67" t="n"/>
      <c r="AB36" s="67" t="n"/>
      <c r="AC36" s="67" t="n"/>
      <c r="AD36" s="67" t="n"/>
      <c r="AE36" s="67" t="n"/>
      <c r="AF36" s="67" t="n"/>
    </row>
    <row r="37">
      <c r="B37" s="67" t="n"/>
      <c r="C37" s="67" t="n"/>
      <c r="E37" s="67" t="n"/>
      <c r="F37" s="67" t="n"/>
      <c r="G37" s="67" t="n"/>
      <c r="H37" s="67" t="n"/>
      <c r="I37" s="67" t="n"/>
      <c r="K37" s="67" t="n"/>
      <c r="L37" s="67" t="n"/>
      <c r="M37" s="67" t="n"/>
      <c r="N37" s="67" t="n"/>
      <c r="O37" s="67" t="n"/>
      <c r="P37" s="67" t="n"/>
      <c r="Q37" s="67" t="n"/>
      <c r="V37" s="67" t="n"/>
      <c r="W37" s="67" t="n"/>
      <c r="X37" s="67" t="n"/>
      <c r="Y37" s="67" t="n"/>
      <c r="Z37" s="67" t="n"/>
      <c r="AA37" s="67" t="n"/>
      <c r="AB37" s="67" t="n"/>
      <c r="AC37" s="67" t="n"/>
      <c r="AD37" s="67" t="n"/>
      <c r="AE37" s="67" t="n"/>
      <c r="AF37" s="67" t="n"/>
    </row>
    <row r="38">
      <c r="B38" s="67" t="n"/>
      <c r="C38" s="67" t="n"/>
      <c r="E38" s="67" t="n"/>
      <c r="F38" s="67" t="n"/>
      <c r="G38" s="67" t="n"/>
      <c r="H38" s="67" t="n"/>
      <c r="I38" s="67" t="n"/>
      <c r="K38" s="67" t="n"/>
      <c r="L38" s="67" t="n"/>
      <c r="M38" s="67" t="n"/>
      <c r="N38" s="67" t="n"/>
      <c r="O38" s="67" t="n"/>
      <c r="P38" s="67" t="n"/>
      <c r="Q38" s="67" t="n"/>
      <c r="V38" s="67" t="n"/>
      <c r="W38" s="67" t="n"/>
      <c r="X38" s="67" t="n"/>
      <c r="Y38" s="67" t="n"/>
      <c r="Z38" s="67" t="n"/>
      <c r="AA38" s="67" t="n"/>
      <c r="AB38" s="67" t="n"/>
      <c r="AC38" s="67" t="n"/>
      <c r="AD38" s="67" t="n"/>
      <c r="AE38" s="67" t="n"/>
      <c r="AF38" s="67" t="n"/>
    </row>
    <row r="39">
      <c r="B39" s="67" t="n"/>
      <c r="C39" s="67" t="n"/>
      <c r="E39" s="67" t="n"/>
      <c r="F39" s="67" t="n"/>
      <c r="G39" s="67" t="n"/>
      <c r="H39" s="67" t="n"/>
      <c r="I39" s="67" t="n"/>
      <c r="K39" s="67" t="n"/>
      <c r="L39" s="67" t="n"/>
      <c r="M39" s="67" t="n"/>
      <c r="N39" s="67" t="n"/>
      <c r="O39" s="67" t="n"/>
      <c r="P39" s="67" t="n"/>
      <c r="Q39" s="67" t="n"/>
      <c r="V39" s="67" t="n"/>
      <c r="W39" s="67" t="n"/>
      <c r="X39" s="67" t="n"/>
      <c r="Y39" s="67" t="n"/>
      <c r="Z39" s="67" t="n"/>
      <c r="AA39" s="67" t="n"/>
      <c r="AB39" s="67" t="n"/>
      <c r="AC39" s="67" t="n"/>
      <c r="AD39" s="67" t="n"/>
      <c r="AE39" s="67" t="n"/>
      <c r="AF39" s="67" t="n"/>
    </row>
    <row r="40">
      <c r="B40" s="67" t="n"/>
      <c r="C40" s="67" t="n"/>
      <c r="E40" s="67" t="n"/>
      <c r="F40" s="67" t="n"/>
      <c r="G40" s="67" t="n"/>
      <c r="H40" s="67" t="n"/>
      <c r="I40" s="67" t="n"/>
      <c r="K40" s="67" t="n"/>
      <c r="L40" s="67" t="n"/>
      <c r="M40" s="67" t="n"/>
      <c r="N40" s="67" t="n"/>
      <c r="O40" s="67" t="n"/>
      <c r="P40" s="67" t="n"/>
      <c r="Q40" s="67" t="n"/>
      <c r="V40" s="67" t="n"/>
      <c r="W40" s="67" t="n"/>
      <c r="X40" s="67" t="n"/>
      <c r="Y40" s="67" t="n"/>
      <c r="Z40" s="67" t="n"/>
      <c r="AA40" s="67" t="n"/>
      <c r="AB40" s="67" t="n"/>
      <c r="AC40" s="67" t="n"/>
      <c r="AD40" s="67" t="n"/>
      <c r="AE40" s="67" t="n"/>
      <c r="AF40" s="67" t="n"/>
    </row>
    <row r="41">
      <c r="B41" s="67" t="n"/>
      <c r="C41" s="67" t="n"/>
      <c r="E41" s="67" t="n"/>
      <c r="F41" s="67" t="n"/>
      <c r="G41" s="67" t="n"/>
      <c r="H41" s="67" t="n"/>
      <c r="I41" s="67" t="n"/>
      <c r="K41" s="67" t="n"/>
      <c r="L41" s="67" t="n"/>
      <c r="M41" s="67" t="n"/>
      <c r="N41" s="67" t="n"/>
      <c r="O41" s="67" t="n"/>
      <c r="P41" s="67" t="n"/>
      <c r="Q41" s="67" t="n"/>
      <c r="V41" s="67" t="n"/>
      <c r="W41" s="67" t="n"/>
      <c r="X41" s="67" t="n"/>
      <c r="Y41" s="67" t="n"/>
      <c r="Z41" s="67" t="n"/>
      <c r="AA41" s="67" t="n"/>
      <c r="AB41" s="67" t="n"/>
      <c r="AC41" s="67" t="n"/>
      <c r="AD41" s="67" t="n"/>
      <c r="AE41" s="67" t="n"/>
      <c r="AF41" s="67" t="n"/>
    </row>
    <row r="42">
      <c r="B42" s="67" t="n"/>
      <c r="C42" s="67" t="n"/>
      <c r="E42" s="67" t="n"/>
      <c r="F42" s="67" t="n"/>
      <c r="G42" s="67" t="n"/>
      <c r="H42" s="67" t="n"/>
      <c r="I42" s="67" t="n"/>
      <c r="K42" s="67" t="n"/>
      <c r="L42" s="67" t="n"/>
      <c r="M42" s="67" t="n"/>
      <c r="N42" s="67" t="n"/>
      <c r="O42" s="67" t="n"/>
      <c r="P42" s="67" t="n"/>
      <c r="Q42" s="67" t="n"/>
      <c r="V42" s="67" t="n"/>
      <c r="W42" s="67" t="n"/>
      <c r="X42" s="67" t="n"/>
      <c r="Y42" s="67" t="n"/>
      <c r="Z42" s="67" t="n"/>
      <c r="AA42" s="67" t="n"/>
      <c r="AB42" s="67" t="n"/>
      <c r="AC42" s="67" t="n"/>
      <c r="AD42" s="67" t="n"/>
      <c r="AE42" s="67" t="n"/>
      <c r="AF42" s="67" t="n"/>
    </row>
    <row r="43">
      <c r="B43" s="67" t="n"/>
      <c r="C43" s="67" t="n"/>
      <c r="E43" s="67" t="n"/>
      <c r="F43" s="67" t="n"/>
      <c r="G43" s="67" t="n"/>
      <c r="H43" s="67" t="n"/>
      <c r="I43" s="67" t="n"/>
      <c r="K43" s="67" t="n"/>
      <c r="L43" s="67" t="n"/>
      <c r="M43" s="67" t="n"/>
      <c r="N43" s="67" t="n"/>
      <c r="O43" s="67" t="n"/>
      <c r="P43" s="67" t="n"/>
      <c r="Q43" s="67" t="n"/>
      <c r="V43" s="67" t="n"/>
      <c r="W43" s="67" t="n"/>
      <c r="X43" s="67" t="n"/>
      <c r="Y43" s="67" t="n"/>
      <c r="Z43" s="67" t="n"/>
      <c r="AA43" s="67" t="n"/>
      <c r="AB43" s="67" t="n"/>
      <c r="AC43" s="67" t="n"/>
      <c r="AD43" s="67" t="n"/>
      <c r="AE43" s="67" t="n"/>
      <c r="AF43" s="67" t="n"/>
    </row>
    <row r="44">
      <c r="B44" s="67" t="n"/>
      <c r="C44" s="67" t="n"/>
      <c r="E44" s="67" t="n"/>
      <c r="F44" s="67" t="n"/>
      <c r="G44" s="67" t="n"/>
      <c r="H44" s="67" t="n"/>
      <c r="I44" s="67" t="n"/>
      <c r="K44" s="67" t="n"/>
      <c r="L44" s="67" t="n"/>
      <c r="M44" s="67" t="n"/>
      <c r="N44" s="67" t="n"/>
      <c r="O44" s="67" t="n"/>
      <c r="P44" s="67" t="n"/>
      <c r="Q44" s="67" t="n"/>
      <c r="V44" s="67" t="n"/>
      <c r="W44" s="67" t="n"/>
      <c r="X44" s="67" t="n"/>
      <c r="Y44" s="67" t="n"/>
      <c r="Z44" s="67" t="n"/>
      <c r="AA44" s="67" t="n"/>
      <c r="AB44" s="67" t="n"/>
      <c r="AC44" s="67" t="n"/>
      <c r="AD44" s="67" t="n"/>
      <c r="AE44" s="67" t="n"/>
      <c r="AF44" s="67" t="n"/>
    </row>
    <row r="45">
      <c r="B45" s="67" t="n"/>
      <c r="C45" s="67" t="n"/>
      <c r="E45" s="67" t="n"/>
      <c r="F45" s="67" t="n"/>
      <c r="G45" s="67" t="n"/>
      <c r="H45" s="67" t="n"/>
      <c r="I45" s="67" t="n"/>
      <c r="K45" s="67" t="n"/>
      <c r="L45" s="67" t="n"/>
      <c r="M45" s="67" t="n"/>
      <c r="N45" s="67" t="n"/>
      <c r="O45" s="67" t="n"/>
      <c r="P45" s="67" t="n"/>
      <c r="Q45" s="67" t="n"/>
      <c r="V45" s="67" t="n"/>
      <c r="W45" s="67" t="n"/>
      <c r="X45" s="67" t="n"/>
      <c r="Y45" s="67" t="n"/>
      <c r="Z45" s="67" t="n"/>
      <c r="AA45" s="67" t="n"/>
      <c r="AB45" s="67" t="n"/>
      <c r="AC45" s="67" t="n"/>
      <c r="AD45" s="67" t="n"/>
      <c r="AE45" s="67" t="n"/>
      <c r="AF45" s="67" t="n"/>
    </row>
    <row r="46">
      <c r="B46" s="67" t="n"/>
      <c r="C46" s="67" t="n"/>
      <c r="E46" s="67" t="n"/>
      <c r="F46" s="67" t="n"/>
      <c r="G46" s="67" t="n"/>
      <c r="H46" s="67" t="n"/>
      <c r="I46" s="67" t="n"/>
      <c r="K46" s="67" t="n"/>
      <c r="L46" s="67" t="n"/>
      <c r="M46" s="67" t="n"/>
      <c r="N46" s="67" t="n"/>
      <c r="O46" s="67" t="n"/>
      <c r="P46" s="67" t="n"/>
      <c r="Q46" s="67" t="n"/>
      <c r="V46" s="67" t="n"/>
      <c r="W46" s="67" t="n"/>
      <c r="X46" s="67" t="n"/>
      <c r="Y46" s="67" t="n"/>
      <c r="Z46" s="67" t="n"/>
      <c r="AA46" s="67" t="n"/>
      <c r="AB46" s="67" t="n"/>
      <c r="AC46" s="67" t="n"/>
      <c r="AD46" s="67" t="n"/>
      <c r="AE46" s="67" t="n"/>
      <c r="AF46" s="67" t="n"/>
    </row>
    <row r="47">
      <c r="B47" s="67" t="n"/>
      <c r="C47" s="67" t="n"/>
      <c r="E47" s="67" t="n"/>
      <c r="F47" s="67" t="n"/>
      <c r="G47" s="67" t="n"/>
      <c r="H47" s="67" t="n"/>
      <c r="I47" s="67" t="n"/>
      <c r="K47" s="67" t="n"/>
      <c r="L47" s="67" t="n"/>
      <c r="M47" s="67" t="n"/>
      <c r="N47" s="67" t="n"/>
      <c r="O47" s="67" t="n"/>
      <c r="P47" s="67" t="n"/>
      <c r="Q47" s="67" t="n"/>
      <c r="V47" s="67" t="n"/>
      <c r="W47" s="67" t="n"/>
      <c r="X47" s="67" t="n"/>
      <c r="Y47" s="67" t="n"/>
      <c r="Z47" s="67" t="n"/>
      <c r="AA47" s="67" t="n"/>
      <c r="AB47" s="67" t="n"/>
      <c r="AC47" s="67" t="n"/>
      <c r="AD47" s="67" t="n"/>
      <c r="AE47" s="67" t="n"/>
      <c r="AF47" s="67" t="n"/>
    </row>
    <row r="48">
      <c r="B48" s="67" t="n"/>
      <c r="C48" s="67" t="n"/>
      <c r="E48" s="67" t="n"/>
      <c r="F48" s="67" t="n"/>
      <c r="G48" s="67" t="n"/>
      <c r="H48" s="67" t="n"/>
      <c r="I48" s="67" t="n"/>
      <c r="K48" s="67" t="n"/>
      <c r="L48" s="67" t="n"/>
      <c r="M48" s="67" t="n"/>
      <c r="N48" s="67" t="n"/>
      <c r="O48" s="67" t="n"/>
      <c r="P48" s="67" t="n"/>
      <c r="Q48" s="67" t="n"/>
      <c r="V48" s="67" t="n"/>
      <c r="W48" s="67" t="n"/>
      <c r="X48" s="67" t="n"/>
      <c r="Y48" s="67" t="n"/>
      <c r="Z48" s="67" t="n"/>
      <c r="AA48" s="67" t="n"/>
      <c r="AB48" s="67" t="n"/>
      <c r="AC48" s="67" t="n"/>
      <c r="AD48" s="67" t="n"/>
      <c r="AE48" s="67" t="n"/>
      <c r="AF48" s="67" t="n"/>
    </row>
    <row r="49">
      <c r="B49" s="67" t="n"/>
      <c r="C49" s="67" t="n"/>
      <c r="E49" s="67" t="n"/>
      <c r="F49" s="67" t="n"/>
      <c r="G49" s="67" t="n"/>
      <c r="H49" s="67" t="n"/>
      <c r="I49" s="67" t="n"/>
      <c r="K49" s="67" t="n"/>
      <c r="L49" s="67" t="n"/>
      <c r="M49" s="67" t="n"/>
      <c r="N49" s="67" t="n"/>
      <c r="O49" s="67" t="n"/>
      <c r="P49" s="67" t="n"/>
      <c r="Q49" s="67" t="n"/>
      <c r="V49" s="67" t="n"/>
      <c r="W49" s="67" t="n"/>
      <c r="X49" s="67" t="n"/>
      <c r="Y49" s="67" t="n"/>
      <c r="Z49" s="67" t="n"/>
      <c r="AA49" s="67" t="n"/>
      <c r="AB49" s="67" t="n"/>
      <c r="AC49" s="67" t="n"/>
      <c r="AD49" s="67" t="n"/>
      <c r="AE49" s="67" t="n"/>
      <c r="AF49" s="67" t="n"/>
    </row>
    <row r="50">
      <c r="B50" s="67" t="n"/>
      <c r="C50" s="67" t="n"/>
      <c r="E50" s="67" t="n"/>
      <c r="F50" s="67" t="n"/>
      <c r="G50" s="67" t="n"/>
      <c r="H50" s="67" t="n"/>
      <c r="I50" s="67" t="n"/>
      <c r="K50" s="67" t="n"/>
      <c r="L50" s="67" t="n"/>
      <c r="M50" s="67" t="n"/>
      <c r="N50" s="67" t="n"/>
      <c r="O50" s="67" t="n"/>
      <c r="P50" s="67" t="n"/>
      <c r="Q50" s="67" t="n"/>
      <c r="V50" s="67" t="n"/>
      <c r="W50" s="67" t="n"/>
      <c r="X50" s="67" t="n"/>
      <c r="Y50" s="67" t="n"/>
      <c r="Z50" s="67" t="n"/>
      <c r="AA50" s="67" t="n"/>
      <c r="AB50" s="67" t="n"/>
      <c r="AC50" s="67" t="n"/>
      <c r="AD50" s="67" t="n"/>
      <c r="AE50" s="67" t="n"/>
      <c r="AF50" s="67" t="n"/>
    </row>
    <row r="51">
      <c r="B51" s="67" t="n"/>
      <c r="C51" s="67" t="n"/>
      <c r="E51" s="67" t="n"/>
      <c r="F51" s="67" t="n"/>
      <c r="G51" s="67" t="n"/>
      <c r="H51" s="67" t="n"/>
      <c r="I51" s="67" t="n"/>
      <c r="K51" s="67" t="n"/>
      <c r="L51" s="67" t="n"/>
      <c r="M51" s="67" t="n"/>
      <c r="N51" s="67" t="n"/>
      <c r="O51" s="67" t="n"/>
      <c r="P51" s="67" t="n"/>
      <c r="Q51" s="67" t="n"/>
      <c r="V51" s="67" t="n"/>
      <c r="W51" s="67" t="n"/>
      <c r="X51" s="67" t="n"/>
      <c r="Y51" s="67" t="n"/>
      <c r="Z51" s="67" t="n"/>
      <c r="AA51" s="67" t="n"/>
      <c r="AB51" s="67" t="n"/>
      <c r="AC51" s="67" t="n"/>
      <c r="AD51" s="67" t="n"/>
      <c r="AE51" s="67" t="n"/>
      <c r="AF51" s="67" t="n"/>
    </row>
    <row r="52">
      <c r="B52" s="67" t="n"/>
      <c r="C52" s="67" t="n"/>
      <c r="E52" s="67" t="n"/>
      <c r="F52" s="67" t="n"/>
      <c r="G52" s="67" t="n"/>
      <c r="H52" s="67" t="n"/>
      <c r="I52" s="67" t="n"/>
      <c r="K52" s="67" t="n"/>
      <c r="L52" s="67" t="n"/>
      <c r="M52" s="67" t="n"/>
      <c r="N52" s="67" t="n"/>
      <c r="O52" s="67" t="n"/>
      <c r="P52" s="67" t="n"/>
      <c r="Q52" s="67" t="n"/>
      <c r="V52" s="67" t="n"/>
      <c r="W52" s="67" t="n"/>
      <c r="X52" s="67" t="n"/>
      <c r="Y52" s="67" t="n"/>
      <c r="Z52" s="67" t="n"/>
      <c r="AA52" s="67" t="n"/>
      <c r="AB52" s="67" t="n"/>
      <c r="AC52" s="67" t="n"/>
      <c r="AD52" s="67" t="n"/>
      <c r="AE52" s="67" t="n"/>
      <c r="AF52" s="67" t="n"/>
    </row>
    <row r="53">
      <c r="B53" s="67" t="n"/>
      <c r="C53" s="67" t="n"/>
      <c r="E53" s="67" t="n"/>
      <c r="F53" s="67" t="n"/>
      <c r="G53" s="67" t="n"/>
      <c r="H53" s="67" t="n"/>
      <c r="I53" s="67" t="n"/>
      <c r="K53" s="67" t="n"/>
      <c r="L53" s="67" t="n"/>
      <c r="M53" s="67" t="n"/>
      <c r="N53" s="67" t="n"/>
      <c r="O53" s="67" t="n"/>
      <c r="P53" s="67" t="n"/>
      <c r="Q53" s="67" t="n"/>
      <c r="V53" s="67" t="n"/>
      <c r="W53" s="67" t="n"/>
      <c r="X53" s="67" t="n"/>
      <c r="Y53" s="67" t="n"/>
      <c r="Z53" s="67" t="n"/>
      <c r="AA53" s="67" t="n"/>
      <c r="AB53" s="67" t="n"/>
      <c r="AC53" s="67" t="n"/>
      <c r="AD53" s="67" t="n"/>
      <c r="AE53" s="67" t="n"/>
      <c r="AF53" s="67" t="n"/>
    </row>
    <row r="54">
      <c r="B54" s="67" t="n"/>
      <c r="C54" s="67" t="n"/>
      <c r="E54" s="67" t="n"/>
      <c r="F54" s="67" t="n"/>
      <c r="G54" s="67" t="n"/>
      <c r="H54" s="67" t="n"/>
      <c r="I54" s="67" t="n"/>
      <c r="K54" s="67" t="n"/>
      <c r="L54" s="67" t="n"/>
      <c r="M54" s="67" t="n"/>
      <c r="N54" s="67" t="n"/>
      <c r="O54" s="67" t="n"/>
      <c r="P54" s="67" t="n"/>
      <c r="Q54" s="67" t="n"/>
      <c r="V54" s="67" t="n"/>
      <c r="W54" s="67" t="n"/>
      <c r="X54" s="67" t="n"/>
      <c r="Y54" s="67" t="n"/>
      <c r="Z54" s="67" t="n"/>
      <c r="AA54" s="67" t="n"/>
      <c r="AB54" s="67" t="n"/>
      <c r="AC54" s="67" t="n"/>
      <c r="AD54" s="67" t="n"/>
      <c r="AE54" s="67" t="n"/>
      <c r="AF54" s="67" t="n"/>
    </row>
    <row r="55">
      <c r="B55" s="67" t="n"/>
      <c r="C55" s="67" t="n"/>
      <c r="E55" s="67" t="n"/>
      <c r="F55" s="67" t="n"/>
      <c r="G55" s="67" t="n"/>
      <c r="H55" s="67" t="n"/>
      <c r="I55" s="67" t="n"/>
      <c r="K55" s="67" t="n"/>
      <c r="L55" s="67" t="n"/>
      <c r="M55" s="67" t="n"/>
      <c r="N55" s="67" t="n"/>
      <c r="O55" s="67" t="n"/>
      <c r="P55" s="67" t="n"/>
      <c r="Q55" s="67" t="n"/>
      <c r="V55" s="67" t="n"/>
      <c r="W55" s="67" t="n"/>
      <c r="X55" s="67" t="n"/>
      <c r="Y55" s="67" t="n"/>
      <c r="Z55" s="67" t="n"/>
      <c r="AA55" s="67" t="n"/>
      <c r="AB55" s="67" t="n"/>
      <c r="AC55" s="67" t="n"/>
      <c r="AD55" s="67" t="n"/>
      <c r="AE55" s="67" t="n"/>
      <c r="AF55" s="67" t="n"/>
    </row>
    <row r="56">
      <c r="B56" s="67" t="n"/>
      <c r="C56" s="67" t="n"/>
      <c r="E56" s="67" t="n"/>
      <c r="F56" s="67" t="n"/>
      <c r="G56" s="67" t="n"/>
      <c r="H56" s="67" t="n"/>
      <c r="I56" s="67" t="n"/>
      <c r="K56" s="67" t="n"/>
      <c r="L56" s="67" t="n"/>
      <c r="M56" s="67" t="n"/>
      <c r="N56" s="67" t="n"/>
      <c r="O56" s="67" t="n"/>
      <c r="P56" s="67" t="n"/>
      <c r="Q56" s="67" t="n"/>
      <c r="V56" s="67" t="n"/>
      <c r="W56" s="67" t="n"/>
      <c r="X56" s="67" t="n"/>
      <c r="Y56" s="67" t="n"/>
      <c r="Z56" s="67" t="n"/>
      <c r="AA56" s="67" t="n"/>
      <c r="AB56" s="67" t="n"/>
      <c r="AC56" s="67" t="n"/>
      <c r="AD56" s="67" t="n"/>
      <c r="AE56" s="67" t="n"/>
      <c r="AF56" s="67" t="n"/>
    </row>
    <row r="57">
      <c r="B57" s="67" t="n"/>
      <c r="C57" s="67" t="n"/>
      <c r="E57" s="67" t="n"/>
      <c r="F57" s="67" t="n"/>
      <c r="G57" s="67" t="n"/>
      <c r="H57" s="67" t="n"/>
      <c r="I57" s="67" t="n"/>
      <c r="K57" s="67" t="n"/>
      <c r="L57" s="67" t="n"/>
      <c r="M57" s="67" t="n"/>
      <c r="N57" s="67" t="n"/>
      <c r="O57" s="67" t="n"/>
      <c r="P57" s="67" t="n"/>
      <c r="Q57" s="67" t="n"/>
      <c r="V57" s="67" t="n"/>
      <c r="W57" s="67" t="n"/>
      <c r="X57" s="67" t="n"/>
      <c r="Y57" s="67" t="n"/>
      <c r="Z57" s="67" t="n"/>
      <c r="AA57" s="67" t="n"/>
      <c r="AB57" s="67" t="n"/>
      <c r="AC57" s="67" t="n"/>
      <c r="AD57" s="67" t="n"/>
      <c r="AE57" s="67" t="n"/>
      <c r="AF57" s="67" t="n"/>
    </row>
    <row r="58">
      <c r="B58" s="67" t="n"/>
      <c r="C58" s="67" t="n"/>
      <c r="E58" s="67" t="n"/>
      <c r="F58" s="67" t="n"/>
      <c r="G58" s="67" t="n"/>
      <c r="H58" s="67" t="n"/>
      <c r="I58" s="67" t="n"/>
      <c r="K58" s="67" t="n"/>
      <c r="L58" s="67" t="n"/>
      <c r="M58" s="67" t="n"/>
      <c r="N58" s="67" t="n"/>
      <c r="O58" s="67" t="n"/>
      <c r="P58" s="67" t="n"/>
      <c r="Q58" s="67" t="n"/>
      <c r="V58" s="67" t="n"/>
      <c r="W58" s="67" t="n"/>
      <c r="X58" s="67" t="n"/>
      <c r="Y58" s="67" t="n"/>
      <c r="Z58" s="67" t="n"/>
      <c r="AA58" s="67" t="n"/>
      <c r="AB58" s="67" t="n"/>
      <c r="AC58" s="67" t="n"/>
      <c r="AD58" s="67" t="n"/>
      <c r="AE58" s="67" t="n"/>
      <c r="AF58" s="67" t="n"/>
    </row>
    <row r="59">
      <c r="B59" s="67" t="n"/>
      <c r="C59" s="67" t="n"/>
      <c r="E59" s="67" t="n"/>
      <c r="F59" s="67" t="n"/>
      <c r="G59" s="67" t="n"/>
      <c r="H59" s="67" t="n"/>
      <c r="I59" s="67" t="n"/>
      <c r="K59" s="67" t="n"/>
      <c r="L59" s="67" t="n"/>
      <c r="M59" s="67" t="n"/>
      <c r="N59" s="67" t="n"/>
      <c r="O59" s="67" t="n"/>
      <c r="P59" s="67" t="n"/>
      <c r="Q59" s="67" t="n"/>
      <c r="V59" s="67" t="n"/>
      <c r="W59" s="67" t="n"/>
      <c r="X59" s="67" t="n"/>
      <c r="Y59" s="67" t="n"/>
      <c r="Z59" s="67" t="n"/>
      <c r="AA59" s="67" t="n"/>
      <c r="AB59" s="67" t="n"/>
      <c r="AC59" s="67" t="n"/>
      <c r="AD59" s="67" t="n"/>
      <c r="AE59" s="67" t="n"/>
      <c r="AF59" s="67" t="n"/>
    </row>
    <row r="60">
      <c r="B60" s="67" t="n"/>
      <c r="C60" s="67" t="n"/>
      <c r="E60" s="67" t="n"/>
      <c r="F60" s="67" t="n"/>
      <c r="G60" s="67" t="n"/>
      <c r="H60" s="67" t="n"/>
      <c r="I60" s="67" t="n"/>
      <c r="K60" s="67" t="n"/>
      <c r="L60" s="67" t="n"/>
      <c r="M60" s="67" t="n"/>
      <c r="N60" s="67" t="n"/>
      <c r="O60" s="67" t="n"/>
      <c r="P60" s="67" t="n"/>
      <c r="Q60" s="67" t="n"/>
      <c r="V60" s="67" t="n"/>
      <c r="W60" s="67" t="n"/>
      <c r="X60" s="67" t="n"/>
      <c r="Y60" s="67" t="n"/>
      <c r="Z60" s="67" t="n"/>
      <c r="AA60" s="67" t="n"/>
      <c r="AB60" s="67" t="n"/>
      <c r="AC60" s="67" t="n"/>
      <c r="AD60" s="67" t="n"/>
      <c r="AE60" s="67" t="n"/>
      <c r="AF60" s="67" t="n"/>
    </row>
    <row r="61">
      <c r="B61" s="67" t="n"/>
      <c r="C61" s="67" t="n"/>
      <c r="E61" s="67" t="n"/>
      <c r="F61" s="67" t="n"/>
      <c r="G61" s="67" t="n"/>
      <c r="H61" s="67" t="n"/>
      <c r="I61" s="67" t="n"/>
      <c r="K61" s="67" t="n"/>
      <c r="L61" s="67" t="n"/>
      <c r="M61" s="67" t="n"/>
      <c r="N61" s="67" t="n"/>
      <c r="O61" s="67" t="n"/>
      <c r="P61" s="67" t="n"/>
      <c r="Q61" s="67" t="n"/>
      <c r="V61" s="67" t="n"/>
      <c r="W61" s="67" t="n"/>
      <c r="X61" s="67" t="n"/>
      <c r="Y61" s="67" t="n"/>
      <c r="Z61" s="67" t="n"/>
      <c r="AA61" s="67" t="n"/>
      <c r="AB61" s="67" t="n"/>
      <c r="AC61" s="67" t="n"/>
      <c r="AD61" s="67" t="n"/>
      <c r="AE61" s="67" t="n"/>
      <c r="AF61" s="67" t="n"/>
    </row>
    <row r="62">
      <c r="B62" s="67" t="n"/>
      <c r="C62" s="67" t="n"/>
      <c r="E62" s="67" t="n"/>
      <c r="F62" s="67" t="n"/>
      <c r="G62" s="67" t="n"/>
      <c r="H62" s="67" t="n"/>
      <c r="I62" s="67" t="n"/>
      <c r="K62" s="67" t="n"/>
      <c r="L62" s="67" t="n"/>
      <c r="M62" s="67" t="n"/>
      <c r="N62" s="67" t="n"/>
      <c r="O62" s="67" t="n"/>
      <c r="P62" s="67" t="n"/>
      <c r="Q62" s="67" t="n"/>
      <c r="V62" s="67" t="n"/>
      <c r="W62" s="67" t="n"/>
      <c r="X62" s="67" t="n"/>
      <c r="Y62" s="67" t="n"/>
      <c r="Z62" s="67" t="n"/>
      <c r="AA62" s="67" t="n"/>
      <c r="AB62" s="67" t="n"/>
      <c r="AC62" s="67" t="n"/>
      <c r="AD62" s="67" t="n"/>
      <c r="AE62" s="67" t="n"/>
      <c r="AF62" s="67" t="n"/>
    </row>
    <row r="63">
      <c r="B63" s="67" t="n"/>
      <c r="C63" s="67" t="n"/>
      <c r="E63" s="67" t="n"/>
      <c r="F63" s="67" t="n"/>
      <c r="G63" s="67" t="n"/>
      <c r="H63" s="67" t="n"/>
      <c r="I63" s="67" t="n"/>
      <c r="K63" s="67" t="n"/>
      <c r="L63" s="67" t="n"/>
      <c r="M63" s="67" t="n"/>
      <c r="N63" s="67" t="n"/>
      <c r="O63" s="67" t="n"/>
      <c r="P63" s="67" t="n"/>
      <c r="Q63" s="67" t="n"/>
      <c r="V63" s="67" t="n"/>
      <c r="W63" s="67" t="n"/>
      <c r="X63" s="67" t="n"/>
      <c r="Y63" s="67" t="n"/>
      <c r="Z63" s="67" t="n"/>
      <c r="AA63" s="67" t="n"/>
      <c r="AB63" s="67" t="n"/>
      <c r="AC63" s="67" t="n"/>
      <c r="AD63" s="67" t="n"/>
      <c r="AE63" s="67" t="n"/>
      <c r="AF63" s="67" t="n"/>
    </row>
    <row r="64">
      <c r="B64" s="67" t="n"/>
      <c r="C64" s="67" t="n"/>
      <c r="E64" s="67" t="n"/>
      <c r="F64" s="67" t="n"/>
      <c r="G64" s="67" t="n"/>
      <c r="H64" s="67" t="n"/>
      <c r="I64" s="67" t="n"/>
      <c r="K64" s="67" t="n"/>
      <c r="L64" s="67" t="n"/>
      <c r="M64" s="67" t="n"/>
      <c r="N64" s="67" t="n"/>
      <c r="O64" s="67" t="n"/>
      <c r="P64" s="67" t="n"/>
      <c r="Q64" s="67" t="n"/>
      <c r="V64" s="67" t="n"/>
      <c r="W64" s="67" t="n"/>
      <c r="X64" s="67" t="n"/>
      <c r="Y64" s="67" t="n"/>
      <c r="Z64" s="67" t="n"/>
      <c r="AA64" s="67" t="n"/>
      <c r="AB64" s="67" t="n"/>
      <c r="AC64" s="67" t="n"/>
      <c r="AD64" s="67" t="n"/>
      <c r="AE64" s="67" t="n"/>
      <c r="AF64" s="67" t="n"/>
    </row>
    <row r="65">
      <c r="B65" s="67" t="n"/>
      <c r="C65" s="67" t="n"/>
      <c r="E65" s="67" t="n"/>
      <c r="F65" s="67" t="n"/>
      <c r="G65" s="67" t="n"/>
      <c r="H65" s="67" t="n"/>
      <c r="I65" s="67" t="n"/>
      <c r="K65" s="67" t="n"/>
      <c r="L65" s="67" t="n"/>
      <c r="M65" s="67" t="n"/>
      <c r="N65" s="67" t="n"/>
      <c r="O65" s="67" t="n"/>
      <c r="P65" s="67" t="n"/>
      <c r="Q65" s="67" t="n"/>
      <c r="V65" s="67" t="n"/>
      <c r="W65" s="67" t="n"/>
      <c r="X65" s="67" t="n"/>
      <c r="Y65" s="67" t="n"/>
      <c r="Z65" s="67" t="n"/>
      <c r="AA65" s="67" t="n"/>
      <c r="AB65" s="67" t="n"/>
      <c r="AC65" s="67" t="n"/>
      <c r="AD65" s="67" t="n"/>
      <c r="AE65" s="67" t="n"/>
      <c r="AF65" s="67" t="n"/>
    </row>
    <row r="66">
      <c r="B66" s="67" t="n"/>
      <c r="C66" s="67" t="n"/>
      <c r="E66" s="67" t="n"/>
      <c r="F66" s="67" t="n"/>
      <c r="G66" s="67" t="n"/>
      <c r="H66" s="67" t="n"/>
      <c r="I66" s="67" t="n"/>
      <c r="K66" s="67" t="n"/>
      <c r="L66" s="67" t="n"/>
      <c r="M66" s="67" t="n"/>
      <c r="N66" s="67" t="n"/>
      <c r="O66" s="67" t="n"/>
      <c r="P66" s="67" t="n"/>
      <c r="Q66" s="67" t="n"/>
      <c r="V66" s="67" t="n"/>
      <c r="W66" s="67" t="n"/>
      <c r="X66" s="67" t="n"/>
      <c r="Y66" s="67" t="n"/>
      <c r="Z66" s="67" t="n"/>
      <c r="AA66" s="67" t="n"/>
      <c r="AB66" s="67" t="n"/>
      <c r="AC66" s="67" t="n"/>
      <c r="AD66" s="67" t="n"/>
      <c r="AE66" s="67" t="n"/>
      <c r="AF66" s="67" t="n"/>
    </row>
    <row r="67">
      <c r="B67" s="67" t="n"/>
      <c r="C67" s="67" t="n"/>
      <c r="E67" s="67" t="n"/>
      <c r="F67" s="67" t="n"/>
      <c r="G67" s="67" t="n"/>
      <c r="H67" s="67" t="n"/>
      <c r="I67" s="67" t="n"/>
      <c r="K67" s="67" t="n"/>
      <c r="L67" s="67" t="n"/>
      <c r="M67" s="67" t="n"/>
      <c r="N67" s="67" t="n"/>
      <c r="O67" s="67" t="n"/>
      <c r="P67" s="67" t="n"/>
      <c r="Q67" s="67" t="n"/>
      <c r="V67" s="67" t="n"/>
      <c r="W67" s="67" t="n"/>
      <c r="X67" s="67" t="n"/>
      <c r="Y67" s="67" t="n"/>
      <c r="Z67" s="67" t="n"/>
      <c r="AA67" s="67" t="n"/>
      <c r="AB67" s="67" t="n"/>
      <c r="AC67" s="67" t="n"/>
      <c r="AD67" s="67" t="n"/>
      <c r="AE67" s="67" t="n"/>
      <c r="AF67" s="67" t="n"/>
    </row>
    <row r="68">
      <c r="B68" s="67" t="n"/>
      <c r="C68" s="67" t="n"/>
      <c r="E68" s="67" t="n"/>
      <c r="F68" s="67" t="n"/>
      <c r="G68" s="67" t="n"/>
      <c r="H68" s="67" t="n"/>
      <c r="I68" s="67" t="n"/>
      <c r="K68" s="67" t="n"/>
      <c r="L68" s="67" t="n"/>
      <c r="M68" s="67" t="n"/>
      <c r="N68" s="67" t="n"/>
      <c r="O68" s="67" t="n"/>
      <c r="P68" s="67" t="n"/>
      <c r="Q68" s="67" t="n"/>
      <c r="V68" s="67" t="n"/>
      <c r="W68" s="67" t="n"/>
      <c r="X68" s="67" t="n"/>
      <c r="Y68" s="67" t="n"/>
      <c r="Z68" s="67" t="n"/>
      <c r="AA68" s="67" t="n"/>
      <c r="AB68" s="67" t="n"/>
      <c r="AC68" s="67" t="n"/>
      <c r="AD68" s="67" t="n"/>
      <c r="AE68" s="67" t="n"/>
      <c r="AF68" s="67" t="n"/>
    </row>
    <row r="69">
      <c r="B69" s="67" t="n"/>
      <c r="C69" s="67" t="n"/>
      <c r="E69" s="67" t="n"/>
      <c r="F69" s="67" t="n"/>
      <c r="G69" s="67" t="n"/>
      <c r="H69" s="67" t="n"/>
      <c r="I69" s="67" t="n"/>
      <c r="K69" s="67" t="n"/>
      <c r="L69" s="67" t="n"/>
      <c r="M69" s="67" t="n"/>
      <c r="N69" s="67" t="n"/>
      <c r="O69" s="67" t="n"/>
      <c r="P69" s="67" t="n"/>
      <c r="Q69" s="67" t="n"/>
      <c r="V69" s="67" t="n"/>
      <c r="W69" s="67" t="n"/>
      <c r="X69" s="67" t="n"/>
      <c r="Y69" s="67" t="n"/>
      <c r="Z69" s="67" t="n"/>
      <c r="AA69" s="67" t="n"/>
      <c r="AB69" s="67" t="n"/>
      <c r="AC69" s="67" t="n"/>
      <c r="AD69" s="67" t="n"/>
      <c r="AE69" s="67" t="n"/>
      <c r="AF69" s="67" t="n"/>
    </row>
    <row r="70">
      <c r="B70" s="67" t="n"/>
      <c r="C70" s="67" t="n"/>
      <c r="E70" s="67" t="n"/>
      <c r="F70" s="67" t="n"/>
      <c r="G70" s="67" t="n"/>
      <c r="H70" s="67" t="n"/>
      <c r="I70" s="67" t="n"/>
      <c r="K70" s="67" t="n"/>
      <c r="L70" s="67" t="n"/>
      <c r="M70" s="67" t="n"/>
      <c r="N70" s="67" t="n"/>
      <c r="O70" s="67" t="n"/>
      <c r="P70" s="67" t="n"/>
      <c r="Q70" s="67" t="n"/>
      <c r="V70" s="67" t="n"/>
      <c r="W70" s="67" t="n"/>
      <c r="X70" s="67" t="n"/>
      <c r="Y70" s="67" t="n"/>
      <c r="Z70" s="67" t="n"/>
      <c r="AA70" s="67" t="n"/>
      <c r="AB70" s="67" t="n"/>
      <c r="AC70" s="67" t="n"/>
      <c r="AD70" s="67" t="n"/>
      <c r="AE70" s="67" t="n"/>
      <c r="AF70" s="67" t="n"/>
    </row>
    <row r="71">
      <c r="B71" s="67" t="n"/>
      <c r="C71" s="67" t="n"/>
      <c r="E71" s="67" t="n"/>
      <c r="F71" s="67" t="n"/>
      <c r="G71" s="67" t="n"/>
      <c r="H71" s="67" t="n"/>
      <c r="I71" s="67" t="n"/>
      <c r="K71" s="67" t="n"/>
      <c r="L71" s="67" t="n"/>
      <c r="M71" s="67" t="n"/>
      <c r="N71" s="67" t="n"/>
      <c r="O71" s="67" t="n"/>
      <c r="P71" s="67" t="n"/>
      <c r="Q71" s="67" t="n"/>
      <c r="V71" s="67" t="n"/>
      <c r="W71" s="67" t="n"/>
      <c r="X71" s="67" t="n"/>
      <c r="Y71" s="67" t="n"/>
      <c r="Z71" s="67" t="n"/>
      <c r="AA71" s="67" t="n"/>
      <c r="AB71" s="67" t="n"/>
      <c r="AC71" s="67" t="n"/>
      <c r="AD71" s="67" t="n"/>
      <c r="AE71" s="67" t="n"/>
      <c r="AF71" s="67" t="n"/>
    </row>
    <row r="72">
      <c r="B72" s="67" t="n"/>
      <c r="C72" s="67" t="n"/>
      <c r="E72" s="67" t="n"/>
      <c r="F72" s="67" t="n"/>
      <c r="G72" s="67" t="n"/>
      <c r="H72" s="67" t="n"/>
      <c r="I72" s="67" t="n"/>
      <c r="K72" s="67" t="n"/>
      <c r="L72" s="67" t="n"/>
      <c r="M72" s="67" t="n"/>
      <c r="N72" s="67" t="n"/>
      <c r="O72" s="67" t="n"/>
      <c r="P72" s="67" t="n"/>
      <c r="Q72" s="67" t="n"/>
      <c r="V72" s="67" t="n"/>
      <c r="W72" s="67" t="n"/>
      <c r="X72" s="67" t="n"/>
      <c r="Y72" s="67" t="n"/>
      <c r="Z72" s="67" t="n"/>
      <c r="AA72" s="67" t="n"/>
      <c r="AB72" s="67" t="n"/>
      <c r="AC72" s="67" t="n"/>
      <c r="AD72" s="67" t="n"/>
      <c r="AE72" s="67" t="n"/>
      <c r="AF72" s="67" t="n"/>
    </row>
    <row r="73">
      <c r="B73" s="67" t="n"/>
      <c r="C73" s="67" t="n"/>
      <c r="E73" s="67" t="n"/>
      <c r="F73" s="67" t="n"/>
      <c r="G73" s="67" t="n"/>
      <c r="H73" s="67" t="n"/>
      <c r="I73" s="67" t="n"/>
      <c r="K73" s="67" t="n"/>
      <c r="L73" s="67" t="n"/>
      <c r="M73" s="67" t="n"/>
      <c r="N73" s="67" t="n"/>
      <c r="O73" s="67" t="n"/>
      <c r="P73" s="67" t="n"/>
      <c r="Q73" s="67" t="n"/>
      <c r="V73" s="67" t="n"/>
      <c r="W73" s="67" t="n"/>
      <c r="X73" s="67" t="n"/>
      <c r="Y73" s="67" t="n"/>
      <c r="Z73" s="67" t="n"/>
      <c r="AA73" s="67" t="n"/>
      <c r="AB73" s="67" t="n"/>
      <c r="AC73" s="67" t="n"/>
      <c r="AD73" s="67" t="n"/>
      <c r="AE73" s="67" t="n"/>
      <c r="AF73" s="67" t="n"/>
    </row>
    <row r="74">
      <c r="B74" s="67" t="n"/>
      <c r="C74" s="67" t="n"/>
      <c r="E74" s="67" t="n"/>
      <c r="F74" s="67" t="n"/>
      <c r="G74" s="67" t="n"/>
      <c r="H74" s="67" t="n"/>
      <c r="I74" s="67" t="n"/>
      <c r="K74" s="67" t="n"/>
      <c r="L74" s="67" t="n"/>
      <c r="M74" s="67" t="n"/>
      <c r="N74" s="67" t="n"/>
      <c r="O74" s="67" t="n"/>
      <c r="P74" s="67" t="n"/>
      <c r="Q74" s="67" t="n"/>
      <c r="V74" s="67" t="n"/>
      <c r="W74" s="67" t="n"/>
      <c r="X74" s="67" t="n"/>
      <c r="Y74" s="67" t="n"/>
      <c r="Z74" s="67" t="n"/>
      <c r="AA74" s="67" t="n"/>
      <c r="AB74" s="67" t="n"/>
      <c r="AC74" s="67" t="n"/>
      <c r="AD74" s="67" t="n"/>
      <c r="AE74" s="67" t="n"/>
      <c r="AF74" s="67" t="n"/>
    </row>
    <row r="75">
      <c r="B75" s="67" t="n"/>
      <c r="C75" s="67" t="n"/>
      <c r="E75" s="67" t="n"/>
      <c r="F75" s="67" t="n"/>
      <c r="G75" s="67" t="n"/>
      <c r="H75" s="67" t="n"/>
      <c r="I75" s="67" t="n"/>
      <c r="K75" s="67" t="n"/>
      <c r="L75" s="67" t="n"/>
      <c r="M75" s="67" t="n"/>
      <c r="N75" s="67" t="n"/>
      <c r="O75" s="67" t="n"/>
      <c r="P75" s="67" t="n"/>
      <c r="Q75" s="67" t="n"/>
      <c r="V75" s="67" t="n"/>
      <c r="W75" s="67" t="n"/>
      <c r="X75" s="67" t="n"/>
      <c r="Y75" s="67" t="n"/>
      <c r="Z75" s="67" t="n"/>
      <c r="AA75" s="67" t="n"/>
      <c r="AB75" s="67" t="n"/>
      <c r="AC75" s="67" t="n"/>
      <c r="AD75" s="67" t="n"/>
      <c r="AE75" s="67" t="n"/>
      <c r="AF75" s="67" t="n"/>
    </row>
    <row r="76">
      <c r="B76" s="67" t="n"/>
      <c r="C76" s="67" t="n"/>
      <c r="E76" s="67" t="n"/>
      <c r="F76" s="67" t="n"/>
      <c r="G76" s="67" t="n"/>
      <c r="H76" s="67" t="n"/>
      <c r="I76" s="67" t="n"/>
      <c r="K76" s="67" t="n"/>
      <c r="L76" s="67" t="n"/>
      <c r="M76" s="67" t="n"/>
      <c r="N76" s="67" t="n"/>
      <c r="O76" s="67" t="n"/>
      <c r="P76" s="67" t="n"/>
      <c r="Q76" s="67" t="n"/>
      <c r="V76" s="67" t="n"/>
      <c r="W76" s="67" t="n"/>
      <c r="X76" s="67" t="n"/>
      <c r="Y76" s="67" t="n"/>
      <c r="Z76" s="67" t="n"/>
      <c r="AA76" s="67" t="n"/>
      <c r="AB76" s="67" t="n"/>
      <c r="AC76" s="67" t="n"/>
      <c r="AD76" s="67" t="n"/>
      <c r="AE76" s="67" t="n"/>
      <c r="AF76" s="67" t="n"/>
    </row>
    <row r="77">
      <c r="B77" s="67" t="n"/>
      <c r="C77" s="67" t="n"/>
      <c r="E77" s="67" t="n"/>
      <c r="F77" s="67" t="n"/>
      <c r="G77" s="67" t="n"/>
      <c r="H77" s="67" t="n"/>
      <c r="I77" s="67" t="n"/>
      <c r="K77" s="67" t="n"/>
      <c r="L77" s="67" t="n"/>
      <c r="M77" s="67" t="n"/>
      <c r="N77" s="67" t="n"/>
      <c r="O77" s="67" t="n"/>
      <c r="P77" s="67" t="n"/>
      <c r="Q77" s="67" t="n"/>
      <c r="V77" s="67" t="n"/>
      <c r="W77" s="67" t="n"/>
      <c r="X77" s="67" t="n"/>
      <c r="Y77" s="67" t="n"/>
      <c r="Z77" s="67" t="n"/>
      <c r="AA77" s="67" t="n"/>
      <c r="AB77" s="67" t="n"/>
      <c r="AC77" s="67" t="n"/>
      <c r="AD77" s="67" t="n"/>
      <c r="AE77" s="67" t="n"/>
      <c r="AF77" s="67" t="n"/>
    </row>
    <row r="78">
      <c r="B78" s="67" t="n"/>
      <c r="C78" s="67" t="n"/>
      <c r="E78" s="67" t="n"/>
      <c r="F78" s="67" t="n"/>
      <c r="G78" s="67" t="n"/>
      <c r="H78" s="67" t="n"/>
      <c r="I78" s="67" t="n"/>
      <c r="K78" s="67" t="n"/>
      <c r="L78" s="67" t="n"/>
      <c r="M78" s="67" t="n"/>
      <c r="N78" s="67" t="n"/>
      <c r="O78" s="67" t="n"/>
      <c r="P78" s="67" t="n"/>
      <c r="Q78" s="67" t="n"/>
      <c r="V78" s="67" t="n"/>
      <c r="W78" s="67" t="n"/>
      <c r="X78" s="67" t="n"/>
      <c r="Y78" s="67" t="n"/>
      <c r="Z78" s="67" t="n"/>
      <c r="AA78" s="67" t="n"/>
      <c r="AB78" s="67" t="n"/>
      <c r="AC78" s="67" t="n"/>
      <c r="AD78" s="67" t="n"/>
      <c r="AE78" s="67" t="n"/>
      <c r="AF78" s="67" t="n"/>
    </row>
    <row r="79">
      <c r="B79" s="67" t="n"/>
      <c r="C79" s="67" t="n"/>
      <c r="E79" s="67" t="n"/>
      <c r="F79" s="67" t="n"/>
      <c r="G79" s="67" t="n"/>
      <c r="H79" s="67" t="n"/>
      <c r="I79" s="67" t="n"/>
      <c r="K79" s="67" t="n"/>
      <c r="L79" s="67" t="n"/>
      <c r="M79" s="67" t="n"/>
      <c r="N79" s="67" t="n"/>
      <c r="O79" s="67" t="n"/>
      <c r="P79" s="67" t="n"/>
      <c r="Q79" s="67" t="n"/>
      <c r="V79" s="67" t="n"/>
      <c r="W79" s="67" t="n"/>
      <c r="X79" s="67" t="n"/>
      <c r="Y79" s="67" t="n"/>
      <c r="Z79" s="67" t="n"/>
      <c r="AA79" s="67" t="n"/>
      <c r="AB79" s="67" t="n"/>
      <c r="AC79" s="67" t="n"/>
      <c r="AD79" s="67" t="n"/>
      <c r="AE79" s="67" t="n"/>
      <c r="AF79" s="67" t="n"/>
    </row>
    <row r="80">
      <c r="B80" s="67" t="n"/>
      <c r="C80" s="67" t="n"/>
      <c r="E80" s="67" t="n"/>
      <c r="F80" s="67" t="n"/>
      <c r="G80" s="67" t="n"/>
      <c r="H80" s="67" t="n"/>
      <c r="I80" s="67" t="n"/>
      <c r="K80" s="67" t="n"/>
      <c r="L80" s="67" t="n"/>
      <c r="M80" s="67" t="n"/>
      <c r="N80" s="67" t="n"/>
      <c r="O80" s="67" t="n"/>
      <c r="P80" s="67" t="n"/>
      <c r="Q80" s="67" t="n"/>
      <c r="V80" s="67" t="n"/>
      <c r="W80" s="67" t="n"/>
      <c r="X80" s="67" t="n"/>
      <c r="Y80" s="67" t="n"/>
      <c r="Z80" s="67" t="n"/>
      <c r="AA80" s="67" t="n"/>
      <c r="AB80" s="67" t="n"/>
      <c r="AC80" s="67" t="n"/>
      <c r="AD80" s="67" t="n"/>
      <c r="AE80" s="67" t="n"/>
      <c r="AF80" s="67" t="n"/>
    </row>
    <row r="81">
      <c r="B81" s="67" t="n"/>
      <c r="C81" s="67" t="n"/>
      <c r="E81" s="67" t="n"/>
      <c r="F81" s="67" t="n"/>
      <c r="G81" s="67" t="n"/>
      <c r="H81" s="67" t="n"/>
      <c r="I81" s="67" t="n"/>
      <c r="K81" s="67" t="n"/>
      <c r="L81" s="67" t="n"/>
      <c r="M81" s="67" t="n"/>
      <c r="N81" s="67" t="n"/>
      <c r="O81" s="67" t="n"/>
      <c r="P81" s="67" t="n"/>
      <c r="Q81" s="67" t="n"/>
      <c r="V81" s="67" t="n"/>
      <c r="W81" s="67" t="n"/>
      <c r="X81" s="67" t="n"/>
      <c r="Y81" s="67" t="n"/>
      <c r="Z81" s="67" t="n"/>
      <c r="AA81" s="67" t="n"/>
      <c r="AB81" s="67" t="n"/>
      <c r="AC81" s="67" t="n"/>
      <c r="AD81" s="67" t="n"/>
      <c r="AE81" s="67" t="n"/>
      <c r="AF81" s="67" t="n"/>
    </row>
    <row r="82">
      <c r="B82" s="67" t="n"/>
      <c r="C82" s="67" t="n"/>
      <c r="E82" s="67" t="n"/>
      <c r="F82" s="67" t="n"/>
      <c r="G82" s="67" t="n"/>
      <c r="H82" s="67" t="n"/>
      <c r="I82" s="67" t="n"/>
      <c r="K82" s="67" t="n"/>
      <c r="L82" s="67" t="n"/>
      <c r="M82" s="67" t="n"/>
      <c r="N82" s="67" t="n"/>
      <c r="O82" s="67" t="n"/>
      <c r="P82" s="67" t="n"/>
      <c r="Q82" s="67" t="n"/>
      <c r="V82" s="67" t="n"/>
      <c r="W82" s="67" t="n"/>
      <c r="X82" s="67" t="n"/>
      <c r="Y82" s="67" t="n"/>
      <c r="Z82" s="67" t="n"/>
      <c r="AA82" s="67" t="n"/>
      <c r="AB82" s="67" t="n"/>
      <c r="AC82" s="67" t="n"/>
      <c r="AD82" s="67" t="n"/>
      <c r="AE82" s="67" t="n"/>
      <c r="AF82" s="67" t="n"/>
    </row>
    <row r="83">
      <c r="B83" s="67" t="n"/>
      <c r="C83" s="67" t="n"/>
      <c r="E83" s="67" t="n"/>
      <c r="F83" s="67" t="n"/>
      <c r="G83" s="67" t="n"/>
      <c r="H83" s="67" t="n"/>
      <c r="I83" s="67" t="n"/>
      <c r="K83" s="67" t="n"/>
      <c r="L83" s="67" t="n"/>
      <c r="M83" s="67" t="n"/>
      <c r="N83" s="67" t="n"/>
      <c r="O83" s="67" t="n"/>
      <c r="P83" s="67" t="n"/>
      <c r="Q83" s="67" t="n"/>
      <c r="V83" s="67" t="n"/>
      <c r="W83" s="67" t="n"/>
      <c r="X83" s="67" t="n"/>
      <c r="Y83" s="67" t="n"/>
      <c r="Z83" s="67" t="n"/>
      <c r="AA83" s="67" t="n"/>
      <c r="AB83" s="67" t="n"/>
      <c r="AC83" s="67" t="n"/>
      <c r="AD83" s="67" t="n"/>
      <c r="AE83" s="67" t="n"/>
      <c r="AF83" s="67" t="n"/>
    </row>
    <row r="84">
      <c r="B84" s="67" t="n"/>
      <c r="C84" s="67" t="n"/>
      <c r="E84" s="67" t="n"/>
      <c r="F84" s="67" t="n"/>
      <c r="G84" s="67" t="n"/>
      <c r="H84" s="67" t="n"/>
      <c r="I84" s="67" t="n"/>
      <c r="K84" s="67" t="n"/>
      <c r="L84" s="67" t="n"/>
      <c r="M84" s="67" t="n"/>
      <c r="N84" s="67" t="n"/>
      <c r="O84" s="67" t="n"/>
      <c r="P84" s="67" t="n"/>
      <c r="Q84" s="67" t="n"/>
      <c r="V84" s="67" t="n"/>
      <c r="W84" s="67" t="n"/>
      <c r="X84" s="67" t="n"/>
      <c r="Y84" s="67" t="n"/>
      <c r="Z84" s="67" t="n"/>
      <c r="AA84" s="67" t="n"/>
      <c r="AB84" s="67" t="n"/>
      <c r="AC84" s="67" t="n"/>
      <c r="AD84" s="67" t="n"/>
      <c r="AE84" s="67" t="n"/>
      <c r="AF84" s="67" t="n"/>
    </row>
    <row r="85">
      <c r="B85" s="67" t="n"/>
      <c r="C85" s="67" t="n"/>
      <c r="E85" s="67" t="n"/>
      <c r="F85" s="67" t="n"/>
      <c r="G85" s="67" t="n"/>
      <c r="H85" s="67" t="n"/>
      <c r="I85" s="67" t="n"/>
      <c r="K85" s="67" t="n"/>
      <c r="L85" s="67" t="n"/>
      <c r="M85" s="67" t="n"/>
      <c r="N85" s="67" t="n"/>
      <c r="O85" s="67" t="n"/>
      <c r="P85" s="67" t="n"/>
      <c r="Q85" s="67" t="n"/>
      <c r="V85" s="67" t="n"/>
      <c r="W85" s="67" t="n"/>
      <c r="X85" s="67" t="n"/>
      <c r="Y85" s="67" t="n"/>
      <c r="Z85" s="67" t="n"/>
      <c r="AA85" s="67" t="n"/>
      <c r="AB85" s="67" t="n"/>
      <c r="AC85" s="67" t="n"/>
      <c r="AD85" s="67" t="n"/>
      <c r="AE85" s="67" t="n"/>
      <c r="AF85" s="67" t="n"/>
    </row>
    <row r="86">
      <c r="B86" s="67" t="n"/>
      <c r="C86" s="67" t="n"/>
      <c r="E86" s="67" t="n"/>
      <c r="F86" s="67" t="n"/>
      <c r="G86" s="67" t="n"/>
      <c r="H86" s="67" t="n"/>
      <c r="I86" s="67" t="n"/>
      <c r="K86" s="67" t="n"/>
      <c r="L86" s="67" t="n"/>
      <c r="M86" s="67" t="n"/>
      <c r="N86" s="67" t="n"/>
      <c r="O86" s="67" t="n"/>
      <c r="P86" s="67" t="n"/>
      <c r="Q86" s="67" t="n"/>
      <c r="V86" s="67" t="n"/>
      <c r="W86" s="67" t="n"/>
      <c r="X86" s="67" t="n"/>
      <c r="Y86" s="67" t="n"/>
      <c r="Z86" s="67" t="n"/>
      <c r="AA86" s="67" t="n"/>
      <c r="AB86" s="67" t="n"/>
      <c r="AC86" s="67" t="n"/>
      <c r="AD86" s="67" t="n"/>
      <c r="AE86" s="67" t="n"/>
      <c r="AF86" s="67" t="n"/>
    </row>
    <row r="87">
      <c r="B87" s="67" t="n"/>
      <c r="C87" s="67" t="n"/>
      <c r="E87" s="67" t="n"/>
      <c r="F87" s="67" t="n"/>
      <c r="G87" s="67" t="n"/>
      <c r="H87" s="67" t="n"/>
      <c r="I87" s="67" t="n"/>
      <c r="K87" s="67" t="n"/>
      <c r="L87" s="67" t="n"/>
      <c r="M87" s="67" t="n"/>
      <c r="N87" s="67" t="n"/>
      <c r="O87" s="67" t="n"/>
      <c r="P87" s="67" t="n"/>
      <c r="Q87" s="67" t="n"/>
      <c r="V87" s="67" t="n"/>
      <c r="W87" s="67" t="n"/>
      <c r="X87" s="67" t="n"/>
      <c r="Y87" s="67" t="n"/>
      <c r="Z87" s="67" t="n"/>
      <c r="AA87" s="67" t="n"/>
      <c r="AB87" s="67" t="n"/>
      <c r="AC87" s="67" t="n"/>
      <c r="AD87" s="67" t="n"/>
      <c r="AE87" s="67" t="n"/>
      <c r="AF87" s="67" t="n"/>
    </row>
    <row r="88">
      <c r="B88" s="67" t="n"/>
      <c r="C88" s="67" t="n"/>
      <c r="E88" s="67" t="n"/>
      <c r="F88" s="67" t="n"/>
      <c r="G88" s="67" t="n"/>
      <c r="H88" s="67" t="n"/>
      <c r="I88" s="67" t="n"/>
      <c r="K88" s="67" t="n"/>
      <c r="L88" s="67" t="n"/>
      <c r="M88" s="67" t="n"/>
      <c r="N88" s="67" t="n"/>
      <c r="O88" s="67" t="n"/>
      <c r="P88" s="67" t="n"/>
      <c r="Q88" s="67" t="n"/>
      <c r="V88" s="67" t="n"/>
      <c r="W88" s="67" t="n"/>
      <c r="X88" s="67" t="n"/>
      <c r="Y88" s="67" t="n"/>
      <c r="Z88" s="67" t="n"/>
      <c r="AA88" s="67" t="n"/>
      <c r="AB88" s="67" t="n"/>
      <c r="AC88" s="67" t="n"/>
      <c r="AD88" s="67" t="n"/>
      <c r="AE88" s="67" t="n"/>
      <c r="AF88" s="67" t="n"/>
    </row>
    <row r="89">
      <c r="B89" s="67" t="n"/>
      <c r="C89" s="67" t="n"/>
      <c r="E89" s="67" t="n"/>
      <c r="F89" s="67" t="n"/>
      <c r="G89" s="67" t="n"/>
      <c r="H89" s="67" t="n"/>
      <c r="I89" s="67" t="n"/>
      <c r="K89" s="67" t="n"/>
      <c r="L89" s="67" t="n"/>
      <c r="M89" s="67" t="n"/>
      <c r="N89" s="67" t="n"/>
      <c r="O89" s="67" t="n"/>
      <c r="P89" s="67" t="n"/>
      <c r="Q89" s="67" t="n"/>
      <c r="V89" s="67" t="n"/>
      <c r="W89" s="67" t="n"/>
      <c r="X89" s="67" t="n"/>
      <c r="Y89" s="67" t="n"/>
      <c r="Z89" s="67" t="n"/>
      <c r="AA89" s="67" t="n"/>
      <c r="AB89" s="67" t="n"/>
      <c r="AC89" s="67" t="n"/>
      <c r="AD89" s="67" t="n"/>
      <c r="AE89" s="67" t="n"/>
      <c r="AF89" s="67" t="n"/>
    </row>
    <row r="90">
      <c r="B90" s="67" t="n"/>
      <c r="C90" s="67" t="n"/>
      <c r="E90" s="67" t="n"/>
      <c r="F90" s="67" t="n"/>
      <c r="G90" s="67" t="n"/>
      <c r="H90" s="67" t="n"/>
      <c r="I90" s="67" t="n"/>
      <c r="K90" s="67" t="n"/>
      <c r="L90" s="67" t="n"/>
      <c r="M90" s="67" t="n"/>
      <c r="N90" s="67" t="n"/>
      <c r="O90" s="67" t="n"/>
      <c r="P90" s="67" t="n"/>
      <c r="Q90" s="67" t="n"/>
      <c r="V90" s="67" t="n"/>
      <c r="W90" s="67" t="n"/>
      <c r="X90" s="67" t="n"/>
      <c r="Y90" s="67" t="n"/>
      <c r="Z90" s="67" t="n"/>
      <c r="AA90" s="67" t="n"/>
      <c r="AB90" s="67" t="n"/>
      <c r="AC90" s="67" t="n"/>
      <c r="AD90" s="67" t="n"/>
      <c r="AE90" s="67" t="n"/>
      <c r="AF90" s="67" t="n"/>
    </row>
    <row r="91">
      <c r="B91" s="67" t="n"/>
      <c r="C91" s="67" t="n"/>
      <c r="E91" s="67" t="n"/>
      <c r="F91" s="67" t="n"/>
      <c r="G91" s="67" t="n"/>
      <c r="H91" s="67" t="n"/>
      <c r="I91" s="67" t="n"/>
      <c r="K91" s="67" t="n"/>
      <c r="L91" s="67" t="n"/>
      <c r="M91" s="67" t="n"/>
      <c r="N91" s="67" t="n"/>
      <c r="O91" s="67" t="n"/>
      <c r="P91" s="67" t="n"/>
      <c r="Q91" s="67" t="n"/>
      <c r="V91" s="67" t="n"/>
      <c r="W91" s="67" t="n"/>
      <c r="X91" s="67" t="n"/>
      <c r="Y91" s="67" t="n"/>
      <c r="Z91" s="67" t="n"/>
      <c r="AA91" s="67" t="n"/>
      <c r="AB91" s="67" t="n"/>
      <c r="AC91" s="67" t="n"/>
      <c r="AD91" s="67" t="n"/>
      <c r="AE91" s="67" t="n"/>
      <c r="AF91" s="67" t="n"/>
    </row>
    <row r="92">
      <c r="B92" s="67" t="n"/>
      <c r="C92" s="67" t="n"/>
      <c r="E92" s="67" t="n"/>
      <c r="F92" s="67" t="n"/>
      <c r="G92" s="67" t="n"/>
      <c r="H92" s="67" t="n"/>
      <c r="I92" s="67" t="n"/>
      <c r="K92" s="67" t="n"/>
      <c r="L92" s="67" t="n"/>
      <c r="M92" s="67" t="n"/>
      <c r="N92" s="67" t="n"/>
      <c r="O92" s="67" t="n"/>
      <c r="P92" s="67" t="n"/>
      <c r="Q92" s="67" t="n"/>
      <c r="V92" s="67" t="n"/>
      <c r="W92" s="67" t="n"/>
      <c r="X92" s="67" t="n"/>
      <c r="Y92" s="67" t="n"/>
      <c r="Z92" s="67" t="n"/>
      <c r="AA92" s="67" t="n"/>
      <c r="AB92" s="67" t="n"/>
      <c r="AC92" s="67" t="n"/>
      <c r="AD92" s="67" t="n"/>
      <c r="AE92" s="67" t="n"/>
      <c r="AF92" s="67" t="n"/>
    </row>
    <row r="93">
      <c r="B93" s="67" t="n"/>
      <c r="C93" s="67" t="n"/>
      <c r="E93" s="67" t="n"/>
      <c r="F93" s="67" t="n"/>
      <c r="G93" s="67" t="n"/>
      <c r="H93" s="67" t="n"/>
      <c r="I93" s="67" t="n"/>
      <c r="K93" s="67" t="n"/>
      <c r="L93" s="67" t="n"/>
      <c r="M93" s="67" t="n"/>
      <c r="N93" s="67" t="n"/>
      <c r="O93" s="67" t="n"/>
      <c r="P93" s="67" t="n"/>
      <c r="Q93" s="67" t="n"/>
      <c r="V93" s="67" t="n"/>
      <c r="W93" s="67" t="n"/>
      <c r="X93" s="67" t="n"/>
      <c r="Y93" s="67" t="n"/>
      <c r="Z93" s="67" t="n"/>
      <c r="AA93" s="67" t="n"/>
      <c r="AB93" s="67" t="n"/>
      <c r="AC93" s="67" t="n"/>
      <c r="AD93" s="67" t="n"/>
      <c r="AE93" s="67" t="n"/>
      <c r="AF93" s="67" t="n"/>
    </row>
    <row r="94">
      <c r="B94" s="67" t="n"/>
      <c r="C94" s="67" t="n"/>
      <c r="E94" s="67" t="n"/>
      <c r="F94" s="67" t="n"/>
      <c r="G94" s="67" t="n"/>
      <c r="H94" s="67" t="n"/>
      <c r="I94" s="67" t="n"/>
      <c r="K94" s="67" t="n"/>
      <c r="L94" s="67" t="n"/>
      <c r="M94" s="67" t="n"/>
      <c r="N94" s="67" t="n"/>
      <c r="O94" s="67" t="n"/>
      <c r="P94" s="67" t="n"/>
      <c r="Q94" s="67" t="n"/>
      <c r="V94" s="67" t="n"/>
      <c r="W94" s="67" t="n"/>
      <c r="X94" s="67" t="n"/>
      <c r="Y94" s="67" t="n"/>
      <c r="Z94" s="67" t="n"/>
      <c r="AA94" s="67" t="n"/>
      <c r="AB94" s="67" t="n"/>
      <c r="AC94" s="67" t="n"/>
      <c r="AD94" s="67" t="n"/>
      <c r="AE94" s="67" t="n"/>
      <c r="AF94" s="67" t="n"/>
    </row>
    <row r="95">
      <c r="B95" s="67" t="n"/>
      <c r="C95" s="67" t="n"/>
      <c r="E95" s="67" t="n"/>
      <c r="F95" s="67" t="n"/>
      <c r="G95" s="67" t="n"/>
      <c r="H95" s="67" t="n"/>
      <c r="I95" s="67" t="n"/>
      <c r="K95" s="67" t="n"/>
      <c r="L95" s="67" t="n"/>
      <c r="M95" s="67" t="n"/>
      <c r="N95" s="67" t="n"/>
      <c r="O95" s="67" t="n"/>
      <c r="P95" s="67" t="n"/>
      <c r="Q95" s="67" t="n"/>
      <c r="V95" s="67" t="n"/>
      <c r="W95" s="67" t="n"/>
      <c r="X95" s="67" t="n"/>
      <c r="Y95" s="67" t="n"/>
      <c r="Z95" s="67" t="n"/>
      <c r="AA95" s="67" t="n"/>
      <c r="AB95" s="67" t="n"/>
      <c r="AC95" s="67" t="n"/>
      <c r="AD95" s="67" t="n"/>
      <c r="AE95" s="67" t="n"/>
      <c r="AF95" s="67" t="n"/>
    </row>
    <row r="96">
      <c r="B96" s="67" t="n"/>
      <c r="C96" s="67" t="n"/>
      <c r="E96" s="67" t="n"/>
      <c r="F96" s="67" t="n"/>
      <c r="G96" s="67" t="n"/>
      <c r="H96" s="67" t="n"/>
      <c r="I96" s="67" t="n"/>
      <c r="K96" s="67" t="n"/>
      <c r="L96" s="67" t="n"/>
      <c r="M96" s="67" t="n"/>
      <c r="N96" s="67" t="n"/>
      <c r="O96" s="67" t="n"/>
      <c r="P96" s="67" t="n"/>
      <c r="Q96" s="67" t="n"/>
      <c r="V96" s="67" t="n"/>
      <c r="W96" s="67" t="n"/>
      <c r="X96" s="67" t="n"/>
      <c r="Y96" s="67" t="n"/>
      <c r="Z96" s="67" t="n"/>
      <c r="AA96" s="67" t="n"/>
      <c r="AB96" s="67" t="n"/>
      <c r="AC96" s="67" t="n"/>
      <c r="AD96" s="67" t="n"/>
      <c r="AE96" s="67" t="n"/>
      <c r="AF96" s="67" t="n"/>
    </row>
    <row r="97">
      <c r="B97" s="67" t="n"/>
      <c r="C97" s="67" t="n"/>
      <c r="E97" s="67" t="n"/>
      <c r="F97" s="67" t="n"/>
      <c r="G97" s="67" t="n"/>
      <c r="H97" s="67" t="n"/>
      <c r="I97" s="67" t="n"/>
      <c r="K97" s="67" t="n"/>
      <c r="L97" s="67" t="n"/>
      <c r="M97" s="67" t="n"/>
      <c r="N97" s="67" t="n"/>
      <c r="O97" s="67" t="n"/>
      <c r="P97" s="67" t="n"/>
      <c r="Q97" s="67" t="n"/>
      <c r="V97" s="67" t="n"/>
      <c r="W97" s="67" t="n"/>
      <c r="X97" s="67" t="n"/>
      <c r="Y97" s="67" t="n"/>
      <c r="Z97" s="67" t="n"/>
      <c r="AA97" s="67" t="n"/>
      <c r="AB97" s="67" t="n"/>
      <c r="AC97" s="67" t="n"/>
      <c r="AD97" s="67" t="n"/>
      <c r="AE97" s="67" t="n"/>
      <c r="AF97" s="67" t="n"/>
    </row>
    <row r="98">
      <c r="B98" s="67" t="n"/>
      <c r="C98" s="67" t="n"/>
      <c r="E98" s="67" t="n"/>
      <c r="F98" s="67" t="n"/>
      <c r="G98" s="67" t="n"/>
      <c r="H98" s="67" t="n"/>
      <c r="I98" s="67" t="n"/>
      <c r="K98" s="67" t="n"/>
      <c r="L98" s="67" t="n"/>
      <c r="M98" s="67" t="n"/>
      <c r="N98" s="67" t="n"/>
      <c r="O98" s="67" t="n"/>
      <c r="P98" s="67" t="n"/>
      <c r="Q98" s="67" t="n"/>
      <c r="V98" s="67" t="n"/>
      <c r="W98" s="67" t="n"/>
      <c r="X98" s="67" t="n"/>
      <c r="Y98" s="67" t="n"/>
      <c r="Z98" s="67" t="n"/>
      <c r="AA98" s="67" t="n"/>
      <c r="AB98" s="67" t="n"/>
      <c r="AC98" s="67" t="n"/>
      <c r="AD98" s="67" t="n"/>
      <c r="AE98" s="67" t="n"/>
      <c r="AF98" s="67" t="n"/>
    </row>
    <row r="99">
      <c r="B99" s="67" t="n"/>
      <c r="C99" s="67" t="n"/>
      <c r="E99" s="67" t="n"/>
      <c r="F99" s="67" t="n"/>
      <c r="G99" s="67" t="n"/>
      <c r="H99" s="67" t="n"/>
      <c r="I99" s="67" t="n"/>
      <c r="K99" s="67" t="n"/>
      <c r="L99" s="67" t="n"/>
      <c r="M99" s="67" t="n"/>
      <c r="N99" s="67" t="n"/>
      <c r="O99" s="67" t="n"/>
      <c r="P99" s="67" t="n"/>
      <c r="Q99" s="67" t="n"/>
      <c r="V99" s="67" t="n"/>
      <c r="W99" s="67" t="n"/>
      <c r="X99" s="67" t="n"/>
      <c r="Y99" s="67" t="n"/>
      <c r="Z99" s="67" t="n"/>
      <c r="AA99" s="67" t="n"/>
      <c r="AB99" s="67" t="n"/>
      <c r="AC99" s="67" t="n"/>
      <c r="AD99" s="67" t="n"/>
      <c r="AE99" s="67" t="n"/>
      <c r="AF99" s="67" t="n"/>
    </row>
    <row r="100">
      <c r="B100" s="67" t="n"/>
      <c r="C100" s="67" t="n"/>
      <c r="E100" s="67" t="n"/>
      <c r="F100" s="67" t="n"/>
      <c r="G100" s="67" t="n"/>
      <c r="H100" s="67" t="n"/>
      <c r="I100" s="67" t="n"/>
      <c r="K100" s="67" t="n"/>
      <c r="L100" s="67" t="n"/>
      <c r="M100" s="67" t="n"/>
      <c r="N100" s="67" t="n"/>
      <c r="O100" s="67" t="n"/>
      <c r="P100" s="67" t="n"/>
      <c r="Q100" s="67" t="n"/>
      <c r="V100" s="67" t="n"/>
      <c r="W100" s="67" t="n"/>
      <c r="X100" s="67" t="n"/>
      <c r="Y100" s="67" t="n"/>
      <c r="Z100" s="67" t="n"/>
      <c r="AA100" s="67" t="n"/>
      <c r="AB100" s="67" t="n"/>
      <c r="AC100" s="67" t="n"/>
      <c r="AD100" s="67" t="n"/>
      <c r="AE100" s="67" t="n"/>
      <c r="AF100" s="67" t="n"/>
    </row>
    <row r="101">
      <c r="B101" s="67" t="n"/>
      <c r="C101" s="67" t="n"/>
      <c r="E101" s="67" t="n"/>
      <c r="F101" s="67" t="n"/>
      <c r="G101" s="67" t="n"/>
      <c r="H101" s="67" t="n"/>
      <c r="I101" s="67" t="n"/>
      <c r="K101" s="67" t="n"/>
      <c r="L101" s="67" t="n"/>
      <c r="M101" s="67" t="n"/>
      <c r="N101" s="67" t="n"/>
      <c r="O101" s="67" t="n"/>
      <c r="P101" s="67" t="n"/>
      <c r="Q101" s="67" t="n"/>
      <c r="V101" s="67" t="n"/>
      <c r="W101" s="67" t="n"/>
      <c r="X101" s="67" t="n"/>
      <c r="Y101" s="67" t="n"/>
      <c r="Z101" s="67" t="n"/>
      <c r="AA101" s="67" t="n"/>
      <c r="AB101" s="67" t="n"/>
      <c r="AC101" s="67" t="n"/>
      <c r="AD101" s="67" t="n"/>
      <c r="AE101" s="67" t="n"/>
      <c r="AF101" s="67" t="n"/>
    </row>
    <row r="102">
      <c r="B102" s="67" t="n"/>
      <c r="C102" s="67" t="n"/>
      <c r="E102" s="67" t="n"/>
      <c r="F102" s="67" t="n"/>
      <c r="G102" s="67" t="n"/>
      <c r="H102" s="67" t="n"/>
      <c r="I102" s="67" t="n"/>
      <c r="K102" s="67" t="n"/>
      <c r="L102" s="67" t="n"/>
      <c r="M102" s="67" t="n"/>
      <c r="N102" s="67" t="n"/>
      <c r="O102" s="67" t="n"/>
      <c r="P102" s="67" t="n"/>
      <c r="Q102" s="67" t="n"/>
      <c r="V102" s="67" t="n"/>
      <c r="W102" s="67" t="n"/>
      <c r="X102" s="67" t="n"/>
      <c r="Y102" s="67" t="n"/>
      <c r="Z102" s="67" t="n"/>
      <c r="AA102" s="67" t="n"/>
      <c r="AB102" s="67" t="n"/>
      <c r="AC102" s="67" t="n"/>
      <c r="AD102" s="67" t="n"/>
      <c r="AE102" s="67" t="n"/>
      <c r="AF102" s="67" t="n"/>
    </row>
    <row r="103">
      <c r="B103" s="67" t="n"/>
      <c r="C103" s="67" t="n"/>
      <c r="E103" s="67" t="n"/>
      <c r="F103" s="67" t="n"/>
      <c r="G103" s="67" t="n"/>
      <c r="H103" s="67" t="n"/>
      <c r="I103" s="67" t="n"/>
      <c r="K103" s="67" t="n"/>
      <c r="L103" s="67" t="n"/>
      <c r="M103" s="67" t="n"/>
      <c r="N103" s="67" t="n"/>
      <c r="O103" s="67" t="n"/>
      <c r="P103" s="67" t="n"/>
      <c r="Q103" s="67" t="n"/>
      <c r="V103" s="67" t="n"/>
      <c r="W103" s="67" t="n"/>
      <c r="X103" s="67" t="n"/>
      <c r="Y103" s="67" t="n"/>
      <c r="Z103" s="67" t="n"/>
      <c r="AA103" s="67" t="n"/>
      <c r="AB103" s="67" t="n"/>
      <c r="AC103" s="67" t="n"/>
      <c r="AD103" s="67" t="n"/>
      <c r="AE103" s="67" t="n"/>
      <c r="AF103" s="67" t="n"/>
    </row>
    <row r="104">
      <c r="B104" s="67" t="n"/>
      <c r="C104" s="67" t="n"/>
      <c r="E104" s="67" t="n"/>
      <c r="F104" s="67" t="n"/>
      <c r="G104" s="67" t="n"/>
      <c r="H104" s="67" t="n"/>
      <c r="I104" s="67" t="n"/>
      <c r="K104" s="67" t="n"/>
      <c r="L104" s="67" t="n"/>
      <c r="M104" s="67" t="n"/>
      <c r="N104" s="67" t="n"/>
      <c r="O104" s="67" t="n"/>
      <c r="P104" s="67" t="n"/>
      <c r="Q104" s="67" t="n"/>
      <c r="V104" s="67" t="n"/>
      <c r="W104" s="67" t="n"/>
      <c r="X104" s="67" t="n"/>
      <c r="Y104" s="67" t="n"/>
      <c r="Z104" s="67" t="n"/>
      <c r="AA104" s="67" t="n"/>
      <c r="AB104" s="67" t="n"/>
      <c r="AC104" s="67" t="n"/>
      <c r="AD104" s="67" t="n"/>
      <c r="AE104" s="67" t="n"/>
      <c r="AF104" s="67" t="n"/>
    </row>
    <row r="105">
      <c r="B105" s="67" t="n"/>
      <c r="C105" s="67" t="n"/>
      <c r="E105" s="67" t="n"/>
      <c r="F105" s="67" t="n"/>
      <c r="G105" s="67" t="n"/>
      <c r="H105" s="67" t="n"/>
      <c r="I105" s="67" t="n"/>
      <c r="K105" s="67" t="n"/>
      <c r="L105" s="67" t="n"/>
      <c r="M105" s="67" t="n"/>
      <c r="N105" s="67" t="n"/>
      <c r="O105" s="67" t="n"/>
      <c r="P105" s="67" t="n"/>
      <c r="Q105" s="67" t="n"/>
      <c r="V105" s="67" t="n"/>
      <c r="W105" s="67" t="n"/>
      <c r="X105" s="67" t="n"/>
      <c r="Y105" s="67" t="n"/>
      <c r="Z105" s="67" t="n"/>
      <c r="AA105" s="67" t="n"/>
      <c r="AB105" s="67" t="n"/>
      <c r="AC105" s="67" t="n"/>
      <c r="AD105" s="67" t="n"/>
      <c r="AE105" s="67" t="n"/>
      <c r="AF105" s="67" t="n"/>
    </row>
    <row r="106">
      <c r="B106" s="67" t="n"/>
      <c r="C106" s="67" t="n"/>
      <c r="E106" s="67" t="n"/>
      <c r="F106" s="67" t="n"/>
      <c r="G106" s="67" t="n"/>
      <c r="H106" s="67" t="n"/>
      <c r="I106" s="67" t="n"/>
      <c r="K106" s="67" t="n"/>
      <c r="L106" s="67" t="n"/>
      <c r="M106" s="67" t="n"/>
      <c r="N106" s="67" t="n"/>
      <c r="O106" s="67" t="n"/>
      <c r="P106" s="67" t="n"/>
      <c r="Q106" s="67" t="n"/>
      <c r="V106" s="67" t="n"/>
      <c r="W106" s="67" t="n"/>
      <c r="X106" s="67" t="n"/>
      <c r="Y106" s="67" t="n"/>
      <c r="Z106" s="67" t="n"/>
      <c r="AA106" s="67" t="n"/>
      <c r="AB106" s="67" t="n"/>
      <c r="AC106" s="67" t="n"/>
      <c r="AD106" s="67" t="n"/>
      <c r="AE106" s="67" t="n"/>
      <c r="AF106" s="67" t="n"/>
    </row>
    <row r="107">
      <c r="B107" s="67" t="n"/>
      <c r="C107" s="67" t="n"/>
      <c r="E107" s="67" t="n"/>
      <c r="F107" s="67" t="n"/>
      <c r="G107" s="67" t="n"/>
      <c r="H107" s="67" t="n"/>
      <c r="I107" s="67" t="n"/>
      <c r="K107" s="67" t="n"/>
      <c r="L107" s="67" t="n"/>
      <c r="M107" s="67" t="n"/>
      <c r="N107" s="67" t="n"/>
      <c r="O107" s="67" t="n"/>
      <c r="P107" s="67" t="n"/>
      <c r="Q107" s="67" t="n"/>
      <c r="V107" s="67" t="n"/>
      <c r="W107" s="67" t="n"/>
      <c r="X107" s="67" t="n"/>
      <c r="Y107" s="67" t="n"/>
      <c r="Z107" s="67" t="n"/>
      <c r="AA107" s="67" t="n"/>
      <c r="AB107" s="67" t="n"/>
      <c r="AC107" s="67" t="n"/>
      <c r="AD107" s="67" t="n"/>
      <c r="AE107" s="67" t="n"/>
      <c r="AF107" s="67" t="n"/>
    </row>
    <row r="108">
      <c r="B108" s="67" t="n"/>
      <c r="C108" s="67" t="n"/>
      <c r="E108" s="67" t="n"/>
      <c r="F108" s="67" t="n"/>
      <c r="G108" s="67" t="n"/>
      <c r="H108" s="67" t="n"/>
      <c r="I108" s="67" t="n"/>
      <c r="K108" s="67" t="n"/>
      <c r="L108" s="67" t="n"/>
      <c r="M108" s="67" t="n"/>
      <c r="N108" s="67" t="n"/>
      <c r="O108" s="67" t="n"/>
      <c r="P108" s="67" t="n"/>
      <c r="Q108" s="67" t="n"/>
      <c r="V108" s="67" t="n"/>
      <c r="W108" s="67" t="n"/>
      <c r="X108" s="67" t="n"/>
      <c r="Y108" s="67" t="n"/>
      <c r="Z108" s="67" t="n"/>
      <c r="AA108" s="67" t="n"/>
      <c r="AB108" s="67" t="n"/>
      <c r="AC108" s="67" t="n"/>
      <c r="AD108" s="67" t="n"/>
      <c r="AE108" s="67" t="n"/>
      <c r="AF108" s="67" t="n"/>
    </row>
    <row r="109">
      <c r="B109" s="67" t="n"/>
      <c r="C109" s="67" t="n"/>
      <c r="E109" s="67" t="n"/>
      <c r="F109" s="67" t="n"/>
      <c r="G109" s="67" t="n"/>
      <c r="H109" s="67" t="n"/>
      <c r="I109" s="67" t="n"/>
      <c r="K109" s="67" t="n"/>
      <c r="L109" s="67" t="n"/>
      <c r="M109" s="67" t="n"/>
      <c r="N109" s="67" t="n"/>
      <c r="O109" s="67" t="n"/>
      <c r="P109" s="67" t="n"/>
      <c r="Q109" s="67" t="n"/>
      <c r="V109" s="67" t="n"/>
      <c r="W109" s="67" t="n"/>
      <c r="X109" s="67" t="n"/>
      <c r="Y109" s="67" t="n"/>
      <c r="Z109" s="67" t="n"/>
      <c r="AA109" s="67" t="n"/>
      <c r="AB109" s="67" t="n"/>
      <c r="AC109" s="67" t="n"/>
      <c r="AD109" s="67" t="n"/>
      <c r="AE109" s="67" t="n"/>
      <c r="AF109" s="67" t="n"/>
    </row>
    <row r="110">
      <c r="B110" s="67" t="n"/>
      <c r="C110" s="67" t="n"/>
      <c r="E110" s="67" t="n"/>
      <c r="F110" s="67" t="n"/>
      <c r="G110" s="67" t="n"/>
      <c r="H110" s="67" t="n"/>
      <c r="I110" s="67" t="n"/>
      <c r="K110" s="67" t="n"/>
      <c r="L110" s="67" t="n"/>
      <c r="M110" s="67" t="n"/>
      <c r="N110" s="67" t="n"/>
      <c r="O110" s="67" t="n"/>
      <c r="P110" s="67" t="n"/>
      <c r="Q110" s="67" t="n"/>
      <c r="V110" s="67" t="n"/>
      <c r="W110" s="67" t="n"/>
      <c r="X110" s="67" t="n"/>
      <c r="Y110" s="67" t="n"/>
      <c r="Z110" s="67" t="n"/>
      <c r="AA110" s="67" t="n"/>
      <c r="AB110" s="67" t="n"/>
      <c r="AC110" s="67" t="n"/>
      <c r="AD110" s="67" t="n"/>
      <c r="AE110" s="67" t="n"/>
      <c r="AF110" s="67" t="n"/>
    </row>
    <row r="111">
      <c r="B111" s="67" t="n"/>
      <c r="C111" s="67" t="n"/>
      <c r="E111" s="67" t="n"/>
      <c r="F111" s="67" t="n"/>
      <c r="G111" s="67" t="n"/>
      <c r="H111" s="67" t="n"/>
      <c r="I111" s="67" t="n"/>
      <c r="K111" s="67" t="n"/>
      <c r="L111" s="67" t="n"/>
      <c r="M111" s="67" t="n"/>
      <c r="N111" s="67" t="n"/>
      <c r="O111" s="67" t="n"/>
      <c r="P111" s="67" t="n"/>
      <c r="Q111" s="67" t="n"/>
      <c r="V111" s="67" t="n"/>
      <c r="W111" s="67" t="n"/>
      <c r="X111" s="67" t="n"/>
      <c r="Y111" s="67" t="n"/>
      <c r="Z111" s="67" t="n"/>
      <c r="AA111" s="67" t="n"/>
      <c r="AB111" s="67" t="n"/>
      <c r="AC111" s="67" t="n"/>
      <c r="AD111" s="67" t="n"/>
      <c r="AE111" s="67" t="n"/>
      <c r="AF111" s="67" t="n"/>
    </row>
    <row r="112">
      <c r="B112" s="67" t="n"/>
      <c r="C112" s="67" t="n"/>
      <c r="E112" s="67" t="n"/>
      <c r="F112" s="67" t="n"/>
      <c r="G112" s="67" t="n"/>
      <c r="H112" s="67" t="n"/>
      <c r="I112" s="67" t="n"/>
      <c r="K112" s="67" t="n"/>
      <c r="L112" s="67" t="n"/>
      <c r="M112" s="67" t="n"/>
      <c r="N112" s="67" t="n"/>
      <c r="O112" s="67" t="n"/>
      <c r="P112" s="67" t="n"/>
      <c r="Q112" s="67" t="n"/>
      <c r="V112" s="67" t="n"/>
      <c r="W112" s="67" t="n"/>
      <c r="X112" s="67" t="n"/>
      <c r="Y112" s="67" t="n"/>
      <c r="Z112" s="67" t="n"/>
      <c r="AA112" s="67" t="n"/>
      <c r="AB112" s="67" t="n"/>
      <c r="AC112" s="67" t="n"/>
      <c r="AD112" s="67" t="n"/>
      <c r="AE112" s="67" t="n"/>
      <c r="AF112" s="67" t="n"/>
    </row>
    <row r="113">
      <c r="B113" s="67" t="n"/>
      <c r="C113" s="67" t="n"/>
      <c r="E113" s="67" t="n"/>
      <c r="F113" s="67" t="n"/>
      <c r="G113" s="67" t="n"/>
      <c r="H113" s="67" t="n"/>
      <c r="I113" s="67" t="n"/>
      <c r="K113" s="67" t="n"/>
      <c r="L113" s="67" t="n"/>
      <c r="M113" s="67" t="n"/>
      <c r="N113" s="67" t="n"/>
      <c r="O113" s="67" t="n"/>
      <c r="P113" s="67" t="n"/>
      <c r="Q113" s="67" t="n"/>
      <c r="V113" s="67" t="n"/>
      <c r="W113" s="67" t="n"/>
      <c r="X113" s="67" t="n"/>
      <c r="Y113" s="67" t="n"/>
      <c r="Z113" s="67" t="n"/>
      <c r="AA113" s="67" t="n"/>
      <c r="AB113" s="67" t="n"/>
      <c r="AC113" s="67" t="n"/>
      <c r="AD113" s="67" t="n"/>
      <c r="AE113" s="67" t="n"/>
      <c r="AF113" s="67" t="n"/>
    </row>
    <row r="114">
      <c r="B114" s="67" t="n"/>
      <c r="C114" s="67" t="n"/>
      <c r="E114" s="67" t="n"/>
      <c r="F114" s="67" t="n"/>
      <c r="G114" s="67" t="n"/>
      <c r="H114" s="67" t="n"/>
      <c r="I114" s="67" t="n"/>
      <c r="K114" s="67" t="n"/>
      <c r="L114" s="67" t="n"/>
      <c r="M114" s="67" t="n"/>
      <c r="N114" s="67" t="n"/>
      <c r="O114" s="67" t="n"/>
      <c r="P114" s="67" t="n"/>
      <c r="Q114" s="67" t="n"/>
      <c r="V114" s="67" t="n"/>
      <c r="W114" s="67" t="n"/>
      <c r="X114" s="67" t="n"/>
      <c r="Y114" s="67" t="n"/>
      <c r="Z114" s="67" t="n"/>
      <c r="AA114" s="67" t="n"/>
      <c r="AB114" s="67" t="n"/>
      <c r="AC114" s="67" t="n"/>
      <c r="AD114" s="67" t="n"/>
      <c r="AE114" s="67" t="n"/>
      <c r="AF114" s="67" t="n"/>
    </row>
    <row r="115">
      <c r="B115" s="67" t="n"/>
      <c r="C115" s="67" t="n"/>
      <c r="E115" s="67" t="n"/>
      <c r="F115" s="67" t="n"/>
      <c r="G115" s="67" t="n"/>
      <c r="H115" s="67" t="n"/>
      <c r="I115" s="67" t="n"/>
      <c r="K115" s="67" t="n"/>
      <c r="L115" s="67" t="n"/>
      <c r="M115" s="67" t="n"/>
      <c r="N115" s="67" t="n"/>
      <c r="O115" s="67" t="n"/>
      <c r="P115" s="67" t="n"/>
      <c r="Q115" s="67" t="n"/>
      <c r="V115" s="67" t="n"/>
      <c r="W115" s="67" t="n"/>
      <c r="X115" s="67" t="n"/>
      <c r="Y115" s="67" t="n"/>
      <c r="Z115" s="67" t="n"/>
      <c r="AA115" s="67" t="n"/>
      <c r="AB115" s="67" t="n"/>
      <c r="AC115" s="67" t="n"/>
      <c r="AD115" s="67" t="n"/>
      <c r="AE115" s="67" t="n"/>
      <c r="AF115" s="67" t="n"/>
    </row>
    <row r="116">
      <c r="B116" s="67" t="n"/>
      <c r="C116" s="67" t="n"/>
      <c r="E116" s="67" t="n"/>
      <c r="F116" s="67" t="n"/>
      <c r="G116" s="67" t="n"/>
      <c r="H116" s="67" t="n"/>
      <c r="I116" s="67" t="n"/>
      <c r="K116" s="67" t="n"/>
      <c r="L116" s="67" t="n"/>
      <c r="M116" s="67" t="n"/>
      <c r="N116" s="67" t="n"/>
      <c r="O116" s="67" t="n"/>
      <c r="P116" s="67" t="n"/>
      <c r="Q116" s="67" t="n"/>
      <c r="V116" s="67" t="n"/>
      <c r="W116" s="67" t="n"/>
      <c r="X116" s="67" t="n"/>
      <c r="Y116" s="67" t="n"/>
      <c r="Z116" s="67" t="n"/>
      <c r="AA116" s="67" t="n"/>
      <c r="AB116" s="67" t="n"/>
      <c r="AC116" s="67" t="n"/>
      <c r="AD116" s="67" t="n"/>
      <c r="AE116" s="67" t="n"/>
      <c r="AF116" s="67" t="n"/>
    </row>
    <row r="117">
      <c r="B117" s="67" t="n"/>
      <c r="C117" s="67" t="n"/>
      <c r="E117" s="67" t="n"/>
      <c r="F117" s="67" t="n"/>
      <c r="G117" s="67" t="n"/>
      <c r="H117" s="67" t="n"/>
      <c r="I117" s="67" t="n"/>
      <c r="K117" s="67" t="n"/>
      <c r="L117" s="67" t="n"/>
      <c r="M117" s="67" t="n"/>
      <c r="N117" s="67" t="n"/>
      <c r="O117" s="67" t="n"/>
      <c r="P117" s="67" t="n"/>
      <c r="Q117" s="67" t="n"/>
      <c r="V117" s="67" t="n"/>
      <c r="W117" s="67" t="n"/>
      <c r="X117" s="67" t="n"/>
      <c r="Y117" s="67" t="n"/>
      <c r="Z117" s="67" t="n"/>
      <c r="AA117" s="67" t="n"/>
      <c r="AB117" s="67" t="n"/>
      <c r="AC117" s="67" t="n"/>
      <c r="AD117" s="67" t="n"/>
      <c r="AE117" s="67" t="n"/>
      <c r="AF117" s="67" t="n"/>
    </row>
    <row r="118">
      <c r="B118" s="67" t="n"/>
      <c r="C118" s="67" t="n"/>
      <c r="E118" s="67" t="n"/>
      <c r="F118" s="67" t="n"/>
      <c r="G118" s="67" t="n"/>
      <c r="H118" s="67" t="n"/>
      <c r="I118" s="67" t="n"/>
      <c r="K118" s="67" t="n"/>
      <c r="L118" s="67" t="n"/>
      <c r="M118" s="67" t="n"/>
      <c r="N118" s="67" t="n"/>
      <c r="O118" s="67" t="n"/>
      <c r="P118" s="67" t="n"/>
      <c r="Q118" s="67" t="n"/>
      <c r="V118" s="67" t="n"/>
      <c r="W118" s="67" t="n"/>
      <c r="X118" s="67" t="n"/>
      <c r="Y118" s="67" t="n"/>
      <c r="Z118" s="67" t="n"/>
      <c r="AA118" s="67" t="n"/>
      <c r="AB118" s="67" t="n"/>
      <c r="AC118" s="67" t="n"/>
      <c r="AD118" s="67" t="n"/>
      <c r="AE118" s="67" t="n"/>
      <c r="AF118" s="67" t="n"/>
    </row>
    <row r="119">
      <c r="B119" s="67" t="n"/>
      <c r="C119" s="67" t="n"/>
      <c r="E119" s="67" t="n"/>
      <c r="F119" s="67" t="n"/>
      <c r="G119" s="67" t="n"/>
      <c r="H119" s="67" t="n"/>
      <c r="I119" s="67" t="n"/>
      <c r="K119" s="67" t="n"/>
      <c r="L119" s="67" t="n"/>
      <c r="M119" s="67" t="n"/>
      <c r="N119" s="67" t="n"/>
      <c r="O119" s="67" t="n"/>
      <c r="P119" s="67" t="n"/>
      <c r="Q119" s="67" t="n"/>
      <c r="V119" s="67" t="n"/>
      <c r="W119" s="67" t="n"/>
      <c r="X119" s="67" t="n"/>
      <c r="Y119" s="67" t="n"/>
      <c r="Z119" s="67" t="n"/>
      <c r="AA119" s="67" t="n"/>
      <c r="AB119" s="67" t="n"/>
      <c r="AC119" s="67" t="n"/>
      <c r="AD119" s="67" t="n"/>
      <c r="AE119" s="67" t="n"/>
      <c r="AF119" s="67" t="n"/>
    </row>
    <row r="120">
      <c r="B120" s="67" t="n"/>
      <c r="C120" s="67" t="n"/>
      <c r="E120" s="67" t="n"/>
      <c r="F120" s="67" t="n"/>
      <c r="G120" s="67" t="n"/>
      <c r="H120" s="67" t="n"/>
      <c r="I120" s="67" t="n"/>
      <c r="K120" s="67" t="n"/>
      <c r="L120" s="67" t="n"/>
      <c r="M120" s="67" t="n"/>
      <c r="N120" s="67" t="n"/>
      <c r="O120" s="67" t="n"/>
      <c r="P120" s="67" t="n"/>
      <c r="Q120" s="67" t="n"/>
      <c r="V120" s="67" t="n"/>
      <c r="W120" s="67" t="n"/>
      <c r="X120" s="67" t="n"/>
      <c r="Y120" s="67" t="n"/>
      <c r="Z120" s="67" t="n"/>
      <c r="AA120" s="67" t="n"/>
      <c r="AB120" s="67" t="n"/>
      <c r="AC120" s="67" t="n"/>
      <c r="AD120" s="67" t="n"/>
      <c r="AE120" s="67" t="n"/>
      <c r="AF120" s="67" t="n"/>
    </row>
    <row r="121">
      <c r="B121" s="67" t="n"/>
      <c r="C121" s="67" t="n"/>
      <c r="E121" s="67" t="n"/>
      <c r="F121" s="67" t="n"/>
      <c r="G121" s="67" t="n"/>
      <c r="H121" s="67" t="n"/>
      <c r="I121" s="67" t="n"/>
      <c r="K121" s="67" t="n"/>
      <c r="L121" s="67" t="n"/>
      <c r="M121" s="67" t="n"/>
      <c r="N121" s="67" t="n"/>
      <c r="O121" s="67" t="n"/>
      <c r="P121" s="67" t="n"/>
      <c r="Q121" s="67" t="n"/>
      <c r="V121" s="67" t="n"/>
      <c r="W121" s="67" t="n"/>
      <c r="X121" s="67" t="n"/>
      <c r="Y121" s="67" t="n"/>
      <c r="Z121" s="67" t="n"/>
      <c r="AA121" s="67" t="n"/>
      <c r="AB121" s="67" t="n"/>
      <c r="AC121" s="67" t="n"/>
      <c r="AD121" s="67" t="n"/>
      <c r="AE121" s="67" t="n"/>
      <c r="AF121" s="67" t="n"/>
    </row>
    <row r="122">
      <c r="B122" s="67" t="n"/>
      <c r="C122" s="67" t="n"/>
      <c r="E122" s="67" t="n"/>
      <c r="F122" s="67" t="n"/>
      <c r="G122" s="67" t="n"/>
      <c r="H122" s="67" t="n"/>
      <c r="I122" s="67" t="n"/>
      <c r="K122" s="67" t="n"/>
      <c r="L122" s="67" t="n"/>
      <c r="M122" s="67" t="n"/>
      <c r="N122" s="67" t="n"/>
      <c r="O122" s="67" t="n"/>
      <c r="P122" s="67" t="n"/>
      <c r="Q122" s="67" t="n"/>
      <c r="V122" s="67" t="n"/>
      <c r="W122" s="67" t="n"/>
      <c r="X122" s="67" t="n"/>
      <c r="Y122" s="67" t="n"/>
      <c r="Z122" s="67" t="n"/>
      <c r="AA122" s="67" t="n"/>
      <c r="AB122" s="67" t="n"/>
      <c r="AC122" s="67" t="n"/>
      <c r="AD122" s="67" t="n"/>
      <c r="AE122" s="67" t="n"/>
      <c r="AF122" s="67" t="n"/>
    </row>
    <row r="123">
      <c r="B123" s="67" t="n"/>
      <c r="C123" s="67" t="n"/>
      <c r="E123" s="67" t="n"/>
      <c r="F123" s="67" t="n"/>
      <c r="G123" s="67" t="n"/>
      <c r="H123" s="67" t="n"/>
      <c r="I123" s="67" t="n"/>
      <c r="K123" s="67" t="n"/>
      <c r="L123" s="67" t="n"/>
      <c r="M123" s="67" t="n"/>
      <c r="N123" s="67" t="n"/>
      <c r="O123" s="67" t="n"/>
      <c r="P123" s="67" t="n"/>
      <c r="Q123" s="67" t="n"/>
      <c r="V123" s="67" t="n"/>
      <c r="W123" s="67" t="n"/>
      <c r="X123" s="67" t="n"/>
      <c r="Y123" s="67" t="n"/>
      <c r="Z123" s="67" t="n"/>
      <c r="AA123" s="67" t="n"/>
      <c r="AB123" s="67" t="n"/>
      <c r="AC123" s="67" t="n"/>
      <c r="AD123" s="67" t="n"/>
      <c r="AE123" s="67" t="n"/>
      <c r="AF123" s="67" t="n"/>
    </row>
    <row r="124">
      <c r="B124" s="67" t="n"/>
      <c r="C124" s="67" t="n"/>
      <c r="E124" s="67" t="n"/>
      <c r="F124" s="67" t="n"/>
      <c r="G124" s="67" t="n"/>
      <c r="H124" s="67" t="n"/>
      <c r="I124" s="67" t="n"/>
      <c r="K124" s="67" t="n"/>
      <c r="L124" s="67" t="n"/>
      <c r="M124" s="67" t="n"/>
      <c r="N124" s="67" t="n"/>
      <c r="O124" s="67" t="n"/>
      <c r="P124" s="67" t="n"/>
      <c r="Q124" s="67" t="n"/>
      <c r="V124" s="67" t="n"/>
      <c r="W124" s="67" t="n"/>
      <c r="X124" s="67" t="n"/>
      <c r="Y124" s="67" t="n"/>
      <c r="Z124" s="67" t="n"/>
      <c r="AA124" s="67" t="n"/>
      <c r="AB124" s="67" t="n"/>
      <c r="AC124" s="67" t="n"/>
      <c r="AD124" s="67" t="n"/>
      <c r="AE124" s="67" t="n"/>
      <c r="AF124" s="67" t="n"/>
    </row>
    <row r="125">
      <c r="B125" s="67" t="n"/>
      <c r="C125" s="67" t="n"/>
      <c r="E125" s="67" t="n"/>
      <c r="F125" s="67" t="n"/>
      <c r="G125" s="67" t="n"/>
      <c r="H125" s="67" t="n"/>
      <c r="I125" s="67" t="n"/>
      <c r="K125" s="67" t="n"/>
      <c r="L125" s="67" t="n"/>
      <c r="M125" s="67" t="n"/>
      <c r="N125" s="67" t="n"/>
      <c r="O125" s="67" t="n"/>
      <c r="P125" s="67" t="n"/>
      <c r="Q125" s="67" t="n"/>
      <c r="V125" s="67" t="n"/>
      <c r="W125" s="67" t="n"/>
      <c r="X125" s="67" t="n"/>
      <c r="Y125" s="67" t="n"/>
      <c r="Z125" s="67" t="n"/>
      <c r="AA125" s="67" t="n"/>
      <c r="AB125" s="67" t="n"/>
      <c r="AC125" s="67" t="n"/>
      <c r="AD125" s="67" t="n"/>
      <c r="AE125" s="67" t="n"/>
      <c r="AF125" s="67" t="n"/>
    </row>
    <row r="126">
      <c r="B126" s="67" t="n"/>
      <c r="C126" s="67" t="n"/>
      <c r="E126" s="67" t="n"/>
      <c r="F126" s="67" t="n"/>
      <c r="G126" s="67" t="n"/>
      <c r="H126" s="67" t="n"/>
      <c r="I126" s="67" t="n"/>
      <c r="K126" s="67" t="n"/>
      <c r="L126" s="67" t="n"/>
      <c r="M126" s="67" t="n"/>
      <c r="N126" s="67" t="n"/>
      <c r="O126" s="67" t="n"/>
      <c r="P126" s="67" t="n"/>
      <c r="Q126" s="67" t="n"/>
      <c r="V126" s="67" t="n"/>
      <c r="W126" s="67" t="n"/>
      <c r="X126" s="67" t="n"/>
      <c r="Y126" s="67" t="n"/>
      <c r="Z126" s="67" t="n"/>
      <c r="AA126" s="67" t="n"/>
      <c r="AB126" s="67" t="n"/>
      <c r="AC126" s="67" t="n"/>
      <c r="AD126" s="67" t="n"/>
      <c r="AE126" s="67" t="n"/>
      <c r="AF126" s="67" t="n"/>
    </row>
    <row r="127">
      <c r="B127" s="67" t="n"/>
      <c r="C127" s="67" t="n"/>
      <c r="E127" s="67" t="n"/>
      <c r="F127" s="67" t="n"/>
      <c r="G127" s="67" t="n"/>
      <c r="H127" s="67" t="n"/>
      <c r="I127" s="67" t="n"/>
      <c r="K127" s="67" t="n"/>
      <c r="L127" s="67" t="n"/>
      <c r="M127" s="67" t="n"/>
      <c r="N127" s="67" t="n"/>
      <c r="O127" s="67" t="n"/>
      <c r="P127" s="67" t="n"/>
      <c r="Q127" s="67" t="n"/>
      <c r="V127" s="67" t="n"/>
      <c r="W127" s="67" t="n"/>
      <c r="X127" s="67" t="n"/>
      <c r="Y127" s="67" t="n"/>
      <c r="Z127" s="67" t="n"/>
      <c r="AA127" s="67" t="n"/>
      <c r="AB127" s="67" t="n"/>
      <c r="AC127" s="67" t="n"/>
      <c r="AD127" s="67" t="n"/>
      <c r="AE127" s="67" t="n"/>
      <c r="AF127" s="67" t="n"/>
    </row>
    <row r="128">
      <c r="B128" s="67" t="n"/>
      <c r="C128" s="67" t="n"/>
      <c r="E128" s="67" t="n"/>
      <c r="F128" s="67" t="n"/>
      <c r="G128" s="67" t="n"/>
      <c r="H128" s="67" t="n"/>
      <c r="I128" s="67" t="n"/>
      <c r="K128" s="67" t="n"/>
      <c r="L128" s="67" t="n"/>
      <c r="M128" s="67" t="n"/>
      <c r="N128" s="67" t="n"/>
      <c r="O128" s="67" t="n"/>
      <c r="P128" s="67" t="n"/>
      <c r="Q128" s="67" t="n"/>
      <c r="V128" s="67" t="n"/>
      <c r="W128" s="67" t="n"/>
      <c r="X128" s="67" t="n"/>
      <c r="Y128" s="67" t="n"/>
      <c r="Z128" s="67" t="n"/>
      <c r="AA128" s="67" t="n"/>
      <c r="AB128" s="67" t="n"/>
      <c r="AC128" s="67" t="n"/>
      <c r="AD128" s="67" t="n"/>
      <c r="AE128" s="67" t="n"/>
      <c r="AF128" s="67" t="n"/>
    </row>
    <row r="129">
      <c r="B129" s="67" t="n"/>
      <c r="C129" s="67" t="n"/>
      <c r="E129" s="67" t="n"/>
      <c r="F129" s="67" t="n"/>
      <c r="G129" s="67" t="n"/>
      <c r="H129" s="67" t="n"/>
      <c r="I129" s="67" t="n"/>
      <c r="K129" s="67" t="n"/>
      <c r="L129" s="67" t="n"/>
      <c r="M129" s="67" t="n"/>
      <c r="N129" s="67" t="n"/>
      <c r="O129" s="67" t="n"/>
      <c r="P129" s="67" t="n"/>
      <c r="Q129" s="67" t="n"/>
      <c r="V129" s="67" t="n"/>
      <c r="W129" s="67" t="n"/>
      <c r="X129" s="67" t="n"/>
      <c r="Y129" s="67" t="n"/>
      <c r="Z129" s="67" t="n"/>
      <c r="AA129" s="67" t="n"/>
      <c r="AB129" s="67" t="n"/>
      <c r="AC129" s="67" t="n"/>
      <c r="AD129" s="67" t="n"/>
      <c r="AE129" s="67" t="n"/>
      <c r="AF129" s="67" t="n"/>
    </row>
    <row r="130">
      <c r="B130" s="67" t="n"/>
      <c r="C130" s="67" t="n"/>
      <c r="E130" s="67" t="n"/>
      <c r="F130" s="67" t="n"/>
      <c r="G130" s="67" t="n"/>
      <c r="H130" s="67" t="n"/>
      <c r="I130" s="67" t="n"/>
      <c r="K130" s="67" t="n"/>
      <c r="L130" s="67" t="n"/>
      <c r="M130" s="67" t="n"/>
      <c r="N130" s="67" t="n"/>
      <c r="O130" s="67" t="n"/>
      <c r="P130" s="67" t="n"/>
      <c r="Q130" s="67" t="n"/>
      <c r="V130" s="67" t="n"/>
      <c r="W130" s="67" t="n"/>
      <c r="X130" s="67" t="n"/>
      <c r="Y130" s="67" t="n"/>
      <c r="Z130" s="67" t="n"/>
      <c r="AA130" s="67" t="n"/>
      <c r="AB130" s="67" t="n"/>
      <c r="AC130" s="67" t="n"/>
      <c r="AD130" s="67" t="n"/>
      <c r="AE130" s="67" t="n"/>
      <c r="AF130" s="67" t="n"/>
    </row>
    <row r="131">
      <c r="B131" s="67" t="n"/>
      <c r="C131" s="67" t="n"/>
      <c r="E131" s="67" t="n"/>
      <c r="F131" s="67" t="n"/>
      <c r="G131" s="67" t="n"/>
      <c r="H131" s="67" t="n"/>
      <c r="I131" s="67" t="n"/>
      <c r="K131" s="67" t="n"/>
      <c r="L131" s="67" t="n"/>
      <c r="M131" s="67" t="n"/>
      <c r="N131" s="67" t="n"/>
      <c r="O131" s="67" t="n"/>
      <c r="P131" s="67" t="n"/>
      <c r="Q131" s="67" t="n"/>
      <c r="V131" s="67" t="n"/>
      <c r="W131" s="67" t="n"/>
      <c r="X131" s="67" t="n"/>
      <c r="Y131" s="67" t="n"/>
      <c r="Z131" s="67" t="n"/>
      <c r="AA131" s="67" t="n"/>
      <c r="AB131" s="67" t="n"/>
      <c r="AC131" s="67" t="n"/>
      <c r="AD131" s="67" t="n"/>
      <c r="AE131" s="67" t="n"/>
      <c r="AF131" s="67" t="n"/>
    </row>
    <row r="132">
      <c r="B132" s="67" t="n"/>
      <c r="C132" s="67" t="n"/>
      <c r="E132" s="67" t="n"/>
      <c r="F132" s="67" t="n"/>
      <c r="G132" s="67" t="n"/>
      <c r="H132" s="67" t="n"/>
      <c r="I132" s="67" t="n"/>
      <c r="K132" s="67" t="n"/>
      <c r="L132" s="67" t="n"/>
      <c r="M132" s="67" t="n"/>
      <c r="N132" s="67" t="n"/>
      <c r="O132" s="67" t="n"/>
      <c r="P132" s="67" t="n"/>
      <c r="Q132" s="67" t="n"/>
      <c r="V132" s="67" t="n"/>
      <c r="W132" s="67" t="n"/>
      <c r="X132" s="67" t="n"/>
      <c r="Y132" s="67" t="n"/>
      <c r="Z132" s="67" t="n"/>
      <c r="AA132" s="67" t="n"/>
      <c r="AB132" s="67" t="n"/>
      <c r="AC132" s="67" t="n"/>
      <c r="AD132" s="67" t="n"/>
      <c r="AE132" s="67" t="n"/>
      <c r="AF132" s="67" t="n"/>
    </row>
    <row r="133">
      <c r="B133" s="67" t="n"/>
      <c r="C133" s="67" t="n"/>
      <c r="E133" s="67" t="n"/>
      <c r="F133" s="67" t="n"/>
      <c r="G133" s="67" t="n"/>
      <c r="H133" s="67" t="n"/>
      <c r="I133" s="67" t="n"/>
      <c r="K133" s="67" t="n"/>
      <c r="L133" s="67" t="n"/>
      <c r="M133" s="67" t="n"/>
      <c r="N133" s="67" t="n"/>
      <c r="O133" s="67" t="n"/>
      <c r="P133" s="67" t="n"/>
      <c r="Q133" s="67" t="n"/>
      <c r="V133" s="67" t="n"/>
      <c r="W133" s="67" t="n"/>
      <c r="X133" s="67" t="n"/>
      <c r="Y133" s="67" t="n"/>
      <c r="Z133" s="67" t="n"/>
      <c r="AA133" s="67" t="n"/>
      <c r="AB133" s="67" t="n"/>
      <c r="AC133" s="67" t="n"/>
      <c r="AD133" s="67" t="n"/>
      <c r="AE133" s="67" t="n"/>
      <c r="AF133" s="67" t="n"/>
    </row>
    <row r="134">
      <c r="B134" s="67" t="n"/>
      <c r="C134" s="67" t="n"/>
      <c r="E134" s="67" t="n"/>
      <c r="F134" s="67" t="n"/>
      <c r="G134" s="67" t="n"/>
      <c r="H134" s="67" t="n"/>
      <c r="I134" s="67" t="n"/>
      <c r="K134" s="67" t="n"/>
      <c r="L134" s="67" t="n"/>
      <c r="M134" s="67" t="n"/>
      <c r="N134" s="67" t="n"/>
      <c r="O134" s="67" t="n"/>
      <c r="P134" s="67" t="n"/>
      <c r="Q134" s="67" t="n"/>
      <c r="V134" s="67" t="n"/>
      <c r="W134" s="67" t="n"/>
      <c r="X134" s="67" t="n"/>
      <c r="Y134" s="67" t="n"/>
      <c r="Z134" s="67" t="n"/>
      <c r="AA134" s="67" t="n"/>
      <c r="AB134" s="67" t="n"/>
      <c r="AC134" s="67" t="n"/>
      <c r="AD134" s="67" t="n"/>
      <c r="AE134" s="67" t="n"/>
      <c r="AF134" s="67" t="n"/>
    </row>
    <row r="135">
      <c r="B135" s="67" t="n"/>
      <c r="C135" s="67" t="n"/>
      <c r="E135" s="67" t="n"/>
      <c r="F135" s="67" t="n"/>
      <c r="G135" s="67" t="n"/>
      <c r="H135" s="67" t="n"/>
      <c r="I135" s="67" t="n"/>
      <c r="K135" s="67" t="n"/>
      <c r="L135" s="67" t="n"/>
      <c r="M135" s="67" t="n"/>
      <c r="N135" s="67" t="n"/>
      <c r="O135" s="67" t="n"/>
      <c r="P135" s="67" t="n"/>
      <c r="Q135" s="67" t="n"/>
      <c r="V135" s="67" t="n"/>
      <c r="W135" s="67" t="n"/>
      <c r="X135" s="67" t="n"/>
      <c r="Y135" s="67" t="n"/>
      <c r="Z135" s="67" t="n"/>
      <c r="AA135" s="67" t="n"/>
      <c r="AB135" s="67" t="n"/>
      <c r="AC135" s="67" t="n"/>
      <c r="AD135" s="67" t="n"/>
      <c r="AE135" s="67" t="n"/>
      <c r="AF135" s="67" t="n"/>
    </row>
    <row r="136">
      <c r="B136" s="67" t="n"/>
      <c r="C136" s="67" t="n"/>
      <c r="E136" s="67" t="n"/>
      <c r="F136" s="67" t="n"/>
      <c r="G136" s="67" t="n"/>
      <c r="H136" s="67" t="n"/>
      <c r="I136" s="67" t="n"/>
      <c r="K136" s="67" t="n"/>
      <c r="L136" s="67" t="n"/>
      <c r="M136" s="67" t="n"/>
      <c r="N136" s="67" t="n"/>
      <c r="O136" s="67" t="n"/>
      <c r="P136" s="67" t="n"/>
      <c r="Q136" s="67" t="n"/>
      <c r="V136" s="67" t="n"/>
      <c r="W136" s="67" t="n"/>
      <c r="X136" s="67" t="n"/>
      <c r="Y136" s="67" t="n"/>
      <c r="Z136" s="67" t="n"/>
      <c r="AA136" s="67" t="n"/>
      <c r="AB136" s="67" t="n"/>
      <c r="AC136" s="67" t="n"/>
      <c r="AD136" s="67" t="n"/>
      <c r="AE136" s="67" t="n"/>
      <c r="AF136" s="67" t="n"/>
    </row>
    <row r="137">
      <c r="B137" s="67" t="n"/>
      <c r="C137" s="67" t="n"/>
      <c r="E137" s="67" t="n"/>
      <c r="F137" s="67" t="n"/>
      <c r="G137" s="67" t="n"/>
      <c r="H137" s="67" t="n"/>
      <c r="I137" s="67" t="n"/>
      <c r="K137" s="67" t="n"/>
      <c r="L137" s="67" t="n"/>
      <c r="M137" s="67" t="n"/>
      <c r="N137" s="67" t="n"/>
      <c r="O137" s="67" t="n"/>
      <c r="P137" s="67" t="n"/>
      <c r="Q137" s="67" t="n"/>
      <c r="V137" s="67" t="n"/>
      <c r="W137" s="67" t="n"/>
      <c r="X137" s="67" t="n"/>
      <c r="Y137" s="67" t="n"/>
      <c r="Z137" s="67" t="n"/>
      <c r="AA137" s="67" t="n"/>
      <c r="AB137" s="67" t="n"/>
      <c r="AC137" s="67" t="n"/>
      <c r="AD137" s="67" t="n"/>
      <c r="AE137" s="67" t="n"/>
      <c r="AF137" s="67" t="n"/>
    </row>
    <row r="138">
      <c r="B138" s="67" t="n"/>
      <c r="C138" s="67" t="n"/>
      <c r="E138" s="67" t="n"/>
      <c r="F138" s="67" t="n"/>
      <c r="G138" s="67" t="n"/>
      <c r="H138" s="67" t="n"/>
      <c r="I138" s="67" t="n"/>
      <c r="K138" s="67" t="n"/>
      <c r="L138" s="67" t="n"/>
      <c r="M138" s="67" t="n"/>
      <c r="N138" s="67" t="n"/>
      <c r="O138" s="67" t="n"/>
      <c r="P138" s="67" t="n"/>
      <c r="Q138" s="67" t="n"/>
      <c r="V138" s="67" t="n"/>
      <c r="W138" s="67" t="n"/>
      <c r="X138" s="67" t="n"/>
      <c r="Y138" s="67" t="n"/>
      <c r="Z138" s="67" t="n"/>
      <c r="AA138" s="67" t="n"/>
      <c r="AB138" s="67" t="n"/>
      <c r="AC138" s="67" t="n"/>
      <c r="AD138" s="67" t="n"/>
      <c r="AE138" s="67" t="n"/>
      <c r="AF138" s="67" t="n"/>
    </row>
    <row r="139">
      <c r="B139" s="67" t="n"/>
      <c r="C139" s="67" t="n"/>
      <c r="E139" s="67" t="n"/>
      <c r="F139" s="67" t="n"/>
      <c r="G139" s="67" t="n"/>
      <c r="H139" s="67" t="n"/>
      <c r="I139" s="67" t="n"/>
      <c r="K139" s="67" t="n"/>
      <c r="L139" s="67" t="n"/>
      <c r="M139" s="67" t="n"/>
      <c r="N139" s="67" t="n"/>
      <c r="O139" s="67" t="n"/>
      <c r="P139" s="67" t="n"/>
      <c r="Q139" s="67" t="n"/>
      <c r="V139" s="67" t="n"/>
      <c r="W139" s="67" t="n"/>
      <c r="X139" s="67" t="n"/>
      <c r="Y139" s="67" t="n"/>
      <c r="Z139" s="67" t="n"/>
      <c r="AA139" s="67" t="n"/>
      <c r="AB139" s="67" t="n"/>
      <c r="AC139" s="67" t="n"/>
      <c r="AD139" s="67" t="n"/>
      <c r="AE139" s="67" t="n"/>
      <c r="AF139" s="67" t="n"/>
    </row>
    <row r="140">
      <c r="B140" s="67" t="n"/>
      <c r="C140" s="67" t="n"/>
      <c r="E140" s="67" t="n"/>
      <c r="F140" s="67" t="n"/>
      <c r="G140" s="67" t="n"/>
      <c r="H140" s="67" t="n"/>
      <c r="I140" s="67" t="n"/>
      <c r="K140" s="67" t="n"/>
      <c r="L140" s="67" t="n"/>
      <c r="M140" s="67" t="n"/>
      <c r="N140" s="67" t="n"/>
      <c r="O140" s="67" t="n"/>
      <c r="P140" s="67" t="n"/>
      <c r="Q140" s="67" t="n"/>
      <c r="V140" s="67" t="n"/>
      <c r="W140" s="67" t="n"/>
      <c r="X140" s="67" t="n"/>
      <c r="Y140" s="67" t="n"/>
      <c r="Z140" s="67" t="n"/>
      <c r="AA140" s="67" t="n"/>
      <c r="AB140" s="67" t="n"/>
      <c r="AC140" s="67" t="n"/>
      <c r="AD140" s="67" t="n"/>
      <c r="AE140" s="67" t="n"/>
      <c r="AF140" s="67" t="n"/>
    </row>
    <row r="141">
      <c r="B141" s="67" t="n"/>
      <c r="C141" s="67" t="n"/>
      <c r="E141" s="67" t="n"/>
      <c r="F141" s="67" t="n"/>
      <c r="G141" s="67" t="n"/>
      <c r="H141" s="67" t="n"/>
      <c r="I141" s="67" t="n"/>
      <c r="K141" s="67" t="n"/>
      <c r="L141" s="67" t="n"/>
      <c r="M141" s="67" t="n"/>
      <c r="N141" s="67" t="n"/>
      <c r="O141" s="67" t="n"/>
      <c r="P141" s="67" t="n"/>
      <c r="Q141" s="67" t="n"/>
      <c r="V141" s="67" t="n"/>
      <c r="W141" s="67" t="n"/>
      <c r="X141" s="67" t="n"/>
      <c r="Y141" s="67" t="n"/>
      <c r="Z141" s="67" t="n"/>
      <c r="AA141" s="67" t="n"/>
      <c r="AB141" s="67" t="n"/>
      <c r="AC141" s="67" t="n"/>
      <c r="AD141" s="67" t="n"/>
      <c r="AE141" s="67" t="n"/>
      <c r="AF141" s="67" t="n"/>
    </row>
    <row r="142">
      <c r="B142" s="67" t="n"/>
      <c r="C142" s="67" t="n"/>
      <c r="E142" s="67" t="n"/>
      <c r="F142" s="67" t="n"/>
      <c r="G142" s="67" t="n"/>
      <c r="H142" s="67" t="n"/>
      <c r="I142" s="67" t="n"/>
      <c r="K142" s="67" t="n"/>
      <c r="L142" s="67" t="n"/>
      <c r="M142" s="67" t="n"/>
      <c r="N142" s="67" t="n"/>
      <c r="O142" s="67" t="n"/>
      <c r="P142" s="67" t="n"/>
      <c r="Q142" s="67" t="n"/>
      <c r="V142" s="67" t="n"/>
      <c r="W142" s="67" t="n"/>
      <c r="X142" s="67" t="n"/>
      <c r="Y142" s="67" t="n"/>
      <c r="Z142" s="67" t="n"/>
      <c r="AA142" s="67" t="n"/>
      <c r="AB142" s="67" t="n"/>
      <c r="AC142" s="67" t="n"/>
      <c r="AD142" s="67" t="n"/>
      <c r="AE142" s="67" t="n"/>
      <c r="AF142" s="67" t="n"/>
    </row>
    <row r="143">
      <c r="B143" s="67" t="n"/>
      <c r="C143" s="67" t="n"/>
      <c r="E143" s="67" t="n"/>
      <c r="F143" s="67" t="n"/>
      <c r="G143" s="67" t="n"/>
      <c r="H143" s="67" t="n"/>
      <c r="I143" s="67" t="n"/>
      <c r="K143" s="67" t="n"/>
      <c r="L143" s="67" t="n"/>
      <c r="M143" s="67" t="n"/>
      <c r="N143" s="67" t="n"/>
      <c r="O143" s="67" t="n"/>
      <c r="P143" s="67" t="n"/>
      <c r="Q143" s="67" t="n"/>
      <c r="V143" s="67" t="n"/>
      <c r="W143" s="67" t="n"/>
      <c r="X143" s="67" t="n"/>
      <c r="Y143" s="67" t="n"/>
      <c r="Z143" s="67" t="n"/>
      <c r="AA143" s="67" t="n"/>
      <c r="AB143" s="67" t="n"/>
      <c r="AC143" s="67" t="n"/>
      <c r="AD143" s="67" t="n"/>
      <c r="AE143" s="67" t="n"/>
      <c r="AF143" s="67" t="n"/>
    </row>
    <row r="144">
      <c r="B144" s="67" t="n"/>
      <c r="C144" s="67" t="n"/>
      <c r="E144" s="67" t="n"/>
      <c r="F144" s="67" t="n"/>
      <c r="G144" s="67" t="n"/>
      <c r="H144" s="67" t="n"/>
      <c r="I144" s="67" t="n"/>
      <c r="K144" s="67" t="n"/>
      <c r="L144" s="67" t="n"/>
      <c r="M144" s="67" t="n"/>
      <c r="N144" s="67" t="n"/>
      <c r="O144" s="67" t="n"/>
      <c r="P144" s="67" t="n"/>
      <c r="Q144" s="67" t="n"/>
      <c r="V144" s="67" t="n"/>
      <c r="W144" s="67" t="n"/>
      <c r="X144" s="67" t="n"/>
      <c r="Y144" s="67" t="n"/>
      <c r="Z144" s="67" t="n"/>
      <c r="AA144" s="67" t="n"/>
      <c r="AB144" s="67" t="n"/>
      <c r="AC144" s="67" t="n"/>
      <c r="AD144" s="67" t="n"/>
      <c r="AE144" s="67" t="n"/>
      <c r="AF144" s="67" t="n"/>
    </row>
    <row r="145">
      <c r="B145" s="67" t="n"/>
      <c r="C145" s="67" t="n"/>
      <c r="E145" s="67" t="n"/>
      <c r="F145" s="67" t="n"/>
      <c r="G145" s="67" t="n"/>
      <c r="H145" s="67" t="n"/>
      <c r="I145" s="67" t="n"/>
      <c r="K145" s="67" t="n"/>
      <c r="L145" s="67" t="n"/>
      <c r="M145" s="67" t="n"/>
      <c r="N145" s="67" t="n"/>
      <c r="O145" s="67" t="n"/>
      <c r="P145" s="67" t="n"/>
      <c r="Q145" s="67" t="n"/>
      <c r="V145" s="67" t="n"/>
      <c r="W145" s="67" t="n"/>
      <c r="X145" s="67" t="n"/>
      <c r="Y145" s="67" t="n"/>
      <c r="Z145" s="67" t="n"/>
      <c r="AA145" s="67" t="n"/>
      <c r="AB145" s="67" t="n"/>
      <c r="AC145" s="67" t="n"/>
      <c r="AD145" s="67" t="n"/>
      <c r="AE145" s="67" t="n"/>
      <c r="AF145" s="67" t="n"/>
    </row>
    <row r="146">
      <c r="B146" s="67" t="n"/>
      <c r="C146" s="67" t="n"/>
      <c r="E146" s="67" t="n"/>
      <c r="F146" s="67" t="n"/>
      <c r="G146" s="67" t="n"/>
      <c r="H146" s="67" t="n"/>
      <c r="I146" s="67" t="n"/>
      <c r="K146" s="67" t="n"/>
      <c r="L146" s="67" t="n"/>
      <c r="M146" s="67" t="n"/>
      <c r="N146" s="67" t="n"/>
      <c r="O146" s="67" t="n"/>
      <c r="P146" s="67" t="n"/>
      <c r="Q146" s="67" t="n"/>
      <c r="V146" s="67" t="n"/>
      <c r="W146" s="67" t="n"/>
      <c r="X146" s="67" t="n"/>
      <c r="Y146" s="67" t="n"/>
      <c r="Z146" s="67" t="n"/>
      <c r="AA146" s="67" t="n"/>
      <c r="AB146" s="67" t="n"/>
      <c r="AC146" s="67" t="n"/>
      <c r="AD146" s="67" t="n"/>
      <c r="AE146" s="67" t="n"/>
      <c r="AF146" s="67" t="n"/>
    </row>
    <row r="147">
      <c r="B147" s="67" t="n"/>
      <c r="C147" s="67" t="n"/>
      <c r="E147" s="67" t="n"/>
      <c r="F147" s="67" t="n"/>
      <c r="G147" s="67" t="n"/>
      <c r="H147" s="67" t="n"/>
      <c r="I147" s="67" t="n"/>
      <c r="K147" s="67" t="n"/>
      <c r="L147" s="67" t="n"/>
      <c r="M147" s="67" t="n"/>
      <c r="N147" s="67" t="n"/>
      <c r="O147" s="67" t="n"/>
      <c r="P147" s="67" t="n"/>
      <c r="Q147" s="67" t="n"/>
      <c r="V147" s="67" t="n"/>
      <c r="W147" s="67" t="n"/>
      <c r="X147" s="67" t="n"/>
      <c r="Y147" s="67" t="n"/>
      <c r="Z147" s="67" t="n"/>
      <c r="AA147" s="67" t="n"/>
      <c r="AB147" s="67" t="n"/>
      <c r="AC147" s="67" t="n"/>
      <c r="AD147" s="67" t="n"/>
      <c r="AE147" s="67" t="n"/>
      <c r="AF147" s="67" t="n"/>
    </row>
    <row r="148">
      <c r="B148" s="67" t="n"/>
      <c r="C148" s="67" t="n"/>
      <c r="E148" s="67" t="n"/>
      <c r="F148" s="67" t="n"/>
      <c r="G148" s="67" t="n"/>
      <c r="H148" s="67" t="n"/>
      <c r="I148" s="67" t="n"/>
      <c r="K148" s="67" t="n"/>
      <c r="L148" s="67" t="n"/>
      <c r="M148" s="67" t="n"/>
      <c r="N148" s="67" t="n"/>
      <c r="O148" s="67" t="n"/>
      <c r="P148" s="67" t="n"/>
      <c r="Q148" s="67" t="n"/>
      <c r="V148" s="67" t="n"/>
      <c r="W148" s="67" t="n"/>
      <c r="X148" s="67" t="n"/>
      <c r="Y148" s="67" t="n"/>
      <c r="Z148" s="67" t="n"/>
      <c r="AA148" s="67" t="n"/>
      <c r="AB148" s="67" t="n"/>
      <c r="AC148" s="67" t="n"/>
      <c r="AD148" s="67" t="n"/>
      <c r="AE148" s="67" t="n"/>
      <c r="AF148" s="67" t="n"/>
    </row>
    <row r="149">
      <c r="B149" s="67" t="n"/>
      <c r="C149" s="67" t="n"/>
      <c r="E149" s="67" t="n"/>
      <c r="F149" s="67" t="n"/>
      <c r="G149" s="67" t="n"/>
      <c r="H149" s="67" t="n"/>
      <c r="I149" s="67" t="n"/>
      <c r="K149" s="67" t="n"/>
      <c r="L149" s="67" t="n"/>
      <c r="M149" s="67" t="n"/>
      <c r="N149" s="67" t="n"/>
      <c r="O149" s="67" t="n"/>
      <c r="P149" s="67" t="n"/>
      <c r="Q149" s="67" t="n"/>
      <c r="V149" s="67" t="n"/>
      <c r="W149" s="67" t="n"/>
      <c r="X149" s="67" t="n"/>
      <c r="Y149" s="67" t="n"/>
      <c r="Z149" s="67" t="n"/>
      <c r="AA149" s="67" t="n"/>
      <c r="AB149" s="67" t="n"/>
      <c r="AC149" s="67" t="n"/>
      <c r="AD149" s="67" t="n"/>
      <c r="AE149" s="67" t="n"/>
      <c r="AF149" s="67" t="n"/>
    </row>
    <row r="150">
      <c r="B150" s="67" t="n"/>
      <c r="C150" s="67" t="n"/>
      <c r="E150" s="67" t="n"/>
      <c r="F150" s="67" t="n"/>
      <c r="G150" s="67" t="n"/>
      <c r="H150" s="67" t="n"/>
      <c r="I150" s="67" t="n"/>
      <c r="K150" s="67" t="n"/>
      <c r="L150" s="67" t="n"/>
      <c r="M150" s="67" t="n"/>
      <c r="N150" s="67" t="n"/>
      <c r="O150" s="67" t="n"/>
      <c r="P150" s="67" t="n"/>
      <c r="Q150" s="67" t="n"/>
      <c r="V150" s="67" t="n"/>
      <c r="W150" s="67" t="n"/>
      <c r="X150" s="67" t="n"/>
      <c r="Y150" s="67" t="n"/>
      <c r="Z150" s="67" t="n"/>
      <c r="AA150" s="67" t="n"/>
      <c r="AB150" s="67" t="n"/>
      <c r="AC150" s="67" t="n"/>
      <c r="AD150" s="67" t="n"/>
      <c r="AE150" s="67" t="n"/>
      <c r="AF150" s="67" t="n"/>
    </row>
    <row r="151">
      <c r="B151" s="67" t="n"/>
      <c r="C151" s="67" t="n"/>
      <c r="E151" s="67" t="n"/>
      <c r="F151" s="67" t="n"/>
      <c r="G151" s="67" t="n"/>
      <c r="H151" s="67" t="n"/>
      <c r="I151" s="67" t="n"/>
      <c r="K151" s="67" t="n"/>
      <c r="L151" s="67" t="n"/>
      <c r="M151" s="67" t="n"/>
      <c r="N151" s="67" t="n"/>
      <c r="O151" s="67" t="n"/>
      <c r="P151" s="67" t="n"/>
      <c r="Q151" s="67" t="n"/>
      <c r="V151" s="67" t="n"/>
      <c r="W151" s="67" t="n"/>
      <c r="X151" s="67" t="n"/>
      <c r="Y151" s="67" t="n"/>
      <c r="Z151" s="67" t="n"/>
      <c r="AA151" s="67" t="n"/>
      <c r="AB151" s="67" t="n"/>
      <c r="AC151" s="67" t="n"/>
      <c r="AD151" s="67" t="n"/>
      <c r="AE151" s="67" t="n"/>
      <c r="AF151" s="67" t="n"/>
    </row>
    <row r="152">
      <c r="B152" s="67" t="n"/>
      <c r="C152" s="67" t="n"/>
      <c r="E152" s="67" t="n"/>
      <c r="F152" s="67" t="n"/>
      <c r="G152" s="67" t="n"/>
      <c r="H152" s="67" t="n"/>
      <c r="I152" s="67" t="n"/>
      <c r="K152" s="67" t="n"/>
      <c r="L152" s="67" t="n"/>
      <c r="M152" s="67" t="n"/>
      <c r="N152" s="67" t="n"/>
      <c r="O152" s="67" t="n"/>
      <c r="P152" s="67" t="n"/>
      <c r="Q152" s="67" t="n"/>
      <c r="V152" s="67" t="n"/>
      <c r="W152" s="67" t="n"/>
      <c r="X152" s="67" t="n"/>
      <c r="Y152" s="67" t="n"/>
      <c r="Z152" s="67" t="n"/>
      <c r="AA152" s="67" t="n"/>
      <c r="AB152" s="67" t="n"/>
      <c r="AC152" s="67" t="n"/>
      <c r="AD152" s="67" t="n"/>
      <c r="AE152" s="67" t="n"/>
      <c r="AF152" s="67" t="n"/>
    </row>
    <row r="153">
      <c r="B153" s="67" t="n"/>
      <c r="C153" s="67" t="n"/>
      <c r="E153" s="67" t="n"/>
      <c r="F153" s="67" t="n"/>
      <c r="G153" s="67" t="n"/>
      <c r="H153" s="67" t="n"/>
      <c r="I153" s="67" t="n"/>
      <c r="K153" s="67" t="n"/>
      <c r="L153" s="67" t="n"/>
      <c r="M153" s="67" t="n"/>
      <c r="N153" s="67" t="n"/>
      <c r="O153" s="67" t="n"/>
      <c r="P153" s="67" t="n"/>
      <c r="Q153" s="67" t="n"/>
      <c r="V153" s="67" t="n"/>
      <c r="W153" s="67" t="n"/>
      <c r="X153" s="67" t="n"/>
      <c r="Y153" s="67" t="n"/>
      <c r="Z153" s="67" t="n"/>
      <c r="AA153" s="67" t="n"/>
      <c r="AB153" s="67" t="n"/>
      <c r="AC153" s="67" t="n"/>
      <c r="AD153" s="67" t="n"/>
      <c r="AE153" s="67" t="n"/>
      <c r="AF153" s="67" t="n"/>
    </row>
    <row r="154">
      <c r="B154" s="67" t="n"/>
      <c r="C154" s="67" t="n"/>
      <c r="E154" s="67" t="n"/>
      <c r="F154" s="67" t="n"/>
      <c r="G154" s="67" t="n"/>
      <c r="H154" s="67" t="n"/>
      <c r="I154" s="67" t="n"/>
      <c r="K154" s="67" t="n"/>
      <c r="L154" s="67" t="n"/>
      <c r="M154" s="67" t="n"/>
      <c r="N154" s="67" t="n"/>
      <c r="O154" s="67" t="n"/>
      <c r="P154" s="67" t="n"/>
      <c r="Q154" s="67" t="n"/>
      <c r="V154" s="67" t="n"/>
      <c r="W154" s="67" t="n"/>
      <c r="X154" s="67" t="n"/>
      <c r="Y154" s="67" t="n"/>
      <c r="Z154" s="67" t="n"/>
      <c r="AA154" s="67" t="n"/>
      <c r="AB154" s="67" t="n"/>
      <c r="AC154" s="67" t="n"/>
      <c r="AD154" s="67" t="n"/>
      <c r="AE154" s="67" t="n"/>
      <c r="AF154" s="67" t="n"/>
    </row>
    <row r="155">
      <c r="B155" s="67" t="n"/>
      <c r="C155" s="67" t="n"/>
      <c r="E155" s="67" t="n"/>
      <c r="F155" s="67" t="n"/>
      <c r="G155" s="67" t="n"/>
      <c r="H155" s="67" t="n"/>
      <c r="I155" s="67" t="n"/>
      <c r="K155" s="67" t="n"/>
      <c r="L155" s="67" t="n"/>
      <c r="M155" s="67" t="n"/>
      <c r="N155" s="67" t="n"/>
      <c r="O155" s="67" t="n"/>
      <c r="P155" s="67" t="n"/>
      <c r="Q155" s="67" t="n"/>
      <c r="V155" s="67" t="n"/>
      <c r="W155" s="67" t="n"/>
      <c r="X155" s="67" t="n"/>
      <c r="Y155" s="67" t="n"/>
      <c r="Z155" s="67" t="n"/>
      <c r="AA155" s="67" t="n"/>
      <c r="AB155" s="67" t="n"/>
      <c r="AC155" s="67" t="n"/>
      <c r="AD155" s="67" t="n"/>
      <c r="AE155" s="67" t="n"/>
      <c r="AF155" s="67" t="n"/>
    </row>
    <row r="156">
      <c r="B156" s="67" t="n"/>
      <c r="C156" s="67" t="n"/>
      <c r="E156" s="67" t="n"/>
      <c r="F156" s="67" t="n"/>
      <c r="G156" s="67" t="n"/>
      <c r="H156" s="67" t="n"/>
      <c r="I156" s="67" t="n"/>
      <c r="K156" s="67" t="n"/>
      <c r="L156" s="67" t="n"/>
      <c r="M156" s="67" t="n"/>
      <c r="N156" s="67" t="n"/>
      <c r="O156" s="67" t="n"/>
      <c r="P156" s="67" t="n"/>
      <c r="Q156" s="67" t="n"/>
      <c r="V156" s="67" t="n"/>
      <c r="W156" s="67" t="n"/>
      <c r="X156" s="67" t="n"/>
      <c r="Y156" s="67" t="n"/>
      <c r="Z156" s="67" t="n"/>
      <c r="AA156" s="67" t="n"/>
      <c r="AB156" s="67" t="n"/>
      <c r="AC156" s="67" t="n"/>
      <c r="AD156" s="67" t="n"/>
      <c r="AE156" s="67" t="n"/>
      <c r="AF156" s="67" t="n"/>
    </row>
    <row r="157">
      <c r="B157" s="67" t="n"/>
      <c r="C157" s="67" t="n"/>
      <c r="E157" s="67" t="n"/>
      <c r="F157" s="67" t="n"/>
      <c r="G157" s="67" t="n"/>
      <c r="H157" s="67" t="n"/>
      <c r="I157" s="67" t="n"/>
      <c r="K157" s="67" t="n"/>
      <c r="L157" s="67" t="n"/>
      <c r="M157" s="67" t="n"/>
      <c r="N157" s="67" t="n"/>
      <c r="O157" s="67" t="n"/>
      <c r="P157" s="67" t="n"/>
      <c r="Q157" s="67" t="n"/>
      <c r="V157" s="67" t="n"/>
      <c r="W157" s="67" t="n"/>
      <c r="X157" s="67" t="n"/>
      <c r="Y157" s="67" t="n"/>
      <c r="Z157" s="67" t="n"/>
      <c r="AA157" s="67" t="n"/>
      <c r="AB157" s="67" t="n"/>
      <c r="AC157" s="67" t="n"/>
      <c r="AD157" s="67" t="n"/>
      <c r="AE157" s="67" t="n"/>
      <c r="AF157" s="67" t="n"/>
    </row>
    <row r="158">
      <c r="B158" s="67" t="n"/>
      <c r="C158" s="67" t="n"/>
      <c r="E158" s="67" t="n"/>
      <c r="F158" s="67" t="n"/>
      <c r="G158" s="67" t="n"/>
      <c r="H158" s="67" t="n"/>
      <c r="I158" s="67" t="n"/>
      <c r="K158" s="67" t="n"/>
      <c r="L158" s="67" t="n"/>
      <c r="M158" s="67" t="n"/>
      <c r="N158" s="67" t="n"/>
      <c r="O158" s="67" t="n"/>
      <c r="P158" s="67" t="n"/>
      <c r="Q158" s="67" t="n"/>
      <c r="V158" s="67" t="n"/>
      <c r="W158" s="67" t="n"/>
      <c r="X158" s="67" t="n"/>
      <c r="Y158" s="67" t="n"/>
      <c r="Z158" s="67" t="n"/>
      <c r="AA158" s="67" t="n"/>
      <c r="AB158" s="67" t="n"/>
      <c r="AC158" s="67" t="n"/>
      <c r="AD158" s="67" t="n"/>
      <c r="AE158" s="67" t="n"/>
      <c r="AF158" s="67" t="n"/>
    </row>
    <row r="159">
      <c r="B159" s="67" t="n"/>
      <c r="C159" s="67" t="n"/>
      <c r="E159" s="67" t="n"/>
      <c r="F159" s="67" t="n"/>
      <c r="G159" s="67" t="n"/>
      <c r="H159" s="67" t="n"/>
      <c r="I159" s="67" t="n"/>
      <c r="K159" s="67" t="n"/>
      <c r="L159" s="67" t="n"/>
      <c r="M159" s="67" t="n"/>
      <c r="N159" s="67" t="n"/>
      <c r="O159" s="67" t="n"/>
      <c r="P159" s="67" t="n"/>
      <c r="Q159" s="67" t="n"/>
      <c r="V159" s="67" t="n"/>
      <c r="W159" s="67" t="n"/>
      <c r="X159" s="67" t="n"/>
      <c r="Y159" s="67" t="n"/>
      <c r="Z159" s="67" t="n"/>
      <c r="AA159" s="67" t="n"/>
      <c r="AB159" s="67" t="n"/>
      <c r="AC159" s="67" t="n"/>
      <c r="AD159" s="67" t="n"/>
      <c r="AE159" s="67" t="n"/>
      <c r="AF159" s="67" t="n"/>
    </row>
    <row r="160">
      <c r="B160" s="67" t="n"/>
      <c r="C160" s="67" t="n"/>
      <c r="E160" s="67" t="n"/>
      <c r="F160" s="67" t="n"/>
      <c r="G160" s="67" t="n"/>
      <c r="H160" s="67" t="n"/>
      <c r="I160" s="67" t="n"/>
      <c r="K160" s="67" t="n"/>
      <c r="L160" s="67" t="n"/>
      <c r="M160" s="67" t="n"/>
      <c r="N160" s="67" t="n"/>
      <c r="O160" s="67" t="n"/>
      <c r="P160" s="67" t="n"/>
      <c r="Q160" s="67" t="n"/>
      <c r="V160" s="67" t="n"/>
      <c r="W160" s="67" t="n"/>
      <c r="X160" s="67" t="n"/>
      <c r="Y160" s="67" t="n"/>
      <c r="Z160" s="67" t="n"/>
      <c r="AA160" s="67" t="n"/>
      <c r="AB160" s="67" t="n"/>
      <c r="AC160" s="67" t="n"/>
      <c r="AD160" s="67" t="n"/>
      <c r="AE160" s="67" t="n"/>
      <c r="AF160" s="67" t="n"/>
    </row>
    <row r="161">
      <c r="B161" s="67" t="n"/>
      <c r="C161" s="67" t="n"/>
      <c r="E161" s="67" t="n"/>
      <c r="F161" s="67" t="n"/>
      <c r="G161" s="67" t="n"/>
      <c r="H161" s="67" t="n"/>
      <c r="I161" s="67" t="n"/>
      <c r="K161" s="67" t="n"/>
      <c r="L161" s="67" t="n"/>
      <c r="M161" s="67" t="n"/>
      <c r="N161" s="67" t="n"/>
      <c r="O161" s="67" t="n"/>
      <c r="P161" s="67" t="n"/>
      <c r="Q161" s="67" t="n"/>
      <c r="V161" s="67" t="n"/>
      <c r="W161" s="67" t="n"/>
      <c r="X161" s="67" t="n"/>
      <c r="Y161" s="67" t="n"/>
      <c r="Z161" s="67" t="n"/>
      <c r="AA161" s="67" t="n"/>
      <c r="AB161" s="67" t="n"/>
      <c r="AC161" s="67" t="n"/>
      <c r="AD161" s="67" t="n"/>
      <c r="AE161" s="67" t="n"/>
      <c r="AF161" s="67" t="n"/>
    </row>
    <row r="162">
      <c r="B162" s="67" t="n"/>
      <c r="C162" s="67" t="n"/>
      <c r="E162" s="67" t="n"/>
      <c r="F162" s="67" t="n"/>
      <c r="G162" s="67" t="n"/>
      <c r="H162" s="67" t="n"/>
      <c r="I162" s="67" t="n"/>
      <c r="K162" s="67" t="n"/>
      <c r="L162" s="67" t="n"/>
      <c r="M162" s="67" t="n"/>
      <c r="N162" s="67" t="n"/>
      <c r="O162" s="67" t="n"/>
      <c r="P162" s="67" t="n"/>
      <c r="Q162" s="67" t="n"/>
      <c r="V162" s="67" t="n"/>
      <c r="W162" s="67" t="n"/>
      <c r="X162" s="67" t="n"/>
      <c r="Y162" s="67" t="n"/>
      <c r="Z162" s="67" t="n"/>
      <c r="AA162" s="67" t="n"/>
      <c r="AB162" s="67" t="n"/>
      <c r="AC162" s="67" t="n"/>
      <c r="AD162" s="67" t="n"/>
      <c r="AE162" s="67" t="n"/>
      <c r="AF162" s="67" t="n"/>
    </row>
    <row r="163">
      <c r="B163" s="67" t="n"/>
      <c r="C163" s="67" t="n"/>
      <c r="E163" s="67" t="n"/>
      <c r="F163" s="67" t="n"/>
      <c r="G163" s="67" t="n"/>
      <c r="H163" s="67" t="n"/>
      <c r="I163" s="67" t="n"/>
      <c r="K163" s="67" t="n"/>
      <c r="L163" s="67" t="n"/>
      <c r="M163" s="67" t="n"/>
      <c r="N163" s="67" t="n"/>
      <c r="O163" s="67" t="n"/>
      <c r="P163" s="67" t="n"/>
      <c r="Q163" s="67" t="n"/>
      <c r="V163" s="67" t="n"/>
      <c r="W163" s="67" t="n"/>
      <c r="X163" s="67" t="n"/>
      <c r="Y163" s="67" t="n"/>
      <c r="Z163" s="67" t="n"/>
      <c r="AA163" s="67" t="n"/>
      <c r="AB163" s="67" t="n"/>
      <c r="AC163" s="67" t="n"/>
      <c r="AD163" s="67" t="n"/>
      <c r="AE163" s="67" t="n"/>
      <c r="AF163" s="67" t="n"/>
    </row>
    <row r="164">
      <c r="B164" s="67" t="n"/>
      <c r="C164" s="67" t="n"/>
      <c r="E164" s="67" t="n"/>
      <c r="F164" s="67" t="n"/>
      <c r="G164" s="67" t="n"/>
      <c r="H164" s="67" t="n"/>
      <c r="I164" s="67" t="n"/>
      <c r="K164" s="67" t="n"/>
      <c r="L164" s="67" t="n"/>
      <c r="M164" s="67" t="n"/>
      <c r="N164" s="67" t="n"/>
      <c r="O164" s="67" t="n"/>
      <c r="P164" s="67" t="n"/>
      <c r="Q164" s="67" t="n"/>
      <c r="V164" s="67" t="n"/>
      <c r="W164" s="67" t="n"/>
      <c r="X164" s="67" t="n"/>
      <c r="Y164" s="67" t="n"/>
      <c r="Z164" s="67" t="n"/>
      <c r="AA164" s="67" t="n"/>
      <c r="AB164" s="67" t="n"/>
      <c r="AC164" s="67" t="n"/>
      <c r="AD164" s="67" t="n"/>
      <c r="AE164" s="67" t="n"/>
      <c r="AF164" s="67" t="n"/>
    </row>
    <row r="165">
      <c r="B165" s="67" t="n"/>
      <c r="C165" s="67" t="n"/>
      <c r="E165" s="67" t="n"/>
      <c r="F165" s="67" t="n"/>
      <c r="G165" s="67" t="n"/>
      <c r="H165" s="67" t="n"/>
      <c r="I165" s="67" t="n"/>
      <c r="K165" s="67" t="n"/>
      <c r="L165" s="67" t="n"/>
      <c r="M165" s="67" t="n"/>
      <c r="N165" s="67" t="n"/>
      <c r="O165" s="67" t="n"/>
      <c r="P165" s="67" t="n"/>
      <c r="Q165" s="67" t="n"/>
      <c r="V165" s="67" t="n"/>
      <c r="W165" s="67" t="n"/>
      <c r="X165" s="67" t="n"/>
      <c r="Y165" s="67" t="n"/>
      <c r="Z165" s="67" t="n"/>
      <c r="AA165" s="67" t="n"/>
      <c r="AB165" s="67" t="n"/>
      <c r="AC165" s="67" t="n"/>
      <c r="AD165" s="67" t="n"/>
      <c r="AE165" s="67" t="n"/>
      <c r="AF165" s="67" t="n"/>
    </row>
    <row r="166">
      <c r="B166" s="67" t="n"/>
      <c r="C166" s="67" t="n"/>
      <c r="E166" s="67" t="n"/>
      <c r="F166" s="67" t="n"/>
      <c r="G166" s="67" t="n"/>
      <c r="H166" s="67" t="n"/>
      <c r="I166" s="67" t="n"/>
      <c r="K166" s="67" t="n"/>
      <c r="L166" s="67" t="n"/>
      <c r="M166" s="67" t="n"/>
      <c r="N166" s="67" t="n"/>
      <c r="O166" s="67" t="n"/>
      <c r="P166" s="67" t="n"/>
      <c r="Q166" s="67" t="n"/>
      <c r="V166" s="67" t="n"/>
      <c r="W166" s="67" t="n"/>
      <c r="X166" s="67" t="n"/>
      <c r="Y166" s="67" t="n"/>
      <c r="Z166" s="67" t="n"/>
      <c r="AA166" s="67" t="n"/>
      <c r="AB166" s="67" t="n"/>
      <c r="AC166" s="67" t="n"/>
      <c r="AD166" s="67" t="n"/>
      <c r="AE166" s="67" t="n"/>
      <c r="AF166" s="67" t="n"/>
    </row>
    <row r="167">
      <c r="B167" s="67" t="n"/>
      <c r="C167" s="67" t="n"/>
      <c r="E167" s="67" t="n"/>
      <c r="F167" s="67" t="n"/>
      <c r="G167" s="67" t="n"/>
      <c r="H167" s="67" t="n"/>
      <c r="I167" s="67" t="n"/>
      <c r="K167" s="67" t="n"/>
      <c r="L167" s="67" t="n"/>
      <c r="M167" s="67" t="n"/>
      <c r="N167" s="67" t="n"/>
      <c r="O167" s="67" t="n"/>
      <c r="P167" s="67" t="n"/>
      <c r="Q167" s="67" t="n"/>
      <c r="V167" s="67" t="n"/>
      <c r="W167" s="67" t="n"/>
      <c r="X167" s="67" t="n"/>
      <c r="Y167" s="67" t="n"/>
      <c r="Z167" s="67" t="n"/>
      <c r="AA167" s="67" t="n"/>
      <c r="AB167" s="67" t="n"/>
      <c r="AC167" s="67" t="n"/>
      <c r="AD167" s="67" t="n"/>
      <c r="AE167" s="67" t="n"/>
      <c r="AF167" s="67" t="n"/>
    </row>
    <row r="168">
      <c r="B168" s="67" t="n"/>
      <c r="C168" s="67" t="n"/>
      <c r="E168" s="67" t="n"/>
      <c r="F168" s="67" t="n"/>
      <c r="G168" s="67" t="n"/>
      <c r="H168" s="67" t="n"/>
      <c r="I168" s="67" t="n"/>
      <c r="K168" s="67" t="n"/>
      <c r="L168" s="67" t="n"/>
      <c r="M168" s="67" t="n"/>
      <c r="N168" s="67" t="n"/>
      <c r="O168" s="67" t="n"/>
      <c r="P168" s="67" t="n"/>
      <c r="Q168" s="67" t="n"/>
      <c r="V168" s="67" t="n"/>
      <c r="W168" s="67" t="n"/>
      <c r="X168" s="67" t="n"/>
      <c r="Y168" s="67" t="n"/>
      <c r="Z168" s="67" t="n"/>
      <c r="AA168" s="67" t="n"/>
      <c r="AB168" s="67" t="n"/>
      <c r="AC168" s="67" t="n"/>
      <c r="AD168" s="67" t="n"/>
      <c r="AE168" s="67" t="n"/>
      <c r="AF168" s="67" t="n"/>
    </row>
    <row r="169">
      <c r="B169" s="67" t="n"/>
      <c r="C169" s="67" t="n"/>
      <c r="E169" s="67" t="n"/>
      <c r="F169" s="67" t="n"/>
      <c r="G169" s="67" t="n"/>
      <c r="H169" s="67" t="n"/>
      <c r="I169" s="67" t="n"/>
      <c r="K169" s="67" t="n"/>
      <c r="L169" s="67" t="n"/>
      <c r="M169" s="67" t="n"/>
      <c r="N169" s="67" t="n"/>
      <c r="O169" s="67" t="n"/>
      <c r="P169" s="67" t="n"/>
      <c r="Q169" s="67" t="n"/>
      <c r="V169" s="67" t="n"/>
      <c r="W169" s="67" t="n"/>
      <c r="X169" s="67" t="n"/>
      <c r="Y169" s="67" t="n"/>
      <c r="Z169" s="67" t="n"/>
      <c r="AA169" s="67" t="n"/>
      <c r="AB169" s="67" t="n"/>
      <c r="AC169" s="67" t="n"/>
      <c r="AD169" s="67" t="n"/>
      <c r="AE169" s="67" t="n"/>
      <c r="AF169" s="67" t="n"/>
    </row>
    <row r="170">
      <c r="B170" s="67" t="n"/>
      <c r="C170" s="67" t="n"/>
      <c r="E170" s="67" t="n"/>
      <c r="F170" s="67" t="n"/>
      <c r="G170" s="67" t="n"/>
      <c r="H170" s="67" t="n"/>
      <c r="I170" s="67" t="n"/>
      <c r="K170" s="67" t="n"/>
      <c r="L170" s="67" t="n"/>
      <c r="M170" s="67" t="n"/>
      <c r="N170" s="67" t="n"/>
      <c r="O170" s="67" t="n"/>
      <c r="P170" s="67" t="n"/>
      <c r="Q170" s="67" t="n"/>
      <c r="V170" s="67" t="n"/>
      <c r="W170" s="67" t="n"/>
      <c r="X170" s="67" t="n"/>
      <c r="Y170" s="67" t="n"/>
      <c r="Z170" s="67" t="n"/>
      <c r="AA170" s="67" t="n"/>
      <c r="AB170" s="67" t="n"/>
      <c r="AC170" s="67" t="n"/>
      <c r="AD170" s="67" t="n"/>
      <c r="AE170" s="67" t="n"/>
      <c r="AF170" s="67" t="n"/>
    </row>
    <row r="171">
      <c r="B171" s="67" t="n"/>
      <c r="C171" s="67" t="n"/>
      <c r="E171" s="67" t="n"/>
      <c r="F171" s="67" t="n"/>
      <c r="G171" s="67" t="n"/>
      <c r="H171" s="67" t="n"/>
      <c r="I171" s="67" t="n"/>
      <c r="K171" s="67" t="n"/>
      <c r="L171" s="67" t="n"/>
      <c r="M171" s="67" t="n"/>
      <c r="N171" s="67" t="n"/>
      <c r="O171" s="67" t="n"/>
      <c r="P171" s="67" t="n"/>
      <c r="Q171" s="67" t="n"/>
      <c r="V171" s="67" t="n"/>
      <c r="W171" s="67" t="n"/>
      <c r="X171" s="67" t="n"/>
      <c r="Y171" s="67" t="n"/>
      <c r="Z171" s="67" t="n"/>
      <c r="AA171" s="67" t="n"/>
      <c r="AB171" s="67" t="n"/>
      <c r="AC171" s="67" t="n"/>
      <c r="AD171" s="67" t="n"/>
      <c r="AE171" s="67" t="n"/>
      <c r="AF171" s="67" t="n"/>
    </row>
    <row r="172">
      <c r="B172" s="67" t="n"/>
      <c r="C172" s="67" t="n"/>
      <c r="E172" s="67" t="n"/>
      <c r="F172" s="67" t="n"/>
      <c r="G172" s="67" t="n"/>
      <c r="H172" s="67" t="n"/>
      <c r="I172" s="67" t="n"/>
      <c r="K172" s="67" t="n"/>
      <c r="L172" s="67" t="n"/>
      <c r="M172" s="67" t="n"/>
      <c r="N172" s="67" t="n"/>
      <c r="O172" s="67" t="n"/>
      <c r="P172" s="67" t="n"/>
      <c r="Q172" s="67" t="n"/>
      <c r="V172" s="67" t="n"/>
      <c r="W172" s="67" t="n"/>
      <c r="X172" s="67" t="n"/>
      <c r="Y172" s="67" t="n"/>
      <c r="Z172" s="67" t="n"/>
      <c r="AA172" s="67" t="n"/>
      <c r="AB172" s="67" t="n"/>
      <c r="AC172" s="67" t="n"/>
      <c r="AD172" s="67" t="n"/>
      <c r="AE172" s="67" t="n"/>
      <c r="AF172" s="67" t="n"/>
    </row>
    <row r="173">
      <c r="B173" s="67" t="n"/>
      <c r="C173" s="67" t="n"/>
      <c r="E173" s="67" t="n"/>
      <c r="F173" s="67" t="n"/>
      <c r="G173" s="67" t="n"/>
      <c r="H173" s="67" t="n"/>
      <c r="I173" s="67" t="n"/>
      <c r="K173" s="67" t="n"/>
      <c r="L173" s="67" t="n"/>
      <c r="M173" s="67" t="n"/>
      <c r="N173" s="67" t="n"/>
      <c r="O173" s="67" t="n"/>
      <c r="P173" s="67" t="n"/>
      <c r="Q173" s="67" t="n"/>
      <c r="V173" s="67" t="n"/>
      <c r="W173" s="67" t="n"/>
      <c r="X173" s="67" t="n"/>
      <c r="Y173" s="67" t="n"/>
      <c r="Z173" s="67" t="n"/>
      <c r="AA173" s="67" t="n"/>
      <c r="AB173" s="67" t="n"/>
      <c r="AC173" s="67" t="n"/>
      <c r="AD173" s="67" t="n"/>
      <c r="AE173" s="67" t="n"/>
      <c r="AF173" s="67" t="n"/>
    </row>
    <row r="174">
      <c r="B174" s="67" t="n"/>
      <c r="C174" s="67" t="n"/>
      <c r="E174" s="67" t="n"/>
      <c r="F174" s="67" t="n"/>
      <c r="G174" s="67" t="n"/>
      <c r="H174" s="67" t="n"/>
      <c r="I174" s="67" t="n"/>
      <c r="K174" s="67" t="n"/>
      <c r="L174" s="67" t="n"/>
      <c r="M174" s="67" t="n"/>
      <c r="N174" s="67" t="n"/>
      <c r="O174" s="67" t="n"/>
      <c r="P174" s="67" t="n"/>
      <c r="Q174" s="67" t="n"/>
      <c r="V174" s="67" t="n"/>
      <c r="W174" s="67" t="n"/>
      <c r="X174" s="67" t="n"/>
      <c r="Y174" s="67" t="n"/>
      <c r="Z174" s="67" t="n"/>
      <c r="AA174" s="67" t="n"/>
      <c r="AB174" s="67" t="n"/>
      <c r="AC174" s="67" t="n"/>
      <c r="AD174" s="67" t="n"/>
      <c r="AE174" s="67" t="n"/>
      <c r="AF174" s="67" t="n"/>
    </row>
    <row r="175">
      <c r="B175" s="67" t="n"/>
      <c r="C175" s="67" t="n"/>
      <c r="E175" s="67" t="n"/>
      <c r="F175" s="67" t="n"/>
      <c r="G175" s="67" t="n"/>
      <c r="H175" s="67" t="n"/>
      <c r="I175" s="67" t="n"/>
      <c r="K175" s="67" t="n"/>
      <c r="L175" s="67" t="n"/>
      <c r="M175" s="67" t="n"/>
      <c r="N175" s="67" t="n"/>
      <c r="O175" s="67" t="n"/>
      <c r="P175" s="67" t="n"/>
      <c r="Q175" s="67" t="n"/>
      <c r="V175" s="67" t="n"/>
      <c r="W175" s="67" t="n"/>
      <c r="X175" s="67" t="n"/>
      <c r="Y175" s="67" t="n"/>
      <c r="Z175" s="67" t="n"/>
      <c r="AA175" s="67" t="n"/>
      <c r="AB175" s="67" t="n"/>
      <c r="AC175" s="67" t="n"/>
      <c r="AD175" s="67" t="n"/>
      <c r="AE175" s="67" t="n"/>
      <c r="AF175" s="67" t="n"/>
    </row>
    <row r="176">
      <c r="B176" s="67" t="n"/>
      <c r="C176" s="67" t="n"/>
      <c r="E176" s="67" t="n"/>
      <c r="F176" s="67" t="n"/>
      <c r="G176" s="67" t="n"/>
      <c r="H176" s="67" t="n"/>
      <c r="I176" s="67" t="n"/>
      <c r="K176" s="67" t="n"/>
      <c r="L176" s="67" t="n"/>
      <c r="M176" s="67" t="n"/>
      <c r="N176" s="67" t="n"/>
      <c r="O176" s="67" t="n"/>
      <c r="P176" s="67" t="n"/>
      <c r="Q176" s="67" t="n"/>
      <c r="V176" s="67" t="n"/>
      <c r="W176" s="67" t="n"/>
      <c r="X176" s="67" t="n"/>
      <c r="Y176" s="67" t="n"/>
      <c r="Z176" s="67" t="n"/>
      <c r="AA176" s="67" t="n"/>
      <c r="AB176" s="67" t="n"/>
      <c r="AC176" s="67" t="n"/>
      <c r="AD176" s="67" t="n"/>
      <c r="AE176" s="67" t="n"/>
      <c r="AF176" s="67" t="n"/>
    </row>
    <row r="177">
      <c r="B177" s="67" t="n"/>
      <c r="C177" s="67" t="n"/>
      <c r="E177" s="67" t="n"/>
      <c r="F177" s="67" t="n"/>
      <c r="G177" s="67" t="n"/>
      <c r="H177" s="67" t="n"/>
      <c r="I177" s="67" t="n"/>
      <c r="K177" s="67" t="n"/>
      <c r="L177" s="67" t="n"/>
      <c r="M177" s="67" t="n"/>
      <c r="N177" s="67" t="n"/>
      <c r="O177" s="67" t="n"/>
      <c r="P177" s="67" t="n"/>
      <c r="Q177" s="67" t="n"/>
      <c r="V177" s="67" t="n"/>
      <c r="W177" s="67" t="n"/>
      <c r="X177" s="67" t="n"/>
      <c r="Y177" s="67" t="n"/>
      <c r="Z177" s="67" t="n"/>
      <c r="AA177" s="67" t="n"/>
      <c r="AB177" s="67" t="n"/>
      <c r="AC177" s="67" t="n"/>
      <c r="AD177" s="67" t="n"/>
      <c r="AE177" s="67" t="n"/>
      <c r="AF177" s="67" t="n"/>
    </row>
    <row r="178">
      <c r="B178" s="67" t="n"/>
      <c r="C178" s="67" t="n"/>
      <c r="E178" s="67" t="n"/>
      <c r="F178" s="67" t="n"/>
      <c r="G178" s="67" t="n"/>
      <c r="H178" s="67" t="n"/>
      <c r="I178" s="67" t="n"/>
      <c r="K178" s="67" t="n"/>
      <c r="L178" s="67" t="n"/>
      <c r="M178" s="67" t="n"/>
      <c r="N178" s="67" t="n"/>
      <c r="O178" s="67" t="n"/>
      <c r="P178" s="67" t="n"/>
      <c r="Q178" s="67" t="n"/>
      <c r="V178" s="67" t="n"/>
      <c r="W178" s="67" t="n"/>
      <c r="X178" s="67" t="n"/>
      <c r="Y178" s="67" t="n"/>
      <c r="Z178" s="67" t="n"/>
      <c r="AA178" s="67" t="n"/>
      <c r="AB178" s="67" t="n"/>
      <c r="AC178" s="67" t="n"/>
      <c r="AD178" s="67" t="n"/>
      <c r="AE178" s="67" t="n"/>
      <c r="AF178" s="67" t="n"/>
    </row>
    <row r="179">
      <c r="B179" s="67" t="n"/>
      <c r="C179" s="67" t="n"/>
      <c r="E179" s="67" t="n"/>
      <c r="F179" s="67" t="n"/>
      <c r="G179" s="67" t="n"/>
      <c r="H179" s="67" t="n"/>
      <c r="I179" s="67" t="n"/>
      <c r="K179" s="67" t="n"/>
      <c r="L179" s="67" t="n"/>
      <c r="M179" s="67" t="n"/>
      <c r="N179" s="67" t="n"/>
      <c r="O179" s="67" t="n"/>
      <c r="P179" s="67" t="n"/>
      <c r="Q179" s="67" t="n"/>
      <c r="V179" s="67" t="n"/>
      <c r="W179" s="67" t="n"/>
      <c r="X179" s="67" t="n"/>
      <c r="Y179" s="67" t="n"/>
      <c r="Z179" s="67" t="n"/>
      <c r="AA179" s="67" t="n"/>
      <c r="AB179" s="67" t="n"/>
      <c r="AC179" s="67" t="n"/>
      <c r="AD179" s="67" t="n"/>
      <c r="AE179" s="67" t="n"/>
      <c r="AF179" s="67" t="n"/>
    </row>
    <row r="180">
      <c r="B180" s="67" t="n"/>
      <c r="C180" s="67" t="n"/>
      <c r="E180" s="67" t="n"/>
      <c r="F180" s="67" t="n"/>
      <c r="G180" s="67" t="n"/>
      <c r="H180" s="67" t="n"/>
      <c r="I180" s="67" t="n"/>
      <c r="K180" s="67" t="n"/>
      <c r="L180" s="67" t="n"/>
      <c r="M180" s="67" t="n"/>
      <c r="N180" s="67" t="n"/>
      <c r="O180" s="67" t="n"/>
      <c r="P180" s="67" t="n"/>
      <c r="Q180" s="67" t="n"/>
      <c r="V180" s="67" t="n"/>
      <c r="W180" s="67" t="n"/>
      <c r="X180" s="67" t="n"/>
      <c r="Y180" s="67" t="n"/>
      <c r="Z180" s="67" t="n"/>
      <c r="AA180" s="67" t="n"/>
      <c r="AB180" s="67" t="n"/>
      <c r="AC180" s="67" t="n"/>
      <c r="AD180" s="67" t="n"/>
      <c r="AE180" s="67" t="n"/>
      <c r="AF180" s="67" t="n"/>
    </row>
    <row r="181">
      <c r="B181" s="67" t="n"/>
      <c r="C181" s="67" t="n"/>
      <c r="E181" s="67" t="n"/>
      <c r="F181" s="67" t="n"/>
      <c r="G181" s="67" t="n"/>
      <c r="H181" s="67" t="n"/>
      <c r="I181" s="67" t="n"/>
      <c r="K181" s="67" t="n"/>
      <c r="L181" s="67" t="n"/>
      <c r="M181" s="67" t="n"/>
      <c r="N181" s="67" t="n"/>
      <c r="O181" s="67" t="n"/>
      <c r="P181" s="67" t="n"/>
      <c r="Q181" s="67" t="n"/>
      <c r="V181" s="67" t="n"/>
      <c r="W181" s="67" t="n"/>
      <c r="X181" s="67" t="n"/>
      <c r="Y181" s="67" t="n"/>
      <c r="Z181" s="67" t="n"/>
      <c r="AA181" s="67" t="n"/>
      <c r="AB181" s="67" t="n"/>
      <c r="AC181" s="67" t="n"/>
      <c r="AD181" s="67" t="n"/>
      <c r="AE181" s="67" t="n"/>
      <c r="AF181" s="67" t="n"/>
    </row>
    <row r="182">
      <c r="B182" s="67" t="n"/>
      <c r="C182" s="67" t="n"/>
      <c r="E182" s="67" t="n"/>
      <c r="F182" s="67" t="n"/>
      <c r="G182" s="67" t="n"/>
      <c r="H182" s="67" t="n"/>
      <c r="I182" s="67" t="n"/>
      <c r="K182" s="67" t="n"/>
      <c r="L182" s="67" t="n"/>
      <c r="M182" s="67" t="n"/>
      <c r="N182" s="67" t="n"/>
      <c r="O182" s="67" t="n"/>
      <c r="P182" s="67" t="n"/>
      <c r="Q182" s="67" t="n"/>
      <c r="V182" s="67" t="n"/>
      <c r="W182" s="67" t="n"/>
      <c r="X182" s="67" t="n"/>
      <c r="Y182" s="67" t="n"/>
      <c r="Z182" s="67" t="n"/>
      <c r="AA182" s="67" t="n"/>
      <c r="AB182" s="67" t="n"/>
      <c r="AC182" s="67" t="n"/>
      <c r="AD182" s="67" t="n"/>
      <c r="AE182" s="67" t="n"/>
      <c r="AF182" s="67" t="n"/>
    </row>
    <row r="183">
      <c r="B183" s="67" t="n"/>
      <c r="C183" s="67" t="n"/>
      <c r="E183" s="67" t="n"/>
      <c r="F183" s="67" t="n"/>
      <c r="G183" s="67" t="n"/>
      <c r="H183" s="67" t="n"/>
      <c r="I183" s="67" t="n"/>
      <c r="K183" s="67" t="n"/>
      <c r="L183" s="67" t="n"/>
      <c r="M183" s="67" t="n"/>
      <c r="N183" s="67" t="n"/>
      <c r="O183" s="67" t="n"/>
      <c r="P183" s="67" t="n"/>
      <c r="Q183" s="67" t="n"/>
      <c r="V183" s="67" t="n"/>
      <c r="W183" s="67" t="n"/>
      <c r="X183" s="67" t="n"/>
      <c r="Y183" s="67" t="n"/>
      <c r="Z183" s="67" t="n"/>
      <c r="AA183" s="67" t="n"/>
      <c r="AB183" s="67" t="n"/>
      <c r="AC183" s="67" t="n"/>
      <c r="AD183" s="67" t="n"/>
      <c r="AE183" s="67" t="n"/>
      <c r="AF183" s="67" t="n"/>
    </row>
    <row r="184">
      <c r="B184" s="67" t="n"/>
      <c r="C184" s="67" t="n"/>
      <c r="E184" s="67" t="n"/>
      <c r="F184" s="67" t="n"/>
      <c r="G184" s="67" t="n"/>
      <c r="H184" s="67" t="n"/>
      <c r="I184" s="67" t="n"/>
      <c r="K184" s="67" t="n"/>
      <c r="L184" s="67" t="n"/>
      <c r="M184" s="67" t="n"/>
      <c r="N184" s="67" t="n"/>
      <c r="O184" s="67" t="n"/>
      <c r="P184" s="67" t="n"/>
      <c r="Q184" s="67" t="n"/>
      <c r="V184" s="67" t="n"/>
      <c r="W184" s="67" t="n"/>
      <c r="X184" s="67" t="n"/>
      <c r="Y184" s="67" t="n"/>
      <c r="Z184" s="67" t="n"/>
      <c r="AA184" s="67" t="n"/>
      <c r="AB184" s="67" t="n"/>
      <c r="AC184" s="67" t="n"/>
      <c r="AD184" s="67" t="n"/>
      <c r="AE184" s="67" t="n"/>
      <c r="AF184" s="67" t="n"/>
    </row>
    <row r="185">
      <c r="B185" s="67" t="n"/>
      <c r="C185" s="67" t="n"/>
      <c r="E185" s="67" t="n"/>
      <c r="F185" s="67" t="n"/>
      <c r="G185" s="67" t="n"/>
      <c r="H185" s="67" t="n"/>
      <c r="I185" s="67" t="n"/>
      <c r="K185" s="67" t="n"/>
      <c r="L185" s="67" t="n"/>
      <c r="M185" s="67" t="n"/>
      <c r="N185" s="67" t="n"/>
      <c r="O185" s="67" t="n"/>
      <c r="P185" s="67" t="n"/>
      <c r="Q185" s="67" t="n"/>
      <c r="V185" s="67" t="n"/>
      <c r="W185" s="67" t="n"/>
      <c r="X185" s="67" t="n"/>
      <c r="Y185" s="67" t="n"/>
      <c r="Z185" s="67" t="n"/>
      <c r="AA185" s="67" t="n"/>
      <c r="AB185" s="67" t="n"/>
      <c r="AC185" s="67" t="n"/>
      <c r="AD185" s="67" t="n"/>
      <c r="AE185" s="67" t="n"/>
      <c r="AF185" s="67" t="n"/>
    </row>
    <row r="186">
      <c r="B186" s="67" t="n"/>
      <c r="C186" s="67" t="n"/>
      <c r="E186" s="67" t="n"/>
      <c r="F186" s="67" t="n"/>
      <c r="G186" s="67" t="n"/>
      <c r="H186" s="67" t="n"/>
      <c r="I186" s="67" t="n"/>
      <c r="K186" s="67" t="n"/>
      <c r="L186" s="67" t="n"/>
      <c r="M186" s="67" t="n"/>
      <c r="N186" s="67" t="n"/>
      <c r="O186" s="67" t="n"/>
      <c r="P186" s="67" t="n"/>
      <c r="Q186" s="67" t="n"/>
      <c r="V186" s="67" t="n"/>
      <c r="W186" s="67" t="n"/>
      <c r="X186" s="67" t="n"/>
      <c r="Y186" s="67" t="n"/>
      <c r="Z186" s="67" t="n"/>
      <c r="AA186" s="67" t="n"/>
      <c r="AB186" s="67" t="n"/>
      <c r="AC186" s="67" t="n"/>
      <c r="AD186" s="67" t="n"/>
      <c r="AE186" s="67" t="n"/>
      <c r="AF186" s="67" t="n"/>
    </row>
    <row r="187">
      <c r="B187" s="67" t="n"/>
      <c r="C187" s="67" t="n"/>
      <c r="E187" s="67" t="n"/>
      <c r="F187" s="67" t="n"/>
      <c r="G187" s="67" t="n"/>
      <c r="H187" s="67" t="n"/>
      <c r="I187" s="67" t="n"/>
      <c r="K187" s="67" t="n"/>
      <c r="L187" s="67" t="n"/>
      <c r="M187" s="67" t="n"/>
      <c r="N187" s="67" t="n"/>
      <c r="O187" s="67" t="n"/>
      <c r="P187" s="67" t="n"/>
      <c r="Q187" s="67" t="n"/>
      <c r="V187" s="67" t="n"/>
      <c r="W187" s="67" t="n"/>
      <c r="X187" s="67" t="n"/>
      <c r="Y187" s="67" t="n"/>
      <c r="Z187" s="67" t="n"/>
      <c r="AA187" s="67" t="n"/>
      <c r="AB187" s="67" t="n"/>
      <c r="AC187" s="67" t="n"/>
      <c r="AD187" s="67" t="n"/>
      <c r="AE187" s="67" t="n"/>
      <c r="AF187" s="67" t="n"/>
    </row>
    <row r="188">
      <c r="B188" s="67" t="n"/>
      <c r="C188" s="67" t="n"/>
      <c r="E188" s="67" t="n"/>
      <c r="F188" s="67" t="n"/>
      <c r="G188" s="67" t="n"/>
      <c r="H188" s="67" t="n"/>
      <c r="I188" s="67" t="n"/>
      <c r="K188" s="67" t="n"/>
      <c r="L188" s="67" t="n"/>
      <c r="M188" s="67" t="n"/>
      <c r="N188" s="67" t="n"/>
      <c r="O188" s="67" t="n"/>
      <c r="P188" s="67" t="n"/>
      <c r="Q188" s="67" t="n"/>
      <c r="V188" s="67" t="n"/>
      <c r="W188" s="67" t="n"/>
      <c r="X188" s="67" t="n"/>
      <c r="Y188" s="67" t="n"/>
      <c r="Z188" s="67" t="n"/>
      <c r="AA188" s="67" t="n"/>
      <c r="AB188" s="67" t="n"/>
      <c r="AC188" s="67" t="n"/>
      <c r="AD188" s="67" t="n"/>
      <c r="AE188" s="67" t="n"/>
      <c r="AF188" s="67" t="n"/>
    </row>
    <row r="189">
      <c r="B189" s="67" t="n"/>
      <c r="C189" s="67" t="n"/>
      <c r="E189" s="67" t="n"/>
      <c r="F189" s="67" t="n"/>
      <c r="G189" s="67" t="n"/>
      <c r="H189" s="67" t="n"/>
      <c r="I189" s="67" t="n"/>
      <c r="K189" s="67" t="n"/>
      <c r="L189" s="67" t="n"/>
      <c r="M189" s="67" t="n"/>
      <c r="N189" s="67" t="n"/>
      <c r="O189" s="67" t="n"/>
      <c r="P189" s="67" t="n"/>
      <c r="Q189" s="67" t="n"/>
      <c r="V189" s="67" t="n"/>
      <c r="W189" s="67" t="n"/>
      <c r="X189" s="67" t="n"/>
      <c r="Y189" s="67" t="n"/>
      <c r="Z189" s="67" t="n"/>
      <c r="AA189" s="67" t="n"/>
      <c r="AB189" s="67" t="n"/>
      <c r="AC189" s="67" t="n"/>
      <c r="AD189" s="67" t="n"/>
      <c r="AE189" s="67" t="n"/>
      <c r="AF189" s="67" t="n"/>
    </row>
    <row r="190">
      <c r="B190" s="67" t="n"/>
      <c r="C190" s="67" t="n"/>
      <c r="E190" s="67" t="n"/>
      <c r="F190" s="67" t="n"/>
      <c r="G190" s="67" t="n"/>
      <c r="H190" s="67" t="n"/>
      <c r="I190" s="67" t="n"/>
      <c r="K190" s="67" t="n"/>
      <c r="L190" s="67" t="n"/>
      <c r="M190" s="67" t="n"/>
      <c r="N190" s="67" t="n"/>
      <c r="O190" s="67" t="n"/>
      <c r="P190" s="67" t="n"/>
      <c r="Q190" s="67" t="n"/>
      <c r="V190" s="67" t="n"/>
      <c r="W190" s="67" t="n"/>
      <c r="X190" s="67" t="n"/>
      <c r="Y190" s="67" t="n"/>
      <c r="Z190" s="67" t="n"/>
      <c r="AA190" s="67" t="n"/>
      <c r="AB190" s="67" t="n"/>
      <c r="AC190" s="67" t="n"/>
      <c r="AD190" s="67" t="n"/>
      <c r="AE190" s="67" t="n"/>
      <c r="AF190" s="67" t="n"/>
    </row>
    <row r="191">
      <c r="B191" s="67" t="n"/>
      <c r="C191" s="67" t="n"/>
      <c r="E191" s="67" t="n"/>
      <c r="F191" s="67" t="n"/>
      <c r="G191" s="67" t="n"/>
      <c r="H191" s="67" t="n"/>
      <c r="I191" s="67" t="n"/>
      <c r="K191" s="67" t="n"/>
      <c r="L191" s="67" t="n"/>
      <c r="M191" s="67" t="n"/>
      <c r="N191" s="67" t="n"/>
      <c r="O191" s="67" t="n"/>
      <c r="P191" s="67" t="n"/>
      <c r="Q191" s="67" t="n"/>
      <c r="V191" s="67" t="n"/>
      <c r="W191" s="67" t="n"/>
      <c r="X191" s="67" t="n"/>
      <c r="Y191" s="67" t="n"/>
      <c r="Z191" s="67" t="n"/>
      <c r="AA191" s="67" t="n"/>
      <c r="AB191" s="67" t="n"/>
      <c r="AC191" s="67" t="n"/>
      <c r="AD191" s="67" t="n"/>
      <c r="AE191" s="67" t="n"/>
      <c r="AF191" s="67" t="n"/>
    </row>
    <row r="192">
      <c r="B192" s="67" t="n"/>
      <c r="C192" s="67" t="n"/>
      <c r="E192" s="67" t="n"/>
      <c r="F192" s="67" t="n"/>
      <c r="G192" s="67" t="n"/>
      <c r="H192" s="67" t="n"/>
      <c r="I192" s="67" t="n"/>
      <c r="K192" s="67" t="n"/>
      <c r="L192" s="67" t="n"/>
      <c r="M192" s="67" t="n"/>
      <c r="N192" s="67" t="n"/>
      <c r="O192" s="67" t="n"/>
      <c r="P192" s="67" t="n"/>
      <c r="Q192" s="67" t="n"/>
      <c r="V192" s="67" t="n"/>
      <c r="W192" s="67" t="n"/>
      <c r="X192" s="67" t="n"/>
      <c r="Y192" s="67" t="n"/>
      <c r="Z192" s="67" t="n"/>
      <c r="AA192" s="67" t="n"/>
      <c r="AB192" s="67" t="n"/>
      <c r="AC192" s="67" t="n"/>
      <c r="AD192" s="67" t="n"/>
      <c r="AE192" s="67" t="n"/>
      <c r="AF192" s="67" t="n"/>
    </row>
    <row r="193">
      <c r="B193" s="67" t="n"/>
      <c r="C193" s="67" t="n"/>
      <c r="E193" s="67" t="n"/>
      <c r="F193" s="67" t="n"/>
      <c r="G193" s="67" t="n"/>
      <c r="H193" s="67" t="n"/>
      <c r="I193" s="67" t="n"/>
      <c r="K193" s="67" t="n"/>
      <c r="L193" s="67" t="n"/>
      <c r="M193" s="67" t="n"/>
      <c r="N193" s="67" t="n"/>
      <c r="O193" s="67" t="n"/>
      <c r="P193" s="67" t="n"/>
      <c r="Q193" s="67" t="n"/>
      <c r="V193" s="67" t="n"/>
      <c r="W193" s="67" t="n"/>
      <c r="X193" s="67" t="n"/>
      <c r="Y193" s="67" t="n"/>
      <c r="Z193" s="67" t="n"/>
      <c r="AA193" s="67" t="n"/>
      <c r="AB193" s="67" t="n"/>
      <c r="AC193" s="67" t="n"/>
      <c r="AD193" s="67" t="n"/>
      <c r="AE193" s="67" t="n"/>
      <c r="AF193" s="67" t="n"/>
    </row>
    <row r="194">
      <c r="B194" s="67" t="n"/>
      <c r="C194" s="67" t="n"/>
      <c r="E194" s="67" t="n"/>
      <c r="F194" s="67" t="n"/>
      <c r="G194" s="67" t="n"/>
      <c r="H194" s="67" t="n"/>
      <c r="I194" s="67" t="n"/>
      <c r="K194" s="67" t="n"/>
      <c r="L194" s="67" t="n"/>
      <c r="M194" s="67" t="n"/>
      <c r="N194" s="67" t="n"/>
      <c r="O194" s="67" t="n"/>
      <c r="P194" s="67" t="n"/>
      <c r="Q194" s="67" t="n"/>
      <c r="V194" s="67" t="n"/>
      <c r="W194" s="67" t="n"/>
      <c r="X194" s="67" t="n"/>
      <c r="Y194" s="67" t="n"/>
      <c r="Z194" s="67" t="n"/>
      <c r="AA194" s="67" t="n"/>
      <c r="AB194" s="67" t="n"/>
      <c r="AC194" s="67" t="n"/>
      <c r="AD194" s="67" t="n"/>
      <c r="AE194" s="67" t="n"/>
      <c r="AF194" s="67" t="n"/>
    </row>
    <row r="195">
      <c r="B195" s="67" t="n"/>
      <c r="C195" s="67" t="n"/>
      <c r="E195" s="67" t="n"/>
      <c r="F195" s="67" t="n"/>
      <c r="G195" s="67" t="n"/>
      <c r="H195" s="67" t="n"/>
      <c r="I195" s="67" t="n"/>
      <c r="K195" s="67" t="n"/>
      <c r="L195" s="67" t="n"/>
      <c r="M195" s="67" t="n"/>
      <c r="N195" s="67" t="n"/>
      <c r="O195" s="67" t="n"/>
      <c r="P195" s="67" t="n"/>
      <c r="Q195" s="67" t="n"/>
      <c r="V195" s="67" t="n"/>
      <c r="W195" s="67" t="n"/>
      <c r="X195" s="67" t="n"/>
      <c r="Y195" s="67" t="n"/>
      <c r="Z195" s="67" t="n"/>
      <c r="AA195" s="67" t="n"/>
      <c r="AB195" s="67" t="n"/>
      <c r="AC195" s="67" t="n"/>
      <c r="AD195" s="67" t="n"/>
      <c r="AE195" s="67" t="n"/>
      <c r="AF195" s="67" t="n"/>
    </row>
    <row r="196">
      <c r="B196" s="67" t="n"/>
      <c r="C196" s="67" t="n"/>
      <c r="E196" s="67" t="n"/>
      <c r="F196" s="67" t="n"/>
      <c r="G196" s="67" t="n"/>
      <c r="H196" s="67" t="n"/>
      <c r="I196" s="67" t="n"/>
      <c r="K196" s="67" t="n"/>
      <c r="L196" s="67" t="n"/>
      <c r="M196" s="67" t="n"/>
      <c r="N196" s="67" t="n"/>
      <c r="O196" s="67" t="n"/>
      <c r="P196" s="67" t="n"/>
      <c r="Q196" s="67" t="n"/>
      <c r="V196" s="67" t="n"/>
      <c r="W196" s="67" t="n"/>
      <c r="X196" s="67" t="n"/>
      <c r="Y196" s="67" t="n"/>
      <c r="Z196" s="67" t="n"/>
      <c r="AA196" s="67" t="n"/>
      <c r="AB196" s="67" t="n"/>
      <c r="AC196" s="67" t="n"/>
      <c r="AD196" s="67" t="n"/>
      <c r="AE196" s="67" t="n"/>
      <c r="AF196" s="67" t="n"/>
    </row>
    <row r="197">
      <c r="B197" s="67" t="n"/>
      <c r="C197" s="67" t="n"/>
      <c r="E197" s="67" t="n"/>
      <c r="F197" s="67" t="n"/>
      <c r="G197" s="67" t="n"/>
      <c r="H197" s="67" t="n"/>
      <c r="I197" s="67" t="n"/>
      <c r="K197" s="67" t="n"/>
      <c r="L197" s="67" t="n"/>
      <c r="M197" s="67" t="n"/>
      <c r="N197" s="67" t="n"/>
      <c r="O197" s="67" t="n"/>
      <c r="P197" s="67" t="n"/>
      <c r="Q197" s="67" t="n"/>
      <c r="V197" s="67" t="n"/>
      <c r="W197" s="67" t="n"/>
      <c r="X197" s="67" t="n"/>
      <c r="Y197" s="67" t="n"/>
      <c r="Z197" s="67" t="n"/>
      <c r="AA197" s="67" t="n"/>
      <c r="AB197" s="67" t="n"/>
      <c r="AC197" s="67" t="n"/>
      <c r="AD197" s="67" t="n"/>
      <c r="AE197" s="67" t="n"/>
      <c r="AF197" s="67" t="n"/>
    </row>
    <row r="198">
      <c r="B198" s="67" t="n"/>
      <c r="C198" s="67" t="n"/>
      <c r="E198" s="67" t="n"/>
      <c r="F198" s="67" t="n"/>
      <c r="G198" s="67" t="n"/>
      <c r="H198" s="67" t="n"/>
      <c r="I198" s="67" t="n"/>
      <c r="K198" s="67" t="n"/>
      <c r="L198" s="67" t="n"/>
      <c r="M198" s="67" t="n"/>
      <c r="N198" s="67" t="n"/>
      <c r="O198" s="67" t="n"/>
      <c r="P198" s="67" t="n"/>
      <c r="Q198" s="67" t="n"/>
      <c r="V198" s="67" t="n"/>
      <c r="W198" s="67" t="n"/>
      <c r="X198" s="67" t="n"/>
      <c r="Y198" s="67" t="n"/>
      <c r="Z198" s="67" t="n"/>
      <c r="AA198" s="67" t="n"/>
      <c r="AB198" s="67" t="n"/>
      <c r="AC198" s="67" t="n"/>
      <c r="AD198" s="67" t="n"/>
      <c r="AE198" s="67" t="n"/>
      <c r="AF198" s="67" t="n"/>
    </row>
    <row r="199">
      <c r="B199" s="67" t="n"/>
      <c r="C199" s="67" t="n"/>
      <c r="E199" s="67" t="n"/>
      <c r="F199" s="67" t="n"/>
      <c r="G199" s="67" t="n"/>
      <c r="H199" s="67" t="n"/>
      <c r="I199" s="67" t="n"/>
      <c r="K199" s="67" t="n"/>
      <c r="L199" s="67" t="n"/>
      <c r="M199" s="67" t="n"/>
      <c r="N199" s="67" t="n"/>
      <c r="O199" s="67" t="n"/>
      <c r="P199" s="67" t="n"/>
      <c r="Q199" s="67" t="n"/>
      <c r="V199" s="67" t="n"/>
      <c r="W199" s="67" t="n"/>
      <c r="X199" s="67" t="n"/>
      <c r="Y199" s="67" t="n"/>
      <c r="Z199" s="67" t="n"/>
      <c r="AA199" s="67" t="n"/>
      <c r="AB199" s="67" t="n"/>
      <c r="AC199" s="67" t="n"/>
      <c r="AD199" s="67" t="n"/>
      <c r="AE199" s="67" t="n"/>
      <c r="AF199" s="67" t="n"/>
    </row>
    <row r="200">
      <c r="B200" s="67" t="n"/>
      <c r="C200" s="67" t="n"/>
      <c r="E200" s="67" t="n"/>
      <c r="F200" s="67" t="n"/>
      <c r="G200" s="67" t="n"/>
      <c r="H200" s="67" t="n"/>
      <c r="I200" s="67" t="n"/>
      <c r="K200" s="67" t="n"/>
      <c r="L200" s="67" t="n"/>
      <c r="M200" s="67" t="n"/>
      <c r="N200" s="67" t="n"/>
      <c r="O200" s="67" t="n"/>
      <c r="P200" s="67" t="n"/>
      <c r="Q200" s="67" t="n"/>
      <c r="V200" s="67" t="n"/>
      <c r="W200" s="67" t="n"/>
      <c r="X200" s="67" t="n"/>
      <c r="Y200" s="67" t="n"/>
      <c r="Z200" s="67" t="n"/>
      <c r="AA200" s="67" t="n"/>
      <c r="AB200" s="67" t="n"/>
      <c r="AC200" s="67" t="n"/>
      <c r="AD200" s="67" t="n"/>
      <c r="AE200" s="67" t="n"/>
      <c r="AF200" s="67" t="n"/>
    </row>
    <row r="201">
      <c r="B201" s="67" t="n"/>
      <c r="C201" s="67" t="n"/>
      <c r="E201" s="67" t="n"/>
      <c r="F201" s="67" t="n"/>
      <c r="G201" s="67" t="n"/>
      <c r="H201" s="67" t="n"/>
      <c r="I201" s="67" t="n"/>
      <c r="K201" s="67" t="n"/>
      <c r="L201" s="67" t="n"/>
      <c r="M201" s="67" t="n"/>
      <c r="N201" s="67" t="n"/>
      <c r="O201" s="67" t="n"/>
      <c r="P201" s="67" t="n"/>
      <c r="Q201" s="67" t="n"/>
      <c r="V201" s="67" t="n"/>
      <c r="W201" s="67" t="n"/>
      <c r="X201" s="67" t="n"/>
      <c r="Y201" s="67" t="n"/>
      <c r="Z201" s="67" t="n"/>
      <c r="AA201" s="67" t="n"/>
      <c r="AB201" s="67" t="n"/>
      <c r="AC201" s="67" t="n"/>
      <c r="AD201" s="67" t="n"/>
      <c r="AE201" s="67" t="n"/>
      <c r="AF201" s="67" t="n"/>
    </row>
    <row r="202">
      <c r="B202" s="67" t="n"/>
      <c r="C202" s="67" t="n"/>
      <c r="E202" s="67" t="n"/>
      <c r="F202" s="67" t="n"/>
      <c r="G202" s="67" t="n"/>
      <c r="H202" s="67" t="n"/>
      <c r="I202" s="67" t="n"/>
      <c r="K202" s="67" t="n"/>
      <c r="L202" s="67" t="n"/>
      <c r="M202" s="67" t="n"/>
      <c r="N202" s="67" t="n"/>
      <c r="O202" s="67" t="n"/>
      <c r="P202" s="67" t="n"/>
      <c r="Q202" s="67" t="n"/>
      <c r="V202" s="67" t="n"/>
      <c r="W202" s="67" t="n"/>
      <c r="X202" s="67" t="n"/>
      <c r="Y202" s="67" t="n"/>
      <c r="Z202" s="67" t="n"/>
      <c r="AA202" s="67" t="n"/>
      <c r="AB202" s="67" t="n"/>
      <c r="AC202" s="67" t="n"/>
      <c r="AD202" s="67" t="n"/>
      <c r="AE202" s="67" t="n"/>
      <c r="AF202" s="67" t="n"/>
    </row>
    <row r="203">
      <c r="B203" s="67" t="n"/>
      <c r="C203" s="67" t="n"/>
      <c r="E203" s="67" t="n"/>
      <c r="F203" s="67" t="n"/>
      <c r="G203" s="67" t="n"/>
      <c r="H203" s="67" t="n"/>
      <c r="I203" s="67" t="n"/>
      <c r="K203" s="67" t="n"/>
      <c r="L203" s="67" t="n"/>
      <c r="M203" s="67" t="n"/>
      <c r="N203" s="67" t="n"/>
      <c r="O203" s="67" t="n"/>
      <c r="P203" s="67" t="n"/>
      <c r="Q203" s="67" t="n"/>
      <c r="V203" s="67" t="n"/>
      <c r="W203" s="67" t="n"/>
      <c r="X203" s="67" t="n"/>
      <c r="Y203" s="67" t="n"/>
      <c r="Z203" s="67" t="n"/>
      <c r="AA203" s="67" t="n"/>
      <c r="AB203" s="67" t="n"/>
      <c r="AC203" s="67" t="n"/>
      <c r="AD203" s="67" t="n"/>
      <c r="AE203" s="67" t="n"/>
      <c r="AF203" s="67" t="n"/>
    </row>
    <row r="204">
      <c r="B204" s="67" t="n"/>
      <c r="C204" s="67" t="n"/>
      <c r="E204" s="67" t="n"/>
      <c r="F204" s="67" t="n"/>
      <c r="G204" s="67" t="n"/>
      <c r="H204" s="67" t="n"/>
      <c r="I204" s="67" t="n"/>
      <c r="K204" s="67" t="n"/>
      <c r="L204" s="67" t="n"/>
      <c r="M204" s="67" t="n"/>
      <c r="N204" s="67" t="n"/>
      <c r="O204" s="67" t="n"/>
      <c r="P204" s="67" t="n"/>
      <c r="Q204" s="67" t="n"/>
      <c r="V204" s="67" t="n"/>
      <c r="W204" s="67" t="n"/>
      <c r="X204" s="67" t="n"/>
      <c r="Y204" s="67" t="n"/>
      <c r="Z204" s="67" t="n"/>
      <c r="AA204" s="67" t="n"/>
      <c r="AB204" s="67" t="n"/>
      <c r="AC204" s="67" t="n"/>
      <c r="AD204" s="67" t="n"/>
      <c r="AE204" s="67" t="n"/>
      <c r="AF204" s="67" t="n"/>
    </row>
    <row r="205">
      <c r="B205" s="67" t="n"/>
      <c r="C205" s="67" t="n"/>
      <c r="E205" s="67" t="n"/>
      <c r="F205" s="67" t="n"/>
      <c r="G205" s="67" t="n"/>
      <c r="H205" s="67" t="n"/>
      <c r="I205" s="67" t="n"/>
      <c r="K205" s="67" t="n"/>
      <c r="L205" s="67" t="n"/>
      <c r="M205" s="67" t="n"/>
      <c r="N205" s="67" t="n"/>
      <c r="O205" s="67" t="n"/>
      <c r="P205" s="67" t="n"/>
      <c r="Q205" s="67" t="n"/>
      <c r="V205" s="67" t="n"/>
      <c r="W205" s="67" t="n"/>
      <c r="X205" s="67" t="n"/>
      <c r="Y205" s="67" t="n"/>
      <c r="Z205" s="67" t="n"/>
      <c r="AA205" s="67" t="n"/>
      <c r="AB205" s="67" t="n"/>
      <c r="AC205" s="67" t="n"/>
      <c r="AD205" s="67" t="n"/>
      <c r="AE205" s="67" t="n"/>
      <c r="AF205" s="67" t="n"/>
    </row>
    <row r="206">
      <c r="B206" s="67" t="n"/>
      <c r="C206" s="67" t="n"/>
      <c r="E206" s="67" t="n"/>
      <c r="F206" s="67" t="n"/>
      <c r="G206" s="67" t="n"/>
      <c r="H206" s="67" t="n"/>
      <c r="I206" s="67" t="n"/>
      <c r="K206" s="67" t="n"/>
      <c r="L206" s="67" t="n"/>
      <c r="M206" s="67" t="n"/>
      <c r="N206" s="67" t="n"/>
      <c r="O206" s="67" t="n"/>
      <c r="P206" s="67" t="n"/>
      <c r="Q206" s="67" t="n"/>
      <c r="V206" s="67" t="n"/>
      <c r="W206" s="67" t="n"/>
      <c r="X206" s="67" t="n"/>
      <c r="Y206" s="67" t="n"/>
      <c r="Z206" s="67" t="n"/>
      <c r="AA206" s="67" t="n"/>
      <c r="AB206" s="67" t="n"/>
      <c r="AC206" s="67" t="n"/>
      <c r="AD206" s="67" t="n"/>
      <c r="AE206" s="67" t="n"/>
      <c r="AF206" s="67" t="n"/>
    </row>
    <row r="207">
      <c r="B207" s="67" t="n"/>
      <c r="C207" s="67" t="n"/>
      <c r="E207" s="67" t="n"/>
      <c r="F207" s="67" t="n"/>
      <c r="G207" s="67" t="n"/>
      <c r="H207" s="67" t="n"/>
      <c r="I207" s="67" t="n"/>
      <c r="K207" s="67" t="n"/>
      <c r="L207" s="67" t="n"/>
      <c r="M207" s="67" t="n"/>
      <c r="N207" s="67" t="n"/>
      <c r="O207" s="67" t="n"/>
      <c r="P207" s="67" t="n"/>
      <c r="Q207" s="67" t="n"/>
      <c r="V207" s="67" t="n"/>
      <c r="W207" s="67" t="n"/>
      <c r="X207" s="67" t="n"/>
      <c r="Y207" s="67" t="n"/>
      <c r="Z207" s="67" t="n"/>
      <c r="AA207" s="67" t="n"/>
      <c r="AB207" s="67" t="n"/>
      <c r="AC207" s="67" t="n"/>
      <c r="AD207" s="67" t="n"/>
      <c r="AE207" s="67" t="n"/>
      <c r="AF207" s="67" t="n"/>
    </row>
    <row r="208">
      <c r="B208" s="67" t="n"/>
      <c r="C208" s="67" t="n"/>
      <c r="E208" s="67" t="n"/>
      <c r="F208" s="67" t="n"/>
      <c r="G208" s="67" t="n"/>
      <c r="H208" s="67" t="n"/>
      <c r="I208" s="67" t="n"/>
      <c r="K208" s="67" t="n"/>
      <c r="L208" s="67" t="n"/>
      <c r="M208" s="67" t="n"/>
      <c r="N208" s="67" t="n"/>
      <c r="O208" s="67" t="n"/>
      <c r="P208" s="67" t="n"/>
      <c r="Q208" s="67" t="n"/>
      <c r="V208" s="67" t="n"/>
      <c r="W208" s="67" t="n"/>
      <c r="X208" s="67" t="n"/>
      <c r="Y208" s="67" t="n"/>
      <c r="Z208" s="67" t="n"/>
      <c r="AA208" s="67" t="n"/>
      <c r="AB208" s="67" t="n"/>
      <c r="AC208" s="67" t="n"/>
      <c r="AD208" s="67" t="n"/>
      <c r="AE208" s="67" t="n"/>
      <c r="AF208" s="67" t="n"/>
    </row>
    <row r="209">
      <c r="B209" s="67" t="n"/>
      <c r="C209" s="67" t="n"/>
      <c r="E209" s="67" t="n"/>
      <c r="F209" s="67" t="n"/>
      <c r="G209" s="67" t="n"/>
      <c r="H209" s="67" t="n"/>
      <c r="I209" s="67" t="n"/>
      <c r="K209" s="67" t="n"/>
      <c r="L209" s="67" t="n"/>
      <c r="M209" s="67" t="n"/>
      <c r="N209" s="67" t="n"/>
      <c r="O209" s="67" t="n"/>
      <c r="P209" s="67" t="n"/>
      <c r="Q209" s="67" t="n"/>
      <c r="V209" s="67" t="n"/>
      <c r="W209" s="67" t="n"/>
      <c r="X209" s="67" t="n"/>
      <c r="Y209" s="67" t="n"/>
      <c r="Z209" s="67" t="n"/>
      <c r="AA209" s="67" t="n"/>
      <c r="AB209" s="67" t="n"/>
      <c r="AC209" s="67" t="n"/>
      <c r="AD209" s="67" t="n"/>
      <c r="AE209" s="67" t="n"/>
      <c r="AF209" s="67" t="n"/>
    </row>
    <row r="210">
      <c r="B210" s="67" t="n"/>
      <c r="C210" s="67" t="n"/>
      <c r="E210" s="67" t="n"/>
      <c r="F210" s="67" t="n"/>
      <c r="G210" s="67" t="n"/>
      <c r="H210" s="67" t="n"/>
      <c r="I210" s="67" t="n"/>
      <c r="K210" s="67" t="n"/>
      <c r="L210" s="67" t="n"/>
      <c r="M210" s="67" t="n"/>
      <c r="N210" s="67" t="n"/>
      <c r="O210" s="67" t="n"/>
      <c r="P210" s="67" t="n"/>
      <c r="Q210" s="67" t="n"/>
      <c r="V210" s="67" t="n"/>
      <c r="W210" s="67" t="n"/>
      <c r="X210" s="67" t="n"/>
      <c r="Y210" s="67" t="n"/>
      <c r="Z210" s="67" t="n"/>
      <c r="AA210" s="67" t="n"/>
      <c r="AB210" s="67" t="n"/>
      <c r="AC210" s="67" t="n"/>
      <c r="AD210" s="67" t="n"/>
      <c r="AE210" s="67" t="n"/>
      <c r="AF210" s="67" t="n"/>
    </row>
    <row r="211">
      <c r="B211" s="67" t="n"/>
      <c r="C211" s="67" t="n"/>
      <c r="E211" s="67" t="n"/>
      <c r="F211" s="67" t="n"/>
      <c r="G211" s="67" t="n"/>
      <c r="H211" s="67" t="n"/>
      <c r="I211" s="67" t="n"/>
      <c r="K211" s="67" t="n"/>
      <c r="L211" s="67" t="n"/>
      <c r="M211" s="67" t="n"/>
      <c r="N211" s="67" t="n"/>
      <c r="O211" s="67" t="n"/>
      <c r="P211" s="67" t="n"/>
      <c r="Q211" s="67" t="n"/>
      <c r="V211" s="67" t="n"/>
      <c r="W211" s="67" t="n"/>
      <c r="X211" s="67" t="n"/>
      <c r="Y211" s="67" t="n"/>
      <c r="Z211" s="67" t="n"/>
      <c r="AA211" s="67" t="n"/>
      <c r="AB211" s="67" t="n"/>
      <c r="AC211" s="67" t="n"/>
      <c r="AD211" s="67" t="n"/>
      <c r="AE211" s="67" t="n"/>
      <c r="AF211" s="67" t="n"/>
    </row>
    <row r="212">
      <c r="B212" s="67" t="n"/>
      <c r="C212" s="67" t="n"/>
      <c r="E212" s="67" t="n"/>
      <c r="F212" s="67" t="n"/>
      <c r="G212" s="67" t="n"/>
      <c r="H212" s="67" t="n"/>
      <c r="I212" s="67" t="n"/>
      <c r="K212" s="67" t="n"/>
      <c r="L212" s="67" t="n"/>
      <c r="M212" s="67" t="n"/>
      <c r="N212" s="67" t="n"/>
      <c r="O212" s="67" t="n"/>
      <c r="P212" s="67" t="n"/>
      <c r="Q212" s="67" t="n"/>
      <c r="V212" s="67" t="n"/>
      <c r="W212" s="67" t="n"/>
      <c r="X212" s="67" t="n"/>
      <c r="Y212" s="67" t="n"/>
      <c r="Z212" s="67" t="n"/>
      <c r="AA212" s="67" t="n"/>
      <c r="AB212" s="67" t="n"/>
      <c r="AC212" s="67" t="n"/>
      <c r="AD212" s="67" t="n"/>
      <c r="AE212" s="67" t="n"/>
      <c r="AF212" s="67" t="n"/>
    </row>
    <row r="213">
      <c r="B213" s="67" t="n"/>
      <c r="C213" s="67" t="n"/>
      <c r="E213" s="67" t="n"/>
      <c r="F213" s="67" t="n"/>
      <c r="G213" s="67" t="n"/>
      <c r="H213" s="67" t="n"/>
      <c r="I213" s="67" t="n"/>
      <c r="K213" s="67" t="n"/>
      <c r="L213" s="67" t="n"/>
      <c r="M213" s="67" t="n"/>
      <c r="N213" s="67" t="n"/>
      <c r="O213" s="67" t="n"/>
      <c r="P213" s="67" t="n"/>
      <c r="Q213" s="67" t="n"/>
      <c r="V213" s="67" t="n"/>
      <c r="W213" s="67" t="n"/>
      <c r="X213" s="67" t="n"/>
      <c r="Y213" s="67" t="n"/>
      <c r="Z213" s="67" t="n"/>
      <c r="AA213" s="67" t="n"/>
      <c r="AB213" s="67" t="n"/>
      <c r="AC213" s="67" t="n"/>
      <c r="AD213" s="67" t="n"/>
      <c r="AE213" s="67" t="n"/>
      <c r="AF213" s="67" t="n"/>
    </row>
    <row r="214">
      <c r="B214" s="67" t="n"/>
      <c r="C214" s="67" t="n"/>
      <c r="E214" s="67" t="n"/>
      <c r="F214" s="67" t="n"/>
      <c r="G214" s="67" t="n"/>
      <c r="H214" s="67" t="n"/>
      <c r="I214" s="67" t="n"/>
      <c r="K214" s="67" t="n"/>
      <c r="L214" s="67" t="n"/>
      <c r="M214" s="67" t="n"/>
      <c r="N214" s="67" t="n"/>
      <c r="O214" s="67" t="n"/>
      <c r="P214" s="67" t="n"/>
      <c r="Q214" s="67" t="n"/>
      <c r="V214" s="67" t="n"/>
      <c r="W214" s="67" t="n"/>
      <c r="X214" s="67" t="n"/>
      <c r="Y214" s="67" t="n"/>
      <c r="Z214" s="67" t="n"/>
      <c r="AA214" s="67" t="n"/>
      <c r="AB214" s="67" t="n"/>
      <c r="AC214" s="67" t="n"/>
      <c r="AD214" s="67" t="n"/>
      <c r="AE214" s="67" t="n"/>
      <c r="AF214" s="67" t="n"/>
    </row>
    <row r="215">
      <c r="B215" s="67" t="n"/>
      <c r="C215" s="67" t="n"/>
      <c r="E215" s="67" t="n"/>
      <c r="F215" s="67" t="n"/>
      <c r="G215" s="67" t="n"/>
      <c r="H215" s="67" t="n"/>
      <c r="I215" s="67" t="n"/>
      <c r="K215" s="67" t="n"/>
      <c r="L215" s="67" t="n"/>
      <c r="M215" s="67" t="n"/>
      <c r="N215" s="67" t="n"/>
      <c r="O215" s="67" t="n"/>
      <c r="P215" s="67" t="n"/>
      <c r="Q215" s="67" t="n"/>
      <c r="V215" s="67" t="n"/>
      <c r="W215" s="67" t="n"/>
      <c r="X215" s="67" t="n"/>
      <c r="Y215" s="67" t="n"/>
      <c r="Z215" s="67" t="n"/>
      <c r="AA215" s="67" t="n"/>
      <c r="AB215" s="67" t="n"/>
      <c r="AC215" s="67" t="n"/>
      <c r="AD215" s="67" t="n"/>
      <c r="AE215" s="67" t="n"/>
      <c r="AF215" s="67" t="n"/>
    </row>
    <row r="216">
      <c r="B216" s="67" t="n"/>
      <c r="C216" s="67" t="n"/>
      <c r="E216" s="67" t="n"/>
      <c r="F216" s="67" t="n"/>
      <c r="G216" s="67" t="n"/>
      <c r="H216" s="67" t="n"/>
      <c r="I216" s="67" t="n"/>
      <c r="K216" s="67" t="n"/>
      <c r="L216" s="67" t="n"/>
      <c r="M216" s="67" t="n"/>
      <c r="N216" s="67" t="n"/>
      <c r="O216" s="67" t="n"/>
      <c r="P216" s="67" t="n"/>
      <c r="Q216" s="67" t="n"/>
      <c r="V216" s="67" t="n"/>
      <c r="W216" s="67" t="n"/>
      <c r="X216" s="67" t="n"/>
      <c r="Y216" s="67" t="n"/>
      <c r="Z216" s="67" t="n"/>
      <c r="AA216" s="67" t="n"/>
      <c r="AB216" s="67" t="n"/>
      <c r="AC216" s="67" t="n"/>
      <c r="AD216" s="67" t="n"/>
      <c r="AE216" s="67" t="n"/>
      <c r="AF216" s="67" t="n"/>
    </row>
    <row r="217">
      <c r="B217" s="67" t="n"/>
      <c r="C217" s="67" t="n"/>
      <c r="E217" s="67" t="n"/>
      <c r="F217" s="67" t="n"/>
      <c r="G217" s="67" t="n"/>
      <c r="H217" s="67" t="n"/>
      <c r="I217" s="67" t="n"/>
      <c r="K217" s="67" t="n"/>
      <c r="L217" s="67" t="n"/>
      <c r="M217" s="67" t="n"/>
      <c r="N217" s="67" t="n"/>
      <c r="O217" s="67" t="n"/>
      <c r="P217" s="67" t="n"/>
      <c r="Q217" s="67" t="n"/>
      <c r="V217" s="67" t="n"/>
      <c r="W217" s="67" t="n"/>
      <c r="X217" s="67" t="n"/>
      <c r="Y217" s="67" t="n"/>
      <c r="Z217" s="67" t="n"/>
      <c r="AA217" s="67" t="n"/>
      <c r="AB217" s="67" t="n"/>
      <c r="AC217" s="67" t="n"/>
      <c r="AD217" s="67" t="n"/>
      <c r="AE217" s="67" t="n"/>
      <c r="AF217" s="67" t="n"/>
    </row>
    <row r="218">
      <c r="B218" s="67" t="n"/>
      <c r="C218" s="67" t="n"/>
      <c r="E218" s="67" t="n"/>
      <c r="F218" s="67" t="n"/>
      <c r="G218" s="67" t="n"/>
      <c r="H218" s="67" t="n"/>
      <c r="I218" s="67" t="n"/>
      <c r="K218" s="67" t="n"/>
      <c r="L218" s="67" t="n"/>
      <c r="M218" s="67" t="n"/>
      <c r="N218" s="67" t="n"/>
      <c r="O218" s="67" t="n"/>
      <c r="P218" s="67" t="n"/>
      <c r="Q218" s="67" t="n"/>
      <c r="V218" s="67" t="n"/>
      <c r="W218" s="67" t="n"/>
      <c r="X218" s="67" t="n"/>
      <c r="Y218" s="67" t="n"/>
      <c r="Z218" s="67" t="n"/>
      <c r="AA218" s="67" t="n"/>
      <c r="AB218" s="67" t="n"/>
      <c r="AC218" s="67" t="n"/>
      <c r="AD218" s="67" t="n"/>
      <c r="AE218" s="67" t="n"/>
      <c r="AF218" s="67" t="n"/>
    </row>
    <row r="219">
      <c r="B219" s="67" t="n"/>
      <c r="C219" s="67" t="n"/>
      <c r="E219" s="67" t="n"/>
      <c r="F219" s="67" t="n"/>
      <c r="G219" s="67" t="n"/>
      <c r="H219" s="67" t="n"/>
      <c r="I219" s="67" t="n"/>
      <c r="K219" s="67" t="n"/>
      <c r="L219" s="67" t="n"/>
      <c r="M219" s="67" t="n"/>
      <c r="N219" s="67" t="n"/>
      <c r="O219" s="67" t="n"/>
      <c r="P219" s="67" t="n"/>
      <c r="Q219" s="67" t="n"/>
      <c r="V219" s="67" t="n"/>
      <c r="W219" s="67" t="n"/>
      <c r="X219" s="67" t="n"/>
      <c r="Y219" s="67" t="n"/>
      <c r="Z219" s="67" t="n"/>
      <c r="AA219" s="67" t="n"/>
      <c r="AB219" s="67" t="n"/>
      <c r="AC219" s="67" t="n"/>
      <c r="AD219" s="67" t="n"/>
      <c r="AE219" s="67" t="n"/>
      <c r="AF219" s="67" t="n"/>
    </row>
    <row r="220">
      <c r="B220" s="67" t="n"/>
      <c r="C220" s="67" t="n"/>
      <c r="E220" s="67" t="n"/>
      <c r="F220" s="67" t="n"/>
      <c r="G220" s="67" t="n"/>
      <c r="H220" s="67" t="n"/>
      <c r="I220" s="67" t="n"/>
      <c r="K220" s="67" t="n"/>
      <c r="L220" s="67" t="n"/>
      <c r="M220" s="67" t="n"/>
      <c r="N220" s="67" t="n"/>
      <c r="O220" s="67" t="n"/>
      <c r="P220" s="67" t="n"/>
      <c r="Q220" s="67" t="n"/>
      <c r="V220" s="67" t="n"/>
      <c r="W220" s="67" t="n"/>
      <c r="X220" s="67" t="n"/>
      <c r="Y220" s="67" t="n"/>
      <c r="Z220" s="67" t="n"/>
      <c r="AA220" s="67" t="n"/>
      <c r="AB220" s="67" t="n"/>
      <c r="AC220" s="67" t="n"/>
      <c r="AD220" s="67" t="n"/>
      <c r="AE220" s="67" t="n"/>
      <c r="AF220" s="67" t="n"/>
    </row>
  </sheetData>
  <mergeCells count="11">
    <mergeCell ref="D8:E8"/>
    <mergeCell ref="B7:AF7"/>
    <mergeCell ref="B6:AF6"/>
    <mergeCell ref="B3:AF3"/>
    <mergeCell ref="B5:AF5"/>
    <mergeCell ref="B10:C10"/>
    <mergeCell ref="J8:AF8"/>
    <mergeCell ref="H8:I8"/>
    <mergeCell ref="B8:C8"/>
    <mergeCell ref="B4:AF4"/>
    <mergeCell ref="F8:G8"/>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amp;$P20&amp;$Q20&amp;$R20&amp;$S20&amp;$T20&amp;$U20&amp;$V20&amp;$W20&amp;$X20&amp;$Y20&amp;$Z20&amp;$AA20&amp;$AB20&amp;$AC20&amp;$AD20&amp;$AE20&amp;$AF20)&gt;0,B20="")</formula>
    </cfRule>
  </conditionalFormatting>
  <conditionalFormatting sqref="C20:C220">
    <cfRule type="expression" priority="3" dxfId="6">
      <formula>AND(LEN($B20&amp;$C20&amp;$D20&amp;$E20&amp;$F20&amp;$G20&amp;$H20&amp;$I20&amp;$J20&amp;$K20&amp;$L20&amp;$M20&amp;$N20&amp;$O20&amp;$P20&amp;$Q20&amp;$R20&amp;$S20&amp;$T20&amp;$U20&amp;$V20&amp;$W20&amp;$X20&amp;$Y20&amp;$Z20&amp;$AA20&amp;$AB20&amp;$AC20&amp;$AD20&amp;$AE20&amp;$AF20)&gt;0,C20="")</formula>
    </cfRule>
  </conditionalFormatting>
  <conditionalFormatting sqref="E20:E220">
    <cfRule type="expression" priority="4" dxfId="6">
      <formula>AND(LEN($B20&amp;$C20&amp;$D20&amp;$E20&amp;$F20&amp;$G20&amp;$H20&amp;$I20&amp;$J20&amp;$K20&amp;$L20&amp;$M20&amp;$N20&amp;$O20&amp;$P20&amp;$Q20&amp;$R20&amp;$S20&amp;$T20&amp;$U20&amp;$V20&amp;$W20&amp;$X20&amp;$Y20&amp;$Z20&amp;$AA20&amp;$AB20&amp;$AC20&amp;$AD20&amp;$AE20&amp;$AF20)&gt;0,E20="")</formula>
    </cfRule>
  </conditionalFormatting>
  <conditionalFormatting sqref="F20:F220">
    <cfRule type="expression" priority="5" dxfId="6">
      <formula>AND(LEN($B20&amp;$C20&amp;$D20&amp;$E20&amp;$F20&amp;$G20&amp;$H20&amp;$I20&amp;$J20&amp;$K20&amp;$L20&amp;$M20&amp;$N20&amp;$O20&amp;$P20&amp;$Q20&amp;$R20&amp;$S20&amp;$T20&amp;$U20&amp;$V20&amp;$W20&amp;$X20&amp;$Y20&amp;$Z20&amp;$AA20&amp;$AB20&amp;$AC20&amp;$AD20&amp;$AE20&amp;$AF20)&gt;0,F20="")</formula>
    </cfRule>
  </conditionalFormatting>
  <conditionalFormatting sqref="G20:G220">
    <cfRule type="expression" priority="6" dxfId="6">
      <formula>AND(LEN($B20&amp;$C20&amp;$D20&amp;$E20&amp;$F20&amp;$G20&amp;$H20&amp;$I20&amp;$J20&amp;$K20&amp;$L20&amp;$M20&amp;$N20&amp;$O20&amp;$P20&amp;$Q20&amp;$R20&amp;$S20&amp;$T20&amp;$U20&amp;$V20&amp;$W20&amp;$X20&amp;$Y20&amp;$Z20&amp;$AA20&amp;$AB20&amp;$AC20&amp;$AD20&amp;$AE20&amp;$AF20)&gt;0,G20="")</formula>
    </cfRule>
  </conditionalFormatting>
  <conditionalFormatting sqref="H20:H220">
    <cfRule type="expression" priority="7" dxfId="6">
      <formula>AND(LEN($B20&amp;$C20&amp;$D20&amp;$E20&amp;$F20&amp;$G20&amp;$H20&amp;$I20&amp;$J20&amp;$K20&amp;$L20&amp;$M20&amp;$N20&amp;$O20&amp;$P20&amp;$Q20&amp;$R20&amp;$S20&amp;$T20&amp;$U20&amp;$V20&amp;$W20&amp;$X20&amp;$Y20&amp;$Z20&amp;$AA20&amp;$AB20&amp;$AC20&amp;$AD20&amp;$AE20&amp;$AF20)&gt;0,H20="")</formula>
    </cfRule>
  </conditionalFormatting>
  <conditionalFormatting sqref="K20:K220">
    <cfRule type="expression" priority="8" dxfId="6">
      <formula>AND(LEN($B20&amp;$C20&amp;$D20&amp;$E20&amp;$F20&amp;$G20&amp;$H20&amp;$I20&amp;$J20&amp;$K20&amp;$L20&amp;$M20&amp;$N20&amp;$O20&amp;$P20&amp;$Q20&amp;$R20&amp;$S20&amp;$T20&amp;$U20&amp;$V20&amp;$W20&amp;$X20&amp;$Y20&amp;$Z20&amp;$AA20&amp;$AB20&amp;$AC20&amp;$AD20&amp;$AE20&amp;$AF20)&gt;0,K20="")</formula>
    </cfRule>
  </conditionalFormatting>
  <conditionalFormatting sqref="M20:M220">
    <cfRule type="expression" priority="9" dxfId="6">
      <formula>AND(LEN($B20&amp;$C20&amp;$D20&amp;$E20&amp;$F20&amp;$G20&amp;$H20&amp;$I20&amp;$J20&amp;$K20&amp;$L20&amp;$M20&amp;$N20&amp;$O20&amp;$P20&amp;$Q20&amp;$R20&amp;$S20&amp;$T20&amp;$U20&amp;$V20&amp;$W20&amp;$X20&amp;$Y20&amp;$Z20&amp;$AA20&amp;$AB20&amp;$AC20&amp;$AD20&amp;$AE20&amp;$AF20)&gt;0,M20="")</formula>
    </cfRule>
  </conditionalFormatting>
  <conditionalFormatting sqref="N20:N220">
    <cfRule type="expression" priority="10" dxfId="6">
      <formula>AND(LEN($B20&amp;$C20&amp;$D20&amp;$E20&amp;$F20&amp;$G20&amp;$H20&amp;$I20&amp;$J20&amp;$K20&amp;$L20&amp;$M20&amp;$N20&amp;$O20&amp;$P20&amp;$Q20&amp;$R20&amp;$S20&amp;$T20&amp;$U20&amp;$V20&amp;$W20&amp;$X20&amp;$Y20&amp;$Z20&amp;$AA20&amp;$AB20&amp;$AC20&amp;$AD20&amp;$AE20&amp;$AF20)&gt;0,N20="")</formula>
    </cfRule>
  </conditionalFormatting>
  <conditionalFormatting sqref="O20:O220">
    <cfRule type="expression" priority="11" dxfId="6">
      <formula>AND(LEN($B20&amp;$C20&amp;$D20&amp;$E20&amp;$F20&amp;$G20&amp;$H20&amp;$I20&amp;$J20&amp;$K20&amp;$L20&amp;$M20&amp;$N20&amp;$O20&amp;$P20&amp;$Q20&amp;$R20&amp;$S20&amp;$T20&amp;$U20&amp;$V20&amp;$W20&amp;$X20&amp;$Y20&amp;$Z20&amp;$AA20&amp;$AB20&amp;$AC20&amp;$AD20&amp;$AE20&amp;$AF20)&gt;0,O20="")</formula>
    </cfRule>
  </conditionalFormatting>
  <conditionalFormatting sqref="P20:P220">
    <cfRule type="expression" priority="12" dxfId="6">
      <formula>AND(LEN($B20&amp;$C20&amp;$D20&amp;$E20&amp;$F20&amp;$G20&amp;$H20&amp;$I20&amp;$J20&amp;$K20&amp;$L20&amp;$M20&amp;$N20&amp;$O20&amp;$P20&amp;$Q20&amp;$R20&amp;$S20&amp;$T20&amp;$U20&amp;$V20&amp;$W20&amp;$X20&amp;$Y20&amp;$Z20&amp;$AA20&amp;$AB20&amp;$AC20&amp;$AD20&amp;$AE20&amp;$AF20)&gt;0,P20="")</formula>
    </cfRule>
  </conditionalFormatting>
  <conditionalFormatting sqref="Q20:Q220">
    <cfRule type="expression" priority="13" dxfId="6">
      <formula>AND(LEN($B20&amp;$C20&amp;$D20&amp;$E20&amp;$F20&amp;$G20&amp;$H20&amp;$I20&amp;$J20&amp;$K20&amp;$L20&amp;$M20&amp;$N20&amp;$O20&amp;$P20&amp;$Q20&amp;$R20&amp;$S20&amp;$T20&amp;$U20&amp;$V20&amp;$W20&amp;$X20&amp;$Y20&amp;$Z20&amp;$AA20&amp;$AB20&amp;$AC20&amp;$AD20&amp;$AE20&amp;$AF20)&gt;0,Q20="")</formula>
    </cfRule>
  </conditionalFormatting>
  <conditionalFormatting sqref="R20:R220">
    <cfRule type="expression" priority="14" dxfId="6">
      <formula>AND(LEN($B20&amp;$C20&amp;$D20&amp;$E20&amp;$F20&amp;$G20&amp;$H20&amp;$I20&amp;$J20&amp;$K20&amp;$L20&amp;$M20&amp;$N20&amp;$O20&amp;$P20&amp;$Q20&amp;$R20&amp;$S20&amp;$T20&amp;$U20&amp;$V20&amp;$W20&amp;$X20&amp;$Y20&amp;$Z20&amp;$AA20&amp;$AB20&amp;$AC20&amp;$AD20&amp;$AE20&amp;$AF20)&gt;0,R20="")</formula>
    </cfRule>
  </conditionalFormatting>
  <conditionalFormatting sqref="S20:S220">
    <cfRule type="expression" priority="15" dxfId="6">
      <formula>AND(LEN($B20&amp;$C20&amp;$D20&amp;$E20&amp;$F20&amp;$G20&amp;$H20&amp;$I20&amp;$J20&amp;$K20&amp;$L20&amp;$M20&amp;$N20&amp;$O20&amp;$P20&amp;$Q20&amp;$R20&amp;$S20&amp;$T20&amp;$U20&amp;$V20&amp;$W20&amp;$X20&amp;$Y20&amp;$Z20&amp;$AA20&amp;$AB20&amp;$AC20&amp;$AD20&amp;$AE20&amp;$AF20)&gt;0,S20="")</formula>
    </cfRule>
  </conditionalFormatting>
  <conditionalFormatting sqref="T20:T220">
    <cfRule type="expression" priority="16" dxfId="6">
      <formula>AND(LEN($B20&amp;$C20&amp;$D20&amp;$E20&amp;$F20&amp;$G20&amp;$H20&amp;$I20&amp;$J20&amp;$K20&amp;$L20&amp;$M20&amp;$N20&amp;$O20&amp;$P20&amp;$Q20&amp;$R20&amp;$S20&amp;$T20&amp;$U20&amp;$V20&amp;$W20&amp;$X20&amp;$Y20&amp;$Z20&amp;$AA20&amp;$AB20&amp;$AC20&amp;$AD20&amp;$AE20&amp;$AF20)&gt;0,T20="")</formula>
    </cfRule>
  </conditionalFormatting>
  <conditionalFormatting sqref="V20:V220">
    <cfRule type="expression" priority="17" dxfId="6">
      <formula>AND(LEN($B20&amp;$C20&amp;$D20&amp;$E20&amp;$F20&amp;$G20&amp;$H20&amp;$I20&amp;$J20&amp;$K20&amp;$L20&amp;$M20&amp;$N20&amp;$O20&amp;$P20&amp;$Q20&amp;$R20&amp;$S20&amp;$T20&amp;$U20&amp;$V20&amp;$W20&amp;$X20&amp;$Y20&amp;$Z20&amp;$AA20&amp;$AB20&amp;$AC20&amp;$AD20&amp;$AE20&amp;$AF20)&gt;0,V20="")</formula>
    </cfRule>
  </conditionalFormatting>
  <conditionalFormatting sqref="AA20:AA220">
    <cfRule type="expression" priority="18" dxfId="6">
      <formula>AND(LEN($B20&amp;$C20&amp;$D20&amp;$E20&amp;$F20&amp;$G20&amp;$H20&amp;$I20&amp;$J20&amp;$K20&amp;$L20&amp;$M20&amp;$N20&amp;$O20&amp;$P20&amp;$Q20&amp;$R20&amp;$S20&amp;$T20&amp;$U20&amp;$V20&amp;$W20&amp;$X20&amp;$Y20&amp;$Z20&amp;$AA20&amp;$AB20&amp;$AC20&amp;$AD20&amp;$AE20&amp;$AF20)&gt;0,AA20="")</formula>
    </cfRule>
  </conditionalFormatting>
  <conditionalFormatting sqref="AB20:AB220">
    <cfRule type="expression" priority="19" dxfId="6">
      <formula>AND(LEN($B20&amp;$C20&amp;$D20&amp;$E20&amp;$F20&amp;$G20&amp;$H20&amp;$I20&amp;$J20&amp;$K20&amp;$L20&amp;$M20&amp;$N20&amp;$O20&amp;$P20&amp;$Q20&amp;$R20&amp;$S20&amp;$T20&amp;$U20&amp;$V20&amp;$W20&amp;$X20&amp;$Y20&amp;$Z20&amp;$AA20&amp;$AB20&amp;$AC20&amp;$AD20&amp;$AE20&amp;$AF20)&gt;0,AB20="")</formula>
    </cfRule>
  </conditionalFormatting>
  <conditionalFormatting sqref="AC20:AC220">
    <cfRule type="expression" priority="20" dxfId="6">
      <formula>AND(LEN($B20&amp;$C20&amp;$D20&amp;$E20&amp;$F20&amp;$G20&amp;$H20&amp;$I20&amp;$J20&amp;$K20&amp;$L20&amp;$M20&amp;$N20&amp;$O20&amp;$P20&amp;$Q20&amp;$R20&amp;$S20&amp;$T20&amp;$U20&amp;$V20&amp;$W20&amp;$X20&amp;$Y20&amp;$Z20&amp;$AA20&amp;$AB20&amp;$AC20&amp;$AD20&amp;$AE20&amp;$AF20)&gt;0,AC20="")</formula>
    </cfRule>
  </conditionalFormatting>
  <conditionalFormatting sqref="AD20:AD220">
    <cfRule type="expression" priority="21" dxfId="6">
      <formula>AND(LEN($B20&amp;$C20&amp;$D20&amp;$E20&amp;$F20&amp;$G20&amp;$H20&amp;$I20&amp;$J20&amp;$K20&amp;$L20&amp;$M20&amp;$N20&amp;$O20&amp;$P20&amp;$Q20&amp;$R20&amp;$S20&amp;$T20&amp;$U20&amp;$V20&amp;$W20&amp;$X20&amp;$Y20&amp;$Z20&amp;$AA20&amp;$AB20&amp;$AC20&amp;$AD20&amp;$AE20&amp;$AF20)&gt;0,AD20="")</formula>
    </cfRule>
  </conditionalFormatting>
  <dataValidations count="33">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AF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policy_ref" error="At most 60 characters." promptTitle="legacy_policy_ref" prompt="Yes. Unique legacy reference of the policy term (cover no. and version, or policy reference) Allowed: Free entry, up to 60 characters" type="textLength" operator="lessThanOrEqual">
      <formula1>60</formula1>
    </dataValidation>
    <dataValidation sqref="C20:C220" showDropDown="0" showInputMessage="1" showErrorMessage="1" allowBlank="1" errorTitle="cover_no" error="At most 40 characters." promptTitle="cover_no" prompt="Yes. Legacy cover number Allowed: Free entry, up to 40 characters" type="textLength" operator="lessThanOrEqual">
      <formula1>40</formula1>
    </dataValidation>
    <dataValidation sqref="D20:D220" showDropDown="0" showInputMessage="1" showErrorMessage="1" allowBlank="1" errorTitle="cover_version" error="Enter a whole number." promptTitle="cover_version" prompt="No. Legacy cover version Allowed: A whole number" type="whole" operator="greaterThanOrEqual">
      <formula1>-1E+15</formula1>
    </dataValidation>
    <dataValidation sqref="E20:E220" showDropDown="0" showInputMessage="1" showErrorMessage="1" allowBlank="1" errorTitle="policy_no" error="At most 60 characters." promptTitle="policy_no" prompt="Yes. Insurer policy number Allowed: Free entry, up to 60 characters" type="textLength" operator="lessThanOrEqual">
      <formula1>60</formula1>
    </dataValidation>
    <dataValidation sqref="F20:F220" showDropDown="0" showInputMessage="1" showErrorMessage="1" allowBlank="1" errorTitle="legacy_client_no" error="At most 30 characters." promptTitle="legacy_client_no" prompt="Yes. Client number of the assured Allowed: legacy_client_no of C01" type="textLength" operator="lessThanOrEqual">
      <formula1>30</formula1>
    </dataValidation>
    <dataValidation sqref="G20:G220" showDropDown="0" showInputMessage="1" showErrorMessage="1" allowBlank="1" errorTitle="assured_name" error="At most 250 characters." promptTitle="assured_name" prompt="Yes. Assured name as on the policy Allowed: Free entry, up to 250 characters" type="textLength" operator="lessThanOrEqual">
      <formula1>250</formula1>
    </dataValidation>
    <dataValidation sqref="H20:H220" showDropDown="0" showInputMessage="1" showErrorMessage="1" allowBlank="1" errorTitle="risk_code" error="At most 20 characters." promptTitle="risk_code" prompt="Yes. Product / risk code Allowed: The legacy code; mapped by the code map PRODUCT (sheet Code maps)" type="textLength" operator="lessThanOrEqual">
      <formula1>20</formula1>
    </dataValidation>
    <dataValidation sqref="I20:I220" showDropDown="0" showInputMessage="1" showErrorMessage="1" allowBlank="1" errorTitle="package_code" error="At most 20 characters." promptTitle="package_code" prompt="Conditional: Mandatory for packaged policies; not mapped at load. Legacy package of a packaged policy Allowed: Free entry, up to 20 characters" type="textLength" operator="lessThanOrEqual">
      <formula1>20</formula1>
    </dataValidation>
    <dataValidation sqref="J20:J220" showDropDown="0" showInputMessage="1" showErrorMessage="1" allowBlank="1" errorTitle="package_version" error="Enter a whole number." promptTitle="package_version" prompt="Conditional: Mandatory with package_code. Version of the legacy package Allowed: A whole number" type="whole" operator="greaterThanOrEqual">
      <formula1>-1E+15</formula1>
    </dataValidation>
    <dataValidation sqref="K20:K220" showDropDown="0" showInputMessage="1" showErrorMessage="1" allowBlank="1" errorTitle="line_code" error="At most 30 characters." promptTitle="line_code" prompt="Yes. Line of business Allowed: The legacy code; mapped by the code map LINE (sheet Code maps)" type="textLength" operator="lessThanOrEqual">
      <formula1>30</formula1>
    </dataValidation>
    <dataValidation sqref="L20:L220" showDropDown="0" showInputMessage="1" showErrorMessage="1" allowBlank="1" errorTitle="cover_type_code" error="At most 30 characters." promptTitle="cover_type_code" prompt="No. Cover type Allowed: The legacy code; mapped by the code map COVER_TYPE (sheet Code maps)" type="textLength" operator="lessThanOrEqual">
      <formula1>30</formula1>
    </dataValidation>
    <dataValidation sqref="M20:M220" showDropDown="0" showInputMessage="1" showErrorMessage="1" allowBlank="1" errorTitle="business_type" error="Choose a value of the list P01 business_type (sheet Reference lists)." promptTitle="business_type" prompt="Yes. New business or renewal Allowed: NB, RB (list P01 business_type)" type="list" errorStyle="stop">
      <formula1>=LIST_P01_BUSINESS_TYPE</formula1>
    </dataValidation>
    <dataValidation sqref="N20:N220" showDropDown="0" showInputMessage="1" showErrorMessage="1" allowBlank="1" errorTitle="policy_status" error="At most 20 characters." promptTitle="policy_status" prompt="Yes. Status of the term in legacy Allowed: The legacy code; mapped by the code map STATUS:POLICY (sheet Code maps)" type="textLength" operator="lessThanOrEqual">
      <formula1>20</formula1>
    </dataValidation>
    <dataValidation sqref="O20:O220" showDropDown="0" showInputMessage="1" showErrorMessage="0" allowBlank="1" promptTitle="inception_date" prompt="Yes. Period from"/>
    <dataValidation sqref="P20:P220" showDropDown="0" showInputMessage="1" showErrorMessage="0" allowBlank="1" promptTitle="expiry_date" prompt="Yes. Period to"/>
    <dataValidation sqref="Q20:Q220" showDropDown="0" showInputMessage="1" showErrorMessage="1" allowBlank="1" errorTitle="currency" error="At most 3 characters." promptTitle="currency" prompt="Yes. Policy currency Allowed: ISO 4217" type="textLength" operator="lessThanOrEqual">
      <formula1>3</formula1>
    </dataValidation>
    <dataValidation sqref="R20:R220" showDropDown="0" showInputMessage="1" showErrorMessage="1" allowBlank="1" errorTitle="sum_insured" error="Enter a number." promptTitle="sum_insured" prompt="Yes. Total sum insured Allowed: A number" type="decimal" operator="greaterThanOrEqual">
      <formula1>-1E+15</formula1>
    </dataValidation>
    <dataValidation sqref="S20:S220" showDropDown="0" showInputMessage="1" showErrorMessage="1" allowBlank="1" errorTitle="net_premium" error="Enter a number." promptTitle="net_premium" prompt="Yes. Basic premium Allowed: A number" type="decimal" operator="greaterThanOrEqual">
      <formula1>-1E+15</formula1>
    </dataValidation>
    <dataValidation sqref="T20:T220" showDropDown="0" showInputMessage="1" showErrorMessage="1" allowBlank="1" errorTitle="gross_premium" error="Enter a number." promptTitle="gross_premium" prompt="Yes. Gross premium including taxes and charges Allowed: A number" type="decimal" operator="greaterThanOrEqual">
      <formula1>-1E+15</formula1>
    </dataValidation>
    <dataValidation sqref="U20:U220" showDropDown="0" showInputMessage="1" showErrorMessage="1" allowBlank="1" errorTitle="commission_rate_pct" error="Enter a number." promptTitle="commission_rate_pct" prompt="No. Commission rate in percent Allowed: A number" type="decimal" operator="greaterThanOrEqual">
      <formula1>-1E+15</formula1>
    </dataValidation>
    <dataValidation sqref="V20:V220" showDropDown="0" showInputMessage="1" showErrorMessage="1" allowBlank="1" errorTitle="payment_arrangement" error="Choose a value of the list P01 payment_arrangement (sheet Reference lists)." promptTitle="payment_arrangement" prompt="Yes. Premium paid through BDOI or directly to the insurer Allowed: VIA_BDOI, DIRECT (list P01 payment_arrangement)" type="list" errorStyle="stop">
      <formula1>=LIST_P01_PAYMENT_ARRANGEMENT</formula1>
    </dataValidation>
    <dataValidation sqref="W20:W220" showDropDown="0" showInputMessage="1" showErrorMessage="1" allowBlank="1" errorTitle="pn_nos" error="At most 500 characters." promptTitle="pn_nos" prompt="No. Loan promissory note numbers, separated by semicolons Allowed: Free entry, up to 500 characters" type="textLength" operator="lessThanOrEqual">
      <formula1>500</formula1>
    </dataValidation>
    <dataValidation sqref="X20:X220" showDropDown="0" showInputMessage="1" showErrorMessage="1" allowBlank="1" errorTitle="loan_application_no" error="At most 40 characters." promptTitle="loan_application_no" prompt="No. Loan application number Allowed: Free entry, up to 40 characters" type="textLength" operator="lessThanOrEqual">
      <formula1>40</formula1>
    </dataValidation>
    <dataValidation sqref="Y20:Y220" showDropDown="0" showInputMessage="1" showErrorMessage="1" allowBlank="1" errorTitle="mortgagee_bank" error="At most 40 characters." promptTitle="mortgagee_bank" prompt="No. Mortgagee Allowed: The legacy code; mapped by the code map BANK (sheet Code maps)" type="textLength" operator="lessThanOrEqual">
      <formula1>40</formula1>
    </dataValidation>
    <dataValidation sqref="Z20:Z220" showDropDown="0" showInputMessage="1" showErrorMessage="1" allowBlank="1" errorTitle="ffy_flag" error="Choose a value of the list Yes or no (sheet Reference lists)." promptTitle="ffy_flag" prompt="No. Free first year Allowed: Y or N" type="list" errorStyle="stop">
      <formula1>=LIST_YES_NO</formula1>
    </dataValidation>
    <dataValidation sqref="AA20:AA220" showDropDown="0" showInputMessage="1" showErrorMessage="1" allowBlank="1" errorTitle="ao_user_id" error="At most 50 characters." promptTitle="ao_user_id" prompt="Yes. Account officer Allowed: The legacy code; mapped by the code map USER (sheet Code maps)" type="textLength" operator="lessThanOrEqual">
      <formula1>50</formula1>
    </dataValidation>
    <dataValidation sqref="AB20:AB220" showDropDown="0" showInputMessage="1" showErrorMessage="1" allowBlank="1" errorTitle="sales_unit_code" error="At most 20 characters." promptTitle="sales_unit_code" prompt="Yes. Sales team Allowed: The legacy code; mapped by the code map SALES_UNIT (sheet Code maps)" type="textLength" operator="lessThanOrEqual">
      <formula1>20</formula1>
    </dataValidation>
    <dataValidation sqref="AC20:AC220" showDropDown="0" showInputMessage="1" showErrorMessage="1" allowBlank="1" errorTitle="branch_code" error="At most 20 characters." promptTitle="branch_code" prompt="Yes. Branch Allowed: The legacy code; mapped by the code map BRANCH (sheet Code maps)" type="textLength" operator="lessThanOrEqual">
      <formula1>20</formula1>
    </dataValidation>
    <dataValidation sqref="AD20:AD220" showDropDown="0" showInputMessage="1" showErrorMessage="1" allowBlank="1" errorTitle="market_segment" error="At most 40 characters." promptTitle="market_segment" prompt="Yes. Market segment Allowed: The legacy code; mapped by the code map LOV:MARKET_SEGMENT (sheet Code maps)" type="textLength" operator="lessThanOrEqual">
      <formula1>40</formula1>
    </dataValidation>
    <dataValidation sqref="AE20:AE220" showDropDown="0" showInputMessage="1" showErrorMessage="1" allowBlank="1" errorTitle="source_channel" error="At most 40 characters." promptTitle="source_channel" prompt="No. Business origin / channel Allowed: The legacy code; mapped by the code map MIS:BUSINESS_ORIGIN (sheet Code maps)" type="textLength" operator="lessThanOrEqual">
      <formula1>40</formula1>
    </dataValidation>
    <dataValidation sqref="AF20:AF220" showDropDown="0" showInputMessage="1" showErrorMessage="1" allowBlank="1" errorTitle="risk_description" error="At most 300 characters." promptTitle="risk_description" prompt="No. Short risk description (vehicle, location) Allowed: Free entry, up to 300 characters" type="textLength" operator="lessThanOrEqual">
      <formula1>300</formula1>
    </dataValidation>
  </dataValidations>
  <hyperlinks>
    <hyperlink ref="A2" location="'Load templates'!A1"/>
    <hyperlink ref="AF2" location="'Comments log'!A1"/>
    <hyperlink ref="B8" location="'C01 Client master'!A1"/>
    <hyperlink ref="D8" location="'C02 Client addresses and contac'!A1"/>
    <hyperlink ref="F8" location="'R04 Insurers'!A1"/>
    <hyperlink ref="H8" location="'R04B Insurer branches'!A1"/>
    <hyperlink ref="J8" location="'R05 Product lines, cover types,'!A1"/>
    <hyperlink ref="H17" location="'Code maps'!A1"/>
    <hyperlink ref="K17" location="'Code maps'!A1"/>
    <hyperlink ref="L17" location="'Code maps'!A1"/>
    <hyperlink ref="M17" location="'Reference lists'!A53"/>
    <hyperlink ref="N17" location="'Code maps'!A1"/>
    <hyperlink ref="V17" location="'Reference lists'!A55"/>
    <hyperlink ref="Y17" location="'Code maps'!A1"/>
    <hyperlink ref="AA17" location="'Code maps'!A1"/>
    <hyperlink ref="AB17" location="'Code maps'!A1"/>
    <hyperlink ref="AC17" location="'Code maps'!A1"/>
    <hyperlink ref="AD17" location="'Code maps'!A1"/>
    <hyperlink ref="AE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5.xml><?xml version="1.0" encoding="utf-8"?>
<worksheet xmlns="http://schemas.openxmlformats.org/spreadsheetml/2006/main">
  <sheetPr>
    <tabColor rgb="00004EA8"/>
    <outlinePr summaryBelow="0" summaryRight="1"/>
    <pageSetUpPr fitToPage="1"/>
  </sheetPr>
  <dimension ref="A1:G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4" customWidth="1" min="3" max="3"/>
    <col width="17" customWidth="1" min="4" max="4"/>
    <col width="24" customWidth="1" min="5" max="5"/>
    <col width="14.09090909090909" customWidth="1" min="6" max="6"/>
    <col width="14" customWidth="1" min="7" max="7"/>
  </cols>
  <sheetData>
    <row r="1" ht="26" customHeight="1">
      <c r="A1" s="44" t="inlineStr">
        <is>
          <t>P01S Policy insurer shares</t>
        </is>
      </c>
      <c r="G1" s="45" t="inlineStr">
        <is>
          <t>Step 16 of 29</t>
        </is>
      </c>
    </row>
    <row r="2">
      <c r="A2" s="46" t="inlineStr">
        <is>
          <t>← Back to Load templates</t>
        </is>
      </c>
      <c r="B2" s="47" t="inlineStr">
        <is>
          <t>Step 16 of 29. Fill in one row per record below the column headers; the guide above each column says what to enter.</t>
        </is>
      </c>
      <c r="G2" s="48" t="inlineStr">
        <is>
          <t>Ask a question →</t>
        </is>
      </c>
    </row>
    <row r="3" outlineLevel="1" ht="28" customHeight="1">
      <c r="A3" s="49" t="inlineStr">
        <is>
          <t>Purpose</t>
        </is>
      </c>
      <c r="B3" s="50" t="inlineStr">
        <is>
          <t>One row per record of In-force policy headers as extracted from QPS, EBIX. Key legacy_policy_ref, share_seq. Sent as the file P01S_template.csv (CSV, header row as below) with its control file (row count, row count).</t>
        </is>
      </c>
    </row>
    <row r="4" outlineLevel="1" ht="15.5" customHeight="1">
      <c r="A4" s="49" t="inlineStr">
        <is>
          <t>Provided by</t>
        </is>
      </c>
      <c r="B4" s="50" t="inlineStr">
        <is>
          <t>Operations data steward (to name); approved by Head, Operations; extracted by BDOI IT</t>
        </is>
      </c>
    </row>
    <row r="5" outlineLevel="1" ht="15.5" customHeight="1">
      <c r="A5" s="49" t="inlineStr">
        <is>
          <t>Due</t>
        </is>
      </c>
      <c r="B5" s="51" t="inlineStr">
        <is>
          <t>M3 (29 Jan 2027); final at T-2</t>
        </is>
      </c>
    </row>
    <row r="6" outlineLevel="1" ht="28" customHeight="1">
      <c r="A6" s="49" t="inlineStr">
        <is>
          <t>How it is loaded</t>
        </is>
      </c>
      <c r="B6" s="50" t="inlineStr">
        <is>
          <t>Data migration object P01 (Conditional), layout P01S version 1, through the Migration Console; lands in: Accounts, imported as legacy policy headers</t>
        </is>
      </c>
    </row>
    <row r="7" outlineLevel="1" ht="15.5" customHeight="1">
      <c r="A7" s="49" t="inlineStr">
        <is>
          <t>Source</t>
        </is>
      </c>
      <c r="B7" s="50" t="inlineStr">
        <is>
          <t>QPS, EBIX</t>
        </is>
      </c>
    </row>
    <row r="8" outlineLevel="1" ht="26" customHeight="1">
      <c r="A8" s="49" t="inlineStr">
        <is>
          <t>Depends on</t>
        </is>
      </c>
      <c r="B8" s="68" t="inlineStr">
        <is>
          <t>P01 In-force policy headers →</t>
        </is>
      </c>
      <c r="D8" s="68" t="inlineStr">
        <is>
          <t>C01 Client master →</t>
        </is>
      </c>
      <c r="F8" s="68" t="inlineStr">
        <is>
          <t>C02 Client addresses and contacts →</t>
        </is>
      </c>
    </row>
    <row r="9" ht="26" customHeight="1">
      <c r="A9" s="53" t="inlineStr">
        <is>
          <t>Progress</t>
        </is>
      </c>
      <c r="B9" s="54" t="inlineStr">
        <is>
          <t>Rows entered</t>
        </is>
      </c>
      <c r="C9" s="55">
        <f>SUMPRODUCT(((ROW($B$20:$B$220)&gt;20)+($B$20&lt;&gt;"C-2026-004512-01")&gt;0)*(LEN($B$20:$B$220&amp;$C$20:$C$220&amp;$D$20:$D$220&amp;$E$20:$E$220&amp;$F$20:$F$220&amp;$G$20:$G$220)&gt;0))</f>
        <v/>
      </c>
      <c r="D9" s="54" t="inlineStr">
        <is>
          <t>Mandatory cells missing</t>
        </is>
      </c>
      <c r="E9" s="55">
        <f>SUMPRODUCT(((ROW($B$20:$B$220)&gt;20)+($B$20&lt;&gt;"C-2026-004512-01")&gt;0)*(LEN($B$20:$B$220&amp;$C$20:$C$220&amp;$D$20:$D$220&amp;$E$20:$E$220&amp;$F$20:$F$220&amp;$G$20:$G$220)&gt;0)*(($B$20:$B$220="")+($C$20:$C$220="")+($D$20:$D$220="")+($F$20:$F$220="")+($G$20:$G$220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row>
    <row r="12" ht="30" customHeight="1">
      <c r="A12" s="59" t="inlineStr">
        <is>
          <t>BU review</t>
        </is>
      </c>
      <c r="B12" s="60" t="n"/>
      <c r="C12" s="60" t="n"/>
      <c r="D12" s="60" t="n"/>
      <c r="E12" s="60" t="n"/>
      <c r="F12" s="60" t="n"/>
      <c r="G12" s="60" t="n"/>
    </row>
    <row r="13" ht="30" customHeight="1">
      <c r="A13" s="59" t="inlineStr">
        <is>
          <t>BU comment</t>
        </is>
      </c>
      <c r="B13" s="60" t="n"/>
      <c r="C13" s="60" t="n"/>
      <c r="D13" s="60" t="n"/>
      <c r="E13" s="60" t="n"/>
      <c r="F13" s="60" t="n"/>
      <c r="G13" s="60" t="n"/>
    </row>
    <row r="14" ht="43" customHeight="1">
      <c r="A14" s="59" t="inlineStr">
        <is>
          <t>Check when loaded</t>
        </is>
      </c>
      <c r="B14" s="61" t="inlineStr">
        <is>
          <t>Exists in P01</t>
        </is>
      </c>
      <c r="C14" s="61" t="inlineStr">
        <is>
          <t>Unique per policy</t>
        </is>
      </c>
      <c r="D14" s="61" t="inlineStr">
        <is>
          <t>Mapped</t>
        </is>
      </c>
      <c r="E14" s="61" t="inlineStr">
        <is>
          <t>Mapped</t>
        </is>
      </c>
      <c r="F14" s="61" t="inlineStr">
        <is>
          <t>Above 0; shares of a policy add to 100</t>
        </is>
      </c>
      <c r="G14" s="61" t="inlineStr">
        <is>
          <t>One lead per policy</t>
        </is>
      </c>
    </row>
    <row r="15" ht="17" customHeight="1">
      <c r="A15" s="59" t="inlineStr">
        <is>
          <t>Mandatory</t>
        </is>
      </c>
      <c r="B15" s="62" t="inlineStr">
        <is>
          <t>Yes</t>
        </is>
      </c>
      <c r="C15" s="62" t="inlineStr">
        <is>
          <t>Yes</t>
        </is>
      </c>
      <c r="D15" s="62" t="inlineStr">
        <is>
          <t>Yes</t>
        </is>
      </c>
      <c r="E15" s="61" t="inlineStr">
        <is>
          <t>No</t>
        </is>
      </c>
      <c r="F15" s="62" t="inlineStr">
        <is>
          <t>Yes</t>
        </is>
      </c>
      <c r="G15" s="62" t="inlineStr">
        <is>
          <t>Yes</t>
        </is>
      </c>
    </row>
    <row r="16" ht="30" customHeight="1">
      <c r="A16" s="59" t="inlineStr">
        <is>
          <t>Format</t>
        </is>
      </c>
      <c r="B16" s="61" t="inlineStr">
        <is>
          <t>Code, up to 60; As in P01</t>
        </is>
      </c>
      <c r="C16" s="61" t="inlineStr">
        <is>
          <t>Integer, up to 2; Digits</t>
        </is>
      </c>
      <c r="D16" s="61" t="inlineStr">
        <is>
          <t>Code, up to 30; As stored in legacy</t>
        </is>
      </c>
      <c r="E16" s="61" t="inlineStr">
        <is>
          <t>Code, up to 20; As stored in legacy</t>
        </is>
      </c>
      <c r="F16" s="61" t="inlineStr">
        <is>
          <t>Decimal, up to 9,4; Dot decimal</t>
        </is>
      </c>
      <c r="G16" s="61" t="inlineStr">
        <is>
          <t>Flag, up to 1; Y or N</t>
        </is>
      </c>
    </row>
    <row r="17" ht="56" customHeight="1">
      <c r="A17" s="59" t="inlineStr">
        <is>
          <t>Allowed values</t>
        </is>
      </c>
      <c r="B17" s="61" t="inlineStr">
        <is>
          <t>legacy_policy_ref of P01</t>
        </is>
      </c>
      <c r="C17" s="61" t="inlineStr">
        <is>
          <t>A whole number</t>
        </is>
      </c>
      <c r="D17" s="69" t="inlineStr">
        <is>
          <t>The legacy code; mapped by the code map INSURER (sheet Code maps)</t>
        </is>
      </c>
      <c r="E17" s="69" t="inlineStr">
        <is>
          <t>The legacy code; mapped by the code map INSURER_BRANCH (sheet Code maps)</t>
        </is>
      </c>
      <c r="F17" s="61" t="inlineStr">
        <is>
          <t>A number</t>
        </is>
      </c>
      <c r="G17" s="61" t="inlineStr">
        <is>
          <t>Y or N</t>
        </is>
      </c>
    </row>
    <row r="18" ht="30" customHeight="1">
      <c r="A18" s="59" t="inlineStr">
        <is>
          <t>What to enter</t>
        </is>
      </c>
      <c r="B18" s="61" t="inlineStr">
        <is>
          <t>Legacy reference of the policy term</t>
        </is>
      </c>
      <c r="C18" s="61" t="inlineStr">
        <is>
          <t>Sequence of the insurer</t>
        </is>
      </c>
      <c r="D18" s="61" t="inlineStr">
        <is>
          <t>Insurer</t>
        </is>
      </c>
      <c r="E18" s="61" t="inlineStr">
        <is>
          <t>Insurer branch</t>
        </is>
      </c>
      <c r="F18" s="61" t="inlineStr">
        <is>
          <t>Share in percent</t>
        </is>
      </c>
      <c r="G18" s="61" t="inlineStr">
        <is>
          <t>Lead insurer</t>
        </is>
      </c>
    </row>
    <row r="19" ht="30" customHeight="1">
      <c r="A19" s="63" t="inlineStr">
        <is>
          <t>Row</t>
        </is>
      </c>
      <c r="B19" s="24" t="inlineStr">
        <is>
          <t>legacy_policy_ref *</t>
        </is>
      </c>
      <c r="C19" s="24" t="inlineStr">
        <is>
          <t>share_seq *</t>
        </is>
      </c>
      <c r="D19" s="24" t="inlineStr">
        <is>
          <t>insurer_code *</t>
        </is>
      </c>
      <c r="E19" s="24" t="inlineStr">
        <is>
          <t>insurer_branch_code</t>
        </is>
      </c>
      <c r="F19" s="24" t="inlineStr">
        <is>
          <t>share_pct *</t>
        </is>
      </c>
      <c r="G19" s="24" t="inlineStr">
        <is>
          <t>lead_flag *</t>
        </is>
      </c>
    </row>
    <row r="20" ht="18" customHeight="1">
      <c r="A20" s="64" t="inlineStr">
        <is>
          <t>Example – overwrite or delete</t>
        </is>
      </c>
      <c r="B20" s="65" t="inlineStr">
        <is>
          <t>C-2026-004512-01</t>
        </is>
      </c>
      <c r="C20" s="66" t="n">
        <v>1</v>
      </c>
      <c r="D20" s="65" t="inlineStr">
        <is>
          <t>MAL</t>
        </is>
      </c>
      <c r="E20" s="65" t="inlineStr">
        <is>
          <t>MAL-CEB</t>
        </is>
      </c>
      <c r="F20" s="66" t="n">
        <v>100</v>
      </c>
      <c r="G20" s="65" t="inlineStr">
        <is>
          <t>Y</t>
        </is>
      </c>
    </row>
    <row r="21">
      <c r="B21" s="67" t="n"/>
      <c r="D21" s="67" t="n"/>
      <c r="E21" s="67" t="n"/>
      <c r="G21" s="67" t="n"/>
    </row>
    <row r="22">
      <c r="B22" s="67" t="n"/>
      <c r="D22" s="67" t="n"/>
      <c r="E22" s="67" t="n"/>
      <c r="G22" s="67" t="n"/>
    </row>
    <row r="23">
      <c r="B23" s="67" t="n"/>
      <c r="D23" s="67" t="n"/>
      <c r="E23" s="67" t="n"/>
      <c r="G23" s="67" t="n"/>
    </row>
    <row r="24">
      <c r="B24" s="67" t="n"/>
      <c r="D24" s="67" t="n"/>
      <c r="E24" s="67" t="n"/>
      <c r="G24" s="67" t="n"/>
    </row>
    <row r="25">
      <c r="B25" s="67" t="n"/>
      <c r="D25" s="67" t="n"/>
      <c r="E25" s="67" t="n"/>
      <c r="G25" s="67" t="n"/>
    </row>
    <row r="26">
      <c r="B26" s="67" t="n"/>
      <c r="D26" s="67" t="n"/>
      <c r="E26" s="67" t="n"/>
      <c r="G26" s="67" t="n"/>
    </row>
    <row r="27">
      <c r="B27" s="67" t="n"/>
      <c r="D27" s="67" t="n"/>
      <c r="E27" s="67" t="n"/>
      <c r="G27" s="67" t="n"/>
    </row>
    <row r="28">
      <c r="B28" s="67" t="n"/>
      <c r="D28" s="67" t="n"/>
      <c r="E28" s="67" t="n"/>
      <c r="G28" s="67" t="n"/>
    </row>
    <row r="29">
      <c r="B29" s="67" t="n"/>
      <c r="D29" s="67" t="n"/>
      <c r="E29" s="67" t="n"/>
      <c r="G29" s="67" t="n"/>
    </row>
    <row r="30">
      <c r="B30" s="67" t="n"/>
      <c r="D30" s="67" t="n"/>
      <c r="E30" s="67" t="n"/>
      <c r="G30" s="67" t="n"/>
    </row>
    <row r="31">
      <c r="B31" s="67" t="n"/>
      <c r="D31" s="67" t="n"/>
      <c r="E31" s="67" t="n"/>
      <c r="G31" s="67" t="n"/>
    </row>
    <row r="32">
      <c r="B32" s="67" t="n"/>
      <c r="D32" s="67" t="n"/>
      <c r="E32" s="67" t="n"/>
      <c r="G32" s="67" t="n"/>
    </row>
    <row r="33">
      <c r="B33" s="67" t="n"/>
      <c r="D33" s="67" t="n"/>
      <c r="E33" s="67" t="n"/>
      <c r="G33" s="67" t="n"/>
    </row>
    <row r="34">
      <c r="B34" s="67" t="n"/>
      <c r="D34" s="67" t="n"/>
      <c r="E34" s="67" t="n"/>
      <c r="G34" s="67" t="n"/>
    </row>
    <row r="35">
      <c r="B35" s="67" t="n"/>
      <c r="D35" s="67" t="n"/>
      <c r="E35" s="67" t="n"/>
      <c r="G35" s="67" t="n"/>
    </row>
    <row r="36">
      <c r="B36" s="67" t="n"/>
      <c r="D36" s="67" t="n"/>
      <c r="E36" s="67" t="n"/>
      <c r="G36" s="67" t="n"/>
    </row>
    <row r="37">
      <c r="B37" s="67" t="n"/>
      <c r="D37" s="67" t="n"/>
      <c r="E37" s="67" t="n"/>
      <c r="G37" s="67" t="n"/>
    </row>
    <row r="38">
      <c r="B38" s="67" t="n"/>
      <c r="D38" s="67" t="n"/>
      <c r="E38" s="67" t="n"/>
      <c r="G38" s="67" t="n"/>
    </row>
    <row r="39">
      <c r="B39" s="67" t="n"/>
      <c r="D39" s="67" t="n"/>
      <c r="E39" s="67" t="n"/>
      <c r="G39" s="67" t="n"/>
    </row>
    <row r="40">
      <c r="B40" s="67" t="n"/>
      <c r="D40" s="67" t="n"/>
      <c r="E40" s="67" t="n"/>
      <c r="G40" s="67" t="n"/>
    </row>
    <row r="41">
      <c r="B41" s="67" t="n"/>
      <c r="D41" s="67" t="n"/>
      <c r="E41" s="67" t="n"/>
      <c r="G41" s="67" t="n"/>
    </row>
    <row r="42">
      <c r="B42" s="67" t="n"/>
      <c r="D42" s="67" t="n"/>
      <c r="E42" s="67" t="n"/>
      <c r="G42" s="67" t="n"/>
    </row>
    <row r="43">
      <c r="B43" s="67" t="n"/>
      <c r="D43" s="67" t="n"/>
      <c r="E43" s="67" t="n"/>
      <c r="G43" s="67" t="n"/>
    </row>
    <row r="44">
      <c r="B44" s="67" t="n"/>
      <c r="D44" s="67" t="n"/>
      <c r="E44" s="67" t="n"/>
      <c r="G44" s="67" t="n"/>
    </row>
    <row r="45">
      <c r="B45" s="67" t="n"/>
      <c r="D45" s="67" t="n"/>
      <c r="E45" s="67" t="n"/>
      <c r="G45" s="67" t="n"/>
    </row>
    <row r="46">
      <c r="B46" s="67" t="n"/>
      <c r="D46" s="67" t="n"/>
      <c r="E46" s="67" t="n"/>
      <c r="G46" s="67" t="n"/>
    </row>
    <row r="47">
      <c r="B47" s="67" t="n"/>
      <c r="D47" s="67" t="n"/>
      <c r="E47" s="67" t="n"/>
      <c r="G47" s="67" t="n"/>
    </row>
    <row r="48">
      <c r="B48" s="67" t="n"/>
      <c r="D48" s="67" t="n"/>
      <c r="E48" s="67" t="n"/>
      <c r="G48" s="67" t="n"/>
    </row>
    <row r="49">
      <c r="B49" s="67" t="n"/>
      <c r="D49" s="67" t="n"/>
      <c r="E49" s="67" t="n"/>
      <c r="G49" s="67" t="n"/>
    </row>
    <row r="50">
      <c r="B50" s="67" t="n"/>
      <c r="D50" s="67" t="n"/>
      <c r="E50" s="67" t="n"/>
      <c r="G50" s="67" t="n"/>
    </row>
    <row r="51">
      <c r="B51" s="67" t="n"/>
      <c r="D51" s="67" t="n"/>
      <c r="E51" s="67" t="n"/>
      <c r="G51" s="67" t="n"/>
    </row>
    <row r="52">
      <c r="B52" s="67" t="n"/>
      <c r="D52" s="67" t="n"/>
      <c r="E52" s="67" t="n"/>
      <c r="G52" s="67" t="n"/>
    </row>
    <row r="53">
      <c r="B53" s="67" t="n"/>
      <c r="D53" s="67" t="n"/>
      <c r="E53" s="67" t="n"/>
      <c r="G53" s="67" t="n"/>
    </row>
    <row r="54">
      <c r="B54" s="67" t="n"/>
      <c r="D54" s="67" t="n"/>
      <c r="E54" s="67" t="n"/>
      <c r="G54" s="67" t="n"/>
    </row>
    <row r="55">
      <c r="B55" s="67" t="n"/>
      <c r="D55" s="67" t="n"/>
      <c r="E55" s="67" t="n"/>
      <c r="G55" s="67" t="n"/>
    </row>
    <row r="56">
      <c r="B56" s="67" t="n"/>
      <c r="D56" s="67" t="n"/>
      <c r="E56" s="67" t="n"/>
      <c r="G56" s="67" t="n"/>
    </row>
    <row r="57">
      <c r="B57" s="67" t="n"/>
      <c r="D57" s="67" t="n"/>
      <c r="E57" s="67" t="n"/>
      <c r="G57" s="67" t="n"/>
    </row>
    <row r="58">
      <c r="B58" s="67" t="n"/>
      <c r="D58" s="67" t="n"/>
      <c r="E58" s="67" t="n"/>
      <c r="G58" s="67" t="n"/>
    </row>
    <row r="59">
      <c r="B59" s="67" t="n"/>
      <c r="D59" s="67" t="n"/>
      <c r="E59" s="67" t="n"/>
      <c r="G59" s="67" t="n"/>
    </row>
    <row r="60">
      <c r="B60" s="67" t="n"/>
      <c r="D60" s="67" t="n"/>
      <c r="E60" s="67" t="n"/>
      <c r="G60" s="67" t="n"/>
    </row>
    <row r="61">
      <c r="B61" s="67" t="n"/>
      <c r="D61" s="67" t="n"/>
      <c r="E61" s="67" t="n"/>
      <c r="G61" s="67" t="n"/>
    </row>
    <row r="62">
      <c r="B62" s="67" t="n"/>
      <c r="D62" s="67" t="n"/>
      <c r="E62" s="67" t="n"/>
      <c r="G62" s="67" t="n"/>
    </row>
    <row r="63">
      <c r="B63" s="67" t="n"/>
      <c r="D63" s="67" t="n"/>
      <c r="E63" s="67" t="n"/>
      <c r="G63" s="67" t="n"/>
    </row>
    <row r="64">
      <c r="B64" s="67" t="n"/>
      <c r="D64" s="67" t="n"/>
      <c r="E64" s="67" t="n"/>
      <c r="G64" s="67" t="n"/>
    </row>
    <row r="65">
      <c r="B65" s="67" t="n"/>
      <c r="D65" s="67" t="n"/>
      <c r="E65" s="67" t="n"/>
      <c r="G65" s="67" t="n"/>
    </row>
    <row r="66">
      <c r="B66" s="67" t="n"/>
      <c r="D66" s="67" t="n"/>
      <c r="E66" s="67" t="n"/>
      <c r="G66" s="67" t="n"/>
    </row>
    <row r="67">
      <c r="B67" s="67" t="n"/>
      <c r="D67" s="67" t="n"/>
      <c r="E67" s="67" t="n"/>
      <c r="G67" s="67" t="n"/>
    </row>
    <row r="68">
      <c r="B68" s="67" t="n"/>
      <c r="D68" s="67" t="n"/>
      <c r="E68" s="67" t="n"/>
      <c r="G68" s="67" t="n"/>
    </row>
    <row r="69">
      <c r="B69" s="67" t="n"/>
      <c r="D69" s="67" t="n"/>
      <c r="E69" s="67" t="n"/>
      <c r="G69" s="67" t="n"/>
    </row>
    <row r="70">
      <c r="B70" s="67" t="n"/>
      <c r="D70" s="67" t="n"/>
      <c r="E70" s="67" t="n"/>
      <c r="G70" s="67" t="n"/>
    </row>
    <row r="71">
      <c r="B71" s="67" t="n"/>
      <c r="D71" s="67" t="n"/>
      <c r="E71" s="67" t="n"/>
      <c r="G71" s="67" t="n"/>
    </row>
    <row r="72">
      <c r="B72" s="67" t="n"/>
      <c r="D72" s="67" t="n"/>
      <c r="E72" s="67" t="n"/>
      <c r="G72" s="67" t="n"/>
    </row>
    <row r="73">
      <c r="B73" s="67" t="n"/>
      <c r="D73" s="67" t="n"/>
      <c r="E73" s="67" t="n"/>
      <c r="G73" s="67" t="n"/>
    </row>
    <row r="74">
      <c r="B74" s="67" t="n"/>
      <c r="D74" s="67" t="n"/>
      <c r="E74" s="67" t="n"/>
      <c r="G74" s="67" t="n"/>
    </row>
    <row r="75">
      <c r="B75" s="67" t="n"/>
      <c r="D75" s="67" t="n"/>
      <c r="E75" s="67" t="n"/>
      <c r="G75" s="67" t="n"/>
    </row>
    <row r="76">
      <c r="B76" s="67" t="n"/>
      <c r="D76" s="67" t="n"/>
      <c r="E76" s="67" t="n"/>
      <c r="G76" s="67" t="n"/>
    </row>
    <row r="77">
      <c r="B77" s="67" t="n"/>
      <c r="D77" s="67" t="n"/>
      <c r="E77" s="67" t="n"/>
      <c r="G77" s="67" t="n"/>
    </row>
    <row r="78">
      <c r="B78" s="67" t="n"/>
      <c r="D78" s="67" t="n"/>
      <c r="E78" s="67" t="n"/>
      <c r="G78" s="67" t="n"/>
    </row>
    <row r="79">
      <c r="B79" s="67" t="n"/>
      <c r="D79" s="67" t="n"/>
      <c r="E79" s="67" t="n"/>
      <c r="G79" s="67" t="n"/>
    </row>
    <row r="80">
      <c r="B80" s="67" t="n"/>
      <c r="D80" s="67" t="n"/>
      <c r="E80" s="67" t="n"/>
      <c r="G80" s="67" t="n"/>
    </row>
    <row r="81">
      <c r="B81" s="67" t="n"/>
      <c r="D81" s="67" t="n"/>
      <c r="E81" s="67" t="n"/>
      <c r="G81" s="67" t="n"/>
    </row>
    <row r="82">
      <c r="B82" s="67" t="n"/>
      <c r="D82" s="67" t="n"/>
      <c r="E82" s="67" t="n"/>
      <c r="G82" s="67" t="n"/>
    </row>
    <row r="83">
      <c r="B83" s="67" t="n"/>
      <c r="D83" s="67" t="n"/>
      <c r="E83" s="67" t="n"/>
      <c r="G83" s="67" t="n"/>
    </row>
    <row r="84">
      <c r="B84" s="67" t="n"/>
      <c r="D84" s="67" t="n"/>
      <c r="E84" s="67" t="n"/>
      <c r="G84" s="67" t="n"/>
    </row>
    <row r="85">
      <c r="B85" s="67" t="n"/>
      <c r="D85" s="67" t="n"/>
      <c r="E85" s="67" t="n"/>
      <c r="G85" s="67" t="n"/>
    </row>
    <row r="86">
      <c r="B86" s="67" t="n"/>
      <c r="D86" s="67" t="n"/>
      <c r="E86" s="67" t="n"/>
      <c r="G86" s="67" t="n"/>
    </row>
    <row r="87">
      <c r="B87" s="67" t="n"/>
      <c r="D87" s="67" t="n"/>
      <c r="E87" s="67" t="n"/>
      <c r="G87" s="67" t="n"/>
    </row>
    <row r="88">
      <c r="B88" s="67" t="n"/>
      <c r="D88" s="67" t="n"/>
      <c r="E88" s="67" t="n"/>
      <c r="G88" s="67" t="n"/>
    </row>
    <row r="89">
      <c r="B89" s="67" t="n"/>
      <c r="D89" s="67" t="n"/>
      <c r="E89" s="67" t="n"/>
      <c r="G89" s="67" t="n"/>
    </row>
    <row r="90">
      <c r="B90" s="67" t="n"/>
      <c r="D90" s="67" t="n"/>
      <c r="E90" s="67" t="n"/>
      <c r="G90" s="67" t="n"/>
    </row>
    <row r="91">
      <c r="B91" s="67" t="n"/>
      <c r="D91" s="67" t="n"/>
      <c r="E91" s="67" t="n"/>
      <c r="G91" s="67" t="n"/>
    </row>
    <row r="92">
      <c r="B92" s="67" t="n"/>
      <c r="D92" s="67" t="n"/>
      <c r="E92" s="67" t="n"/>
      <c r="G92" s="67" t="n"/>
    </row>
    <row r="93">
      <c r="B93" s="67" t="n"/>
      <c r="D93" s="67" t="n"/>
      <c r="E93" s="67" t="n"/>
      <c r="G93" s="67" t="n"/>
    </row>
    <row r="94">
      <c r="B94" s="67" t="n"/>
      <c r="D94" s="67" t="n"/>
      <c r="E94" s="67" t="n"/>
      <c r="G94" s="67" t="n"/>
    </row>
    <row r="95">
      <c r="B95" s="67" t="n"/>
      <c r="D95" s="67" t="n"/>
      <c r="E95" s="67" t="n"/>
      <c r="G95" s="67" t="n"/>
    </row>
    <row r="96">
      <c r="B96" s="67" t="n"/>
      <c r="D96" s="67" t="n"/>
      <c r="E96" s="67" t="n"/>
      <c r="G96" s="67" t="n"/>
    </row>
    <row r="97">
      <c r="B97" s="67" t="n"/>
      <c r="D97" s="67" t="n"/>
      <c r="E97" s="67" t="n"/>
      <c r="G97" s="67" t="n"/>
    </row>
    <row r="98">
      <c r="B98" s="67" t="n"/>
      <c r="D98" s="67" t="n"/>
      <c r="E98" s="67" t="n"/>
      <c r="G98" s="67" t="n"/>
    </row>
    <row r="99">
      <c r="B99" s="67" t="n"/>
      <c r="D99" s="67" t="n"/>
      <c r="E99" s="67" t="n"/>
      <c r="G99" s="67" t="n"/>
    </row>
    <row r="100">
      <c r="B100" s="67" t="n"/>
      <c r="D100" s="67" t="n"/>
      <c r="E100" s="67" t="n"/>
      <c r="G100" s="67" t="n"/>
    </row>
    <row r="101">
      <c r="B101" s="67" t="n"/>
      <c r="D101" s="67" t="n"/>
      <c r="E101" s="67" t="n"/>
      <c r="G101" s="67" t="n"/>
    </row>
    <row r="102">
      <c r="B102" s="67" t="n"/>
      <c r="D102" s="67" t="n"/>
      <c r="E102" s="67" t="n"/>
      <c r="G102" s="67" t="n"/>
    </row>
    <row r="103">
      <c r="B103" s="67" t="n"/>
      <c r="D103" s="67" t="n"/>
      <c r="E103" s="67" t="n"/>
      <c r="G103" s="67" t="n"/>
    </row>
    <row r="104">
      <c r="B104" s="67" t="n"/>
      <c r="D104" s="67" t="n"/>
      <c r="E104" s="67" t="n"/>
      <c r="G104" s="67" t="n"/>
    </row>
    <row r="105">
      <c r="B105" s="67" t="n"/>
      <c r="D105" s="67" t="n"/>
      <c r="E105" s="67" t="n"/>
      <c r="G105" s="67" t="n"/>
    </row>
    <row r="106">
      <c r="B106" s="67" t="n"/>
      <c r="D106" s="67" t="n"/>
      <c r="E106" s="67" t="n"/>
      <c r="G106" s="67" t="n"/>
    </row>
    <row r="107">
      <c r="B107" s="67" t="n"/>
      <c r="D107" s="67" t="n"/>
      <c r="E107" s="67" t="n"/>
      <c r="G107" s="67" t="n"/>
    </row>
    <row r="108">
      <c r="B108" s="67" t="n"/>
      <c r="D108" s="67" t="n"/>
      <c r="E108" s="67" t="n"/>
      <c r="G108" s="67" t="n"/>
    </row>
    <row r="109">
      <c r="B109" s="67" t="n"/>
      <c r="D109" s="67" t="n"/>
      <c r="E109" s="67" t="n"/>
      <c r="G109" s="67" t="n"/>
    </row>
    <row r="110">
      <c r="B110" s="67" t="n"/>
      <c r="D110" s="67" t="n"/>
      <c r="E110" s="67" t="n"/>
      <c r="G110" s="67" t="n"/>
    </row>
    <row r="111">
      <c r="B111" s="67" t="n"/>
      <c r="D111" s="67" t="n"/>
      <c r="E111" s="67" t="n"/>
      <c r="G111" s="67" t="n"/>
    </row>
    <row r="112">
      <c r="B112" s="67" t="n"/>
      <c r="D112" s="67" t="n"/>
      <c r="E112" s="67" t="n"/>
      <c r="G112" s="67" t="n"/>
    </row>
    <row r="113">
      <c r="B113" s="67" t="n"/>
      <c r="D113" s="67" t="n"/>
      <c r="E113" s="67" t="n"/>
      <c r="G113" s="67" t="n"/>
    </row>
    <row r="114">
      <c r="B114" s="67" t="n"/>
      <c r="D114" s="67" t="n"/>
      <c r="E114" s="67" t="n"/>
      <c r="G114" s="67" t="n"/>
    </row>
    <row r="115">
      <c r="B115" s="67" t="n"/>
      <c r="D115" s="67" t="n"/>
      <c r="E115" s="67" t="n"/>
      <c r="G115" s="67" t="n"/>
    </row>
    <row r="116">
      <c r="B116" s="67" t="n"/>
      <c r="D116" s="67" t="n"/>
      <c r="E116" s="67" t="n"/>
      <c r="G116" s="67" t="n"/>
    </row>
    <row r="117">
      <c r="B117" s="67" t="n"/>
      <c r="D117" s="67" t="n"/>
      <c r="E117" s="67" t="n"/>
      <c r="G117" s="67" t="n"/>
    </row>
    <row r="118">
      <c r="B118" s="67" t="n"/>
      <c r="D118" s="67" t="n"/>
      <c r="E118" s="67" t="n"/>
      <c r="G118" s="67" t="n"/>
    </row>
    <row r="119">
      <c r="B119" s="67" t="n"/>
      <c r="D119" s="67" t="n"/>
      <c r="E119" s="67" t="n"/>
      <c r="G119" s="67" t="n"/>
    </row>
    <row r="120">
      <c r="B120" s="67" t="n"/>
      <c r="D120" s="67" t="n"/>
      <c r="E120" s="67" t="n"/>
      <c r="G120" s="67" t="n"/>
    </row>
    <row r="121">
      <c r="B121" s="67" t="n"/>
      <c r="D121" s="67" t="n"/>
      <c r="E121" s="67" t="n"/>
      <c r="G121" s="67" t="n"/>
    </row>
    <row r="122">
      <c r="B122" s="67" t="n"/>
      <c r="D122" s="67" t="n"/>
      <c r="E122" s="67" t="n"/>
      <c r="G122" s="67" t="n"/>
    </row>
    <row r="123">
      <c r="B123" s="67" t="n"/>
      <c r="D123" s="67" t="n"/>
      <c r="E123" s="67" t="n"/>
      <c r="G123" s="67" t="n"/>
    </row>
    <row r="124">
      <c r="B124" s="67" t="n"/>
      <c r="D124" s="67" t="n"/>
      <c r="E124" s="67" t="n"/>
      <c r="G124" s="67" t="n"/>
    </row>
    <row r="125">
      <c r="B125" s="67" t="n"/>
      <c r="D125" s="67" t="n"/>
      <c r="E125" s="67" t="n"/>
      <c r="G125" s="67" t="n"/>
    </row>
    <row r="126">
      <c r="B126" s="67" t="n"/>
      <c r="D126" s="67" t="n"/>
      <c r="E126" s="67" t="n"/>
      <c r="G126" s="67" t="n"/>
    </row>
    <row r="127">
      <c r="B127" s="67" t="n"/>
      <c r="D127" s="67" t="n"/>
      <c r="E127" s="67" t="n"/>
      <c r="G127" s="67" t="n"/>
    </row>
    <row r="128">
      <c r="B128" s="67" t="n"/>
      <c r="D128" s="67" t="n"/>
      <c r="E128" s="67" t="n"/>
      <c r="G128" s="67" t="n"/>
    </row>
    <row r="129">
      <c r="B129" s="67" t="n"/>
      <c r="D129" s="67" t="n"/>
      <c r="E129" s="67" t="n"/>
      <c r="G129" s="67" t="n"/>
    </row>
    <row r="130">
      <c r="B130" s="67" t="n"/>
      <c r="D130" s="67" t="n"/>
      <c r="E130" s="67" t="n"/>
      <c r="G130" s="67" t="n"/>
    </row>
    <row r="131">
      <c r="B131" s="67" t="n"/>
      <c r="D131" s="67" t="n"/>
      <c r="E131" s="67" t="n"/>
      <c r="G131" s="67" t="n"/>
    </row>
    <row r="132">
      <c r="B132" s="67" t="n"/>
      <c r="D132" s="67" t="n"/>
      <c r="E132" s="67" t="n"/>
      <c r="G132" s="67" t="n"/>
    </row>
    <row r="133">
      <c r="B133" s="67" t="n"/>
      <c r="D133" s="67" t="n"/>
      <c r="E133" s="67" t="n"/>
      <c r="G133" s="67" t="n"/>
    </row>
    <row r="134">
      <c r="B134" s="67" t="n"/>
      <c r="D134" s="67" t="n"/>
      <c r="E134" s="67" t="n"/>
      <c r="G134" s="67" t="n"/>
    </row>
    <row r="135">
      <c r="B135" s="67" t="n"/>
      <c r="D135" s="67" t="n"/>
      <c r="E135" s="67" t="n"/>
      <c r="G135" s="67" t="n"/>
    </row>
    <row r="136">
      <c r="B136" s="67" t="n"/>
      <c r="D136" s="67" t="n"/>
      <c r="E136" s="67" t="n"/>
      <c r="G136" s="67" t="n"/>
    </row>
    <row r="137">
      <c r="B137" s="67" t="n"/>
      <c r="D137" s="67" t="n"/>
      <c r="E137" s="67" t="n"/>
      <c r="G137" s="67" t="n"/>
    </row>
    <row r="138">
      <c r="B138" s="67" t="n"/>
      <c r="D138" s="67" t="n"/>
      <c r="E138" s="67" t="n"/>
      <c r="G138" s="67" t="n"/>
    </row>
    <row r="139">
      <c r="B139" s="67" t="n"/>
      <c r="D139" s="67" t="n"/>
      <c r="E139" s="67" t="n"/>
      <c r="G139" s="67" t="n"/>
    </row>
    <row r="140">
      <c r="B140" s="67" t="n"/>
      <c r="D140" s="67" t="n"/>
      <c r="E140" s="67" t="n"/>
      <c r="G140" s="67" t="n"/>
    </row>
    <row r="141">
      <c r="B141" s="67" t="n"/>
      <c r="D141" s="67" t="n"/>
      <c r="E141" s="67" t="n"/>
      <c r="G141" s="67" t="n"/>
    </row>
    <row r="142">
      <c r="B142" s="67" t="n"/>
      <c r="D142" s="67" t="n"/>
      <c r="E142" s="67" t="n"/>
      <c r="G142" s="67" t="n"/>
    </row>
    <row r="143">
      <c r="B143" s="67" t="n"/>
      <c r="D143" s="67" t="n"/>
      <c r="E143" s="67" t="n"/>
      <c r="G143" s="67" t="n"/>
    </row>
    <row r="144">
      <c r="B144" s="67" t="n"/>
      <c r="D144" s="67" t="n"/>
      <c r="E144" s="67" t="n"/>
      <c r="G144" s="67" t="n"/>
    </row>
    <row r="145">
      <c r="B145" s="67" t="n"/>
      <c r="D145" s="67" t="n"/>
      <c r="E145" s="67" t="n"/>
      <c r="G145" s="67" t="n"/>
    </row>
    <row r="146">
      <c r="B146" s="67" t="n"/>
      <c r="D146" s="67" t="n"/>
      <c r="E146" s="67" t="n"/>
      <c r="G146" s="67" t="n"/>
    </row>
    <row r="147">
      <c r="B147" s="67" t="n"/>
      <c r="D147" s="67" t="n"/>
      <c r="E147" s="67" t="n"/>
      <c r="G147" s="67" t="n"/>
    </row>
    <row r="148">
      <c r="B148" s="67" t="n"/>
      <c r="D148" s="67" t="n"/>
      <c r="E148" s="67" t="n"/>
      <c r="G148" s="67" t="n"/>
    </row>
    <row r="149">
      <c r="B149" s="67" t="n"/>
      <c r="D149" s="67" t="n"/>
      <c r="E149" s="67" t="n"/>
      <c r="G149" s="67" t="n"/>
    </row>
    <row r="150">
      <c r="B150" s="67" t="n"/>
      <c r="D150" s="67" t="n"/>
      <c r="E150" s="67" t="n"/>
      <c r="G150" s="67" t="n"/>
    </row>
    <row r="151">
      <c r="B151" s="67" t="n"/>
      <c r="D151" s="67" t="n"/>
      <c r="E151" s="67" t="n"/>
      <c r="G151" s="67" t="n"/>
    </row>
    <row r="152">
      <c r="B152" s="67" t="n"/>
      <c r="D152" s="67" t="n"/>
      <c r="E152" s="67" t="n"/>
      <c r="G152" s="67" t="n"/>
    </row>
    <row r="153">
      <c r="B153" s="67" t="n"/>
      <c r="D153" s="67" t="n"/>
      <c r="E153" s="67" t="n"/>
      <c r="G153" s="67" t="n"/>
    </row>
    <row r="154">
      <c r="B154" s="67" t="n"/>
      <c r="D154" s="67" t="n"/>
      <c r="E154" s="67" t="n"/>
      <c r="G154" s="67" t="n"/>
    </row>
    <row r="155">
      <c r="B155" s="67" t="n"/>
      <c r="D155" s="67" t="n"/>
      <c r="E155" s="67" t="n"/>
      <c r="G155" s="67" t="n"/>
    </row>
    <row r="156">
      <c r="B156" s="67" t="n"/>
      <c r="D156" s="67" t="n"/>
      <c r="E156" s="67" t="n"/>
      <c r="G156" s="67" t="n"/>
    </row>
    <row r="157">
      <c r="B157" s="67" t="n"/>
      <c r="D157" s="67" t="n"/>
      <c r="E157" s="67" t="n"/>
      <c r="G157" s="67" t="n"/>
    </row>
    <row r="158">
      <c r="B158" s="67" t="n"/>
      <c r="D158" s="67" t="n"/>
      <c r="E158" s="67" t="n"/>
      <c r="G158" s="67" t="n"/>
    </row>
    <row r="159">
      <c r="B159" s="67" t="n"/>
      <c r="D159" s="67" t="n"/>
      <c r="E159" s="67" t="n"/>
      <c r="G159" s="67" t="n"/>
    </row>
    <row r="160">
      <c r="B160" s="67" t="n"/>
      <c r="D160" s="67" t="n"/>
      <c r="E160" s="67" t="n"/>
      <c r="G160" s="67" t="n"/>
    </row>
    <row r="161">
      <c r="B161" s="67" t="n"/>
      <c r="D161" s="67" t="n"/>
      <c r="E161" s="67" t="n"/>
      <c r="G161" s="67" t="n"/>
    </row>
    <row r="162">
      <c r="B162" s="67" t="n"/>
      <c r="D162" s="67" t="n"/>
      <c r="E162" s="67" t="n"/>
      <c r="G162" s="67" t="n"/>
    </row>
    <row r="163">
      <c r="B163" s="67" t="n"/>
      <c r="D163" s="67" t="n"/>
      <c r="E163" s="67" t="n"/>
      <c r="G163" s="67" t="n"/>
    </row>
    <row r="164">
      <c r="B164" s="67" t="n"/>
      <c r="D164" s="67" t="n"/>
      <c r="E164" s="67" t="n"/>
      <c r="G164" s="67" t="n"/>
    </row>
    <row r="165">
      <c r="B165" s="67" t="n"/>
      <c r="D165" s="67" t="n"/>
      <c r="E165" s="67" t="n"/>
      <c r="G165" s="67" t="n"/>
    </row>
    <row r="166">
      <c r="B166" s="67" t="n"/>
      <c r="D166" s="67" t="n"/>
      <c r="E166" s="67" t="n"/>
      <c r="G166" s="67" t="n"/>
    </row>
    <row r="167">
      <c r="B167" s="67" t="n"/>
      <c r="D167" s="67" t="n"/>
      <c r="E167" s="67" t="n"/>
      <c r="G167" s="67" t="n"/>
    </row>
    <row r="168">
      <c r="B168" s="67" t="n"/>
      <c r="D168" s="67" t="n"/>
      <c r="E168" s="67" t="n"/>
      <c r="G168" s="67" t="n"/>
    </row>
    <row r="169">
      <c r="B169" s="67" t="n"/>
      <c r="D169" s="67" t="n"/>
      <c r="E169" s="67" t="n"/>
      <c r="G169" s="67" t="n"/>
    </row>
    <row r="170">
      <c r="B170" s="67" t="n"/>
      <c r="D170" s="67" t="n"/>
      <c r="E170" s="67" t="n"/>
      <c r="G170" s="67" t="n"/>
    </row>
    <row r="171">
      <c r="B171" s="67" t="n"/>
      <c r="D171" s="67" t="n"/>
      <c r="E171" s="67" t="n"/>
      <c r="G171" s="67" t="n"/>
    </row>
    <row r="172">
      <c r="B172" s="67" t="n"/>
      <c r="D172" s="67" t="n"/>
      <c r="E172" s="67" t="n"/>
      <c r="G172" s="67" t="n"/>
    </row>
    <row r="173">
      <c r="B173" s="67" t="n"/>
      <c r="D173" s="67" t="n"/>
      <c r="E173" s="67" t="n"/>
      <c r="G173" s="67" t="n"/>
    </row>
    <row r="174">
      <c r="B174" s="67" t="n"/>
      <c r="D174" s="67" t="n"/>
      <c r="E174" s="67" t="n"/>
      <c r="G174" s="67" t="n"/>
    </row>
    <row r="175">
      <c r="B175" s="67" t="n"/>
      <c r="D175" s="67" t="n"/>
      <c r="E175" s="67" t="n"/>
      <c r="G175" s="67" t="n"/>
    </row>
    <row r="176">
      <c r="B176" s="67" t="n"/>
      <c r="D176" s="67" t="n"/>
      <c r="E176" s="67" t="n"/>
      <c r="G176" s="67" t="n"/>
    </row>
    <row r="177">
      <c r="B177" s="67" t="n"/>
      <c r="D177" s="67" t="n"/>
      <c r="E177" s="67" t="n"/>
      <c r="G177" s="67" t="n"/>
    </row>
    <row r="178">
      <c r="B178" s="67" t="n"/>
      <c r="D178" s="67" t="n"/>
      <c r="E178" s="67" t="n"/>
      <c r="G178" s="67" t="n"/>
    </row>
    <row r="179">
      <c r="B179" s="67" t="n"/>
      <c r="D179" s="67" t="n"/>
      <c r="E179" s="67" t="n"/>
      <c r="G179" s="67" t="n"/>
    </row>
    <row r="180">
      <c r="B180" s="67" t="n"/>
      <c r="D180" s="67" t="n"/>
      <c r="E180" s="67" t="n"/>
      <c r="G180" s="67" t="n"/>
    </row>
    <row r="181">
      <c r="B181" s="67" t="n"/>
      <c r="D181" s="67" t="n"/>
      <c r="E181" s="67" t="n"/>
      <c r="G181" s="67" t="n"/>
    </row>
    <row r="182">
      <c r="B182" s="67" t="n"/>
      <c r="D182" s="67" t="n"/>
      <c r="E182" s="67" t="n"/>
      <c r="G182" s="67" t="n"/>
    </row>
    <row r="183">
      <c r="B183" s="67" t="n"/>
      <c r="D183" s="67" t="n"/>
      <c r="E183" s="67" t="n"/>
      <c r="G183" s="67" t="n"/>
    </row>
    <row r="184">
      <c r="B184" s="67" t="n"/>
      <c r="D184" s="67" t="n"/>
      <c r="E184" s="67" t="n"/>
      <c r="G184" s="67" t="n"/>
    </row>
    <row r="185">
      <c r="B185" s="67" t="n"/>
      <c r="D185" s="67" t="n"/>
      <c r="E185" s="67" t="n"/>
      <c r="G185" s="67" t="n"/>
    </row>
    <row r="186">
      <c r="B186" s="67" t="n"/>
      <c r="D186" s="67" t="n"/>
      <c r="E186" s="67" t="n"/>
      <c r="G186" s="67" t="n"/>
    </row>
    <row r="187">
      <c r="B187" s="67" t="n"/>
      <c r="D187" s="67" t="n"/>
      <c r="E187" s="67" t="n"/>
      <c r="G187" s="67" t="n"/>
    </row>
    <row r="188">
      <c r="B188" s="67" t="n"/>
      <c r="D188" s="67" t="n"/>
      <c r="E188" s="67" t="n"/>
      <c r="G188" s="67" t="n"/>
    </row>
    <row r="189">
      <c r="B189" s="67" t="n"/>
      <c r="D189" s="67" t="n"/>
      <c r="E189" s="67" t="n"/>
      <c r="G189" s="67" t="n"/>
    </row>
    <row r="190">
      <c r="B190" s="67" t="n"/>
      <c r="D190" s="67" t="n"/>
      <c r="E190" s="67" t="n"/>
      <c r="G190" s="67" t="n"/>
    </row>
    <row r="191">
      <c r="B191" s="67" t="n"/>
      <c r="D191" s="67" t="n"/>
      <c r="E191" s="67" t="n"/>
      <c r="G191" s="67" t="n"/>
    </row>
    <row r="192">
      <c r="B192" s="67" t="n"/>
      <c r="D192" s="67" t="n"/>
      <c r="E192" s="67" t="n"/>
      <c r="G192" s="67" t="n"/>
    </row>
    <row r="193">
      <c r="B193" s="67" t="n"/>
      <c r="D193" s="67" t="n"/>
      <c r="E193" s="67" t="n"/>
      <c r="G193" s="67" t="n"/>
    </row>
    <row r="194">
      <c r="B194" s="67" t="n"/>
      <c r="D194" s="67" t="n"/>
      <c r="E194" s="67" t="n"/>
      <c r="G194" s="67" t="n"/>
    </row>
    <row r="195">
      <c r="B195" s="67" t="n"/>
      <c r="D195" s="67" t="n"/>
      <c r="E195" s="67" t="n"/>
      <c r="G195" s="67" t="n"/>
    </row>
    <row r="196">
      <c r="B196" s="67" t="n"/>
      <c r="D196" s="67" t="n"/>
      <c r="E196" s="67" t="n"/>
      <c r="G196" s="67" t="n"/>
    </row>
    <row r="197">
      <c r="B197" s="67" t="n"/>
      <c r="D197" s="67" t="n"/>
      <c r="E197" s="67" t="n"/>
      <c r="G197" s="67" t="n"/>
    </row>
    <row r="198">
      <c r="B198" s="67" t="n"/>
      <c r="D198" s="67" t="n"/>
      <c r="E198" s="67" t="n"/>
      <c r="G198" s="67" t="n"/>
    </row>
    <row r="199">
      <c r="B199" s="67" t="n"/>
      <c r="D199" s="67" t="n"/>
      <c r="E199" s="67" t="n"/>
      <c r="G199" s="67" t="n"/>
    </row>
    <row r="200">
      <c r="B200" s="67" t="n"/>
      <c r="D200" s="67" t="n"/>
      <c r="E200" s="67" t="n"/>
      <c r="G200" s="67" t="n"/>
    </row>
    <row r="201">
      <c r="B201" s="67" t="n"/>
      <c r="D201" s="67" t="n"/>
      <c r="E201" s="67" t="n"/>
      <c r="G201" s="67" t="n"/>
    </row>
    <row r="202">
      <c r="B202" s="67" t="n"/>
      <c r="D202" s="67" t="n"/>
      <c r="E202" s="67" t="n"/>
      <c r="G202" s="67" t="n"/>
    </row>
    <row r="203">
      <c r="B203" s="67" t="n"/>
      <c r="D203" s="67" t="n"/>
      <c r="E203" s="67" t="n"/>
      <c r="G203" s="67" t="n"/>
    </row>
    <row r="204">
      <c r="B204" s="67" t="n"/>
      <c r="D204" s="67" t="n"/>
      <c r="E204" s="67" t="n"/>
      <c r="G204" s="67" t="n"/>
    </row>
    <row r="205">
      <c r="B205" s="67" t="n"/>
      <c r="D205" s="67" t="n"/>
      <c r="E205" s="67" t="n"/>
      <c r="G205" s="67" t="n"/>
    </row>
    <row r="206">
      <c r="B206" s="67" t="n"/>
      <c r="D206" s="67" t="n"/>
      <c r="E206" s="67" t="n"/>
      <c r="G206" s="67" t="n"/>
    </row>
    <row r="207">
      <c r="B207" s="67" t="n"/>
      <c r="D207" s="67" t="n"/>
      <c r="E207" s="67" t="n"/>
      <c r="G207" s="67" t="n"/>
    </row>
    <row r="208">
      <c r="B208" s="67" t="n"/>
      <c r="D208" s="67" t="n"/>
      <c r="E208" s="67" t="n"/>
      <c r="G208" s="67" t="n"/>
    </row>
    <row r="209">
      <c r="B209" s="67" t="n"/>
      <c r="D209" s="67" t="n"/>
      <c r="E209" s="67" t="n"/>
      <c r="G209" s="67" t="n"/>
    </row>
    <row r="210">
      <c r="B210" s="67" t="n"/>
      <c r="D210" s="67" t="n"/>
      <c r="E210" s="67" t="n"/>
      <c r="G210" s="67" t="n"/>
    </row>
    <row r="211">
      <c r="B211" s="67" t="n"/>
      <c r="D211" s="67" t="n"/>
      <c r="E211" s="67" t="n"/>
      <c r="G211" s="67" t="n"/>
    </row>
    <row r="212">
      <c r="B212" s="67" t="n"/>
      <c r="D212" s="67" t="n"/>
      <c r="E212" s="67" t="n"/>
      <c r="G212" s="67" t="n"/>
    </row>
    <row r="213">
      <c r="B213" s="67" t="n"/>
      <c r="D213" s="67" t="n"/>
      <c r="E213" s="67" t="n"/>
      <c r="G213" s="67" t="n"/>
    </row>
    <row r="214">
      <c r="B214" s="67" t="n"/>
      <c r="D214" s="67" t="n"/>
      <c r="E214" s="67" t="n"/>
      <c r="G214" s="67" t="n"/>
    </row>
    <row r="215">
      <c r="B215" s="67" t="n"/>
      <c r="D215" s="67" t="n"/>
      <c r="E215" s="67" t="n"/>
      <c r="G215" s="67" t="n"/>
    </row>
    <row r="216">
      <c r="B216" s="67" t="n"/>
      <c r="D216" s="67" t="n"/>
      <c r="E216" s="67" t="n"/>
      <c r="G216" s="67" t="n"/>
    </row>
    <row r="217">
      <c r="B217" s="67" t="n"/>
      <c r="D217" s="67" t="n"/>
      <c r="E217" s="67" t="n"/>
      <c r="G217" s="67" t="n"/>
    </row>
    <row r="218">
      <c r="B218" s="67" t="n"/>
      <c r="D218" s="67" t="n"/>
      <c r="E218" s="67" t="n"/>
      <c r="G218" s="67" t="n"/>
    </row>
    <row r="219">
      <c r="B219" s="67" t="n"/>
      <c r="D219" s="67" t="n"/>
      <c r="E219" s="67" t="n"/>
      <c r="G219" s="67" t="n"/>
    </row>
    <row r="220">
      <c r="B220" s="67" t="n"/>
      <c r="D220" s="67" t="n"/>
      <c r="E220" s="67" t="n"/>
      <c r="G220" s="67" t="n"/>
    </row>
  </sheetData>
  <mergeCells count="9">
    <mergeCell ref="B3:G3"/>
    <mergeCell ref="D8:E8"/>
    <mergeCell ref="B5:G5"/>
    <mergeCell ref="B10:C10"/>
    <mergeCell ref="B4:G4"/>
    <mergeCell ref="F8:G8"/>
    <mergeCell ref="B8:C8"/>
    <mergeCell ref="B7:G7"/>
    <mergeCell ref="B6:G6"/>
  </mergeCells>
  <conditionalFormatting sqref="E9">
    <cfRule type="cellIs" priority="1" operator="greaterThan" dxfId="5">
      <formula>0</formula>
    </cfRule>
  </conditionalFormatting>
  <conditionalFormatting sqref="B20:B220">
    <cfRule type="expression" priority="2" dxfId="6">
      <formula>AND(LEN($B20&amp;$C20&amp;$D20&amp;$E20&amp;$F20&amp;$G20)&gt;0,B20="")</formula>
    </cfRule>
  </conditionalFormatting>
  <conditionalFormatting sqref="C20:C220">
    <cfRule type="expression" priority="3" dxfId="6">
      <formula>AND(LEN($B20&amp;$C20&amp;$D20&amp;$E20&amp;$F20&amp;$G20)&gt;0,C20="")</formula>
    </cfRule>
  </conditionalFormatting>
  <conditionalFormatting sqref="D20:D220">
    <cfRule type="expression" priority="4" dxfId="6">
      <formula>AND(LEN($B20&amp;$C20&amp;$D20&amp;$E20&amp;$F20&amp;$G20)&gt;0,D20="")</formula>
    </cfRule>
  </conditionalFormatting>
  <conditionalFormatting sqref="F20:F220">
    <cfRule type="expression" priority="5" dxfId="6">
      <formula>AND(LEN($B20&amp;$C20&amp;$D20&amp;$E20&amp;$F20&amp;$G20)&gt;0,F20="")</formula>
    </cfRule>
  </conditionalFormatting>
  <conditionalFormatting sqref="G20:G220">
    <cfRule type="expression" priority="6" dxfId="6">
      <formula>AND(LEN($B20&amp;$C20&amp;$D20&amp;$E20&amp;$F20&amp;$G20)&gt;0,G20="")</formula>
    </cfRule>
  </conditionalFormatting>
  <dataValidations count="8">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G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policy_ref" error="At most 60 characters." promptTitle="legacy_policy_ref" prompt="Yes. Legacy reference of the policy term Allowed: legacy_policy_ref of P01" type="textLength" operator="lessThanOrEqual">
      <formula1>60</formula1>
    </dataValidation>
    <dataValidation sqref="C20:C220" showDropDown="0" showInputMessage="1" showErrorMessage="1" allowBlank="1" errorTitle="share_seq" error="Enter a whole number." promptTitle="share_seq" prompt="Yes. Sequence of the insurer Allowed: A whole number" type="whole" operator="greaterThanOrEqual">
      <formula1>-1E+15</formula1>
    </dataValidation>
    <dataValidation sqref="D20:D220" showDropDown="0" showInputMessage="1" showErrorMessage="1" allowBlank="1" errorTitle="insurer_code" error="At most 30 characters." promptTitle="insurer_code" prompt="Yes. Insurer Allowed: The legacy code; mapped by the code map INSURER (sheet Code maps)" type="textLength" operator="lessThanOrEqual">
      <formula1>30</formula1>
    </dataValidation>
    <dataValidation sqref="E20:E220" showDropDown="0" showInputMessage="1" showErrorMessage="1" allowBlank="1" errorTitle="insurer_branch_code" error="At most 20 characters." promptTitle="insurer_branch_code" prompt="No. Insurer branch Allowed: The legacy code; mapped by the code map INSURER_BRANCH (sheet Code maps)" type="textLength" operator="lessThanOrEqual">
      <formula1>20</formula1>
    </dataValidation>
    <dataValidation sqref="F20:F220" showDropDown="0" showInputMessage="1" showErrorMessage="1" allowBlank="1" errorTitle="share_pct" error="Enter a number." promptTitle="share_pct" prompt="Yes. Share in percent Allowed: A number" type="decimal" operator="greaterThanOrEqual">
      <formula1>-1E+15</formula1>
    </dataValidation>
    <dataValidation sqref="G20:G220" showDropDown="0" showInputMessage="1" showErrorMessage="1" allowBlank="1" errorTitle="lead_flag" error="Choose a value of the list Yes or no (sheet Reference lists)." promptTitle="lead_flag" prompt="Yes. Lead insurer Allowed: Y or N" type="list" errorStyle="stop">
      <formula1>=LIST_YES_NO</formula1>
    </dataValidation>
  </dataValidations>
  <hyperlinks>
    <hyperlink ref="A2" location="'Load templates'!A1"/>
    <hyperlink ref="G2" location="'Comments log'!A1"/>
    <hyperlink ref="B8" location="'P01 In-force policy headers'!A1"/>
    <hyperlink ref="D8" location="'C01 Client master'!A1"/>
    <hyperlink ref="F8" location="'C02 Client addresses and contac'!A1"/>
    <hyperlink ref="D17" location="'Code maps'!A1"/>
    <hyperlink ref="E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6.xml><?xml version="1.0" encoding="utf-8"?>
<worksheet xmlns="http://schemas.openxmlformats.org/spreadsheetml/2006/main">
  <sheetPr>
    <tabColor rgb="00004EA8"/>
    <outlinePr summaryBelow="0" summaryRight="1"/>
    <pageSetUpPr fitToPage="1"/>
  </sheetPr>
  <dimension ref="A1:AM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7" customWidth="1" min="3" max="3"/>
    <col width="22" customWidth="1" min="4" max="4"/>
    <col width="19" customWidth="1" min="5" max="5"/>
    <col width="22" customWidth="1" min="6" max="6"/>
    <col width="18" customWidth="1" min="7" max="7"/>
    <col width="16" customWidth="1" min="8" max="8"/>
    <col width="21" customWidth="1" min="9" max="9"/>
    <col width="17" customWidth="1" min="10" max="10"/>
    <col width="26" customWidth="1" min="11" max="11"/>
    <col width="13" customWidth="1" min="12" max="12"/>
    <col width="20" customWidth="1" min="13" max="13"/>
    <col width="17" customWidth="1" min="14" max="14"/>
    <col width="17" customWidth="1" min="15" max="15"/>
    <col width="13" customWidth="1" min="16" max="16"/>
    <col width="19" customWidth="1" min="17" max="17"/>
    <col width="16" customWidth="1" min="18" max="18"/>
    <col width="15.90909090909091" customWidth="1" min="19" max="19"/>
    <col width="15.90909090909091" customWidth="1" min="20" max="20"/>
    <col width="19" customWidth="1" min="21" max="21"/>
    <col width="15.90909090909091" customWidth="1" min="22" max="22"/>
    <col width="20" customWidth="1" min="23" max="23"/>
    <col width="16" customWidth="1" min="24" max="24"/>
    <col width="16" customWidth="1" min="25" max="25"/>
    <col width="16" customWidth="1" min="26" max="26"/>
    <col width="27.27272727272727" customWidth="1" min="27" max="27"/>
    <col width="19.54545454545454" customWidth="1" min="28" max="28"/>
    <col width="22" customWidth="1" min="29" max="29"/>
    <col width="18" customWidth="1" min="30" max="30"/>
    <col width="24" customWidth="1" min="31" max="31"/>
    <col width="22" customWidth="1" min="32" max="32"/>
    <col width="12" customWidth="1" min="33" max="33"/>
    <col width="13" customWidth="1" min="34" max="34"/>
    <col width="28" customWidth="1" min="35" max="35"/>
    <col width="14" customWidth="1" min="36" max="36"/>
    <col width="30" customWidth="1" min="37" max="37"/>
    <col width="22" customWidth="1" min="38" max="38"/>
    <col width="23" customWidth="1" min="39" max="39"/>
  </cols>
  <sheetData>
    <row r="1" ht="26" customHeight="1">
      <c r="A1" s="44" t="inlineStr">
        <is>
          <t>F01 Open legacy invoices - header</t>
        </is>
      </c>
      <c r="AM1" s="45" t="inlineStr">
        <is>
          <t>Step 17 of 29</t>
        </is>
      </c>
    </row>
    <row r="2">
      <c r="A2" s="46" t="inlineStr">
        <is>
          <t>← Back to Load templates</t>
        </is>
      </c>
      <c r="B2" s="47" t="inlineStr">
        <is>
          <t>Step 17 of 29. Fill in one row per record below the column headers; the guide above each column says what to enter.</t>
        </is>
      </c>
      <c r="AM2" s="48" t="inlineStr">
        <is>
          <t>Ask a question →</t>
        </is>
      </c>
    </row>
    <row r="3" outlineLevel="1" ht="15.5" customHeight="1">
      <c r="A3" s="49" t="inlineStr">
        <is>
          <t>Purpose</t>
        </is>
      </c>
      <c r="B3" s="50" t="inlineStr">
        <is>
          <t>One row per record of Open legacy invoices (premium receivable, paid not remitted, commission receivable, PR2307), with components and insurer shares as extracted from EBIX, QPS. Key legacy_invoice_no. Sent as the file F01_template.csv (CSV, header row as below) with its control file (row count, count of distinct keys; amount totals per currency: gross_premium, commission, vat_on_commission).</t>
        </is>
      </c>
    </row>
    <row r="4" outlineLevel="1" ht="15.5" customHeight="1">
      <c r="A4" s="49" t="inlineStr">
        <is>
          <t>Provided by</t>
        </is>
      </c>
      <c r="B4" s="50" t="inlineStr">
        <is>
          <t>Operations data steward (to name); approved by Operations - Financial Transactions; Head, Comptrollership; extracted by BDOI IT</t>
        </is>
      </c>
    </row>
    <row r="5" outlineLevel="1" ht="15.5" customHeight="1">
      <c r="A5" s="49" t="inlineStr">
        <is>
          <t>Due</t>
        </is>
      </c>
      <c r="B5" s="51" t="inlineStr">
        <is>
          <t>M3 (29 Jan 2027); final at T-2</t>
        </is>
      </c>
    </row>
    <row r="6" outlineLevel="1" ht="15.5" customHeight="1">
      <c r="A6" s="49" t="inlineStr">
        <is>
          <t>How it is loaded</t>
        </is>
      </c>
      <c r="B6" s="50" t="inlineStr">
        <is>
          <t>Data migration object F01 (Carry forward), layout F01 version 1, through the Migration Console; lands in: Operations invoice ledger (invoices, insurer shares, components) with an opening accounting entry on the legacy sub-ledgers</t>
        </is>
      </c>
    </row>
    <row r="7" outlineLevel="1" ht="15.5" customHeight="1">
      <c r="A7" s="49" t="inlineStr">
        <is>
          <t>Source</t>
        </is>
      </c>
      <c r="B7" s="50" t="inlineStr">
        <is>
          <t>EBIX, QPS</t>
        </is>
      </c>
    </row>
    <row r="8" outlineLevel="1" ht="26" customHeight="1">
      <c r="A8" s="49" t="inlineStr">
        <is>
          <t>Depends on</t>
        </is>
      </c>
      <c r="B8" s="68" t="inlineStr">
        <is>
          <t>C01 Client master →</t>
        </is>
      </c>
      <c r="D8" s="68" t="inlineStr">
        <is>
          <t>C02 Client addresses and contacts →</t>
        </is>
      </c>
      <c r="F8" s="68" t="inlineStr">
        <is>
          <t>R04 Insurers →</t>
        </is>
      </c>
      <c r="H8" s="68" t="inlineStr">
        <is>
          <t>R04B Insurer branches →</t>
        </is>
      </c>
      <c r="J8" s="68" t="inlineStr">
        <is>
          <t>R05 Product lines, cover types, products and risk codes →</t>
        </is>
      </c>
      <c r="L8" s="68" t="inlineStr">
        <is>
          <t>P01 In-force policy headers →</t>
        </is>
      </c>
      <c r="N8" s="68" t="inlineStr">
        <is>
          <t>P01S Policy insurer shares →</t>
        </is>
      </c>
    </row>
    <row r="9" ht="26" customHeight="1">
      <c r="A9" s="53" t="inlineStr">
        <is>
          <t>Progress</t>
        </is>
      </c>
      <c r="B9" s="54" t="inlineStr">
        <is>
          <t>Rows entered</t>
        </is>
      </c>
      <c r="C9" s="55">
        <f>SUMPRODUCT(((ROW($B$20:$B$220)&gt;20)+($B$20&lt;&gt;"I00123456")&gt;0)*(LEN($B$20:$B$220&amp;$C$20:$C$220&amp;$D$20:$D$220&amp;$E$20:$E$220&amp;$F$20:$F$220&amp;$G$20:$G$220&amp;$H$20:$H$220&amp;$I$20:$I$220&amp;$J$20:$J$220&amp;$K$20:$K$220&amp;$L$20:$L$220&amp;$M$20:$M$220&amp;$N$20:$N$220&amp;$O$20:$O$220&amp;$P$20:$P$220&amp;$Q$20:$Q$220&amp;$R$20:$R$220&amp;$S$20:$S$220&amp;$T$20:$T$220&amp;$U$20:$U$220&amp;$V$20:$V$220&amp;$W$20:$W$220&amp;$X$20:$X$220&amp;$Y$20:$Y$220&amp;$Z$20:$Z$220&amp;$AA$20:$AA$220&amp;$AB$20:$AB$220&amp;$AC$20:$AC$220&amp;$AD$20:$AD$220&amp;$AE$20:$AE$220&amp;$AF$20:$AF$220&amp;$AG$20:$AG$220&amp;$AH$20:$AH$220&amp;$AI$20:$AI$220&amp;$AJ$20:$AJ$220&amp;$AK$20:$AK$220&amp;$AL$20:$AL$220&amp;$AM$20:$AM$220)&gt;0))</f>
        <v/>
      </c>
      <c r="D9" s="54" t="inlineStr">
        <is>
          <t>Mandatory cells missing</t>
        </is>
      </c>
      <c r="E9" s="55">
        <f>SUMPRODUCT(((ROW($B$20:$B$220)&gt;20)+($B$20&lt;&gt;"I00123456")&gt;0)*(LEN($B$20:$B$220&amp;$C$20:$C$220&amp;$D$20:$D$220&amp;$E$20:$E$220&amp;$F$20:$F$220&amp;$G$20:$G$220&amp;$H$20:$H$220&amp;$I$20:$I$220&amp;$J$20:$J$220&amp;$K$20:$K$220&amp;$L$20:$L$220&amp;$M$20:$M$220&amp;$N$20:$N$220&amp;$O$20:$O$220&amp;$P$20:$P$220&amp;$Q$20:$Q$220&amp;$R$20:$R$220&amp;$S$20:$S$220&amp;$T$20:$T$220&amp;$U$20:$U$220&amp;$V$20:$V$220&amp;$W$20:$W$220&amp;$X$20:$X$220&amp;$Y$20:$Y$220&amp;$Z$20:$Z$220&amp;$AA$20:$AA$220&amp;$AB$20:$AB$220&amp;$AC$20:$AC$220&amp;$AD$20:$AD$220&amp;$AE$20:$AE$220&amp;$AF$20:$AF$220&amp;$AG$20:$AG$220&amp;$AH$20:$AH$220&amp;$AI$20:$AI$220&amp;$AJ$20:$AJ$220&amp;$AK$20:$AK$220&amp;$AL$20:$AL$220&amp;$AM$20:$AM$220)&gt;0)*(($B$20:$B$220="")+($C$20:$C$220="")+($G$20:$G$220="")+($I$20:$I$220="")+($J$20:$J$220="")+($L$20:$L$220="")+($N$20:$N$220="")+($O$20:$O$220="")+($P$20:$P$220="")+($Q$20:$Q$220="")+($R$20:$R$220="")+($S$20:$S$220="")+($T$20:$T$220="")+($U$20:$U$220="")+($V$20:$V$220="")+($W$20:$W$220="")+($X$20:$X$220="")+($AA$20:$AA$220="")+($AB$20:$AB$220="")+($AC$20:$AC$220="")+($AD$20:$AD$220="")+($AE$20:$AE$220="")+($AG$20:$AG$220="")+($AH$20:$AH$220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row>
    <row r="12" ht="30" customHeight="1">
      <c r="A12" s="59" t="inlineStr">
        <is>
          <t>BU review</t>
        </is>
      </c>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c r="AB12" s="60" t="n"/>
      <c r="AC12" s="60" t="n"/>
      <c r="AD12" s="60" t="n"/>
      <c r="AE12" s="60" t="n"/>
      <c r="AF12" s="60" t="n"/>
      <c r="AG12" s="60" t="n"/>
      <c r="AH12" s="60" t="n"/>
      <c r="AI12" s="60" t="n"/>
      <c r="AJ12" s="60" t="n"/>
      <c r="AK12" s="60" t="n"/>
      <c r="AL12" s="60" t="n"/>
      <c r="AM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c r="AA13" s="60" t="n"/>
      <c r="AB13" s="60" t="n"/>
      <c r="AC13" s="60" t="n"/>
      <c r="AD13" s="60" t="n"/>
      <c r="AE13" s="60" t="n"/>
      <c r="AF13" s="60" t="n"/>
      <c r="AG13" s="60" t="n"/>
      <c r="AH13" s="60" t="n"/>
      <c r="AI13" s="60" t="n"/>
      <c r="AJ13" s="60" t="n"/>
      <c r="AK13" s="60" t="n"/>
      <c r="AL13" s="60" t="n"/>
      <c r="AM13" s="60" t="n"/>
    </row>
    <row r="14" ht="56" customHeight="1">
      <c r="A14" s="59" t="inlineStr">
        <is>
          <t>Check when loaded</t>
        </is>
      </c>
      <c r="B14" s="61" t="inlineStr">
        <is>
          <t>Unique across EBIX and QPS</t>
        </is>
      </c>
      <c r="C14" s="61" t="inlineStr">
        <is>
          <t>In the list</t>
        </is>
      </c>
      <c r="D14" s="61" t="inlineStr">
        <is>
          <t>Mandatory for ENDORSEMENT_PLUS, ENDORSEMENT_MINUS and CANCELLATION; parent in the file or loaded</t>
        </is>
      </c>
      <c r="E14" s="61" t="inlineStr">
        <is>
          <t>-</t>
        </is>
      </c>
      <c r="F14" s="61" t="inlineStr">
        <is>
          <t>Mandatory when P01 is in scope; exists in P01</t>
        </is>
      </c>
      <c r="G14" s="61" t="inlineStr">
        <is>
          <t>Not blank</t>
        </is>
      </c>
      <c r="H14" s="61" t="inlineStr">
        <is>
          <t>1 or more</t>
        </is>
      </c>
      <c r="I14" s="61" t="inlineStr">
        <is>
          <t>Client loaded</t>
        </is>
      </c>
      <c r="J14" s="61" t="inlineStr">
        <is>
          <t>Not blank</t>
        </is>
      </c>
      <c r="K14" s="61" t="inlineStr">
        <is>
          <t>-</t>
        </is>
      </c>
      <c r="L14" s="61" t="inlineStr">
        <is>
          <t>Valid code</t>
        </is>
      </c>
      <c r="M14" s="61" t="inlineStr">
        <is>
          <t>Mandatory when currency is not PHP</t>
        </is>
      </c>
      <c r="N14" s="61" t="inlineStr">
        <is>
          <t>Before the cutover date</t>
        </is>
      </c>
      <c r="O14" s="61" t="inlineStr">
        <is>
          <t>Before the cutover date</t>
        </is>
      </c>
      <c r="P14" s="61" t="inlineStr">
        <is>
          <t>Valid date</t>
        </is>
      </c>
      <c r="Q14" s="61" t="inlineStr">
        <is>
          <t>Valid date</t>
        </is>
      </c>
      <c r="R14" s="61" t="inlineStr">
        <is>
          <t>On or after inception_date</t>
        </is>
      </c>
      <c r="S14" s="61" t="inlineStr">
        <is>
          <t>Mapped</t>
        </is>
      </c>
      <c r="T14" s="61" t="inlineStr">
        <is>
          <t>Mapped</t>
        </is>
      </c>
      <c r="U14" s="61" t="inlineStr">
        <is>
          <t>Mapped</t>
        </is>
      </c>
      <c r="V14" s="61" t="inlineStr">
        <is>
          <t>Mapped in USER</t>
        </is>
      </c>
      <c r="W14" s="61" t="inlineStr">
        <is>
          <t>Mapped</t>
        </is>
      </c>
      <c r="X14" s="61" t="inlineStr">
        <is>
          <t>Mapped</t>
        </is>
      </c>
      <c r="Y14" s="61" t="inlineStr">
        <is>
          <t>Mapped</t>
        </is>
      </c>
      <c r="Z14" s="61" t="inlineStr">
        <is>
          <t>-</t>
        </is>
      </c>
      <c r="AA14" s="61">
        <f> sum of F01C booked for BASIC, DST, PREMIUM_TAX_VAT, LGT, FST, OTHER</f>
        <v/>
      </c>
      <c r="AB14" s="61">
        <f> F01C booked COMMISSION</f>
        <v/>
      </c>
      <c r="AC14" s="61">
        <f> F01C booked COMMISSION_VAT</f>
        <v/>
      </c>
      <c r="AD14" s="61" t="inlineStr">
        <is>
          <t>0 to 100</t>
        </is>
      </c>
      <c r="AE14" s="61" t="inlineStr">
        <is>
          <t>0 to commission</t>
        </is>
      </c>
      <c r="AF14" s="61" t="inlineStr">
        <is>
          <t>0 to vat_on_commission</t>
        </is>
      </c>
      <c r="AG14" s="61" t="inlineStr">
        <is>
          <t>Y or N</t>
        </is>
      </c>
      <c r="AH14" s="61" t="inlineStr">
        <is>
          <t>Y or N</t>
        </is>
      </c>
      <c r="AI14" s="61" t="inlineStr">
        <is>
          <t>Y or N</t>
        </is>
      </c>
      <c r="AJ14" s="61" t="inlineStr">
        <is>
          <t>Y or N</t>
        </is>
      </c>
      <c r="AK14" s="61" t="inlineStr">
        <is>
          <t>-</t>
        </is>
      </c>
      <c r="AL14" s="61" t="inlineStr">
        <is>
          <t>Not after the freeze</t>
        </is>
      </c>
      <c r="AM14" s="61" t="inlineStr">
        <is>
          <t>-</t>
        </is>
      </c>
    </row>
    <row r="15" ht="69" customHeight="1">
      <c r="A15" s="59" t="inlineStr">
        <is>
          <t>Mandatory</t>
        </is>
      </c>
      <c r="B15" s="62" t="inlineStr">
        <is>
          <t>Yes</t>
        </is>
      </c>
      <c r="C15" s="62" t="inlineStr">
        <is>
          <t>Yes</t>
        </is>
      </c>
      <c r="D15" s="61" t="inlineStr">
        <is>
          <t>Conditional: Mandatory for ENDORSEMENT_PLUS, ENDORSEMENT_MINUS and CANCELLATION; parent in the file or loaded</t>
        </is>
      </c>
      <c r="E15" s="61" t="inlineStr">
        <is>
          <t>No</t>
        </is>
      </c>
      <c r="F15" s="61" t="inlineStr">
        <is>
          <t>Conditional: Mandatory when P01 is in scope; exists in P01</t>
        </is>
      </c>
      <c r="G15" s="62" t="inlineStr">
        <is>
          <t>Yes</t>
        </is>
      </c>
      <c r="H15" s="61" t="inlineStr">
        <is>
          <t>No</t>
        </is>
      </c>
      <c r="I15" s="62" t="inlineStr">
        <is>
          <t>Yes</t>
        </is>
      </c>
      <c r="J15" s="62" t="inlineStr">
        <is>
          <t>Yes</t>
        </is>
      </c>
      <c r="K15" s="61" t="inlineStr">
        <is>
          <t>No</t>
        </is>
      </c>
      <c r="L15" s="62" t="inlineStr">
        <is>
          <t>Yes</t>
        </is>
      </c>
      <c r="M15" s="61" t="inlineStr">
        <is>
          <t>Conditional: Mandatory when currency is not PHP</t>
        </is>
      </c>
      <c r="N15" s="62" t="inlineStr">
        <is>
          <t>Yes</t>
        </is>
      </c>
      <c r="O15" s="62" t="inlineStr">
        <is>
          <t>Yes</t>
        </is>
      </c>
      <c r="P15" s="62" t="inlineStr">
        <is>
          <t>Yes</t>
        </is>
      </c>
      <c r="Q15" s="62" t="inlineStr">
        <is>
          <t>Yes</t>
        </is>
      </c>
      <c r="R15" s="62" t="inlineStr">
        <is>
          <t>Yes</t>
        </is>
      </c>
      <c r="S15" s="62" t="inlineStr">
        <is>
          <t>Yes</t>
        </is>
      </c>
      <c r="T15" s="62" t="inlineStr">
        <is>
          <t>Yes</t>
        </is>
      </c>
      <c r="U15" s="62" t="inlineStr">
        <is>
          <t>Yes</t>
        </is>
      </c>
      <c r="V15" s="62" t="inlineStr">
        <is>
          <t>Yes</t>
        </is>
      </c>
      <c r="W15" s="62" t="inlineStr">
        <is>
          <t>Yes</t>
        </is>
      </c>
      <c r="X15" s="62" t="inlineStr">
        <is>
          <t>Yes</t>
        </is>
      </c>
      <c r="Y15" s="61" t="inlineStr">
        <is>
          <t>No</t>
        </is>
      </c>
      <c r="Z15" s="61" t="inlineStr">
        <is>
          <t>No</t>
        </is>
      </c>
      <c r="AA15" s="62" t="inlineStr">
        <is>
          <t>Yes</t>
        </is>
      </c>
      <c r="AB15" s="62" t="inlineStr">
        <is>
          <t>Yes</t>
        </is>
      </c>
      <c r="AC15" s="62" t="inlineStr">
        <is>
          <t>Yes</t>
        </is>
      </c>
      <c r="AD15" s="62" t="inlineStr">
        <is>
          <t>Yes</t>
        </is>
      </c>
      <c r="AE15" s="62" t="inlineStr">
        <is>
          <t>Yes</t>
        </is>
      </c>
      <c r="AF15" s="61" t="inlineStr">
        <is>
          <t>No</t>
        </is>
      </c>
      <c r="AG15" s="62" t="inlineStr">
        <is>
          <t>Yes</t>
        </is>
      </c>
      <c r="AH15" s="62" t="inlineStr">
        <is>
          <t>Yes</t>
        </is>
      </c>
      <c r="AI15" s="61" t="inlineStr">
        <is>
          <t>No</t>
        </is>
      </c>
      <c r="AJ15" s="61" t="inlineStr">
        <is>
          <t>No</t>
        </is>
      </c>
      <c r="AK15" s="61" t="inlineStr">
        <is>
          <t>No</t>
        </is>
      </c>
      <c r="AL15" s="61" t="inlineStr">
        <is>
          <t>No</t>
        </is>
      </c>
      <c r="AM15" s="61" t="inlineStr">
        <is>
          <t>No</t>
        </is>
      </c>
    </row>
    <row r="16" ht="43" customHeight="1">
      <c r="A16" s="59" t="inlineStr">
        <is>
          <t>Format</t>
        </is>
      </c>
      <c r="B16" s="61" t="inlineStr">
        <is>
          <t>Code, up to 40; EBIX I########</t>
        </is>
      </c>
      <c r="C16" s="61" t="inlineStr">
        <is>
          <t>Code, up to 20; Upper case</t>
        </is>
      </c>
      <c r="D16" s="61" t="inlineStr">
        <is>
          <t>Code, up to 40; As stored in legacy</t>
        </is>
      </c>
      <c r="E16" s="61" t="inlineStr">
        <is>
          <t>Text, up to 40; As stored in legacy</t>
        </is>
      </c>
      <c r="F16" s="61" t="inlineStr">
        <is>
          <t>Code, up to 60; As in P01</t>
        </is>
      </c>
      <c r="G16" s="61" t="inlineStr">
        <is>
          <t>Text, up to 60; As issued</t>
        </is>
      </c>
      <c r="H16" s="61" t="inlineStr">
        <is>
          <t>Integer, up to 2; Digits</t>
        </is>
      </c>
      <c r="I16" s="61" t="inlineStr">
        <is>
          <t>Code, up to 30; As stored in legacy</t>
        </is>
      </c>
      <c r="J16" s="61" t="inlineStr">
        <is>
          <t>Text, up to 250; Free text</t>
        </is>
      </c>
      <c r="K16" s="61" t="inlineStr">
        <is>
          <t>Text, up to 250; Free text</t>
        </is>
      </c>
      <c r="L16" s="61" t="inlineStr">
        <is>
          <t>Code, up to 3; Upper case</t>
        </is>
      </c>
      <c r="M16" s="61" t="inlineStr">
        <is>
          <t>Decimal, up to 12,6; Dot decimal</t>
        </is>
      </c>
      <c r="N16" s="61" t="inlineStr">
        <is>
          <t>Date, up to 10; yyyy-MM-dd</t>
        </is>
      </c>
      <c r="O16" s="61" t="inlineStr">
        <is>
          <t>Date, up to 10; yyyy-MM-dd</t>
        </is>
      </c>
      <c r="P16" s="61" t="inlineStr">
        <is>
          <t>Date, up to 10; yyyy-MM-dd</t>
        </is>
      </c>
      <c r="Q16" s="61" t="inlineStr">
        <is>
          <t>Date, up to 10; yyyy-MM-dd</t>
        </is>
      </c>
      <c r="R16" s="61" t="inlineStr">
        <is>
          <t>Date, up to 10; yyyy-MM-dd</t>
        </is>
      </c>
      <c r="S16" s="61" t="inlineStr">
        <is>
          <t>Code, up to 20; As stored in legacy</t>
        </is>
      </c>
      <c r="T16" s="61" t="inlineStr">
        <is>
          <t>Code, up to 30; As stored in legacy</t>
        </is>
      </c>
      <c r="U16" s="61" t="inlineStr">
        <is>
          <t>Code, up to 40; As stored in legacy</t>
        </is>
      </c>
      <c r="V16" s="61" t="inlineStr">
        <is>
          <t>Code, up to 50; As stored in legacy</t>
        </is>
      </c>
      <c r="W16" s="61" t="inlineStr">
        <is>
          <t>Code, up to 20; As stored in legacy</t>
        </is>
      </c>
      <c r="X16" s="61" t="inlineStr">
        <is>
          <t>Code, up to 20; As stored in legacy</t>
        </is>
      </c>
      <c r="Y16" s="61" t="inlineStr">
        <is>
          <t>Code, up to 20; As stored in legacy</t>
        </is>
      </c>
      <c r="Z16" s="61" t="inlineStr">
        <is>
          <t>Text, up to 500; PN;PN</t>
        </is>
      </c>
      <c r="AA16" s="61" t="inlineStr">
        <is>
          <t>Amount, up to 19,2; Dot decimal, 2 decimals; minus for return invoices</t>
        </is>
      </c>
      <c r="AB16" s="61" t="inlineStr">
        <is>
          <t>Amount, up to 19,2; Dot decimal, 2 decimals</t>
        </is>
      </c>
      <c r="AC16" s="61" t="inlineStr">
        <is>
          <t>Amount, up to 19,2; Dot decimal, 2 decimals</t>
        </is>
      </c>
      <c r="AD16" s="61" t="inlineStr">
        <is>
          <t>Decimal, up to 9,4; Dot decimal</t>
        </is>
      </c>
      <c r="AE16" s="61" t="inlineStr">
        <is>
          <t>Amount, up to 19,2; Dot decimal, 2 decimals</t>
        </is>
      </c>
      <c r="AF16" s="61" t="inlineStr">
        <is>
          <t>Amount, up to 19,2; Dot decimal, 2 decimals</t>
        </is>
      </c>
      <c r="AG16" s="61" t="inlineStr">
        <is>
          <t>Flag, up to 1; Y or N</t>
        </is>
      </c>
      <c r="AH16" s="61" t="inlineStr">
        <is>
          <t>Flag, up to 1; Y or N</t>
        </is>
      </c>
      <c r="AI16" s="61" t="inlineStr">
        <is>
          <t>Flag, up to 1; Y or N</t>
        </is>
      </c>
      <c r="AJ16" s="61" t="inlineStr">
        <is>
          <t>Flag, up to 1; Y or N</t>
        </is>
      </c>
      <c r="AK16" s="61" t="inlineStr">
        <is>
          <t>Text, up to 40; As printed</t>
        </is>
      </c>
      <c r="AL16" s="61" t="inlineStr">
        <is>
          <t>Date, up to 10; yyyy-MM-dd</t>
        </is>
      </c>
      <c r="AM16" s="61" t="inlineStr">
        <is>
          <t>Text, up to 500; Free text</t>
        </is>
      </c>
    </row>
    <row r="17" ht="69" customHeight="1">
      <c r="A17" s="59" t="inlineStr">
        <is>
          <t>Allowed values</t>
        </is>
      </c>
      <c r="B17" s="61" t="inlineStr">
        <is>
          <t>Free entry, up to 40 characters</t>
        </is>
      </c>
      <c r="C17" s="69" t="inlineStr">
        <is>
          <t>BOOKING, ENDORSEMENT_PLUS, ENDORSEMENT_MINUS, CANCELLATION (list F01 invoice_kind)</t>
        </is>
      </c>
      <c r="D17" s="61" t="inlineStr">
        <is>
          <t>legacy_invoice_no values</t>
        </is>
      </c>
      <c r="E17" s="61" t="inlineStr">
        <is>
          <t>Free entry, up to 40 characters</t>
        </is>
      </c>
      <c r="F17" s="61" t="inlineStr">
        <is>
          <t>legacy_policy_ref of P01</t>
        </is>
      </c>
      <c r="G17" s="61" t="inlineStr">
        <is>
          <t>Free entry, up to 60 characters</t>
        </is>
      </c>
      <c r="H17" s="61" t="inlineStr">
        <is>
          <t>A whole number</t>
        </is>
      </c>
      <c r="I17" s="61" t="inlineStr">
        <is>
          <t>legacy_client_no of C01</t>
        </is>
      </c>
      <c r="J17" s="61" t="inlineStr">
        <is>
          <t>Free entry, up to 250 characters</t>
        </is>
      </c>
      <c r="K17" s="61" t="inlineStr">
        <is>
          <t>Free entry, up to 250 characters</t>
        </is>
      </c>
      <c r="L17" s="61" t="inlineStr">
        <is>
          <t>ISO 4217</t>
        </is>
      </c>
      <c r="M17" s="61" t="inlineStr">
        <is>
          <t>A number</t>
        </is>
      </c>
      <c r="N17" s="61" t="inlineStr">
        <is>
          <t>Free entry</t>
        </is>
      </c>
      <c r="O17" s="61" t="inlineStr">
        <is>
          <t>Free entry</t>
        </is>
      </c>
      <c r="P17" s="61" t="inlineStr">
        <is>
          <t>Free entry</t>
        </is>
      </c>
      <c r="Q17" s="61" t="inlineStr">
        <is>
          <t>Free entry</t>
        </is>
      </c>
      <c r="R17" s="61" t="inlineStr">
        <is>
          <t>Free entry</t>
        </is>
      </c>
      <c r="S17" s="69" t="inlineStr">
        <is>
          <t>The legacy code; mapped by the code map PRODUCT (sheet Code maps)</t>
        </is>
      </c>
      <c r="T17" s="69" t="inlineStr">
        <is>
          <t>The legacy code; mapped by the code map LINE (sheet Code maps)</t>
        </is>
      </c>
      <c r="U17" s="69" t="inlineStr">
        <is>
          <t>The legacy code; mapped by the code map LOV:MARKET_SEGMENT (sheet Code maps)</t>
        </is>
      </c>
      <c r="V17" s="69" t="inlineStr">
        <is>
          <t>The legacy code; mapped by the code map USER (sheet Code maps)</t>
        </is>
      </c>
      <c r="W17" s="69" t="inlineStr">
        <is>
          <t>The legacy code; mapped by the code map SALES_UNIT (sheet Code maps)</t>
        </is>
      </c>
      <c r="X17" s="69" t="inlineStr">
        <is>
          <t>The legacy code; mapped by the code map BRANCH (sheet Code maps)</t>
        </is>
      </c>
      <c r="Y17" s="69" t="inlineStr">
        <is>
          <t>The legacy code; mapped by the code map COST_CENTER (sheet Code maps)</t>
        </is>
      </c>
      <c r="Z17" s="61" t="inlineStr">
        <is>
          <t>Free entry, up to 500 characters</t>
        </is>
      </c>
      <c r="AA17" s="61" t="inlineStr">
        <is>
          <t>A number</t>
        </is>
      </c>
      <c r="AB17" s="61" t="inlineStr">
        <is>
          <t>A number</t>
        </is>
      </c>
      <c r="AC17" s="61" t="inlineStr">
        <is>
          <t>A number</t>
        </is>
      </c>
      <c r="AD17" s="61" t="inlineStr">
        <is>
          <t>A number</t>
        </is>
      </c>
      <c r="AE17" s="61" t="inlineStr">
        <is>
          <t>A number</t>
        </is>
      </c>
      <c r="AF17" s="61" t="inlineStr">
        <is>
          <t>A number</t>
        </is>
      </c>
      <c r="AG17" s="61" t="inlineStr">
        <is>
          <t>Y or N</t>
        </is>
      </c>
      <c r="AH17" s="61" t="inlineStr">
        <is>
          <t>Y or N</t>
        </is>
      </c>
      <c r="AI17" s="61" t="inlineStr">
        <is>
          <t>Y or N</t>
        </is>
      </c>
      <c r="AJ17" s="61" t="inlineStr">
        <is>
          <t>Y or N</t>
        </is>
      </c>
      <c r="AK17" s="61" t="inlineStr">
        <is>
          <t>Free entry, up to 40 characters</t>
        </is>
      </c>
      <c r="AL17" s="61" t="inlineStr">
        <is>
          <t>Free entry</t>
        </is>
      </c>
      <c r="AM17" s="61" t="inlineStr">
        <is>
          <t>Free entry, up to 500 characters</t>
        </is>
      </c>
    </row>
    <row r="18" ht="56" customHeight="1">
      <c r="A18" s="59" t="inlineStr">
        <is>
          <t>What to enter</t>
        </is>
      </c>
      <c r="B18" s="61" t="inlineStr">
        <is>
          <t>Invoice number in the source system</t>
        </is>
      </c>
      <c r="C18" s="61" t="inlineStr">
        <is>
          <t>Kind of invoice</t>
        </is>
      </c>
      <c r="D18" s="61" t="inlineStr">
        <is>
          <t>Original invoice of an endorsement or cancellation invoice</t>
        </is>
      </c>
      <c r="E18" s="61" t="inlineStr">
        <is>
          <t>Legacy endorsement number</t>
        </is>
      </c>
      <c r="F18" s="61" t="inlineStr">
        <is>
          <t>Legacy reference of the policy term</t>
        </is>
      </c>
      <c r="G18" s="61" t="inlineStr">
        <is>
          <t>Insurer policy number</t>
        </is>
      </c>
      <c r="H18" s="61" t="inlineStr">
        <is>
          <t>Year of a multi-year policy</t>
        </is>
      </c>
      <c r="I18" s="61" t="inlineStr">
        <is>
          <t>Client number of the assured</t>
        </is>
      </c>
      <c r="J18" s="61" t="inlineStr">
        <is>
          <t>Assured name on the invoice</t>
        </is>
      </c>
      <c r="K18" s="61" t="inlineStr">
        <is>
          <t>Payor if not the assured</t>
        </is>
      </c>
      <c r="L18" s="61" t="inlineStr">
        <is>
          <t>Invoice currency</t>
        </is>
      </c>
      <c r="M18" s="61" t="inlineStr">
        <is>
          <t>Exchange rate used at booking (foreign currency)</t>
        </is>
      </c>
      <c r="N18" s="61" t="inlineStr">
        <is>
          <t>Legacy booking date</t>
        </is>
      </c>
      <c r="O18" s="61" t="inlineStr">
        <is>
          <t>Invoice date</t>
        </is>
      </c>
      <c r="P18" s="61" t="inlineStr">
        <is>
          <t>Due date</t>
        </is>
      </c>
      <c r="Q18" s="61" t="inlineStr">
        <is>
          <t>Period from</t>
        </is>
      </c>
      <c r="R18" s="61" t="inlineStr">
        <is>
          <t>Period to</t>
        </is>
      </c>
      <c r="S18" s="61" t="inlineStr">
        <is>
          <t>Product / risk code</t>
        </is>
      </c>
      <c r="T18" s="61" t="inlineStr">
        <is>
          <t>Line of business</t>
        </is>
      </c>
      <c r="U18" s="61" t="inlineStr">
        <is>
          <t>Market segment</t>
        </is>
      </c>
      <c r="V18" s="61" t="inlineStr">
        <is>
          <t>Account officer</t>
        </is>
      </c>
      <c r="W18" s="61" t="inlineStr">
        <is>
          <t>Sales team</t>
        </is>
      </c>
      <c r="X18" s="61" t="inlineStr">
        <is>
          <t>Invoicing branch</t>
        </is>
      </c>
      <c r="Y18" s="61" t="inlineStr">
        <is>
          <t>Cost centre</t>
        </is>
      </c>
      <c r="Z18" s="61" t="inlineStr">
        <is>
          <t>Loan PN numbers, separated by semicolons</t>
        </is>
      </c>
      <c r="AA18" s="61" t="inlineStr">
        <is>
          <t>Gross premium of the invoice (sum of the six premium components)</t>
        </is>
      </c>
      <c r="AB18" s="61" t="inlineStr">
        <is>
          <t>Commission of the invoice</t>
        </is>
      </c>
      <c r="AC18" s="61" t="inlineStr">
        <is>
          <t>VAT on commission</t>
        </is>
      </c>
      <c r="AD18" s="61" t="inlineStr">
        <is>
          <t>Withholding tax rate on commission, in percent</t>
        </is>
      </c>
      <c r="AE18" s="61" t="inlineStr">
        <is>
          <t>Commission already realised (recognised as income) in legacy</t>
        </is>
      </c>
      <c r="AF18" s="61" t="inlineStr">
        <is>
          <t>Output VAT on commission still deferred</t>
        </is>
      </c>
      <c r="AG18" s="61" t="inlineStr">
        <is>
          <t>Direct-payment invoice (premium paid to the insurer)</t>
        </is>
      </c>
      <c r="AH18" s="61" t="inlineStr">
        <is>
          <t>Client withholds 2% (BIR 2307)</t>
        </is>
      </c>
      <c r="AI18" s="61" t="inlineStr">
        <is>
          <t>Counts for incentive programmes</t>
        </is>
      </c>
      <c r="AJ18" s="61" t="inlineStr">
        <is>
          <t>Remittance on hold in legacy</t>
        </is>
      </c>
      <c r="AK18" s="61" t="inlineStr">
        <is>
          <t>Legacy service invoice issued for the commission</t>
        </is>
      </c>
      <c r="AL18" s="61" t="inlineStr">
        <is>
          <t>Date of the last payment applied in legacy</t>
        </is>
      </c>
      <c r="AM18" s="61" t="inlineStr">
        <is>
          <t>Legacy remarks</t>
        </is>
      </c>
    </row>
    <row r="19" ht="30" customHeight="1">
      <c r="A19" s="63" t="inlineStr">
        <is>
          <t>Row</t>
        </is>
      </c>
      <c r="B19" s="24" t="inlineStr">
        <is>
          <t>legacy_invoice_no *</t>
        </is>
      </c>
      <c r="C19" s="24" t="inlineStr">
        <is>
          <t>invoice_kind *</t>
        </is>
      </c>
      <c r="D19" s="24" t="inlineStr">
        <is>
          <t>parent_invoice_no</t>
        </is>
      </c>
      <c r="E19" s="24" t="inlineStr">
        <is>
          <t>endorsement_no</t>
        </is>
      </c>
      <c r="F19" s="24" t="inlineStr">
        <is>
          <t>legacy_policy_ref</t>
        </is>
      </c>
      <c r="G19" s="24" t="inlineStr">
        <is>
          <t>policy_no *</t>
        </is>
      </c>
      <c r="H19" s="24" t="inlineStr">
        <is>
          <t>policy_year</t>
        </is>
      </c>
      <c r="I19" s="24" t="inlineStr">
        <is>
          <t>legacy_client_no *</t>
        </is>
      </c>
      <c r="J19" s="24" t="inlineStr">
        <is>
          <t>assured_name *</t>
        </is>
      </c>
      <c r="K19" s="24" t="inlineStr">
        <is>
          <t>payor_name</t>
        </is>
      </c>
      <c r="L19" s="24" t="inlineStr">
        <is>
          <t>currency *</t>
        </is>
      </c>
      <c r="M19" s="24" t="inlineStr">
        <is>
          <t>booking_fx_rate</t>
        </is>
      </c>
      <c r="N19" s="24" t="inlineStr">
        <is>
          <t>booking_date *</t>
        </is>
      </c>
      <c r="O19" s="24" t="inlineStr">
        <is>
          <t>invoice_date *</t>
        </is>
      </c>
      <c r="P19" s="24" t="inlineStr">
        <is>
          <t>due_date *</t>
        </is>
      </c>
      <c r="Q19" s="24" t="inlineStr">
        <is>
          <t>inception_date *</t>
        </is>
      </c>
      <c r="R19" s="24" t="inlineStr">
        <is>
          <t>expiry_date *</t>
        </is>
      </c>
      <c r="S19" s="24" t="inlineStr">
        <is>
          <t>risk_code *</t>
        </is>
      </c>
      <c r="T19" s="24" t="inlineStr">
        <is>
          <t>line_code *</t>
        </is>
      </c>
      <c r="U19" s="24" t="inlineStr">
        <is>
          <t>market_segment *</t>
        </is>
      </c>
      <c r="V19" s="24" t="inlineStr">
        <is>
          <t>ao_user_id *</t>
        </is>
      </c>
      <c r="W19" s="24" t="inlineStr">
        <is>
          <t>sales_unit_code *</t>
        </is>
      </c>
      <c r="X19" s="24" t="inlineStr">
        <is>
          <t>branch_code *</t>
        </is>
      </c>
      <c r="Y19" s="24" t="inlineStr">
        <is>
          <t>cost_center</t>
        </is>
      </c>
      <c r="Z19" s="24" t="inlineStr">
        <is>
          <t>pn_nos</t>
        </is>
      </c>
      <c r="AA19" s="24" t="inlineStr">
        <is>
          <t>gross_premium *</t>
        </is>
      </c>
      <c r="AB19" s="24" t="inlineStr">
        <is>
          <t>commission *</t>
        </is>
      </c>
      <c r="AC19" s="24" t="inlineStr">
        <is>
          <t>vat_on_commission *</t>
        </is>
      </c>
      <c r="AD19" s="24" t="inlineStr">
        <is>
          <t>wtax_rate_pct *</t>
        </is>
      </c>
      <c r="AE19" s="24" t="inlineStr">
        <is>
          <t>commission_realised *</t>
        </is>
      </c>
      <c r="AF19" s="24" t="inlineStr">
        <is>
          <t>deferred_vat_open</t>
        </is>
      </c>
      <c r="AG19" s="24" t="inlineStr">
        <is>
          <t>dp_flag *</t>
        </is>
      </c>
      <c r="AH19" s="24" t="inlineStr">
        <is>
          <t>cwt_flag *</t>
        </is>
      </c>
      <c r="AI19" s="24" t="inlineStr">
        <is>
          <t>incentive_eligible_flag</t>
        </is>
      </c>
      <c r="AJ19" s="24" t="inlineStr">
        <is>
          <t>hold_flag</t>
        </is>
      </c>
      <c r="AK19" s="24" t="inlineStr">
        <is>
          <t>legacy_service_invoice_no</t>
        </is>
      </c>
      <c r="AL19" s="24" t="inlineStr">
        <is>
          <t>last_payment_date</t>
        </is>
      </c>
      <c r="AM19" s="24" t="inlineStr">
        <is>
          <t>remarks</t>
        </is>
      </c>
    </row>
    <row r="20" ht="18" customHeight="1">
      <c r="A20" s="64" t="inlineStr">
        <is>
          <t>Example – overwrite or delete</t>
        </is>
      </c>
      <c r="B20" s="65" t="inlineStr">
        <is>
          <t>I00123456</t>
        </is>
      </c>
      <c r="C20" s="65" t="inlineStr">
        <is>
          <t>BOOKING</t>
        </is>
      </c>
      <c r="D20" s="65" t="inlineStr">
        <is>
          <t>I00119876</t>
        </is>
      </c>
      <c r="E20" s="65" t="inlineStr">
        <is>
          <t>END-2026-0456</t>
        </is>
      </c>
      <c r="F20" s="65" t="inlineStr">
        <is>
          <t>C-2026-004512-01</t>
        </is>
      </c>
      <c r="G20" s="65" t="inlineStr">
        <is>
          <t>MC-PC-26-0012345</t>
        </is>
      </c>
      <c r="H20" s="66" t="n">
        <v>1</v>
      </c>
      <c r="I20" s="65" t="inlineStr">
        <is>
          <t>Q-0012345</t>
        </is>
      </c>
      <c r="J20" s="65" t="inlineStr">
        <is>
          <t>Ana C. Reyes</t>
        </is>
      </c>
      <c r="K20" s="65" t="inlineStr">
        <is>
          <t>BDO Unibank - Auto Loans</t>
        </is>
      </c>
      <c r="L20" s="65" t="inlineStr">
        <is>
          <t>PHP</t>
        </is>
      </c>
      <c r="M20" s="66" t="n">
        <v>56.125</v>
      </c>
      <c r="N20" s="65" t="inlineStr">
        <is>
          <t>2027-03-10</t>
        </is>
      </c>
      <c r="O20" s="65" t="inlineStr">
        <is>
          <t>2027-03-10</t>
        </is>
      </c>
      <c r="P20" s="65" t="inlineStr">
        <is>
          <t>2027-04-09</t>
        </is>
      </c>
      <c r="Q20" s="65" t="inlineStr">
        <is>
          <t>2027-03-15</t>
        </is>
      </c>
      <c r="R20" s="65" t="inlineStr">
        <is>
          <t>2028-03-15</t>
        </is>
      </c>
      <c r="S20" s="65" t="inlineStr">
        <is>
          <t>MC-PC-COMP</t>
        </is>
      </c>
      <c r="T20" s="65" t="inlineStr">
        <is>
          <t>MOTOR</t>
        </is>
      </c>
      <c r="U20" s="65" t="inlineStr">
        <is>
          <t>CBG</t>
        </is>
      </c>
      <c r="V20" s="65" t="inlineStr">
        <is>
          <t>mreyes</t>
        </is>
      </c>
      <c r="W20" s="65" t="inlineStr">
        <is>
          <t>T-RET-07</t>
        </is>
      </c>
      <c r="X20" s="65" t="inlineStr">
        <is>
          <t>MKT01</t>
        </is>
      </c>
      <c r="Y20" s="65" t="inlineStr">
        <is>
          <t>4100</t>
        </is>
      </c>
      <c r="Z20" s="65" t="inlineStr">
        <is>
          <t>PN-2019-000123</t>
        </is>
      </c>
      <c r="AA20" s="66" t="n">
        <v>25946.25</v>
      </c>
      <c r="AB20" s="66" t="n">
        <v>4275</v>
      </c>
      <c r="AC20" s="66" t="n">
        <v>513</v>
      </c>
      <c r="AD20" s="66" t="n">
        <v>10</v>
      </c>
      <c r="AE20" s="66" t="n">
        <v>1710</v>
      </c>
      <c r="AF20" s="66" t="n">
        <v>307.8</v>
      </c>
      <c r="AG20" s="65" t="inlineStr">
        <is>
          <t>N</t>
        </is>
      </c>
      <c r="AH20" s="65" t="inlineStr">
        <is>
          <t>N</t>
        </is>
      </c>
      <c r="AI20" s="65" t="inlineStr">
        <is>
          <t>N</t>
        </is>
      </c>
      <c r="AJ20" s="65" t="inlineStr">
        <is>
          <t>N</t>
        </is>
      </c>
      <c r="AK20" s="65" t="inlineStr">
        <is>
          <t>SI-000456789</t>
        </is>
      </c>
      <c r="AL20" s="65" t="inlineStr">
        <is>
          <t>2027-05-02</t>
        </is>
      </c>
      <c r="AM20" s="65" t="inlineStr">
        <is>
          <t>Balance under dispute</t>
        </is>
      </c>
    </row>
    <row r="21">
      <c r="B21" s="67" t="n"/>
      <c r="C21" s="67" t="n"/>
      <c r="D21" s="67" t="n"/>
      <c r="E21" s="67" t="n"/>
      <c r="F21" s="67" t="n"/>
      <c r="G21" s="67" t="n"/>
      <c r="I21" s="67" t="n"/>
      <c r="J21" s="67" t="n"/>
      <c r="K21" s="67" t="n"/>
      <c r="L21" s="67" t="n"/>
      <c r="N21" s="67" t="n"/>
      <c r="O21" s="67" t="n"/>
      <c r="P21" s="67" t="n"/>
      <c r="Q21" s="67" t="n"/>
      <c r="R21" s="67" t="n"/>
      <c r="S21" s="67" t="n"/>
      <c r="T21" s="67" t="n"/>
      <c r="U21" s="67" t="n"/>
      <c r="V21" s="67" t="n"/>
      <c r="W21" s="67" t="n"/>
      <c r="X21" s="67" t="n"/>
      <c r="Y21" s="67" t="n"/>
      <c r="Z21" s="67" t="n"/>
      <c r="AG21" s="67" t="n"/>
      <c r="AH21" s="67" t="n"/>
      <c r="AI21" s="67" t="n"/>
      <c r="AJ21" s="67" t="n"/>
      <c r="AK21" s="67" t="n"/>
      <c r="AL21" s="67" t="n"/>
      <c r="AM21" s="67" t="n"/>
    </row>
    <row r="22">
      <c r="B22" s="67" t="n"/>
      <c r="C22" s="67" t="n"/>
      <c r="D22" s="67" t="n"/>
      <c r="E22" s="67" t="n"/>
      <c r="F22" s="67" t="n"/>
      <c r="G22" s="67" t="n"/>
      <c r="I22" s="67" t="n"/>
      <c r="J22" s="67" t="n"/>
      <c r="K22" s="67" t="n"/>
      <c r="L22" s="67" t="n"/>
      <c r="N22" s="67" t="n"/>
      <c r="O22" s="67" t="n"/>
      <c r="P22" s="67" t="n"/>
      <c r="Q22" s="67" t="n"/>
      <c r="R22" s="67" t="n"/>
      <c r="S22" s="67" t="n"/>
      <c r="T22" s="67" t="n"/>
      <c r="U22" s="67" t="n"/>
      <c r="V22" s="67" t="n"/>
      <c r="W22" s="67" t="n"/>
      <c r="X22" s="67" t="n"/>
      <c r="Y22" s="67" t="n"/>
      <c r="Z22" s="67" t="n"/>
      <c r="AG22" s="67" t="n"/>
      <c r="AH22" s="67" t="n"/>
      <c r="AI22" s="67" t="n"/>
      <c r="AJ22" s="67" t="n"/>
      <c r="AK22" s="67" t="n"/>
      <c r="AL22" s="67" t="n"/>
      <c r="AM22" s="67" t="n"/>
    </row>
    <row r="23">
      <c r="B23" s="67" t="n"/>
      <c r="C23" s="67" t="n"/>
      <c r="D23" s="67" t="n"/>
      <c r="E23" s="67" t="n"/>
      <c r="F23" s="67" t="n"/>
      <c r="G23" s="67" t="n"/>
      <c r="I23" s="67" t="n"/>
      <c r="J23" s="67" t="n"/>
      <c r="K23" s="67" t="n"/>
      <c r="L23" s="67" t="n"/>
      <c r="N23" s="67" t="n"/>
      <c r="O23" s="67" t="n"/>
      <c r="P23" s="67" t="n"/>
      <c r="Q23" s="67" t="n"/>
      <c r="R23" s="67" t="n"/>
      <c r="S23" s="67" t="n"/>
      <c r="T23" s="67" t="n"/>
      <c r="U23" s="67" t="n"/>
      <c r="V23" s="67" t="n"/>
      <c r="W23" s="67" t="n"/>
      <c r="X23" s="67" t="n"/>
      <c r="Y23" s="67" t="n"/>
      <c r="Z23" s="67" t="n"/>
      <c r="AG23" s="67" t="n"/>
      <c r="AH23" s="67" t="n"/>
      <c r="AI23" s="67" t="n"/>
      <c r="AJ23" s="67" t="n"/>
      <c r="AK23" s="67" t="n"/>
      <c r="AL23" s="67" t="n"/>
      <c r="AM23" s="67" t="n"/>
    </row>
    <row r="24">
      <c r="B24" s="67" t="n"/>
      <c r="C24" s="67" t="n"/>
      <c r="D24" s="67" t="n"/>
      <c r="E24" s="67" t="n"/>
      <c r="F24" s="67" t="n"/>
      <c r="G24" s="67" t="n"/>
      <c r="I24" s="67" t="n"/>
      <c r="J24" s="67" t="n"/>
      <c r="K24" s="67" t="n"/>
      <c r="L24" s="67" t="n"/>
      <c r="N24" s="67" t="n"/>
      <c r="O24" s="67" t="n"/>
      <c r="P24" s="67" t="n"/>
      <c r="Q24" s="67" t="n"/>
      <c r="R24" s="67" t="n"/>
      <c r="S24" s="67" t="n"/>
      <c r="T24" s="67" t="n"/>
      <c r="U24" s="67" t="n"/>
      <c r="V24" s="67" t="n"/>
      <c r="W24" s="67" t="n"/>
      <c r="X24" s="67" t="n"/>
      <c r="Y24" s="67" t="n"/>
      <c r="Z24" s="67" t="n"/>
      <c r="AG24" s="67" t="n"/>
      <c r="AH24" s="67" t="n"/>
      <c r="AI24" s="67" t="n"/>
      <c r="AJ24" s="67" t="n"/>
      <c r="AK24" s="67" t="n"/>
      <c r="AL24" s="67" t="n"/>
      <c r="AM24" s="67" t="n"/>
    </row>
    <row r="25">
      <c r="B25" s="67" t="n"/>
      <c r="C25" s="67" t="n"/>
      <c r="D25" s="67" t="n"/>
      <c r="E25" s="67" t="n"/>
      <c r="F25" s="67" t="n"/>
      <c r="G25" s="67" t="n"/>
      <c r="I25" s="67" t="n"/>
      <c r="J25" s="67" t="n"/>
      <c r="K25" s="67" t="n"/>
      <c r="L25" s="67" t="n"/>
      <c r="N25" s="67" t="n"/>
      <c r="O25" s="67" t="n"/>
      <c r="P25" s="67" t="n"/>
      <c r="Q25" s="67" t="n"/>
      <c r="R25" s="67" t="n"/>
      <c r="S25" s="67" t="n"/>
      <c r="T25" s="67" t="n"/>
      <c r="U25" s="67" t="n"/>
      <c r="V25" s="67" t="n"/>
      <c r="W25" s="67" t="n"/>
      <c r="X25" s="67" t="n"/>
      <c r="Y25" s="67" t="n"/>
      <c r="Z25" s="67" t="n"/>
      <c r="AG25" s="67" t="n"/>
      <c r="AH25" s="67" t="n"/>
      <c r="AI25" s="67" t="n"/>
      <c r="AJ25" s="67" t="n"/>
      <c r="AK25" s="67" t="n"/>
      <c r="AL25" s="67" t="n"/>
      <c r="AM25" s="67" t="n"/>
    </row>
    <row r="26">
      <c r="B26" s="67" t="n"/>
      <c r="C26" s="67" t="n"/>
      <c r="D26" s="67" t="n"/>
      <c r="E26" s="67" t="n"/>
      <c r="F26" s="67" t="n"/>
      <c r="G26" s="67" t="n"/>
      <c r="I26" s="67" t="n"/>
      <c r="J26" s="67" t="n"/>
      <c r="K26" s="67" t="n"/>
      <c r="L26" s="67" t="n"/>
      <c r="N26" s="67" t="n"/>
      <c r="O26" s="67" t="n"/>
      <c r="P26" s="67" t="n"/>
      <c r="Q26" s="67" t="n"/>
      <c r="R26" s="67" t="n"/>
      <c r="S26" s="67" t="n"/>
      <c r="T26" s="67" t="n"/>
      <c r="U26" s="67" t="n"/>
      <c r="V26" s="67" t="n"/>
      <c r="W26" s="67" t="n"/>
      <c r="X26" s="67" t="n"/>
      <c r="Y26" s="67" t="n"/>
      <c r="Z26" s="67" t="n"/>
      <c r="AG26" s="67" t="n"/>
      <c r="AH26" s="67" t="n"/>
      <c r="AI26" s="67" t="n"/>
      <c r="AJ26" s="67" t="n"/>
      <c r="AK26" s="67" t="n"/>
      <c r="AL26" s="67" t="n"/>
      <c r="AM26" s="67" t="n"/>
    </row>
    <row r="27">
      <c r="B27" s="67" t="n"/>
      <c r="C27" s="67" t="n"/>
      <c r="D27" s="67" t="n"/>
      <c r="E27" s="67" t="n"/>
      <c r="F27" s="67" t="n"/>
      <c r="G27" s="67" t="n"/>
      <c r="I27" s="67" t="n"/>
      <c r="J27" s="67" t="n"/>
      <c r="K27" s="67" t="n"/>
      <c r="L27" s="67" t="n"/>
      <c r="N27" s="67" t="n"/>
      <c r="O27" s="67" t="n"/>
      <c r="P27" s="67" t="n"/>
      <c r="Q27" s="67" t="n"/>
      <c r="R27" s="67" t="n"/>
      <c r="S27" s="67" t="n"/>
      <c r="T27" s="67" t="n"/>
      <c r="U27" s="67" t="n"/>
      <c r="V27" s="67" t="n"/>
      <c r="W27" s="67" t="n"/>
      <c r="X27" s="67" t="n"/>
      <c r="Y27" s="67" t="n"/>
      <c r="Z27" s="67" t="n"/>
      <c r="AG27" s="67" t="n"/>
      <c r="AH27" s="67" t="n"/>
      <c r="AI27" s="67" t="n"/>
      <c r="AJ27" s="67" t="n"/>
      <c r="AK27" s="67" t="n"/>
      <c r="AL27" s="67" t="n"/>
      <c r="AM27" s="67" t="n"/>
    </row>
    <row r="28">
      <c r="B28" s="67" t="n"/>
      <c r="C28" s="67" t="n"/>
      <c r="D28" s="67" t="n"/>
      <c r="E28" s="67" t="n"/>
      <c r="F28" s="67" t="n"/>
      <c r="G28" s="67" t="n"/>
      <c r="I28" s="67" t="n"/>
      <c r="J28" s="67" t="n"/>
      <c r="K28" s="67" t="n"/>
      <c r="L28" s="67" t="n"/>
      <c r="N28" s="67" t="n"/>
      <c r="O28" s="67" t="n"/>
      <c r="P28" s="67" t="n"/>
      <c r="Q28" s="67" t="n"/>
      <c r="R28" s="67" t="n"/>
      <c r="S28" s="67" t="n"/>
      <c r="T28" s="67" t="n"/>
      <c r="U28" s="67" t="n"/>
      <c r="V28" s="67" t="n"/>
      <c r="W28" s="67" t="n"/>
      <c r="X28" s="67" t="n"/>
      <c r="Y28" s="67" t="n"/>
      <c r="Z28" s="67" t="n"/>
      <c r="AG28" s="67" t="n"/>
      <c r="AH28" s="67" t="n"/>
      <c r="AI28" s="67" t="n"/>
      <c r="AJ28" s="67" t="n"/>
      <c r="AK28" s="67" t="n"/>
      <c r="AL28" s="67" t="n"/>
      <c r="AM28" s="67" t="n"/>
    </row>
    <row r="29">
      <c r="B29" s="67" t="n"/>
      <c r="C29" s="67" t="n"/>
      <c r="D29" s="67" t="n"/>
      <c r="E29" s="67" t="n"/>
      <c r="F29" s="67" t="n"/>
      <c r="G29" s="67" t="n"/>
      <c r="I29" s="67" t="n"/>
      <c r="J29" s="67" t="n"/>
      <c r="K29" s="67" t="n"/>
      <c r="L29" s="67" t="n"/>
      <c r="N29" s="67" t="n"/>
      <c r="O29" s="67" t="n"/>
      <c r="P29" s="67" t="n"/>
      <c r="Q29" s="67" t="n"/>
      <c r="R29" s="67" t="n"/>
      <c r="S29" s="67" t="n"/>
      <c r="T29" s="67" t="n"/>
      <c r="U29" s="67" t="n"/>
      <c r="V29" s="67" t="n"/>
      <c r="W29" s="67" t="n"/>
      <c r="X29" s="67" t="n"/>
      <c r="Y29" s="67" t="n"/>
      <c r="Z29" s="67" t="n"/>
      <c r="AG29" s="67" t="n"/>
      <c r="AH29" s="67" t="n"/>
      <c r="AI29" s="67" t="n"/>
      <c r="AJ29" s="67" t="n"/>
      <c r="AK29" s="67" t="n"/>
      <c r="AL29" s="67" t="n"/>
      <c r="AM29" s="67" t="n"/>
    </row>
    <row r="30">
      <c r="B30" s="67" t="n"/>
      <c r="C30" s="67" t="n"/>
      <c r="D30" s="67" t="n"/>
      <c r="E30" s="67" t="n"/>
      <c r="F30" s="67" t="n"/>
      <c r="G30" s="67" t="n"/>
      <c r="I30" s="67" t="n"/>
      <c r="J30" s="67" t="n"/>
      <c r="K30" s="67" t="n"/>
      <c r="L30" s="67" t="n"/>
      <c r="N30" s="67" t="n"/>
      <c r="O30" s="67" t="n"/>
      <c r="P30" s="67" t="n"/>
      <c r="Q30" s="67" t="n"/>
      <c r="R30" s="67" t="n"/>
      <c r="S30" s="67" t="n"/>
      <c r="T30" s="67" t="n"/>
      <c r="U30" s="67" t="n"/>
      <c r="V30" s="67" t="n"/>
      <c r="W30" s="67" t="n"/>
      <c r="X30" s="67" t="n"/>
      <c r="Y30" s="67" t="n"/>
      <c r="Z30" s="67" t="n"/>
      <c r="AG30" s="67" t="n"/>
      <c r="AH30" s="67" t="n"/>
      <c r="AI30" s="67" t="n"/>
      <c r="AJ30" s="67" t="n"/>
      <c r="AK30" s="67" t="n"/>
      <c r="AL30" s="67" t="n"/>
      <c r="AM30" s="67" t="n"/>
    </row>
    <row r="31">
      <c r="B31" s="67" t="n"/>
      <c r="C31" s="67" t="n"/>
      <c r="D31" s="67" t="n"/>
      <c r="E31" s="67" t="n"/>
      <c r="F31" s="67" t="n"/>
      <c r="G31" s="67" t="n"/>
      <c r="I31" s="67" t="n"/>
      <c r="J31" s="67" t="n"/>
      <c r="K31" s="67" t="n"/>
      <c r="L31" s="67" t="n"/>
      <c r="N31" s="67" t="n"/>
      <c r="O31" s="67" t="n"/>
      <c r="P31" s="67" t="n"/>
      <c r="Q31" s="67" t="n"/>
      <c r="R31" s="67" t="n"/>
      <c r="S31" s="67" t="n"/>
      <c r="T31" s="67" t="n"/>
      <c r="U31" s="67" t="n"/>
      <c r="V31" s="67" t="n"/>
      <c r="W31" s="67" t="n"/>
      <c r="X31" s="67" t="n"/>
      <c r="Y31" s="67" t="n"/>
      <c r="Z31" s="67" t="n"/>
      <c r="AG31" s="67" t="n"/>
      <c r="AH31" s="67" t="n"/>
      <c r="AI31" s="67" t="n"/>
      <c r="AJ31" s="67" t="n"/>
      <c r="AK31" s="67" t="n"/>
      <c r="AL31" s="67" t="n"/>
      <c r="AM31" s="67" t="n"/>
    </row>
    <row r="32">
      <c r="B32" s="67" t="n"/>
      <c r="C32" s="67" t="n"/>
      <c r="D32" s="67" t="n"/>
      <c r="E32" s="67" t="n"/>
      <c r="F32" s="67" t="n"/>
      <c r="G32" s="67" t="n"/>
      <c r="I32" s="67" t="n"/>
      <c r="J32" s="67" t="n"/>
      <c r="K32" s="67" t="n"/>
      <c r="L32" s="67" t="n"/>
      <c r="N32" s="67" t="n"/>
      <c r="O32" s="67" t="n"/>
      <c r="P32" s="67" t="n"/>
      <c r="Q32" s="67" t="n"/>
      <c r="R32" s="67" t="n"/>
      <c r="S32" s="67" t="n"/>
      <c r="T32" s="67" t="n"/>
      <c r="U32" s="67" t="n"/>
      <c r="V32" s="67" t="n"/>
      <c r="W32" s="67" t="n"/>
      <c r="X32" s="67" t="n"/>
      <c r="Y32" s="67" t="n"/>
      <c r="Z32" s="67" t="n"/>
      <c r="AG32" s="67" t="n"/>
      <c r="AH32" s="67" t="n"/>
      <c r="AI32" s="67" t="n"/>
      <c r="AJ32" s="67" t="n"/>
      <c r="AK32" s="67" t="n"/>
      <c r="AL32" s="67" t="n"/>
      <c r="AM32" s="67" t="n"/>
    </row>
    <row r="33">
      <c r="B33" s="67" t="n"/>
      <c r="C33" s="67" t="n"/>
      <c r="D33" s="67" t="n"/>
      <c r="E33" s="67" t="n"/>
      <c r="F33" s="67" t="n"/>
      <c r="G33" s="67" t="n"/>
      <c r="I33" s="67" t="n"/>
      <c r="J33" s="67" t="n"/>
      <c r="K33" s="67" t="n"/>
      <c r="L33" s="67" t="n"/>
      <c r="N33" s="67" t="n"/>
      <c r="O33" s="67" t="n"/>
      <c r="P33" s="67" t="n"/>
      <c r="Q33" s="67" t="n"/>
      <c r="R33" s="67" t="n"/>
      <c r="S33" s="67" t="n"/>
      <c r="T33" s="67" t="n"/>
      <c r="U33" s="67" t="n"/>
      <c r="V33" s="67" t="n"/>
      <c r="W33" s="67" t="n"/>
      <c r="X33" s="67" t="n"/>
      <c r="Y33" s="67" t="n"/>
      <c r="Z33" s="67" t="n"/>
      <c r="AG33" s="67" t="n"/>
      <c r="AH33" s="67" t="n"/>
      <c r="AI33" s="67" t="n"/>
      <c r="AJ33" s="67" t="n"/>
      <c r="AK33" s="67" t="n"/>
      <c r="AL33" s="67" t="n"/>
      <c r="AM33" s="67" t="n"/>
    </row>
    <row r="34">
      <c r="B34" s="67" t="n"/>
      <c r="C34" s="67" t="n"/>
      <c r="D34" s="67" t="n"/>
      <c r="E34" s="67" t="n"/>
      <c r="F34" s="67" t="n"/>
      <c r="G34" s="67" t="n"/>
      <c r="I34" s="67" t="n"/>
      <c r="J34" s="67" t="n"/>
      <c r="K34" s="67" t="n"/>
      <c r="L34" s="67" t="n"/>
      <c r="N34" s="67" t="n"/>
      <c r="O34" s="67" t="n"/>
      <c r="P34" s="67" t="n"/>
      <c r="Q34" s="67" t="n"/>
      <c r="R34" s="67" t="n"/>
      <c r="S34" s="67" t="n"/>
      <c r="T34" s="67" t="n"/>
      <c r="U34" s="67" t="n"/>
      <c r="V34" s="67" t="n"/>
      <c r="W34" s="67" t="n"/>
      <c r="X34" s="67" t="n"/>
      <c r="Y34" s="67" t="n"/>
      <c r="Z34" s="67" t="n"/>
      <c r="AG34" s="67" t="n"/>
      <c r="AH34" s="67" t="n"/>
      <c r="AI34" s="67" t="n"/>
      <c r="AJ34" s="67" t="n"/>
      <c r="AK34" s="67" t="n"/>
      <c r="AL34" s="67" t="n"/>
      <c r="AM34" s="67" t="n"/>
    </row>
    <row r="35">
      <c r="B35" s="67" t="n"/>
      <c r="C35" s="67" t="n"/>
      <c r="D35" s="67" t="n"/>
      <c r="E35" s="67" t="n"/>
      <c r="F35" s="67" t="n"/>
      <c r="G35" s="67" t="n"/>
      <c r="I35" s="67" t="n"/>
      <c r="J35" s="67" t="n"/>
      <c r="K35" s="67" t="n"/>
      <c r="L35" s="67" t="n"/>
      <c r="N35" s="67" t="n"/>
      <c r="O35" s="67" t="n"/>
      <c r="P35" s="67" t="n"/>
      <c r="Q35" s="67" t="n"/>
      <c r="R35" s="67" t="n"/>
      <c r="S35" s="67" t="n"/>
      <c r="T35" s="67" t="n"/>
      <c r="U35" s="67" t="n"/>
      <c r="V35" s="67" t="n"/>
      <c r="W35" s="67" t="n"/>
      <c r="X35" s="67" t="n"/>
      <c r="Y35" s="67" t="n"/>
      <c r="Z35" s="67" t="n"/>
      <c r="AG35" s="67" t="n"/>
      <c r="AH35" s="67" t="n"/>
      <c r="AI35" s="67" t="n"/>
      <c r="AJ35" s="67" t="n"/>
      <c r="AK35" s="67" t="n"/>
      <c r="AL35" s="67" t="n"/>
      <c r="AM35" s="67" t="n"/>
    </row>
    <row r="36">
      <c r="B36" s="67" t="n"/>
      <c r="C36" s="67" t="n"/>
      <c r="D36" s="67" t="n"/>
      <c r="E36" s="67" t="n"/>
      <c r="F36" s="67" t="n"/>
      <c r="G36" s="67" t="n"/>
      <c r="I36" s="67" t="n"/>
      <c r="J36" s="67" t="n"/>
      <c r="K36" s="67" t="n"/>
      <c r="L36" s="67" t="n"/>
      <c r="N36" s="67" t="n"/>
      <c r="O36" s="67" t="n"/>
      <c r="P36" s="67" t="n"/>
      <c r="Q36" s="67" t="n"/>
      <c r="R36" s="67" t="n"/>
      <c r="S36" s="67" t="n"/>
      <c r="T36" s="67" t="n"/>
      <c r="U36" s="67" t="n"/>
      <c r="V36" s="67" t="n"/>
      <c r="W36" s="67" t="n"/>
      <c r="X36" s="67" t="n"/>
      <c r="Y36" s="67" t="n"/>
      <c r="Z36" s="67" t="n"/>
      <c r="AG36" s="67" t="n"/>
      <c r="AH36" s="67" t="n"/>
      <c r="AI36" s="67" t="n"/>
      <c r="AJ36" s="67" t="n"/>
      <c r="AK36" s="67" t="n"/>
      <c r="AL36" s="67" t="n"/>
      <c r="AM36" s="67" t="n"/>
    </row>
    <row r="37">
      <c r="B37" s="67" t="n"/>
      <c r="C37" s="67" t="n"/>
      <c r="D37" s="67" t="n"/>
      <c r="E37" s="67" t="n"/>
      <c r="F37" s="67" t="n"/>
      <c r="G37" s="67" t="n"/>
      <c r="I37" s="67" t="n"/>
      <c r="J37" s="67" t="n"/>
      <c r="K37" s="67" t="n"/>
      <c r="L37" s="67" t="n"/>
      <c r="N37" s="67" t="n"/>
      <c r="O37" s="67" t="n"/>
      <c r="P37" s="67" t="n"/>
      <c r="Q37" s="67" t="n"/>
      <c r="R37" s="67" t="n"/>
      <c r="S37" s="67" t="n"/>
      <c r="T37" s="67" t="n"/>
      <c r="U37" s="67" t="n"/>
      <c r="V37" s="67" t="n"/>
      <c r="W37" s="67" t="n"/>
      <c r="X37" s="67" t="n"/>
      <c r="Y37" s="67" t="n"/>
      <c r="Z37" s="67" t="n"/>
      <c r="AG37" s="67" t="n"/>
      <c r="AH37" s="67" t="n"/>
      <c r="AI37" s="67" t="n"/>
      <c r="AJ37" s="67" t="n"/>
      <c r="AK37" s="67" t="n"/>
      <c r="AL37" s="67" t="n"/>
      <c r="AM37" s="67" t="n"/>
    </row>
    <row r="38">
      <c r="B38" s="67" t="n"/>
      <c r="C38" s="67" t="n"/>
      <c r="D38" s="67" t="n"/>
      <c r="E38" s="67" t="n"/>
      <c r="F38" s="67" t="n"/>
      <c r="G38" s="67" t="n"/>
      <c r="I38" s="67" t="n"/>
      <c r="J38" s="67" t="n"/>
      <c r="K38" s="67" t="n"/>
      <c r="L38" s="67" t="n"/>
      <c r="N38" s="67" t="n"/>
      <c r="O38" s="67" t="n"/>
      <c r="P38" s="67" t="n"/>
      <c r="Q38" s="67" t="n"/>
      <c r="R38" s="67" t="n"/>
      <c r="S38" s="67" t="n"/>
      <c r="T38" s="67" t="n"/>
      <c r="U38" s="67" t="n"/>
      <c r="V38" s="67" t="n"/>
      <c r="W38" s="67" t="n"/>
      <c r="X38" s="67" t="n"/>
      <c r="Y38" s="67" t="n"/>
      <c r="Z38" s="67" t="n"/>
      <c r="AG38" s="67" t="n"/>
      <c r="AH38" s="67" t="n"/>
      <c r="AI38" s="67" t="n"/>
      <c r="AJ38" s="67" t="n"/>
      <c r="AK38" s="67" t="n"/>
      <c r="AL38" s="67" t="n"/>
      <c r="AM38" s="67" t="n"/>
    </row>
    <row r="39">
      <c r="B39" s="67" t="n"/>
      <c r="C39" s="67" t="n"/>
      <c r="D39" s="67" t="n"/>
      <c r="E39" s="67" t="n"/>
      <c r="F39" s="67" t="n"/>
      <c r="G39" s="67" t="n"/>
      <c r="I39" s="67" t="n"/>
      <c r="J39" s="67" t="n"/>
      <c r="K39" s="67" t="n"/>
      <c r="L39" s="67" t="n"/>
      <c r="N39" s="67" t="n"/>
      <c r="O39" s="67" t="n"/>
      <c r="P39" s="67" t="n"/>
      <c r="Q39" s="67" t="n"/>
      <c r="R39" s="67" t="n"/>
      <c r="S39" s="67" t="n"/>
      <c r="T39" s="67" t="n"/>
      <c r="U39" s="67" t="n"/>
      <c r="V39" s="67" t="n"/>
      <c r="W39" s="67" t="n"/>
      <c r="X39" s="67" t="n"/>
      <c r="Y39" s="67" t="n"/>
      <c r="Z39" s="67" t="n"/>
      <c r="AG39" s="67" t="n"/>
      <c r="AH39" s="67" t="n"/>
      <c r="AI39" s="67" t="n"/>
      <c r="AJ39" s="67" t="n"/>
      <c r="AK39" s="67" t="n"/>
      <c r="AL39" s="67" t="n"/>
      <c r="AM39" s="67" t="n"/>
    </row>
    <row r="40">
      <c r="B40" s="67" t="n"/>
      <c r="C40" s="67" t="n"/>
      <c r="D40" s="67" t="n"/>
      <c r="E40" s="67" t="n"/>
      <c r="F40" s="67" t="n"/>
      <c r="G40" s="67" t="n"/>
      <c r="I40" s="67" t="n"/>
      <c r="J40" s="67" t="n"/>
      <c r="K40" s="67" t="n"/>
      <c r="L40" s="67" t="n"/>
      <c r="N40" s="67" t="n"/>
      <c r="O40" s="67" t="n"/>
      <c r="P40" s="67" t="n"/>
      <c r="Q40" s="67" t="n"/>
      <c r="R40" s="67" t="n"/>
      <c r="S40" s="67" t="n"/>
      <c r="T40" s="67" t="n"/>
      <c r="U40" s="67" t="n"/>
      <c r="V40" s="67" t="n"/>
      <c r="W40" s="67" t="n"/>
      <c r="X40" s="67" t="n"/>
      <c r="Y40" s="67" t="n"/>
      <c r="Z40" s="67" t="n"/>
      <c r="AG40" s="67" t="n"/>
      <c r="AH40" s="67" t="n"/>
      <c r="AI40" s="67" t="n"/>
      <c r="AJ40" s="67" t="n"/>
      <c r="AK40" s="67" t="n"/>
      <c r="AL40" s="67" t="n"/>
      <c r="AM40" s="67" t="n"/>
    </row>
    <row r="41">
      <c r="B41" s="67" t="n"/>
      <c r="C41" s="67" t="n"/>
      <c r="D41" s="67" t="n"/>
      <c r="E41" s="67" t="n"/>
      <c r="F41" s="67" t="n"/>
      <c r="G41" s="67" t="n"/>
      <c r="I41" s="67" t="n"/>
      <c r="J41" s="67" t="n"/>
      <c r="K41" s="67" t="n"/>
      <c r="L41" s="67" t="n"/>
      <c r="N41" s="67" t="n"/>
      <c r="O41" s="67" t="n"/>
      <c r="P41" s="67" t="n"/>
      <c r="Q41" s="67" t="n"/>
      <c r="R41" s="67" t="n"/>
      <c r="S41" s="67" t="n"/>
      <c r="T41" s="67" t="n"/>
      <c r="U41" s="67" t="n"/>
      <c r="V41" s="67" t="n"/>
      <c r="W41" s="67" t="n"/>
      <c r="X41" s="67" t="n"/>
      <c r="Y41" s="67" t="n"/>
      <c r="Z41" s="67" t="n"/>
      <c r="AG41" s="67" t="n"/>
      <c r="AH41" s="67" t="n"/>
      <c r="AI41" s="67" t="n"/>
      <c r="AJ41" s="67" t="n"/>
      <c r="AK41" s="67" t="n"/>
      <c r="AL41" s="67" t="n"/>
      <c r="AM41" s="67" t="n"/>
    </row>
    <row r="42">
      <c r="B42" s="67" t="n"/>
      <c r="C42" s="67" t="n"/>
      <c r="D42" s="67" t="n"/>
      <c r="E42" s="67" t="n"/>
      <c r="F42" s="67" t="n"/>
      <c r="G42" s="67" t="n"/>
      <c r="I42" s="67" t="n"/>
      <c r="J42" s="67" t="n"/>
      <c r="K42" s="67" t="n"/>
      <c r="L42" s="67" t="n"/>
      <c r="N42" s="67" t="n"/>
      <c r="O42" s="67" t="n"/>
      <c r="P42" s="67" t="n"/>
      <c r="Q42" s="67" t="n"/>
      <c r="R42" s="67" t="n"/>
      <c r="S42" s="67" t="n"/>
      <c r="T42" s="67" t="n"/>
      <c r="U42" s="67" t="n"/>
      <c r="V42" s="67" t="n"/>
      <c r="W42" s="67" t="n"/>
      <c r="X42" s="67" t="n"/>
      <c r="Y42" s="67" t="n"/>
      <c r="Z42" s="67" t="n"/>
      <c r="AG42" s="67" t="n"/>
      <c r="AH42" s="67" t="n"/>
      <c r="AI42" s="67" t="n"/>
      <c r="AJ42" s="67" t="n"/>
      <c r="AK42" s="67" t="n"/>
      <c r="AL42" s="67" t="n"/>
      <c r="AM42" s="67" t="n"/>
    </row>
    <row r="43">
      <c r="B43" s="67" t="n"/>
      <c r="C43" s="67" t="n"/>
      <c r="D43" s="67" t="n"/>
      <c r="E43" s="67" t="n"/>
      <c r="F43" s="67" t="n"/>
      <c r="G43" s="67" t="n"/>
      <c r="I43" s="67" t="n"/>
      <c r="J43" s="67" t="n"/>
      <c r="K43" s="67" t="n"/>
      <c r="L43" s="67" t="n"/>
      <c r="N43" s="67" t="n"/>
      <c r="O43" s="67" t="n"/>
      <c r="P43" s="67" t="n"/>
      <c r="Q43" s="67" t="n"/>
      <c r="R43" s="67" t="n"/>
      <c r="S43" s="67" t="n"/>
      <c r="T43" s="67" t="n"/>
      <c r="U43" s="67" t="n"/>
      <c r="V43" s="67" t="n"/>
      <c r="W43" s="67" t="n"/>
      <c r="X43" s="67" t="n"/>
      <c r="Y43" s="67" t="n"/>
      <c r="Z43" s="67" t="n"/>
      <c r="AG43" s="67" t="n"/>
      <c r="AH43" s="67" t="n"/>
      <c r="AI43" s="67" t="n"/>
      <c r="AJ43" s="67" t="n"/>
      <c r="AK43" s="67" t="n"/>
      <c r="AL43" s="67" t="n"/>
      <c r="AM43" s="67" t="n"/>
    </row>
    <row r="44">
      <c r="B44" s="67" t="n"/>
      <c r="C44" s="67" t="n"/>
      <c r="D44" s="67" t="n"/>
      <c r="E44" s="67" t="n"/>
      <c r="F44" s="67" t="n"/>
      <c r="G44" s="67" t="n"/>
      <c r="I44" s="67" t="n"/>
      <c r="J44" s="67" t="n"/>
      <c r="K44" s="67" t="n"/>
      <c r="L44" s="67" t="n"/>
      <c r="N44" s="67" t="n"/>
      <c r="O44" s="67" t="n"/>
      <c r="P44" s="67" t="n"/>
      <c r="Q44" s="67" t="n"/>
      <c r="R44" s="67" t="n"/>
      <c r="S44" s="67" t="n"/>
      <c r="T44" s="67" t="n"/>
      <c r="U44" s="67" t="n"/>
      <c r="V44" s="67" t="n"/>
      <c r="W44" s="67" t="n"/>
      <c r="X44" s="67" t="n"/>
      <c r="Y44" s="67" t="n"/>
      <c r="Z44" s="67" t="n"/>
      <c r="AG44" s="67" t="n"/>
      <c r="AH44" s="67" t="n"/>
      <c r="AI44" s="67" t="n"/>
      <c r="AJ44" s="67" t="n"/>
      <c r="AK44" s="67" t="n"/>
      <c r="AL44" s="67" t="n"/>
      <c r="AM44" s="67" t="n"/>
    </row>
    <row r="45">
      <c r="B45" s="67" t="n"/>
      <c r="C45" s="67" t="n"/>
      <c r="D45" s="67" t="n"/>
      <c r="E45" s="67" t="n"/>
      <c r="F45" s="67" t="n"/>
      <c r="G45" s="67" t="n"/>
      <c r="I45" s="67" t="n"/>
      <c r="J45" s="67" t="n"/>
      <c r="K45" s="67" t="n"/>
      <c r="L45" s="67" t="n"/>
      <c r="N45" s="67" t="n"/>
      <c r="O45" s="67" t="n"/>
      <c r="P45" s="67" t="n"/>
      <c r="Q45" s="67" t="n"/>
      <c r="R45" s="67" t="n"/>
      <c r="S45" s="67" t="n"/>
      <c r="T45" s="67" t="n"/>
      <c r="U45" s="67" t="n"/>
      <c r="V45" s="67" t="n"/>
      <c r="W45" s="67" t="n"/>
      <c r="X45" s="67" t="n"/>
      <c r="Y45" s="67" t="n"/>
      <c r="Z45" s="67" t="n"/>
      <c r="AG45" s="67" t="n"/>
      <c r="AH45" s="67" t="n"/>
      <c r="AI45" s="67" t="n"/>
      <c r="AJ45" s="67" t="n"/>
      <c r="AK45" s="67" t="n"/>
      <c r="AL45" s="67" t="n"/>
      <c r="AM45" s="67" t="n"/>
    </row>
    <row r="46">
      <c r="B46" s="67" t="n"/>
      <c r="C46" s="67" t="n"/>
      <c r="D46" s="67" t="n"/>
      <c r="E46" s="67" t="n"/>
      <c r="F46" s="67" t="n"/>
      <c r="G46" s="67" t="n"/>
      <c r="I46" s="67" t="n"/>
      <c r="J46" s="67" t="n"/>
      <c r="K46" s="67" t="n"/>
      <c r="L46" s="67" t="n"/>
      <c r="N46" s="67" t="n"/>
      <c r="O46" s="67" t="n"/>
      <c r="P46" s="67" t="n"/>
      <c r="Q46" s="67" t="n"/>
      <c r="R46" s="67" t="n"/>
      <c r="S46" s="67" t="n"/>
      <c r="T46" s="67" t="n"/>
      <c r="U46" s="67" t="n"/>
      <c r="V46" s="67" t="n"/>
      <c r="W46" s="67" t="n"/>
      <c r="X46" s="67" t="n"/>
      <c r="Y46" s="67" t="n"/>
      <c r="Z46" s="67" t="n"/>
      <c r="AG46" s="67" t="n"/>
      <c r="AH46" s="67" t="n"/>
      <c r="AI46" s="67" t="n"/>
      <c r="AJ46" s="67" t="n"/>
      <c r="AK46" s="67" t="n"/>
      <c r="AL46" s="67" t="n"/>
      <c r="AM46" s="67" t="n"/>
    </row>
    <row r="47">
      <c r="B47" s="67" t="n"/>
      <c r="C47" s="67" t="n"/>
      <c r="D47" s="67" t="n"/>
      <c r="E47" s="67" t="n"/>
      <c r="F47" s="67" t="n"/>
      <c r="G47" s="67" t="n"/>
      <c r="I47" s="67" t="n"/>
      <c r="J47" s="67" t="n"/>
      <c r="K47" s="67" t="n"/>
      <c r="L47" s="67" t="n"/>
      <c r="N47" s="67" t="n"/>
      <c r="O47" s="67" t="n"/>
      <c r="P47" s="67" t="n"/>
      <c r="Q47" s="67" t="n"/>
      <c r="R47" s="67" t="n"/>
      <c r="S47" s="67" t="n"/>
      <c r="T47" s="67" t="n"/>
      <c r="U47" s="67" t="n"/>
      <c r="V47" s="67" t="n"/>
      <c r="W47" s="67" t="n"/>
      <c r="X47" s="67" t="n"/>
      <c r="Y47" s="67" t="n"/>
      <c r="Z47" s="67" t="n"/>
      <c r="AG47" s="67" t="n"/>
      <c r="AH47" s="67" t="n"/>
      <c r="AI47" s="67" t="n"/>
      <c r="AJ47" s="67" t="n"/>
      <c r="AK47" s="67" t="n"/>
      <c r="AL47" s="67" t="n"/>
      <c r="AM47" s="67" t="n"/>
    </row>
    <row r="48">
      <c r="B48" s="67" t="n"/>
      <c r="C48" s="67" t="n"/>
      <c r="D48" s="67" t="n"/>
      <c r="E48" s="67" t="n"/>
      <c r="F48" s="67" t="n"/>
      <c r="G48" s="67" t="n"/>
      <c r="I48" s="67" t="n"/>
      <c r="J48" s="67" t="n"/>
      <c r="K48" s="67" t="n"/>
      <c r="L48" s="67" t="n"/>
      <c r="N48" s="67" t="n"/>
      <c r="O48" s="67" t="n"/>
      <c r="P48" s="67" t="n"/>
      <c r="Q48" s="67" t="n"/>
      <c r="R48" s="67" t="n"/>
      <c r="S48" s="67" t="n"/>
      <c r="T48" s="67" t="n"/>
      <c r="U48" s="67" t="n"/>
      <c r="V48" s="67" t="n"/>
      <c r="W48" s="67" t="n"/>
      <c r="X48" s="67" t="n"/>
      <c r="Y48" s="67" t="n"/>
      <c r="Z48" s="67" t="n"/>
      <c r="AG48" s="67" t="n"/>
      <c r="AH48" s="67" t="n"/>
      <c r="AI48" s="67" t="n"/>
      <c r="AJ48" s="67" t="n"/>
      <c r="AK48" s="67" t="n"/>
      <c r="AL48" s="67" t="n"/>
      <c r="AM48" s="67" t="n"/>
    </row>
    <row r="49">
      <c r="B49" s="67" t="n"/>
      <c r="C49" s="67" t="n"/>
      <c r="D49" s="67" t="n"/>
      <c r="E49" s="67" t="n"/>
      <c r="F49" s="67" t="n"/>
      <c r="G49" s="67" t="n"/>
      <c r="I49" s="67" t="n"/>
      <c r="J49" s="67" t="n"/>
      <c r="K49" s="67" t="n"/>
      <c r="L49" s="67" t="n"/>
      <c r="N49" s="67" t="n"/>
      <c r="O49" s="67" t="n"/>
      <c r="P49" s="67" t="n"/>
      <c r="Q49" s="67" t="n"/>
      <c r="R49" s="67" t="n"/>
      <c r="S49" s="67" t="n"/>
      <c r="T49" s="67" t="n"/>
      <c r="U49" s="67" t="n"/>
      <c r="V49" s="67" t="n"/>
      <c r="W49" s="67" t="n"/>
      <c r="X49" s="67" t="n"/>
      <c r="Y49" s="67" t="n"/>
      <c r="Z49" s="67" t="n"/>
      <c r="AG49" s="67" t="n"/>
      <c r="AH49" s="67" t="n"/>
      <c r="AI49" s="67" t="n"/>
      <c r="AJ49" s="67" t="n"/>
      <c r="AK49" s="67" t="n"/>
      <c r="AL49" s="67" t="n"/>
      <c r="AM49" s="67" t="n"/>
    </row>
    <row r="50">
      <c r="B50" s="67" t="n"/>
      <c r="C50" s="67" t="n"/>
      <c r="D50" s="67" t="n"/>
      <c r="E50" s="67" t="n"/>
      <c r="F50" s="67" t="n"/>
      <c r="G50" s="67" t="n"/>
      <c r="I50" s="67" t="n"/>
      <c r="J50" s="67" t="n"/>
      <c r="K50" s="67" t="n"/>
      <c r="L50" s="67" t="n"/>
      <c r="N50" s="67" t="n"/>
      <c r="O50" s="67" t="n"/>
      <c r="P50" s="67" t="n"/>
      <c r="Q50" s="67" t="n"/>
      <c r="R50" s="67" t="n"/>
      <c r="S50" s="67" t="n"/>
      <c r="T50" s="67" t="n"/>
      <c r="U50" s="67" t="n"/>
      <c r="V50" s="67" t="n"/>
      <c r="W50" s="67" t="n"/>
      <c r="X50" s="67" t="n"/>
      <c r="Y50" s="67" t="n"/>
      <c r="Z50" s="67" t="n"/>
      <c r="AG50" s="67" t="n"/>
      <c r="AH50" s="67" t="n"/>
      <c r="AI50" s="67" t="n"/>
      <c r="AJ50" s="67" t="n"/>
      <c r="AK50" s="67" t="n"/>
      <c r="AL50" s="67" t="n"/>
      <c r="AM50" s="67" t="n"/>
    </row>
    <row r="51">
      <c r="B51" s="67" t="n"/>
      <c r="C51" s="67" t="n"/>
      <c r="D51" s="67" t="n"/>
      <c r="E51" s="67" t="n"/>
      <c r="F51" s="67" t="n"/>
      <c r="G51" s="67" t="n"/>
      <c r="I51" s="67" t="n"/>
      <c r="J51" s="67" t="n"/>
      <c r="K51" s="67" t="n"/>
      <c r="L51" s="67" t="n"/>
      <c r="N51" s="67" t="n"/>
      <c r="O51" s="67" t="n"/>
      <c r="P51" s="67" t="n"/>
      <c r="Q51" s="67" t="n"/>
      <c r="R51" s="67" t="n"/>
      <c r="S51" s="67" t="n"/>
      <c r="T51" s="67" t="n"/>
      <c r="U51" s="67" t="n"/>
      <c r="V51" s="67" t="n"/>
      <c r="W51" s="67" t="n"/>
      <c r="X51" s="67" t="n"/>
      <c r="Y51" s="67" t="n"/>
      <c r="Z51" s="67" t="n"/>
      <c r="AG51" s="67" t="n"/>
      <c r="AH51" s="67" t="n"/>
      <c r="AI51" s="67" t="n"/>
      <c r="AJ51" s="67" t="n"/>
      <c r="AK51" s="67" t="n"/>
      <c r="AL51" s="67" t="n"/>
      <c r="AM51" s="67" t="n"/>
    </row>
    <row r="52">
      <c r="B52" s="67" t="n"/>
      <c r="C52" s="67" t="n"/>
      <c r="D52" s="67" t="n"/>
      <c r="E52" s="67" t="n"/>
      <c r="F52" s="67" t="n"/>
      <c r="G52" s="67" t="n"/>
      <c r="I52" s="67" t="n"/>
      <c r="J52" s="67" t="n"/>
      <c r="K52" s="67" t="n"/>
      <c r="L52" s="67" t="n"/>
      <c r="N52" s="67" t="n"/>
      <c r="O52" s="67" t="n"/>
      <c r="P52" s="67" t="n"/>
      <c r="Q52" s="67" t="n"/>
      <c r="R52" s="67" t="n"/>
      <c r="S52" s="67" t="n"/>
      <c r="T52" s="67" t="n"/>
      <c r="U52" s="67" t="n"/>
      <c r="V52" s="67" t="n"/>
      <c r="W52" s="67" t="n"/>
      <c r="X52" s="67" t="n"/>
      <c r="Y52" s="67" t="n"/>
      <c r="Z52" s="67" t="n"/>
      <c r="AG52" s="67" t="n"/>
      <c r="AH52" s="67" t="n"/>
      <c r="AI52" s="67" t="n"/>
      <c r="AJ52" s="67" t="n"/>
      <c r="AK52" s="67" t="n"/>
      <c r="AL52" s="67" t="n"/>
      <c r="AM52" s="67" t="n"/>
    </row>
    <row r="53">
      <c r="B53" s="67" t="n"/>
      <c r="C53" s="67" t="n"/>
      <c r="D53" s="67" t="n"/>
      <c r="E53" s="67" t="n"/>
      <c r="F53" s="67" t="n"/>
      <c r="G53" s="67" t="n"/>
      <c r="I53" s="67" t="n"/>
      <c r="J53" s="67" t="n"/>
      <c r="K53" s="67" t="n"/>
      <c r="L53" s="67" t="n"/>
      <c r="N53" s="67" t="n"/>
      <c r="O53" s="67" t="n"/>
      <c r="P53" s="67" t="n"/>
      <c r="Q53" s="67" t="n"/>
      <c r="R53" s="67" t="n"/>
      <c r="S53" s="67" t="n"/>
      <c r="T53" s="67" t="n"/>
      <c r="U53" s="67" t="n"/>
      <c r="V53" s="67" t="n"/>
      <c r="W53" s="67" t="n"/>
      <c r="X53" s="67" t="n"/>
      <c r="Y53" s="67" t="n"/>
      <c r="Z53" s="67" t="n"/>
      <c r="AG53" s="67" t="n"/>
      <c r="AH53" s="67" t="n"/>
      <c r="AI53" s="67" t="n"/>
      <c r="AJ53" s="67" t="n"/>
      <c r="AK53" s="67" t="n"/>
      <c r="AL53" s="67" t="n"/>
      <c r="AM53" s="67" t="n"/>
    </row>
    <row r="54">
      <c r="B54" s="67" t="n"/>
      <c r="C54" s="67" t="n"/>
      <c r="D54" s="67" t="n"/>
      <c r="E54" s="67" t="n"/>
      <c r="F54" s="67" t="n"/>
      <c r="G54" s="67" t="n"/>
      <c r="I54" s="67" t="n"/>
      <c r="J54" s="67" t="n"/>
      <c r="K54" s="67" t="n"/>
      <c r="L54" s="67" t="n"/>
      <c r="N54" s="67" t="n"/>
      <c r="O54" s="67" t="n"/>
      <c r="P54" s="67" t="n"/>
      <c r="Q54" s="67" t="n"/>
      <c r="R54" s="67" t="n"/>
      <c r="S54" s="67" t="n"/>
      <c r="T54" s="67" t="n"/>
      <c r="U54" s="67" t="n"/>
      <c r="V54" s="67" t="n"/>
      <c r="W54" s="67" t="n"/>
      <c r="X54" s="67" t="n"/>
      <c r="Y54" s="67" t="n"/>
      <c r="Z54" s="67" t="n"/>
      <c r="AG54" s="67" t="n"/>
      <c r="AH54" s="67" t="n"/>
      <c r="AI54" s="67" t="n"/>
      <c r="AJ54" s="67" t="n"/>
      <c r="AK54" s="67" t="n"/>
      <c r="AL54" s="67" t="n"/>
      <c r="AM54" s="67" t="n"/>
    </row>
    <row r="55">
      <c r="B55" s="67" t="n"/>
      <c r="C55" s="67" t="n"/>
      <c r="D55" s="67" t="n"/>
      <c r="E55" s="67" t="n"/>
      <c r="F55" s="67" t="n"/>
      <c r="G55" s="67" t="n"/>
      <c r="I55" s="67" t="n"/>
      <c r="J55" s="67" t="n"/>
      <c r="K55" s="67" t="n"/>
      <c r="L55" s="67" t="n"/>
      <c r="N55" s="67" t="n"/>
      <c r="O55" s="67" t="n"/>
      <c r="P55" s="67" t="n"/>
      <c r="Q55" s="67" t="n"/>
      <c r="R55" s="67" t="n"/>
      <c r="S55" s="67" t="n"/>
      <c r="T55" s="67" t="n"/>
      <c r="U55" s="67" t="n"/>
      <c r="V55" s="67" t="n"/>
      <c r="W55" s="67" t="n"/>
      <c r="X55" s="67" t="n"/>
      <c r="Y55" s="67" t="n"/>
      <c r="Z55" s="67" t="n"/>
      <c r="AG55" s="67" t="n"/>
      <c r="AH55" s="67" t="n"/>
      <c r="AI55" s="67" t="n"/>
      <c r="AJ55" s="67" t="n"/>
      <c r="AK55" s="67" t="n"/>
      <c r="AL55" s="67" t="n"/>
      <c r="AM55" s="67" t="n"/>
    </row>
    <row r="56">
      <c r="B56" s="67" t="n"/>
      <c r="C56" s="67" t="n"/>
      <c r="D56" s="67" t="n"/>
      <c r="E56" s="67" t="n"/>
      <c r="F56" s="67" t="n"/>
      <c r="G56" s="67" t="n"/>
      <c r="I56" s="67" t="n"/>
      <c r="J56" s="67" t="n"/>
      <c r="K56" s="67" t="n"/>
      <c r="L56" s="67" t="n"/>
      <c r="N56" s="67" t="n"/>
      <c r="O56" s="67" t="n"/>
      <c r="P56" s="67" t="n"/>
      <c r="Q56" s="67" t="n"/>
      <c r="R56" s="67" t="n"/>
      <c r="S56" s="67" t="n"/>
      <c r="T56" s="67" t="n"/>
      <c r="U56" s="67" t="n"/>
      <c r="V56" s="67" t="n"/>
      <c r="W56" s="67" t="n"/>
      <c r="X56" s="67" t="n"/>
      <c r="Y56" s="67" t="n"/>
      <c r="Z56" s="67" t="n"/>
      <c r="AG56" s="67" t="n"/>
      <c r="AH56" s="67" t="n"/>
      <c r="AI56" s="67" t="n"/>
      <c r="AJ56" s="67" t="n"/>
      <c r="AK56" s="67" t="n"/>
      <c r="AL56" s="67" t="n"/>
      <c r="AM56" s="67" t="n"/>
    </row>
    <row r="57">
      <c r="B57" s="67" t="n"/>
      <c r="C57" s="67" t="n"/>
      <c r="D57" s="67" t="n"/>
      <c r="E57" s="67" t="n"/>
      <c r="F57" s="67" t="n"/>
      <c r="G57" s="67" t="n"/>
      <c r="I57" s="67" t="n"/>
      <c r="J57" s="67" t="n"/>
      <c r="K57" s="67" t="n"/>
      <c r="L57" s="67" t="n"/>
      <c r="N57" s="67" t="n"/>
      <c r="O57" s="67" t="n"/>
      <c r="P57" s="67" t="n"/>
      <c r="Q57" s="67" t="n"/>
      <c r="R57" s="67" t="n"/>
      <c r="S57" s="67" t="n"/>
      <c r="T57" s="67" t="n"/>
      <c r="U57" s="67" t="n"/>
      <c r="V57" s="67" t="n"/>
      <c r="W57" s="67" t="n"/>
      <c r="X57" s="67" t="n"/>
      <c r="Y57" s="67" t="n"/>
      <c r="Z57" s="67" t="n"/>
      <c r="AG57" s="67" t="n"/>
      <c r="AH57" s="67" t="n"/>
      <c r="AI57" s="67" t="n"/>
      <c r="AJ57" s="67" t="n"/>
      <c r="AK57" s="67" t="n"/>
      <c r="AL57" s="67" t="n"/>
      <c r="AM57" s="67" t="n"/>
    </row>
    <row r="58">
      <c r="B58" s="67" t="n"/>
      <c r="C58" s="67" t="n"/>
      <c r="D58" s="67" t="n"/>
      <c r="E58" s="67" t="n"/>
      <c r="F58" s="67" t="n"/>
      <c r="G58" s="67" t="n"/>
      <c r="I58" s="67" t="n"/>
      <c r="J58" s="67" t="n"/>
      <c r="K58" s="67" t="n"/>
      <c r="L58" s="67" t="n"/>
      <c r="N58" s="67" t="n"/>
      <c r="O58" s="67" t="n"/>
      <c r="P58" s="67" t="n"/>
      <c r="Q58" s="67" t="n"/>
      <c r="R58" s="67" t="n"/>
      <c r="S58" s="67" t="n"/>
      <c r="T58" s="67" t="n"/>
      <c r="U58" s="67" t="n"/>
      <c r="V58" s="67" t="n"/>
      <c r="W58" s="67" t="n"/>
      <c r="X58" s="67" t="n"/>
      <c r="Y58" s="67" t="n"/>
      <c r="Z58" s="67" t="n"/>
      <c r="AG58" s="67" t="n"/>
      <c r="AH58" s="67" t="n"/>
      <c r="AI58" s="67" t="n"/>
      <c r="AJ58" s="67" t="n"/>
      <c r="AK58" s="67" t="n"/>
      <c r="AL58" s="67" t="n"/>
      <c r="AM58" s="67" t="n"/>
    </row>
    <row r="59">
      <c r="B59" s="67" t="n"/>
      <c r="C59" s="67" t="n"/>
      <c r="D59" s="67" t="n"/>
      <c r="E59" s="67" t="n"/>
      <c r="F59" s="67" t="n"/>
      <c r="G59" s="67" t="n"/>
      <c r="I59" s="67" t="n"/>
      <c r="J59" s="67" t="n"/>
      <c r="K59" s="67" t="n"/>
      <c r="L59" s="67" t="n"/>
      <c r="N59" s="67" t="n"/>
      <c r="O59" s="67" t="n"/>
      <c r="P59" s="67" t="n"/>
      <c r="Q59" s="67" t="n"/>
      <c r="R59" s="67" t="n"/>
      <c r="S59" s="67" t="n"/>
      <c r="T59" s="67" t="n"/>
      <c r="U59" s="67" t="n"/>
      <c r="V59" s="67" t="n"/>
      <c r="W59" s="67" t="n"/>
      <c r="X59" s="67" t="n"/>
      <c r="Y59" s="67" t="n"/>
      <c r="Z59" s="67" t="n"/>
      <c r="AG59" s="67" t="n"/>
      <c r="AH59" s="67" t="n"/>
      <c r="AI59" s="67" t="n"/>
      <c r="AJ59" s="67" t="n"/>
      <c r="AK59" s="67" t="n"/>
      <c r="AL59" s="67" t="n"/>
      <c r="AM59" s="67" t="n"/>
    </row>
    <row r="60">
      <c r="B60" s="67" t="n"/>
      <c r="C60" s="67" t="n"/>
      <c r="D60" s="67" t="n"/>
      <c r="E60" s="67" t="n"/>
      <c r="F60" s="67" t="n"/>
      <c r="G60" s="67" t="n"/>
      <c r="I60" s="67" t="n"/>
      <c r="J60" s="67" t="n"/>
      <c r="K60" s="67" t="n"/>
      <c r="L60" s="67" t="n"/>
      <c r="N60" s="67" t="n"/>
      <c r="O60" s="67" t="n"/>
      <c r="P60" s="67" t="n"/>
      <c r="Q60" s="67" t="n"/>
      <c r="R60" s="67" t="n"/>
      <c r="S60" s="67" t="n"/>
      <c r="T60" s="67" t="n"/>
      <c r="U60" s="67" t="n"/>
      <c r="V60" s="67" t="n"/>
      <c r="W60" s="67" t="n"/>
      <c r="X60" s="67" t="n"/>
      <c r="Y60" s="67" t="n"/>
      <c r="Z60" s="67" t="n"/>
      <c r="AG60" s="67" t="n"/>
      <c r="AH60" s="67" t="n"/>
      <c r="AI60" s="67" t="n"/>
      <c r="AJ60" s="67" t="n"/>
      <c r="AK60" s="67" t="n"/>
      <c r="AL60" s="67" t="n"/>
      <c r="AM60" s="67" t="n"/>
    </row>
    <row r="61">
      <c r="B61" s="67" t="n"/>
      <c r="C61" s="67" t="n"/>
      <c r="D61" s="67" t="n"/>
      <c r="E61" s="67" t="n"/>
      <c r="F61" s="67" t="n"/>
      <c r="G61" s="67" t="n"/>
      <c r="I61" s="67" t="n"/>
      <c r="J61" s="67" t="n"/>
      <c r="K61" s="67" t="n"/>
      <c r="L61" s="67" t="n"/>
      <c r="N61" s="67" t="n"/>
      <c r="O61" s="67" t="n"/>
      <c r="P61" s="67" t="n"/>
      <c r="Q61" s="67" t="n"/>
      <c r="R61" s="67" t="n"/>
      <c r="S61" s="67" t="n"/>
      <c r="T61" s="67" t="n"/>
      <c r="U61" s="67" t="n"/>
      <c r="V61" s="67" t="n"/>
      <c r="W61" s="67" t="n"/>
      <c r="X61" s="67" t="n"/>
      <c r="Y61" s="67" t="n"/>
      <c r="Z61" s="67" t="n"/>
      <c r="AG61" s="67" t="n"/>
      <c r="AH61" s="67" t="n"/>
      <c r="AI61" s="67" t="n"/>
      <c r="AJ61" s="67" t="n"/>
      <c r="AK61" s="67" t="n"/>
      <c r="AL61" s="67" t="n"/>
      <c r="AM61" s="67" t="n"/>
    </row>
    <row r="62">
      <c r="B62" s="67" t="n"/>
      <c r="C62" s="67" t="n"/>
      <c r="D62" s="67" t="n"/>
      <c r="E62" s="67" t="n"/>
      <c r="F62" s="67" t="n"/>
      <c r="G62" s="67" t="n"/>
      <c r="I62" s="67" t="n"/>
      <c r="J62" s="67" t="n"/>
      <c r="K62" s="67" t="n"/>
      <c r="L62" s="67" t="n"/>
      <c r="N62" s="67" t="n"/>
      <c r="O62" s="67" t="n"/>
      <c r="P62" s="67" t="n"/>
      <c r="Q62" s="67" t="n"/>
      <c r="R62" s="67" t="n"/>
      <c r="S62" s="67" t="n"/>
      <c r="T62" s="67" t="n"/>
      <c r="U62" s="67" t="n"/>
      <c r="V62" s="67" t="n"/>
      <c r="W62" s="67" t="n"/>
      <c r="X62" s="67" t="n"/>
      <c r="Y62" s="67" t="n"/>
      <c r="Z62" s="67" t="n"/>
      <c r="AG62" s="67" t="n"/>
      <c r="AH62" s="67" t="n"/>
      <c r="AI62" s="67" t="n"/>
      <c r="AJ62" s="67" t="n"/>
      <c r="AK62" s="67" t="n"/>
      <c r="AL62" s="67" t="n"/>
      <c r="AM62" s="67" t="n"/>
    </row>
    <row r="63">
      <c r="B63" s="67" t="n"/>
      <c r="C63" s="67" t="n"/>
      <c r="D63" s="67" t="n"/>
      <c r="E63" s="67" t="n"/>
      <c r="F63" s="67" t="n"/>
      <c r="G63" s="67" t="n"/>
      <c r="I63" s="67" t="n"/>
      <c r="J63" s="67" t="n"/>
      <c r="K63" s="67" t="n"/>
      <c r="L63" s="67" t="n"/>
      <c r="N63" s="67" t="n"/>
      <c r="O63" s="67" t="n"/>
      <c r="P63" s="67" t="n"/>
      <c r="Q63" s="67" t="n"/>
      <c r="R63" s="67" t="n"/>
      <c r="S63" s="67" t="n"/>
      <c r="T63" s="67" t="n"/>
      <c r="U63" s="67" t="n"/>
      <c r="V63" s="67" t="n"/>
      <c r="W63" s="67" t="n"/>
      <c r="X63" s="67" t="n"/>
      <c r="Y63" s="67" t="n"/>
      <c r="Z63" s="67" t="n"/>
      <c r="AG63" s="67" t="n"/>
      <c r="AH63" s="67" t="n"/>
      <c r="AI63" s="67" t="n"/>
      <c r="AJ63" s="67" t="n"/>
      <c r="AK63" s="67" t="n"/>
      <c r="AL63" s="67" t="n"/>
      <c r="AM63" s="67" t="n"/>
    </row>
    <row r="64">
      <c r="B64" s="67" t="n"/>
      <c r="C64" s="67" t="n"/>
      <c r="D64" s="67" t="n"/>
      <c r="E64" s="67" t="n"/>
      <c r="F64" s="67" t="n"/>
      <c r="G64" s="67" t="n"/>
      <c r="I64" s="67" t="n"/>
      <c r="J64" s="67" t="n"/>
      <c r="K64" s="67" t="n"/>
      <c r="L64" s="67" t="n"/>
      <c r="N64" s="67" t="n"/>
      <c r="O64" s="67" t="n"/>
      <c r="P64" s="67" t="n"/>
      <c r="Q64" s="67" t="n"/>
      <c r="R64" s="67" t="n"/>
      <c r="S64" s="67" t="n"/>
      <c r="T64" s="67" t="n"/>
      <c r="U64" s="67" t="n"/>
      <c r="V64" s="67" t="n"/>
      <c r="W64" s="67" t="n"/>
      <c r="X64" s="67" t="n"/>
      <c r="Y64" s="67" t="n"/>
      <c r="Z64" s="67" t="n"/>
      <c r="AG64" s="67" t="n"/>
      <c r="AH64" s="67" t="n"/>
      <c r="AI64" s="67" t="n"/>
      <c r="AJ64" s="67" t="n"/>
      <c r="AK64" s="67" t="n"/>
      <c r="AL64" s="67" t="n"/>
      <c r="AM64" s="67" t="n"/>
    </row>
    <row r="65">
      <c r="B65" s="67" t="n"/>
      <c r="C65" s="67" t="n"/>
      <c r="D65" s="67" t="n"/>
      <c r="E65" s="67" t="n"/>
      <c r="F65" s="67" t="n"/>
      <c r="G65" s="67" t="n"/>
      <c r="I65" s="67" t="n"/>
      <c r="J65" s="67" t="n"/>
      <c r="K65" s="67" t="n"/>
      <c r="L65" s="67" t="n"/>
      <c r="N65" s="67" t="n"/>
      <c r="O65" s="67" t="n"/>
      <c r="P65" s="67" t="n"/>
      <c r="Q65" s="67" t="n"/>
      <c r="R65" s="67" t="n"/>
      <c r="S65" s="67" t="n"/>
      <c r="T65" s="67" t="n"/>
      <c r="U65" s="67" t="n"/>
      <c r="V65" s="67" t="n"/>
      <c r="W65" s="67" t="n"/>
      <c r="X65" s="67" t="n"/>
      <c r="Y65" s="67" t="n"/>
      <c r="Z65" s="67" t="n"/>
      <c r="AG65" s="67" t="n"/>
      <c r="AH65" s="67" t="n"/>
      <c r="AI65" s="67" t="n"/>
      <c r="AJ65" s="67" t="n"/>
      <c r="AK65" s="67" t="n"/>
      <c r="AL65" s="67" t="n"/>
      <c r="AM65" s="67" t="n"/>
    </row>
    <row r="66">
      <c r="B66" s="67" t="n"/>
      <c r="C66" s="67" t="n"/>
      <c r="D66" s="67" t="n"/>
      <c r="E66" s="67" t="n"/>
      <c r="F66" s="67" t="n"/>
      <c r="G66" s="67" t="n"/>
      <c r="I66" s="67" t="n"/>
      <c r="J66" s="67" t="n"/>
      <c r="K66" s="67" t="n"/>
      <c r="L66" s="67" t="n"/>
      <c r="N66" s="67" t="n"/>
      <c r="O66" s="67" t="n"/>
      <c r="P66" s="67" t="n"/>
      <c r="Q66" s="67" t="n"/>
      <c r="R66" s="67" t="n"/>
      <c r="S66" s="67" t="n"/>
      <c r="T66" s="67" t="n"/>
      <c r="U66" s="67" t="n"/>
      <c r="V66" s="67" t="n"/>
      <c r="W66" s="67" t="n"/>
      <c r="X66" s="67" t="n"/>
      <c r="Y66" s="67" t="n"/>
      <c r="Z66" s="67" t="n"/>
      <c r="AG66" s="67" t="n"/>
      <c r="AH66" s="67" t="n"/>
      <c r="AI66" s="67" t="n"/>
      <c r="AJ66" s="67" t="n"/>
      <c r="AK66" s="67" t="n"/>
      <c r="AL66" s="67" t="n"/>
      <c r="AM66" s="67" t="n"/>
    </row>
    <row r="67">
      <c r="B67" s="67" t="n"/>
      <c r="C67" s="67" t="n"/>
      <c r="D67" s="67" t="n"/>
      <c r="E67" s="67" t="n"/>
      <c r="F67" s="67" t="n"/>
      <c r="G67" s="67" t="n"/>
      <c r="I67" s="67" t="n"/>
      <c r="J67" s="67" t="n"/>
      <c r="K67" s="67" t="n"/>
      <c r="L67" s="67" t="n"/>
      <c r="N67" s="67" t="n"/>
      <c r="O67" s="67" t="n"/>
      <c r="P67" s="67" t="n"/>
      <c r="Q67" s="67" t="n"/>
      <c r="R67" s="67" t="n"/>
      <c r="S67" s="67" t="n"/>
      <c r="T67" s="67" t="n"/>
      <c r="U67" s="67" t="n"/>
      <c r="V67" s="67" t="n"/>
      <c r="W67" s="67" t="n"/>
      <c r="X67" s="67" t="n"/>
      <c r="Y67" s="67" t="n"/>
      <c r="Z67" s="67" t="n"/>
      <c r="AG67" s="67" t="n"/>
      <c r="AH67" s="67" t="n"/>
      <c r="AI67" s="67" t="n"/>
      <c r="AJ67" s="67" t="n"/>
      <c r="AK67" s="67" t="n"/>
      <c r="AL67" s="67" t="n"/>
      <c r="AM67" s="67" t="n"/>
    </row>
    <row r="68">
      <c r="B68" s="67" t="n"/>
      <c r="C68" s="67" t="n"/>
      <c r="D68" s="67" t="n"/>
      <c r="E68" s="67" t="n"/>
      <c r="F68" s="67" t="n"/>
      <c r="G68" s="67" t="n"/>
      <c r="I68" s="67" t="n"/>
      <c r="J68" s="67" t="n"/>
      <c r="K68" s="67" t="n"/>
      <c r="L68" s="67" t="n"/>
      <c r="N68" s="67" t="n"/>
      <c r="O68" s="67" t="n"/>
      <c r="P68" s="67" t="n"/>
      <c r="Q68" s="67" t="n"/>
      <c r="R68" s="67" t="n"/>
      <c r="S68" s="67" t="n"/>
      <c r="T68" s="67" t="n"/>
      <c r="U68" s="67" t="n"/>
      <c r="V68" s="67" t="n"/>
      <c r="W68" s="67" t="n"/>
      <c r="X68" s="67" t="n"/>
      <c r="Y68" s="67" t="n"/>
      <c r="Z68" s="67" t="n"/>
      <c r="AG68" s="67" t="n"/>
      <c r="AH68" s="67" t="n"/>
      <c r="AI68" s="67" t="n"/>
      <c r="AJ68" s="67" t="n"/>
      <c r="AK68" s="67" t="n"/>
      <c r="AL68" s="67" t="n"/>
      <c r="AM68" s="67" t="n"/>
    </row>
    <row r="69">
      <c r="B69" s="67" t="n"/>
      <c r="C69" s="67" t="n"/>
      <c r="D69" s="67" t="n"/>
      <c r="E69" s="67" t="n"/>
      <c r="F69" s="67" t="n"/>
      <c r="G69" s="67" t="n"/>
      <c r="I69" s="67" t="n"/>
      <c r="J69" s="67" t="n"/>
      <c r="K69" s="67" t="n"/>
      <c r="L69" s="67" t="n"/>
      <c r="N69" s="67" t="n"/>
      <c r="O69" s="67" t="n"/>
      <c r="P69" s="67" t="n"/>
      <c r="Q69" s="67" t="n"/>
      <c r="R69" s="67" t="n"/>
      <c r="S69" s="67" t="n"/>
      <c r="T69" s="67" t="n"/>
      <c r="U69" s="67" t="n"/>
      <c r="V69" s="67" t="n"/>
      <c r="W69" s="67" t="n"/>
      <c r="X69" s="67" t="n"/>
      <c r="Y69" s="67" t="n"/>
      <c r="Z69" s="67" t="n"/>
      <c r="AG69" s="67" t="n"/>
      <c r="AH69" s="67" t="n"/>
      <c r="AI69" s="67" t="n"/>
      <c r="AJ69" s="67" t="n"/>
      <c r="AK69" s="67" t="n"/>
      <c r="AL69" s="67" t="n"/>
      <c r="AM69" s="67" t="n"/>
    </row>
    <row r="70">
      <c r="B70" s="67" t="n"/>
      <c r="C70" s="67" t="n"/>
      <c r="D70" s="67" t="n"/>
      <c r="E70" s="67" t="n"/>
      <c r="F70" s="67" t="n"/>
      <c r="G70" s="67" t="n"/>
      <c r="I70" s="67" t="n"/>
      <c r="J70" s="67" t="n"/>
      <c r="K70" s="67" t="n"/>
      <c r="L70" s="67" t="n"/>
      <c r="N70" s="67" t="n"/>
      <c r="O70" s="67" t="n"/>
      <c r="P70" s="67" t="n"/>
      <c r="Q70" s="67" t="n"/>
      <c r="R70" s="67" t="n"/>
      <c r="S70" s="67" t="n"/>
      <c r="T70" s="67" t="n"/>
      <c r="U70" s="67" t="n"/>
      <c r="V70" s="67" t="n"/>
      <c r="W70" s="67" t="n"/>
      <c r="X70" s="67" t="n"/>
      <c r="Y70" s="67" t="n"/>
      <c r="Z70" s="67" t="n"/>
      <c r="AG70" s="67" t="n"/>
      <c r="AH70" s="67" t="n"/>
      <c r="AI70" s="67" t="n"/>
      <c r="AJ70" s="67" t="n"/>
      <c r="AK70" s="67" t="n"/>
      <c r="AL70" s="67" t="n"/>
      <c r="AM70" s="67" t="n"/>
    </row>
    <row r="71">
      <c r="B71" s="67" t="n"/>
      <c r="C71" s="67" t="n"/>
      <c r="D71" s="67" t="n"/>
      <c r="E71" s="67" t="n"/>
      <c r="F71" s="67" t="n"/>
      <c r="G71" s="67" t="n"/>
      <c r="I71" s="67" t="n"/>
      <c r="J71" s="67" t="n"/>
      <c r="K71" s="67" t="n"/>
      <c r="L71" s="67" t="n"/>
      <c r="N71" s="67" t="n"/>
      <c r="O71" s="67" t="n"/>
      <c r="P71" s="67" t="n"/>
      <c r="Q71" s="67" t="n"/>
      <c r="R71" s="67" t="n"/>
      <c r="S71" s="67" t="n"/>
      <c r="T71" s="67" t="n"/>
      <c r="U71" s="67" t="n"/>
      <c r="V71" s="67" t="n"/>
      <c r="W71" s="67" t="n"/>
      <c r="X71" s="67" t="n"/>
      <c r="Y71" s="67" t="n"/>
      <c r="Z71" s="67" t="n"/>
      <c r="AG71" s="67" t="n"/>
      <c r="AH71" s="67" t="n"/>
      <c r="AI71" s="67" t="n"/>
      <c r="AJ71" s="67" t="n"/>
      <c r="AK71" s="67" t="n"/>
      <c r="AL71" s="67" t="n"/>
      <c r="AM71" s="67" t="n"/>
    </row>
    <row r="72">
      <c r="B72" s="67" t="n"/>
      <c r="C72" s="67" t="n"/>
      <c r="D72" s="67" t="n"/>
      <c r="E72" s="67" t="n"/>
      <c r="F72" s="67" t="n"/>
      <c r="G72" s="67" t="n"/>
      <c r="I72" s="67" t="n"/>
      <c r="J72" s="67" t="n"/>
      <c r="K72" s="67" t="n"/>
      <c r="L72" s="67" t="n"/>
      <c r="N72" s="67" t="n"/>
      <c r="O72" s="67" t="n"/>
      <c r="P72" s="67" t="n"/>
      <c r="Q72" s="67" t="n"/>
      <c r="R72" s="67" t="n"/>
      <c r="S72" s="67" t="n"/>
      <c r="T72" s="67" t="n"/>
      <c r="U72" s="67" t="n"/>
      <c r="V72" s="67" t="n"/>
      <c r="W72" s="67" t="n"/>
      <c r="X72" s="67" t="n"/>
      <c r="Y72" s="67" t="n"/>
      <c r="Z72" s="67" t="n"/>
      <c r="AG72" s="67" t="n"/>
      <c r="AH72" s="67" t="n"/>
      <c r="AI72" s="67" t="n"/>
      <c r="AJ72" s="67" t="n"/>
      <c r="AK72" s="67" t="n"/>
      <c r="AL72" s="67" t="n"/>
      <c r="AM72" s="67" t="n"/>
    </row>
    <row r="73">
      <c r="B73" s="67" t="n"/>
      <c r="C73" s="67" t="n"/>
      <c r="D73" s="67" t="n"/>
      <c r="E73" s="67" t="n"/>
      <c r="F73" s="67" t="n"/>
      <c r="G73" s="67" t="n"/>
      <c r="I73" s="67" t="n"/>
      <c r="J73" s="67" t="n"/>
      <c r="K73" s="67" t="n"/>
      <c r="L73" s="67" t="n"/>
      <c r="N73" s="67" t="n"/>
      <c r="O73" s="67" t="n"/>
      <c r="P73" s="67" t="n"/>
      <c r="Q73" s="67" t="n"/>
      <c r="R73" s="67" t="n"/>
      <c r="S73" s="67" t="n"/>
      <c r="T73" s="67" t="n"/>
      <c r="U73" s="67" t="n"/>
      <c r="V73" s="67" t="n"/>
      <c r="W73" s="67" t="n"/>
      <c r="X73" s="67" t="n"/>
      <c r="Y73" s="67" t="n"/>
      <c r="Z73" s="67" t="n"/>
      <c r="AG73" s="67" t="n"/>
      <c r="AH73" s="67" t="n"/>
      <c r="AI73" s="67" t="n"/>
      <c r="AJ73" s="67" t="n"/>
      <c r="AK73" s="67" t="n"/>
      <c r="AL73" s="67" t="n"/>
      <c r="AM73" s="67" t="n"/>
    </row>
    <row r="74">
      <c r="B74" s="67" t="n"/>
      <c r="C74" s="67" t="n"/>
      <c r="D74" s="67" t="n"/>
      <c r="E74" s="67" t="n"/>
      <c r="F74" s="67" t="n"/>
      <c r="G74" s="67" t="n"/>
      <c r="I74" s="67" t="n"/>
      <c r="J74" s="67" t="n"/>
      <c r="K74" s="67" t="n"/>
      <c r="L74" s="67" t="n"/>
      <c r="N74" s="67" t="n"/>
      <c r="O74" s="67" t="n"/>
      <c r="P74" s="67" t="n"/>
      <c r="Q74" s="67" t="n"/>
      <c r="R74" s="67" t="n"/>
      <c r="S74" s="67" t="n"/>
      <c r="T74" s="67" t="n"/>
      <c r="U74" s="67" t="n"/>
      <c r="V74" s="67" t="n"/>
      <c r="W74" s="67" t="n"/>
      <c r="X74" s="67" t="n"/>
      <c r="Y74" s="67" t="n"/>
      <c r="Z74" s="67" t="n"/>
      <c r="AG74" s="67" t="n"/>
      <c r="AH74" s="67" t="n"/>
      <c r="AI74" s="67" t="n"/>
      <c r="AJ74" s="67" t="n"/>
      <c r="AK74" s="67" t="n"/>
      <c r="AL74" s="67" t="n"/>
      <c r="AM74" s="67" t="n"/>
    </row>
    <row r="75">
      <c r="B75" s="67" t="n"/>
      <c r="C75" s="67" t="n"/>
      <c r="D75" s="67" t="n"/>
      <c r="E75" s="67" t="n"/>
      <c r="F75" s="67" t="n"/>
      <c r="G75" s="67" t="n"/>
      <c r="I75" s="67" t="n"/>
      <c r="J75" s="67" t="n"/>
      <c r="K75" s="67" t="n"/>
      <c r="L75" s="67" t="n"/>
      <c r="N75" s="67" t="n"/>
      <c r="O75" s="67" t="n"/>
      <c r="P75" s="67" t="n"/>
      <c r="Q75" s="67" t="n"/>
      <c r="R75" s="67" t="n"/>
      <c r="S75" s="67" t="n"/>
      <c r="T75" s="67" t="n"/>
      <c r="U75" s="67" t="n"/>
      <c r="V75" s="67" t="n"/>
      <c r="W75" s="67" t="n"/>
      <c r="X75" s="67" t="n"/>
      <c r="Y75" s="67" t="n"/>
      <c r="Z75" s="67" t="n"/>
      <c r="AG75" s="67" t="n"/>
      <c r="AH75" s="67" t="n"/>
      <c r="AI75" s="67" t="n"/>
      <c r="AJ75" s="67" t="n"/>
      <c r="AK75" s="67" t="n"/>
      <c r="AL75" s="67" t="n"/>
      <c r="AM75" s="67" t="n"/>
    </row>
    <row r="76">
      <c r="B76" s="67" t="n"/>
      <c r="C76" s="67" t="n"/>
      <c r="D76" s="67" t="n"/>
      <c r="E76" s="67" t="n"/>
      <c r="F76" s="67" t="n"/>
      <c r="G76" s="67" t="n"/>
      <c r="I76" s="67" t="n"/>
      <c r="J76" s="67" t="n"/>
      <c r="K76" s="67" t="n"/>
      <c r="L76" s="67" t="n"/>
      <c r="N76" s="67" t="n"/>
      <c r="O76" s="67" t="n"/>
      <c r="P76" s="67" t="n"/>
      <c r="Q76" s="67" t="n"/>
      <c r="R76" s="67" t="n"/>
      <c r="S76" s="67" t="n"/>
      <c r="T76" s="67" t="n"/>
      <c r="U76" s="67" t="n"/>
      <c r="V76" s="67" t="n"/>
      <c r="W76" s="67" t="n"/>
      <c r="X76" s="67" t="n"/>
      <c r="Y76" s="67" t="n"/>
      <c r="Z76" s="67" t="n"/>
      <c r="AG76" s="67" t="n"/>
      <c r="AH76" s="67" t="n"/>
      <c r="AI76" s="67" t="n"/>
      <c r="AJ76" s="67" t="n"/>
      <c r="AK76" s="67" t="n"/>
      <c r="AL76" s="67" t="n"/>
      <c r="AM76" s="67" t="n"/>
    </row>
    <row r="77">
      <c r="B77" s="67" t="n"/>
      <c r="C77" s="67" t="n"/>
      <c r="D77" s="67" t="n"/>
      <c r="E77" s="67" t="n"/>
      <c r="F77" s="67" t="n"/>
      <c r="G77" s="67" t="n"/>
      <c r="I77" s="67" t="n"/>
      <c r="J77" s="67" t="n"/>
      <c r="K77" s="67" t="n"/>
      <c r="L77" s="67" t="n"/>
      <c r="N77" s="67" t="n"/>
      <c r="O77" s="67" t="n"/>
      <c r="P77" s="67" t="n"/>
      <c r="Q77" s="67" t="n"/>
      <c r="R77" s="67" t="n"/>
      <c r="S77" s="67" t="n"/>
      <c r="T77" s="67" t="n"/>
      <c r="U77" s="67" t="n"/>
      <c r="V77" s="67" t="n"/>
      <c r="W77" s="67" t="n"/>
      <c r="X77" s="67" t="n"/>
      <c r="Y77" s="67" t="n"/>
      <c r="Z77" s="67" t="n"/>
      <c r="AG77" s="67" t="n"/>
      <c r="AH77" s="67" t="n"/>
      <c r="AI77" s="67" t="n"/>
      <c r="AJ77" s="67" t="n"/>
      <c r="AK77" s="67" t="n"/>
      <c r="AL77" s="67" t="n"/>
      <c r="AM77" s="67" t="n"/>
    </row>
    <row r="78">
      <c r="B78" s="67" t="n"/>
      <c r="C78" s="67" t="n"/>
      <c r="D78" s="67" t="n"/>
      <c r="E78" s="67" t="n"/>
      <c r="F78" s="67" t="n"/>
      <c r="G78" s="67" t="n"/>
      <c r="I78" s="67" t="n"/>
      <c r="J78" s="67" t="n"/>
      <c r="K78" s="67" t="n"/>
      <c r="L78" s="67" t="n"/>
      <c r="N78" s="67" t="n"/>
      <c r="O78" s="67" t="n"/>
      <c r="P78" s="67" t="n"/>
      <c r="Q78" s="67" t="n"/>
      <c r="R78" s="67" t="n"/>
      <c r="S78" s="67" t="n"/>
      <c r="T78" s="67" t="n"/>
      <c r="U78" s="67" t="n"/>
      <c r="V78" s="67" t="n"/>
      <c r="W78" s="67" t="n"/>
      <c r="X78" s="67" t="n"/>
      <c r="Y78" s="67" t="n"/>
      <c r="Z78" s="67" t="n"/>
      <c r="AG78" s="67" t="n"/>
      <c r="AH78" s="67" t="n"/>
      <c r="AI78" s="67" t="n"/>
      <c r="AJ78" s="67" t="n"/>
      <c r="AK78" s="67" t="n"/>
      <c r="AL78" s="67" t="n"/>
      <c r="AM78" s="67" t="n"/>
    </row>
    <row r="79">
      <c r="B79" s="67" t="n"/>
      <c r="C79" s="67" t="n"/>
      <c r="D79" s="67" t="n"/>
      <c r="E79" s="67" t="n"/>
      <c r="F79" s="67" t="n"/>
      <c r="G79" s="67" t="n"/>
      <c r="I79" s="67" t="n"/>
      <c r="J79" s="67" t="n"/>
      <c r="K79" s="67" t="n"/>
      <c r="L79" s="67" t="n"/>
      <c r="N79" s="67" t="n"/>
      <c r="O79" s="67" t="n"/>
      <c r="P79" s="67" t="n"/>
      <c r="Q79" s="67" t="n"/>
      <c r="R79" s="67" t="n"/>
      <c r="S79" s="67" t="n"/>
      <c r="T79" s="67" t="n"/>
      <c r="U79" s="67" t="n"/>
      <c r="V79" s="67" t="n"/>
      <c r="W79" s="67" t="n"/>
      <c r="X79" s="67" t="n"/>
      <c r="Y79" s="67" t="n"/>
      <c r="Z79" s="67" t="n"/>
      <c r="AG79" s="67" t="n"/>
      <c r="AH79" s="67" t="n"/>
      <c r="AI79" s="67" t="n"/>
      <c r="AJ79" s="67" t="n"/>
      <c r="AK79" s="67" t="n"/>
      <c r="AL79" s="67" t="n"/>
      <c r="AM79" s="67" t="n"/>
    </row>
    <row r="80">
      <c r="B80" s="67" t="n"/>
      <c r="C80" s="67" t="n"/>
      <c r="D80" s="67" t="n"/>
      <c r="E80" s="67" t="n"/>
      <c r="F80" s="67" t="n"/>
      <c r="G80" s="67" t="n"/>
      <c r="I80" s="67" t="n"/>
      <c r="J80" s="67" t="n"/>
      <c r="K80" s="67" t="n"/>
      <c r="L80" s="67" t="n"/>
      <c r="N80" s="67" t="n"/>
      <c r="O80" s="67" t="n"/>
      <c r="P80" s="67" t="n"/>
      <c r="Q80" s="67" t="n"/>
      <c r="R80" s="67" t="n"/>
      <c r="S80" s="67" t="n"/>
      <c r="T80" s="67" t="n"/>
      <c r="U80" s="67" t="n"/>
      <c r="V80" s="67" t="n"/>
      <c r="W80" s="67" t="n"/>
      <c r="X80" s="67" t="n"/>
      <c r="Y80" s="67" t="n"/>
      <c r="Z80" s="67" t="n"/>
      <c r="AG80" s="67" t="n"/>
      <c r="AH80" s="67" t="n"/>
      <c r="AI80" s="67" t="n"/>
      <c r="AJ80" s="67" t="n"/>
      <c r="AK80" s="67" t="n"/>
      <c r="AL80" s="67" t="n"/>
      <c r="AM80" s="67" t="n"/>
    </row>
    <row r="81">
      <c r="B81" s="67" t="n"/>
      <c r="C81" s="67" t="n"/>
      <c r="D81" s="67" t="n"/>
      <c r="E81" s="67" t="n"/>
      <c r="F81" s="67" t="n"/>
      <c r="G81" s="67" t="n"/>
      <c r="I81" s="67" t="n"/>
      <c r="J81" s="67" t="n"/>
      <c r="K81" s="67" t="n"/>
      <c r="L81" s="67" t="n"/>
      <c r="N81" s="67" t="n"/>
      <c r="O81" s="67" t="n"/>
      <c r="P81" s="67" t="n"/>
      <c r="Q81" s="67" t="n"/>
      <c r="R81" s="67" t="n"/>
      <c r="S81" s="67" t="n"/>
      <c r="T81" s="67" t="n"/>
      <c r="U81" s="67" t="n"/>
      <c r="V81" s="67" t="n"/>
      <c r="W81" s="67" t="n"/>
      <c r="X81" s="67" t="n"/>
      <c r="Y81" s="67" t="n"/>
      <c r="Z81" s="67" t="n"/>
      <c r="AG81" s="67" t="n"/>
      <c r="AH81" s="67" t="n"/>
      <c r="AI81" s="67" t="n"/>
      <c r="AJ81" s="67" t="n"/>
      <c r="AK81" s="67" t="n"/>
      <c r="AL81" s="67" t="n"/>
      <c r="AM81" s="67" t="n"/>
    </row>
    <row r="82">
      <c r="B82" s="67" t="n"/>
      <c r="C82" s="67" t="n"/>
      <c r="D82" s="67" t="n"/>
      <c r="E82" s="67" t="n"/>
      <c r="F82" s="67" t="n"/>
      <c r="G82" s="67" t="n"/>
      <c r="I82" s="67" t="n"/>
      <c r="J82" s="67" t="n"/>
      <c r="K82" s="67" t="n"/>
      <c r="L82" s="67" t="n"/>
      <c r="N82" s="67" t="n"/>
      <c r="O82" s="67" t="n"/>
      <c r="P82" s="67" t="n"/>
      <c r="Q82" s="67" t="n"/>
      <c r="R82" s="67" t="n"/>
      <c r="S82" s="67" t="n"/>
      <c r="T82" s="67" t="n"/>
      <c r="U82" s="67" t="n"/>
      <c r="V82" s="67" t="n"/>
      <c r="W82" s="67" t="n"/>
      <c r="X82" s="67" t="n"/>
      <c r="Y82" s="67" t="n"/>
      <c r="Z82" s="67" t="n"/>
      <c r="AG82" s="67" t="n"/>
      <c r="AH82" s="67" t="n"/>
      <c r="AI82" s="67" t="n"/>
      <c r="AJ82" s="67" t="n"/>
      <c r="AK82" s="67" t="n"/>
      <c r="AL82" s="67" t="n"/>
      <c r="AM82" s="67" t="n"/>
    </row>
    <row r="83">
      <c r="B83" s="67" t="n"/>
      <c r="C83" s="67" t="n"/>
      <c r="D83" s="67" t="n"/>
      <c r="E83" s="67" t="n"/>
      <c r="F83" s="67" t="n"/>
      <c r="G83" s="67" t="n"/>
      <c r="I83" s="67" t="n"/>
      <c r="J83" s="67" t="n"/>
      <c r="K83" s="67" t="n"/>
      <c r="L83" s="67" t="n"/>
      <c r="N83" s="67" t="n"/>
      <c r="O83" s="67" t="n"/>
      <c r="P83" s="67" t="n"/>
      <c r="Q83" s="67" t="n"/>
      <c r="R83" s="67" t="n"/>
      <c r="S83" s="67" t="n"/>
      <c r="T83" s="67" t="n"/>
      <c r="U83" s="67" t="n"/>
      <c r="V83" s="67" t="n"/>
      <c r="W83" s="67" t="n"/>
      <c r="X83" s="67" t="n"/>
      <c r="Y83" s="67" t="n"/>
      <c r="Z83" s="67" t="n"/>
      <c r="AG83" s="67" t="n"/>
      <c r="AH83" s="67" t="n"/>
      <c r="AI83" s="67" t="n"/>
      <c r="AJ83" s="67" t="n"/>
      <c r="AK83" s="67" t="n"/>
      <c r="AL83" s="67" t="n"/>
      <c r="AM83" s="67" t="n"/>
    </row>
    <row r="84">
      <c r="B84" s="67" t="n"/>
      <c r="C84" s="67" t="n"/>
      <c r="D84" s="67" t="n"/>
      <c r="E84" s="67" t="n"/>
      <c r="F84" s="67" t="n"/>
      <c r="G84" s="67" t="n"/>
      <c r="I84" s="67" t="n"/>
      <c r="J84" s="67" t="n"/>
      <c r="K84" s="67" t="n"/>
      <c r="L84" s="67" t="n"/>
      <c r="N84" s="67" t="n"/>
      <c r="O84" s="67" t="n"/>
      <c r="P84" s="67" t="n"/>
      <c r="Q84" s="67" t="n"/>
      <c r="R84" s="67" t="n"/>
      <c r="S84" s="67" t="n"/>
      <c r="T84" s="67" t="n"/>
      <c r="U84" s="67" t="n"/>
      <c r="V84" s="67" t="n"/>
      <c r="W84" s="67" t="n"/>
      <c r="X84" s="67" t="n"/>
      <c r="Y84" s="67" t="n"/>
      <c r="Z84" s="67" t="n"/>
      <c r="AG84" s="67" t="n"/>
      <c r="AH84" s="67" t="n"/>
      <c r="AI84" s="67" t="n"/>
      <c r="AJ84" s="67" t="n"/>
      <c r="AK84" s="67" t="n"/>
      <c r="AL84" s="67" t="n"/>
      <c r="AM84" s="67" t="n"/>
    </row>
    <row r="85">
      <c r="B85" s="67" t="n"/>
      <c r="C85" s="67" t="n"/>
      <c r="D85" s="67" t="n"/>
      <c r="E85" s="67" t="n"/>
      <c r="F85" s="67" t="n"/>
      <c r="G85" s="67" t="n"/>
      <c r="I85" s="67" t="n"/>
      <c r="J85" s="67" t="n"/>
      <c r="K85" s="67" t="n"/>
      <c r="L85" s="67" t="n"/>
      <c r="N85" s="67" t="n"/>
      <c r="O85" s="67" t="n"/>
      <c r="P85" s="67" t="n"/>
      <c r="Q85" s="67" t="n"/>
      <c r="R85" s="67" t="n"/>
      <c r="S85" s="67" t="n"/>
      <c r="T85" s="67" t="n"/>
      <c r="U85" s="67" t="n"/>
      <c r="V85" s="67" t="n"/>
      <c r="W85" s="67" t="n"/>
      <c r="X85" s="67" t="n"/>
      <c r="Y85" s="67" t="n"/>
      <c r="Z85" s="67" t="n"/>
      <c r="AG85" s="67" t="n"/>
      <c r="AH85" s="67" t="n"/>
      <c r="AI85" s="67" t="n"/>
      <c r="AJ85" s="67" t="n"/>
      <c r="AK85" s="67" t="n"/>
      <c r="AL85" s="67" t="n"/>
      <c r="AM85" s="67" t="n"/>
    </row>
    <row r="86">
      <c r="B86" s="67" t="n"/>
      <c r="C86" s="67" t="n"/>
      <c r="D86" s="67" t="n"/>
      <c r="E86" s="67" t="n"/>
      <c r="F86" s="67" t="n"/>
      <c r="G86" s="67" t="n"/>
      <c r="I86" s="67" t="n"/>
      <c r="J86" s="67" t="n"/>
      <c r="K86" s="67" t="n"/>
      <c r="L86" s="67" t="n"/>
      <c r="N86" s="67" t="n"/>
      <c r="O86" s="67" t="n"/>
      <c r="P86" s="67" t="n"/>
      <c r="Q86" s="67" t="n"/>
      <c r="R86" s="67" t="n"/>
      <c r="S86" s="67" t="n"/>
      <c r="T86" s="67" t="n"/>
      <c r="U86" s="67" t="n"/>
      <c r="V86" s="67" t="n"/>
      <c r="W86" s="67" t="n"/>
      <c r="X86" s="67" t="n"/>
      <c r="Y86" s="67" t="n"/>
      <c r="Z86" s="67" t="n"/>
      <c r="AG86" s="67" t="n"/>
      <c r="AH86" s="67" t="n"/>
      <c r="AI86" s="67" t="n"/>
      <c r="AJ86" s="67" t="n"/>
      <c r="AK86" s="67" t="n"/>
      <c r="AL86" s="67" t="n"/>
      <c r="AM86" s="67" t="n"/>
    </row>
    <row r="87">
      <c r="B87" s="67" t="n"/>
      <c r="C87" s="67" t="n"/>
      <c r="D87" s="67" t="n"/>
      <c r="E87" s="67" t="n"/>
      <c r="F87" s="67" t="n"/>
      <c r="G87" s="67" t="n"/>
      <c r="I87" s="67" t="n"/>
      <c r="J87" s="67" t="n"/>
      <c r="K87" s="67" t="n"/>
      <c r="L87" s="67" t="n"/>
      <c r="N87" s="67" t="n"/>
      <c r="O87" s="67" t="n"/>
      <c r="P87" s="67" t="n"/>
      <c r="Q87" s="67" t="n"/>
      <c r="R87" s="67" t="n"/>
      <c r="S87" s="67" t="n"/>
      <c r="T87" s="67" t="n"/>
      <c r="U87" s="67" t="n"/>
      <c r="V87" s="67" t="n"/>
      <c r="W87" s="67" t="n"/>
      <c r="X87" s="67" t="n"/>
      <c r="Y87" s="67" t="n"/>
      <c r="Z87" s="67" t="n"/>
      <c r="AG87" s="67" t="n"/>
      <c r="AH87" s="67" t="n"/>
      <c r="AI87" s="67" t="n"/>
      <c r="AJ87" s="67" t="n"/>
      <c r="AK87" s="67" t="n"/>
      <c r="AL87" s="67" t="n"/>
      <c r="AM87" s="67" t="n"/>
    </row>
    <row r="88">
      <c r="B88" s="67" t="n"/>
      <c r="C88" s="67" t="n"/>
      <c r="D88" s="67" t="n"/>
      <c r="E88" s="67" t="n"/>
      <c r="F88" s="67" t="n"/>
      <c r="G88" s="67" t="n"/>
      <c r="I88" s="67" t="n"/>
      <c r="J88" s="67" t="n"/>
      <c r="K88" s="67" t="n"/>
      <c r="L88" s="67" t="n"/>
      <c r="N88" s="67" t="n"/>
      <c r="O88" s="67" t="n"/>
      <c r="P88" s="67" t="n"/>
      <c r="Q88" s="67" t="n"/>
      <c r="R88" s="67" t="n"/>
      <c r="S88" s="67" t="n"/>
      <c r="T88" s="67" t="n"/>
      <c r="U88" s="67" t="n"/>
      <c r="V88" s="67" t="n"/>
      <c r="W88" s="67" t="n"/>
      <c r="X88" s="67" t="n"/>
      <c r="Y88" s="67" t="n"/>
      <c r="Z88" s="67" t="n"/>
      <c r="AG88" s="67" t="n"/>
      <c r="AH88" s="67" t="n"/>
      <c r="AI88" s="67" t="n"/>
      <c r="AJ88" s="67" t="n"/>
      <c r="AK88" s="67" t="n"/>
      <c r="AL88" s="67" t="n"/>
      <c r="AM88" s="67" t="n"/>
    </row>
    <row r="89">
      <c r="B89" s="67" t="n"/>
      <c r="C89" s="67" t="n"/>
      <c r="D89" s="67" t="n"/>
      <c r="E89" s="67" t="n"/>
      <c r="F89" s="67" t="n"/>
      <c r="G89" s="67" t="n"/>
      <c r="I89" s="67" t="n"/>
      <c r="J89" s="67" t="n"/>
      <c r="K89" s="67" t="n"/>
      <c r="L89" s="67" t="n"/>
      <c r="N89" s="67" t="n"/>
      <c r="O89" s="67" t="n"/>
      <c r="P89" s="67" t="n"/>
      <c r="Q89" s="67" t="n"/>
      <c r="R89" s="67" t="n"/>
      <c r="S89" s="67" t="n"/>
      <c r="T89" s="67" t="n"/>
      <c r="U89" s="67" t="n"/>
      <c r="V89" s="67" t="n"/>
      <c r="W89" s="67" t="n"/>
      <c r="X89" s="67" t="n"/>
      <c r="Y89" s="67" t="n"/>
      <c r="Z89" s="67" t="n"/>
      <c r="AG89" s="67" t="n"/>
      <c r="AH89" s="67" t="n"/>
      <c r="AI89" s="67" t="n"/>
      <c r="AJ89" s="67" t="n"/>
      <c r="AK89" s="67" t="n"/>
      <c r="AL89" s="67" t="n"/>
      <c r="AM89" s="67" t="n"/>
    </row>
    <row r="90">
      <c r="B90" s="67" t="n"/>
      <c r="C90" s="67" t="n"/>
      <c r="D90" s="67" t="n"/>
      <c r="E90" s="67" t="n"/>
      <c r="F90" s="67" t="n"/>
      <c r="G90" s="67" t="n"/>
      <c r="I90" s="67" t="n"/>
      <c r="J90" s="67" t="n"/>
      <c r="K90" s="67" t="n"/>
      <c r="L90" s="67" t="n"/>
      <c r="N90" s="67" t="n"/>
      <c r="O90" s="67" t="n"/>
      <c r="P90" s="67" t="n"/>
      <c r="Q90" s="67" t="n"/>
      <c r="R90" s="67" t="n"/>
      <c r="S90" s="67" t="n"/>
      <c r="T90" s="67" t="n"/>
      <c r="U90" s="67" t="n"/>
      <c r="V90" s="67" t="n"/>
      <c r="W90" s="67" t="n"/>
      <c r="X90" s="67" t="n"/>
      <c r="Y90" s="67" t="n"/>
      <c r="Z90" s="67" t="n"/>
      <c r="AG90" s="67" t="n"/>
      <c r="AH90" s="67" t="n"/>
      <c r="AI90" s="67" t="n"/>
      <c r="AJ90" s="67" t="n"/>
      <c r="AK90" s="67" t="n"/>
      <c r="AL90" s="67" t="n"/>
      <c r="AM90" s="67" t="n"/>
    </row>
    <row r="91">
      <c r="B91" s="67" t="n"/>
      <c r="C91" s="67" t="n"/>
      <c r="D91" s="67" t="n"/>
      <c r="E91" s="67" t="n"/>
      <c r="F91" s="67" t="n"/>
      <c r="G91" s="67" t="n"/>
      <c r="I91" s="67" t="n"/>
      <c r="J91" s="67" t="n"/>
      <c r="K91" s="67" t="n"/>
      <c r="L91" s="67" t="n"/>
      <c r="N91" s="67" t="n"/>
      <c r="O91" s="67" t="n"/>
      <c r="P91" s="67" t="n"/>
      <c r="Q91" s="67" t="n"/>
      <c r="R91" s="67" t="n"/>
      <c r="S91" s="67" t="n"/>
      <c r="T91" s="67" t="n"/>
      <c r="U91" s="67" t="n"/>
      <c r="V91" s="67" t="n"/>
      <c r="W91" s="67" t="n"/>
      <c r="X91" s="67" t="n"/>
      <c r="Y91" s="67" t="n"/>
      <c r="Z91" s="67" t="n"/>
      <c r="AG91" s="67" t="n"/>
      <c r="AH91" s="67" t="n"/>
      <c r="AI91" s="67" t="n"/>
      <c r="AJ91" s="67" t="n"/>
      <c r="AK91" s="67" t="n"/>
      <c r="AL91" s="67" t="n"/>
      <c r="AM91" s="67" t="n"/>
    </row>
    <row r="92">
      <c r="B92" s="67" t="n"/>
      <c r="C92" s="67" t="n"/>
      <c r="D92" s="67" t="n"/>
      <c r="E92" s="67" t="n"/>
      <c r="F92" s="67" t="n"/>
      <c r="G92" s="67" t="n"/>
      <c r="I92" s="67" t="n"/>
      <c r="J92" s="67" t="n"/>
      <c r="K92" s="67" t="n"/>
      <c r="L92" s="67" t="n"/>
      <c r="N92" s="67" t="n"/>
      <c r="O92" s="67" t="n"/>
      <c r="P92" s="67" t="n"/>
      <c r="Q92" s="67" t="n"/>
      <c r="R92" s="67" t="n"/>
      <c r="S92" s="67" t="n"/>
      <c r="T92" s="67" t="n"/>
      <c r="U92" s="67" t="n"/>
      <c r="V92" s="67" t="n"/>
      <c r="W92" s="67" t="n"/>
      <c r="X92" s="67" t="n"/>
      <c r="Y92" s="67" t="n"/>
      <c r="Z92" s="67" t="n"/>
      <c r="AG92" s="67" t="n"/>
      <c r="AH92" s="67" t="n"/>
      <c r="AI92" s="67" t="n"/>
      <c r="AJ92" s="67" t="n"/>
      <c r="AK92" s="67" t="n"/>
      <c r="AL92" s="67" t="n"/>
      <c r="AM92" s="67" t="n"/>
    </row>
    <row r="93">
      <c r="B93" s="67" t="n"/>
      <c r="C93" s="67" t="n"/>
      <c r="D93" s="67" t="n"/>
      <c r="E93" s="67" t="n"/>
      <c r="F93" s="67" t="n"/>
      <c r="G93" s="67" t="n"/>
      <c r="I93" s="67" t="n"/>
      <c r="J93" s="67" t="n"/>
      <c r="K93" s="67" t="n"/>
      <c r="L93" s="67" t="n"/>
      <c r="N93" s="67" t="n"/>
      <c r="O93" s="67" t="n"/>
      <c r="P93" s="67" t="n"/>
      <c r="Q93" s="67" t="n"/>
      <c r="R93" s="67" t="n"/>
      <c r="S93" s="67" t="n"/>
      <c r="T93" s="67" t="n"/>
      <c r="U93" s="67" t="n"/>
      <c r="V93" s="67" t="n"/>
      <c r="W93" s="67" t="n"/>
      <c r="X93" s="67" t="n"/>
      <c r="Y93" s="67" t="n"/>
      <c r="Z93" s="67" t="n"/>
      <c r="AG93" s="67" t="n"/>
      <c r="AH93" s="67" t="n"/>
      <c r="AI93" s="67" t="n"/>
      <c r="AJ93" s="67" t="n"/>
      <c r="AK93" s="67" t="n"/>
      <c r="AL93" s="67" t="n"/>
      <c r="AM93" s="67" t="n"/>
    </row>
    <row r="94">
      <c r="B94" s="67" t="n"/>
      <c r="C94" s="67" t="n"/>
      <c r="D94" s="67" t="n"/>
      <c r="E94" s="67" t="n"/>
      <c r="F94" s="67" t="n"/>
      <c r="G94" s="67" t="n"/>
      <c r="I94" s="67" t="n"/>
      <c r="J94" s="67" t="n"/>
      <c r="K94" s="67" t="n"/>
      <c r="L94" s="67" t="n"/>
      <c r="N94" s="67" t="n"/>
      <c r="O94" s="67" t="n"/>
      <c r="P94" s="67" t="n"/>
      <c r="Q94" s="67" t="n"/>
      <c r="R94" s="67" t="n"/>
      <c r="S94" s="67" t="n"/>
      <c r="T94" s="67" t="n"/>
      <c r="U94" s="67" t="n"/>
      <c r="V94" s="67" t="n"/>
      <c r="W94" s="67" t="n"/>
      <c r="X94" s="67" t="n"/>
      <c r="Y94" s="67" t="n"/>
      <c r="Z94" s="67" t="n"/>
      <c r="AG94" s="67" t="n"/>
      <c r="AH94" s="67" t="n"/>
      <c r="AI94" s="67" t="n"/>
      <c r="AJ94" s="67" t="n"/>
      <c r="AK94" s="67" t="n"/>
      <c r="AL94" s="67" t="n"/>
      <c r="AM94" s="67" t="n"/>
    </row>
    <row r="95">
      <c r="B95" s="67" t="n"/>
      <c r="C95" s="67" t="n"/>
      <c r="D95" s="67" t="n"/>
      <c r="E95" s="67" t="n"/>
      <c r="F95" s="67" t="n"/>
      <c r="G95" s="67" t="n"/>
      <c r="I95" s="67" t="n"/>
      <c r="J95" s="67" t="n"/>
      <c r="K95" s="67" t="n"/>
      <c r="L95" s="67" t="n"/>
      <c r="N95" s="67" t="n"/>
      <c r="O95" s="67" t="n"/>
      <c r="P95" s="67" t="n"/>
      <c r="Q95" s="67" t="n"/>
      <c r="R95" s="67" t="n"/>
      <c r="S95" s="67" t="n"/>
      <c r="T95" s="67" t="n"/>
      <c r="U95" s="67" t="n"/>
      <c r="V95" s="67" t="n"/>
      <c r="W95" s="67" t="n"/>
      <c r="X95" s="67" t="n"/>
      <c r="Y95" s="67" t="n"/>
      <c r="Z95" s="67" t="n"/>
      <c r="AG95" s="67" t="n"/>
      <c r="AH95" s="67" t="n"/>
      <c r="AI95" s="67" t="n"/>
      <c r="AJ95" s="67" t="n"/>
      <c r="AK95" s="67" t="n"/>
      <c r="AL95" s="67" t="n"/>
      <c r="AM95" s="67" t="n"/>
    </row>
    <row r="96">
      <c r="B96" s="67" t="n"/>
      <c r="C96" s="67" t="n"/>
      <c r="D96" s="67" t="n"/>
      <c r="E96" s="67" t="n"/>
      <c r="F96" s="67" t="n"/>
      <c r="G96" s="67" t="n"/>
      <c r="I96" s="67" t="n"/>
      <c r="J96" s="67" t="n"/>
      <c r="K96" s="67" t="n"/>
      <c r="L96" s="67" t="n"/>
      <c r="N96" s="67" t="n"/>
      <c r="O96" s="67" t="n"/>
      <c r="P96" s="67" t="n"/>
      <c r="Q96" s="67" t="n"/>
      <c r="R96" s="67" t="n"/>
      <c r="S96" s="67" t="n"/>
      <c r="T96" s="67" t="n"/>
      <c r="U96" s="67" t="n"/>
      <c r="V96" s="67" t="n"/>
      <c r="W96" s="67" t="n"/>
      <c r="X96" s="67" t="n"/>
      <c r="Y96" s="67" t="n"/>
      <c r="Z96" s="67" t="n"/>
      <c r="AG96" s="67" t="n"/>
      <c r="AH96" s="67" t="n"/>
      <c r="AI96" s="67" t="n"/>
      <c r="AJ96" s="67" t="n"/>
      <c r="AK96" s="67" t="n"/>
      <c r="AL96" s="67" t="n"/>
      <c r="AM96" s="67" t="n"/>
    </row>
    <row r="97">
      <c r="B97" s="67" t="n"/>
      <c r="C97" s="67" t="n"/>
      <c r="D97" s="67" t="n"/>
      <c r="E97" s="67" t="n"/>
      <c r="F97" s="67" t="n"/>
      <c r="G97" s="67" t="n"/>
      <c r="I97" s="67" t="n"/>
      <c r="J97" s="67" t="n"/>
      <c r="K97" s="67" t="n"/>
      <c r="L97" s="67" t="n"/>
      <c r="N97" s="67" t="n"/>
      <c r="O97" s="67" t="n"/>
      <c r="P97" s="67" t="n"/>
      <c r="Q97" s="67" t="n"/>
      <c r="R97" s="67" t="n"/>
      <c r="S97" s="67" t="n"/>
      <c r="T97" s="67" t="n"/>
      <c r="U97" s="67" t="n"/>
      <c r="V97" s="67" t="n"/>
      <c r="W97" s="67" t="n"/>
      <c r="X97" s="67" t="n"/>
      <c r="Y97" s="67" t="n"/>
      <c r="Z97" s="67" t="n"/>
      <c r="AG97" s="67" t="n"/>
      <c r="AH97" s="67" t="n"/>
      <c r="AI97" s="67" t="n"/>
      <c r="AJ97" s="67" t="n"/>
      <c r="AK97" s="67" t="n"/>
      <c r="AL97" s="67" t="n"/>
      <c r="AM97" s="67" t="n"/>
    </row>
    <row r="98">
      <c r="B98" s="67" t="n"/>
      <c r="C98" s="67" t="n"/>
      <c r="D98" s="67" t="n"/>
      <c r="E98" s="67" t="n"/>
      <c r="F98" s="67" t="n"/>
      <c r="G98" s="67" t="n"/>
      <c r="I98" s="67" t="n"/>
      <c r="J98" s="67" t="n"/>
      <c r="K98" s="67" t="n"/>
      <c r="L98" s="67" t="n"/>
      <c r="N98" s="67" t="n"/>
      <c r="O98" s="67" t="n"/>
      <c r="P98" s="67" t="n"/>
      <c r="Q98" s="67" t="n"/>
      <c r="R98" s="67" t="n"/>
      <c r="S98" s="67" t="n"/>
      <c r="T98" s="67" t="n"/>
      <c r="U98" s="67" t="n"/>
      <c r="V98" s="67" t="n"/>
      <c r="W98" s="67" t="n"/>
      <c r="X98" s="67" t="n"/>
      <c r="Y98" s="67" t="n"/>
      <c r="Z98" s="67" t="n"/>
      <c r="AG98" s="67" t="n"/>
      <c r="AH98" s="67" t="n"/>
      <c r="AI98" s="67" t="n"/>
      <c r="AJ98" s="67" t="n"/>
      <c r="AK98" s="67" t="n"/>
      <c r="AL98" s="67" t="n"/>
      <c r="AM98" s="67" t="n"/>
    </row>
    <row r="99">
      <c r="B99" s="67" t="n"/>
      <c r="C99" s="67" t="n"/>
      <c r="D99" s="67" t="n"/>
      <c r="E99" s="67" t="n"/>
      <c r="F99" s="67" t="n"/>
      <c r="G99" s="67" t="n"/>
      <c r="I99" s="67" t="n"/>
      <c r="J99" s="67" t="n"/>
      <c r="K99" s="67" t="n"/>
      <c r="L99" s="67" t="n"/>
      <c r="N99" s="67" t="n"/>
      <c r="O99" s="67" t="n"/>
      <c r="P99" s="67" t="n"/>
      <c r="Q99" s="67" t="n"/>
      <c r="R99" s="67" t="n"/>
      <c r="S99" s="67" t="n"/>
      <c r="T99" s="67" t="n"/>
      <c r="U99" s="67" t="n"/>
      <c r="V99" s="67" t="n"/>
      <c r="W99" s="67" t="n"/>
      <c r="X99" s="67" t="n"/>
      <c r="Y99" s="67" t="n"/>
      <c r="Z99" s="67" t="n"/>
      <c r="AG99" s="67" t="n"/>
      <c r="AH99" s="67" t="n"/>
      <c r="AI99" s="67" t="n"/>
      <c r="AJ99" s="67" t="n"/>
      <c r="AK99" s="67" t="n"/>
      <c r="AL99" s="67" t="n"/>
      <c r="AM99" s="67" t="n"/>
    </row>
    <row r="100">
      <c r="B100" s="67" t="n"/>
      <c r="C100" s="67" t="n"/>
      <c r="D100" s="67" t="n"/>
      <c r="E100" s="67" t="n"/>
      <c r="F100" s="67" t="n"/>
      <c r="G100" s="67" t="n"/>
      <c r="I100" s="67" t="n"/>
      <c r="J100" s="67" t="n"/>
      <c r="K100" s="67" t="n"/>
      <c r="L100" s="67" t="n"/>
      <c r="N100" s="67" t="n"/>
      <c r="O100" s="67" t="n"/>
      <c r="P100" s="67" t="n"/>
      <c r="Q100" s="67" t="n"/>
      <c r="R100" s="67" t="n"/>
      <c r="S100" s="67" t="n"/>
      <c r="T100" s="67" t="n"/>
      <c r="U100" s="67" t="n"/>
      <c r="V100" s="67" t="n"/>
      <c r="W100" s="67" t="n"/>
      <c r="X100" s="67" t="n"/>
      <c r="Y100" s="67" t="n"/>
      <c r="Z100" s="67" t="n"/>
      <c r="AG100" s="67" t="n"/>
      <c r="AH100" s="67" t="n"/>
      <c r="AI100" s="67" t="n"/>
      <c r="AJ100" s="67" t="n"/>
      <c r="AK100" s="67" t="n"/>
      <c r="AL100" s="67" t="n"/>
      <c r="AM100" s="67" t="n"/>
    </row>
    <row r="101">
      <c r="B101" s="67" t="n"/>
      <c r="C101" s="67" t="n"/>
      <c r="D101" s="67" t="n"/>
      <c r="E101" s="67" t="n"/>
      <c r="F101" s="67" t="n"/>
      <c r="G101" s="67" t="n"/>
      <c r="I101" s="67" t="n"/>
      <c r="J101" s="67" t="n"/>
      <c r="K101" s="67" t="n"/>
      <c r="L101" s="67" t="n"/>
      <c r="N101" s="67" t="n"/>
      <c r="O101" s="67" t="n"/>
      <c r="P101" s="67" t="n"/>
      <c r="Q101" s="67" t="n"/>
      <c r="R101" s="67" t="n"/>
      <c r="S101" s="67" t="n"/>
      <c r="T101" s="67" t="n"/>
      <c r="U101" s="67" t="n"/>
      <c r="V101" s="67" t="n"/>
      <c r="W101" s="67" t="n"/>
      <c r="X101" s="67" t="n"/>
      <c r="Y101" s="67" t="n"/>
      <c r="Z101" s="67" t="n"/>
      <c r="AG101" s="67" t="n"/>
      <c r="AH101" s="67" t="n"/>
      <c r="AI101" s="67" t="n"/>
      <c r="AJ101" s="67" t="n"/>
      <c r="AK101" s="67" t="n"/>
      <c r="AL101" s="67" t="n"/>
      <c r="AM101" s="67" t="n"/>
    </row>
    <row r="102">
      <c r="B102" s="67" t="n"/>
      <c r="C102" s="67" t="n"/>
      <c r="D102" s="67" t="n"/>
      <c r="E102" s="67" t="n"/>
      <c r="F102" s="67" t="n"/>
      <c r="G102" s="67" t="n"/>
      <c r="I102" s="67" t="n"/>
      <c r="J102" s="67" t="n"/>
      <c r="K102" s="67" t="n"/>
      <c r="L102" s="67" t="n"/>
      <c r="N102" s="67" t="n"/>
      <c r="O102" s="67" t="n"/>
      <c r="P102" s="67" t="n"/>
      <c r="Q102" s="67" t="n"/>
      <c r="R102" s="67" t="n"/>
      <c r="S102" s="67" t="n"/>
      <c r="T102" s="67" t="n"/>
      <c r="U102" s="67" t="n"/>
      <c r="V102" s="67" t="n"/>
      <c r="W102" s="67" t="n"/>
      <c r="X102" s="67" t="n"/>
      <c r="Y102" s="67" t="n"/>
      <c r="Z102" s="67" t="n"/>
      <c r="AG102" s="67" t="n"/>
      <c r="AH102" s="67" t="n"/>
      <c r="AI102" s="67" t="n"/>
      <c r="AJ102" s="67" t="n"/>
      <c r="AK102" s="67" t="n"/>
      <c r="AL102" s="67" t="n"/>
      <c r="AM102" s="67" t="n"/>
    </row>
    <row r="103">
      <c r="B103" s="67" t="n"/>
      <c r="C103" s="67" t="n"/>
      <c r="D103" s="67" t="n"/>
      <c r="E103" s="67" t="n"/>
      <c r="F103" s="67" t="n"/>
      <c r="G103" s="67" t="n"/>
      <c r="I103" s="67" t="n"/>
      <c r="J103" s="67" t="n"/>
      <c r="K103" s="67" t="n"/>
      <c r="L103" s="67" t="n"/>
      <c r="N103" s="67" t="n"/>
      <c r="O103" s="67" t="n"/>
      <c r="P103" s="67" t="n"/>
      <c r="Q103" s="67" t="n"/>
      <c r="R103" s="67" t="n"/>
      <c r="S103" s="67" t="n"/>
      <c r="T103" s="67" t="n"/>
      <c r="U103" s="67" t="n"/>
      <c r="V103" s="67" t="n"/>
      <c r="W103" s="67" t="n"/>
      <c r="X103" s="67" t="n"/>
      <c r="Y103" s="67" t="n"/>
      <c r="Z103" s="67" t="n"/>
      <c r="AG103" s="67" t="n"/>
      <c r="AH103" s="67" t="n"/>
      <c r="AI103" s="67" t="n"/>
      <c r="AJ103" s="67" t="n"/>
      <c r="AK103" s="67" t="n"/>
      <c r="AL103" s="67" t="n"/>
      <c r="AM103" s="67" t="n"/>
    </row>
    <row r="104">
      <c r="B104" s="67" t="n"/>
      <c r="C104" s="67" t="n"/>
      <c r="D104" s="67" t="n"/>
      <c r="E104" s="67" t="n"/>
      <c r="F104" s="67" t="n"/>
      <c r="G104" s="67" t="n"/>
      <c r="I104" s="67" t="n"/>
      <c r="J104" s="67" t="n"/>
      <c r="K104" s="67" t="n"/>
      <c r="L104" s="67" t="n"/>
      <c r="N104" s="67" t="n"/>
      <c r="O104" s="67" t="n"/>
      <c r="P104" s="67" t="n"/>
      <c r="Q104" s="67" t="n"/>
      <c r="R104" s="67" t="n"/>
      <c r="S104" s="67" t="n"/>
      <c r="T104" s="67" t="n"/>
      <c r="U104" s="67" t="n"/>
      <c r="V104" s="67" t="n"/>
      <c r="W104" s="67" t="n"/>
      <c r="X104" s="67" t="n"/>
      <c r="Y104" s="67" t="n"/>
      <c r="Z104" s="67" t="n"/>
      <c r="AG104" s="67" t="n"/>
      <c r="AH104" s="67" t="n"/>
      <c r="AI104" s="67" t="n"/>
      <c r="AJ104" s="67" t="n"/>
      <c r="AK104" s="67" t="n"/>
      <c r="AL104" s="67" t="n"/>
      <c r="AM104" s="67" t="n"/>
    </row>
    <row r="105">
      <c r="B105" s="67" t="n"/>
      <c r="C105" s="67" t="n"/>
      <c r="D105" s="67" t="n"/>
      <c r="E105" s="67" t="n"/>
      <c r="F105" s="67" t="n"/>
      <c r="G105" s="67" t="n"/>
      <c r="I105" s="67" t="n"/>
      <c r="J105" s="67" t="n"/>
      <c r="K105" s="67" t="n"/>
      <c r="L105" s="67" t="n"/>
      <c r="N105" s="67" t="n"/>
      <c r="O105" s="67" t="n"/>
      <c r="P105" s="67" t="n"/>
      <c r="Q105" s="67" t="n"/>
      <c r="R105" s="67" t="n"/>
      <c r="S105" s="67" t="n"/>
      <c r="T105" s="67" t="n"/>
      <c r="U105" s="67" t="n"/>
      <c r="V105" s="67" t="n"/>
      <c r="W105" s="67" t="n"/>
      <c r="X105" s="67" t="n"/>
      <c r="Y105" s="67" t="n"/>
      <c r="Z105" s="67" t="n"/>
      <c r="AG105" s="67" t="n"/>
      <c r="AH105" s="67" t="n"/>
      <c r="AI105" s="67" t="n"/>
      <c r="AJ105" s="67" t="n"/>
      <c r="AK105" s="67" t="n"/>
      <c r="AL105" s="67" t="n"/>
      <c r="AM105" s="67" t="n"/>
    </row>
    <row r="106">
      <c r="B106" s="67" t="n"/>
      <c r="C106" s="67" t="n"/>
      <c r="D106" s="67" t="n"/>
      <c r="E106" s="67" t="n"/>
      <c r="F106" s="67" t="n"/>
      <c r="G106" s="67" t="n"/>
      <c r="I106" s="67" t="n"/>
      <c r="J106" s="67" t="n"/>
      <c r="K106" s="67" t="n"/>
      <c r="L106" s="67" t="n"/>
      <c r="N106" s="67" t="n"/>
      <c r="O106" s="67" t="n"/>
      <c r="P106" s="67" t="n"/>
      <c r="Q106" s="67" t="n"/>
      <c r="R106" s="67" t="n"/>
      <c r="S106" s="67" t="n"/>
      <c r="T106" s="67" t="n"/>
      <c r="U106" s="67" t="n"/>
      <c r="V106" s="67" t="n"/>
      <c r="W106" s="67" t="n"/>
      <c r="X106" s="67" t="n"/>
      <c r="Y106" s="67" t="n"/>
      <c r="Z106" s="67" t="n"/>
      <c r="AG106" s="67" t="n"/>
      <c r="AH106" s="67" t="n"/>
      <c r="AI106" s="67" t="n"/>
      <c r="AJ106" s="67" t="n"/>
      <c r="AK106" s="67" t="n"/>
      <c r="AL106" s="67" t="n"/>
      <c r="AM106" s="67" t="n"/>
    </row>
    <row r="107">
      <c r="B107" s="67" t="n"/>
      <c r="C107" s="67" t="n"/>
      <c r="D107" s="67" t="n"/>
      <c r="E107" s="67" t="n"/>
      <c r="F107" s="67" t="n"/>
      <c r="G107" s="67" t="n"/>
      <c r="I107" s="67" t="n"/>
      <c r="J107" s="67" t="n"/>
      <c r="K107" s="67" t="n"/>
      <c r="L107" s="67" t="n"/>
      <c r="N107" s="67" t="n"/>
      <c r="O107" s="67" t="n"/>
      <c r="P107" s="67" t="n"/>
      <c r="Q107" s="67" t="n"/>
      <c r="R107" s="67" t="n"/>
      <c r="S107" s="67" t="n"/>
      <c r="T107" s="67" t="n"/>
      <c r="U107" s="67" t="n"/>
      <c r="V107" s="67" t="n"/>
      <c r="W107" s="67" t="n"/>
      <c r="X107" s="67" t="n"/>
      <c r="Y107" s="67" t="n"/>
      <c r="Z107" s="67" t="n"/>
      <c r="AG107" s="67" t="n"/>
      <c r="AH107" s="67" t="n"/>
      <c r="AI107" s="67" t="n"/>
      <c r="AJ107" s="67" t="n"/>
      <c r="AK107" s="67" t="n"/>
      <c r="AL107" s="67" t="n"/>
      <c r="AM107" s="67" t="n"/>
    </row>
    <row r="108">
      <c r="B108" s="67" t="n"/>
      <c r="C108" s="67" t="n"/>
      <c r="D108" s="67" t="n"/>
      <c r="E108" s="67" t="n"/>
      <c r="F108" s="67" t="n"/>
      <c r="G108" s="67" t="n"/>
      <c r="I108" s="67" t="n"/>
      <c r="J108" s="67" t="n"/>
      <c r="K108" s="67" t="n"/>
      <c r="L108" s="67" t="n"/>
      <c r="N108" s="67" t="n"/>
      <c r="O108" s="67" t="n"/>
      <c r="P108" s="67" t="n"/>
      <c r="Q108" s="67" t="n"/>
      <c r="R108" s="67" t="n"/>
      <c r="S108" s="67" t="n"/>
      <c r="T108" s="67" t="n"/>
      <c r="U108" s="67" t="n"/>
      <c r="V108" s="67" t="n"/>
      <c r="W108" s="67" t="n"/>
      <c r="X108" s="67" t="n"/>
      <c r="Y108" s="67" t="n"/>
      <c r="Z108" s="67" t="n"/>
      <c r="AG108" s="67" t="n"/>
      <c r="AH108" s="67" t="n"/>
      <c r="AI108" s="67" t="n"/>
      <c r="AJ108" s="67" t="n"/>
      <c r="AK108" s="67" t="n"/>
      <c r="AL108" s="67" t="n"/>
      <c r="AM108" s="67" t="n"/>
    </row>
    <row r="109">
      <c r="B109" s="67" t="n"/>
      <c r="C109" s="67" t="n"/>
      <c r="D109" s="67" t="n"/>
      <c r="E109" s="67" t="n"/>
      <c r="F109" s="67" t="n"/>
      <c r="G109" s="67" t="n"/>
      <c r="I109" s="67" t="n"/>
      <c r="J109" s="67" t="n"/>
      <c r="K109" s="67" t="n"/>
      <c r="L109" s="67" t="n"/>
      <c r="N109" s="67" t="n"/>
      <c r="O109" s="67" t="n"/>
      <c r="P109" s="67" t="n"/>
      <c r="Q109" s="67" t="n"/>
      <c r="R109" s="67" t="n"/>
      <c r="S109" s="67" t="n"/>
      <c r="T109" s="67" t="n"/>
      <c r="U109" s="67" t="n"/>
      <c r="V109" s="67" t="n"/>
      <c r="W109" s="67" t="n"/>
      <c r="X109" s="67" t="n"/>
      <c r="Y109" s="67" t="n"/>
      <c r="Z109" s="67" t="n"/>
      <c r="AG109" s="67" t="n"/>
      <c r="AH109" s="67" t="n"/>
      <c r="AI109" s="67" t="n"/>
      <c r="AJ109" s="67" t="n"/>
      <c r="AK109" s="67" t="n"/>
      <c r="AL109" s="67" t="n"/>
      <c r="AM109" s="67" t="n"/>
    </row>
    <row r="110">
      <c r="B110" s="67" t="n"/>
      <c r="C110" s="67" t="n"/>
      <c r="D110" s="67" t="n"/>
      <c r="E110" s="67" t="n"/>
      <c r="F110" s="67" t="n"/>
      <c r="G110" s="67" t="n"/>
      <c r="I110" s="67" t="n"/>
      <c r="J110" s="67" t="n"/>
      <c r="K110" s="67" t="n"/>
      <c r="L110" s="67" t="n"/>
      <c r="N110" s="67" t="n"/>
      <c r="O110" s="67" t="n"/>
      <c r="P110" s="67" t="n"/>
      <c r="Q110" s="67" t="n"/>
      <c r="R110" s="67" t="n"/>
      <c r="S110" s="67" t="n"/>
      <c r="T110" s="67" t="n"/>
      <c r="U110" s="67" t="n"/>
      <c r="V110" s="67" t="n"/>
      <c r="W110" s="67" t="n"/>
      <c r="X110" s="67" t="n"/>
      <c r="Y110" s="67" t="n"/>
      <c r="Z110" s="67" t="n"/>
      <c r="AG110" s="67" t="n"/>
      <c r="AH110" s="67" t="n"/>
      <c r="AI110" s="67" t="n"/>
      <c r="AJ110" s="67" t="n"/>
      <c r="AK110" s="67" t="n"/>
      <c r="AL110" s="67" t="n"/>
      <c r="AM110" s="67" t="n"/>
    </row>
    <row r="111">
      <c r="B111" s="67" t="n"/>
      <c r="C111" s="67" t="n"/>
      <c r="D111" s="67" t="n"/>
      <c r="E111" s="67" t="n"/>
      <c r="F111" s="67" t="n"/>
      <c r="G111" s="67" t="n"/>
      <c r="I111" s="67" t="n"/>
      <c r="J111" s="67" t="n"/>
      <c r="K111" s="67" t="n"/>
      <c r="L111" s="67" t="n"/>
      <c r="N111" s="67" t="n"/>
      <c r="O111" s="67" t="n"/>
      <c r="P111" s="67" t="n"/>
      <c r="Q111" s="67" t="n"/>
      <c r="R111" s="67" t="n"/>
      <c r="S111" s="67" t="n"/>
      <c r="T111" s="67" t="n"/>
      <c r="U111" s="67" t="n"/>
      <c r="V111" s="67" t="n"/>
      <c r="W111" s="67" t="n"/>
      <c r="X111" s="67" t="n"/>
      <c r="Y111" s="67" t="n"/>
      <c r="Z111" s="67" t="n"/>
      <c r="AG111" s="67" t="n"/>
      <c r="AH111" s="67" t="n"/>
      <c r="AI111" s="67" t="n"/>
      <c r="AJ111" s="67" t="n"/>
      <c r="AK111" s="67" t="n"/>
      <c r="AL111" s="67" t="n"/>
      <c r="AM111" s="67" t="n"/>
    </row>
    <row r="112">
      <c r="B112" s="67" t="n"/>
      <c r="C112" s="67" t="n"/>
      <c r="D112" s="67" t="n"/>
      <c r="E112" s="67" t="n"/>
      <c r="F112" s="67" t="n"/>
      <c r="G112" s="67" t="n"/>
      <c r="I112" s="67" t="n"/>
      <c r="J112" s="67" t="n"/>
      <c r="K112" s="67" t="n"/>
      <c r="L112" s="67" t="n"/>
      <c r="N112" s="67" t="n"/>
      <c r="O112" s="67" t="n"/>
      <c r="P112" s="67" t="n"/>
      <c r="Q112" s="67" t="n"/>
      <c r="R112" s="67" t="n"/>
      <c r="S112" s="67" t="n"/>
      <c r="T112" s="67" t="n"/>
      <c r="U112" s="67" t="n"/>
      <c r="V112" s="67" t="n"/>
      <c r="W112" s="67" t="n"/>
      <c r="X112" s="67" t="n"/>
      <c r="Y112" s="67" t="n"/>
      <c r="Z112" s="67" t="n"/>
      <c r="AG112" s="67" t="n"/>
      <c r="AH112" s="67" t="n"/>
      <c r="AI112" s="67" t="n"/>
      <c r="AJ112" s="67" t="n"/>
      <c r="AK112" s="67" t="n"/>
      <c r="AL112" s="67" t="n"/>
      <c r="AM112" s="67" t="n"/>
    </row>
    <row r="113">
      <c r="B113" s="67" t="n"/>
      <c r="C113" s="67" t="n"/>
      <c r="D113" s="67" t="n"/>
      <c r="E113" s="67" t="n"/>
      <c r="F113" s="67" t="n"/>
      <c r="G113" s="67" t="n"/>
      <c r="I113" s="67" t="n"/>
      <c r="J113" s="67" t="n"/>
      <c r="K113" s="67" t="n"/>
      <c r="L113" s="67" t="n"/>
      <c r="N113" s="67" t="n"/>
      <c r="O113" s="67" t="n"/>
      <c r="P113" s="67" t="n"/>
      <c r="Q113" s="67" t="n"/>
      <c r="R113" s="67" t="n"/>
      <c r="S113" s="67" t="n"/>
      <c r="T113" s="67" t="n"/>
      <c r="U113" s="67" t="n"/>
      <c r="V113" s="67" t="n"/>
      <c r="W113" s="67" t="n"/>
      <c r="X113" s="67" t="n"/>
      <c r="Y113" s="67" t="n"/>
      <c r="Z113" s="67" t="n"/>
      <c r="AG113" s="67" t="n"/>
      <c r="AH113" s="67" t="n"/>
      <c r="AI113" s="67" t="n"/>
      <c r="AJ113" s="67" t="n"/>
      <c r="AK113" s="67" t="n"/>
      <c r="AL113" s="67" t="n"/>
      <c r="AM113" s="67" t="n"/>
    </row>
    <row r="114">
      <c r="B114" s="67" t="n"/>
      <c r="C114" s="67" t="n"/>
      <c r="D114" s="67" t="n"/>
      <c r="E114" s="67" t="n"/>
      <c r="F114" s="67" t="n"/>
      <c r="G114" s="67" t="n"/>
      <c r="I114" s="67" t="n"/>
      <c r="J114" s="67" t="n"/>
      <c r="K114" s="67" t="n"/>
      <c r="L114" s="67" t="n"/>
      <c r="N114" s="67" t="n"/>
      <c r="O114" s="67" t="n"/>
      <c r="P114" s="67" t="n"/>
      <c r="Q114" s="67" t="n"/>
      <c r="R114" s="67" t="n"/>
      <c r="S114" s="67" t="n"/>
      <c r="T114" s="67" t="n"/>
      <c r="U114" s="67" t="n"/>
      <c r="V114" s="67" t="n"/>
      <c r="W114" s="67" t="n"/>
      <c r="X114" s="67" t="n"/>
      <c r="Y114" s="67" t="n"/>
      <c r="Z114" s="67" t="n"/>
      <c r="AG114" s="67" t="n"/>
      <c r="AH114" s="67" t="n"/>
      <c r="AI114" s="67" t="n"/>
      <c r="AJ114" s="67" t="n"/>
      <c r="AK114" s="67" t="n"/>
      <c r="AL114" s="67" t="n"/>
      <c r="AM114" s="67" t="n"/>
    </row>
    <row r="115">
      <c r="B115" s="67" t="n"/>
      <c r="C115" s="67" t="n"/>
      <c r="D115" s="67" t="n"/>
      <c r="E115" s="67" t="n"/>
      <c r="F115" s="67" t="n"/>
      <c r="G115" s="67" t="n"/>
      <c r="I115" s="67" t="n"/>
      <c r="J115" s="67" t="n"/>
      <c r="K115" s="67" t="n"/>
      <c r="L115" s="67" t="n"/>
      <c r="N115" s="67" t="n"/>
      <c r="O115" s="67" t="n"/>
      <c r="P115" s="67" t="n"/>
      <c r="Q115" s="67" t="n"/>
      <c r="R115" s="67" t="n"/>
      <c r="S115" s="67" t="n"/>
      <c r="T115" s="67" t="n"/>
      <c r="U115" s="67" t="n"/>
      <c r="V115" s="67" t="n"/>
      <c r="W115" s="67" t="n"/>
      <c r="X115" s="67" t="n"/>
      <c r="Y115" s="67" t="n"/>
      <c r="Z115" s="67" t="n"/>
      <c r="AG115" s="67" t="n"/>
      <c r="AH115" s="67" t="n"/>
      <c r="AI115" s="67" t="n"/>
      <c r="AJ115" s="67" t="n"/>
      <c r="AK115" s="67" t="n"/>
      <c r="AL115" s="67" t="n"/>
      <c r="AM115" s="67" t="n"/>
    </row>
    <row r="116">
      <c r="B116" s="67" t="n"/>
      <c r="C116" s="67" t="n"/>
      <c r="D116" s="67" t="n"/>
      <c r="E116" s="67" t="n"/>
      <c r="F116" s="67" t="n"/>
      <c r="G116" s="67" t="n"/>
      <c r="I116" s="67" t="n"/>
      <c r="J116" s="67" t="n"/>
      <c r="K116" s="67" t="n"/>
      <c r="L116" s="67" t="n"/>
      <c r="N116" s="67" t="n"/>
      <c r="O116" s="67" t="n"/>
      <c r="P116" s="67" t="n"/>
      <c r="Q116" s="67" t="n"/>
      <c r="R116" s="67" t="n"/>
      <c r="S116" s="67" t="n"/>
      <c r="T116" s="67" t="n"/>
      <c r="U116" s="67" t="n"/>
      <c r="V116" s="67" t="n"/>
      <c r="W116" s="67" t="n"/>
      <c r="X116" s="67" t="n"/>
      <c r="Y116" s="67" t="n"/>
      <c r="Z116" s="67" t="n"/>
      <c r="AG116" s="67" t="n"/>
      <c r="AH116" s="67" t="n"/>
      <c r="AI116" s="67" t="n"/>
      <c r="AJ116" s="67" t="n"/>
      <c r="AK116" s="67" t="n"/>
      <c r="AL116" s="67" t="n"/>
      <c r="AM116" s="67" t="n"/>
    </row>
    <row r="117">
      <c r="B117" s="67" t="n"/>
      <c r="C117" s="67" t="n"/>
      <c r="D117" s="67" t="n"/>
      <c r="E117" s="67" t="n"/>
      <c r="F117" s="67" t="n"/>
      <c r="G117" s="67" t="n"/>
      <c r="I117" s="67" t="n"/>
      <c r="J117" s="67" t="n"/>
      <c r="K117" s="67" t="n"/>
      <c r="L117" s="67" t="n"/>
      <c r="N117" s="67" t="n"/>
      <c r="O117" s="67" t="n"/>
      <c r="P117" s="67" t="n"/>
      <c r="Q117" s="67" t="n"/>
      <c r="R117" s="67" t="n"/>
      <c r="S117" s="67" t="n"/>
      <c r="T117" s="67" t="n"/>
      <c r="U117" s="67" t="n"/>
      <c r="V117" s="67" t="n"/>
      <c r="W117" s="67" t="n"/>
      <c r="X117" s="67" t="n"/>
      <c r="Y117" s="67" t="n"/>
      <c r="Z117" s="67" t="n"/>
      <c r="AG117" s="67" t="n"/>
      <c r="AH117" s="67" t="n"/>
      <c r="AI117" s="67" t="n"/>
      <c r="AJ117" s="67" t="n"/>
      <c r="AK117" s="67" t="n"/>
      <c r="AL117" s="67" t="n"/>
      <c r="AM117" s="67" t="n"/>
    </row>
    <row r="118">
      <c r="B118" s="67" t="n"/>
      <c r="C118" s="67" t="n"/>
      <c r="D118" s="67" t="n"/>
      <c r="E118" s="67" t="n"/>
      <c r="F118" s="67" t="n"/>
      <c r="G118" s="67" t="n"/>
      <c r="I118" s="67" t="n"/>
      <c r="J118" s="67" t="n"/>
      <c r="K118" s="67" t="n"/>
      <c r="L118" s="67" t="n"/>
      <c r="N118" s="67" t="n"/>
      <c r="O118" s="67" t="n"/>
      <c r="P118" s="67" t="n"/>
      <c r="Q118" s="67" t="n"/>
      <c r="R118" s="67" t="n"/>
      <c r="S118" s="67" t="n"/>
      <c r="T118" s="67" t="n"/>
      <c r="U118" s="67" t="n"/>
      <c r="V118" s="67" t="n"/>
      <c r="W118" s="67" t="n"/>
      <c r="X118" s="67" t="n"/>
      <c r="Y118" s="67" t="n"/>
      <c r="Z118" s="67" t="n"/>
      <c r="AG118" s="67" t="n"/>
      <c r="AH118" s="67" t="n"/>
      <c r="AI118" s="67" t="n"/>
      <c r="AJ118" s="67" t="n"/>
      <c r="AK118" s="67" t="n"/>
      <c r="AL118" s="67" t="n"/>
      <c r="AM118" s="67" t="n"/>
    </row>
    <row r="119">
      <c r="B119" s="67" t="n"/>
      <c r="C119" s="67" t="n"/>
      <c r="D119" s="67" t="n"/>
      <c r="E119" s="67" t="n"/>
      <c r="F119" s="67" t="n"/>
      <c r="G119" s="67" t="n"/>
      <c r="I119" s="67" t="n"/>
      <c r="J119" s="67" t="n"/>
      <c r="K119" s="67" t="n"/>
      <c r="L119" s="67" t="n"/>
      <c r="N119" s="67" t="n"/>
      <c r="O119" s="67" t="n"/>
      <c r="P119" s="67" t="n"/>
      <c r="Q119" s="67" t="n"/>
      <c r="R119" s="67" t="n"/>
      <c r="S119" s="67" t="n"/>
      <c r="T119" s="67" t="n"/>
      <c r="U119" s="67" t="n"/>
      <c r="V119" s="67" t="n"/>
      <c r="W119" s="67" t="n"/>
      <c r="X119" s="67" t="n"/>
      <c r="Y119" s="67" t="n"/>
      <c r="Z119" s="67" t="n"/>
      <c r="AG119" s="67" t="n"/>
      <c r="AH119" s="67" t="n"/>
      <c r="AI119" s="67" t="n"/>
      <c r="AJ119" s="67" t="n"/>
      <c r="AK119" s="67" t="n"/>
      <c r="AL119" s="67" t="n"/>
      <c r="AM119" s="67" t="n"/>
    </row>
    <row r="120">
      <c r="B120" s="67" t="n"/>
      <c r="C120" s="67" t="n"/>
      <c r="D120" s="67" t="n"/>
      <c r="E120" s="67" t="n"/>
      <c r="F120" s="67" t="n"/>
      <c r="G120" s="67" t="n"/>
      <c r="I120" s="67" t="n"/>
      <c r="J120" s="67" t="n"/>
      <c r="K120" s="67" t="n"/>
      <c r="L120" s="67" t="n"/>
      <c r="N120" s="67" t="n"/>
      <c r="O120" s="67" t="n"/>
      <c r="P120" s="67" t="n"/>
      <c r="Q120" s="67" t="n"/>
      <c r="R120" s="67" t="n"/>
      <c r="S120" s="67" t="n"/>
      <c r="T120" s="67" t="n"/>
      <c r="U120" s="67" t="n"/>
      <c r="V120" s="67" t="n"/>
      <c r="W120" s="67" t="n"/>
      <c r="X120" s="67" t="n"/>
      <c r="Y120" s="67" t="n"/>
      <c r="Z120" s="67" t="n"/>
      <c r="AG120" s="67" t="n"/>
      <c r="AH120" s="67" t="n"/>
      <c r="AI120" s="67" t="n"/>
      <c r="AJ120" s="67" t="n"/>
      <c r="AK120" s="67" t="n"/>
      <c r="AL120" s="67" t="n"/>
      <c r="AM120" s="67" t="n"/>
    </row>
    <row r="121">
      <c r="B121" s="67" t="n"/>
      <c r="C121" s="67" t="n"/>
      <c r="D121" s="67" t="n"/>
      <c r="E121" s="67" t="n"/>
      <c r="F121" s="67" t="n"/>
      <c r="G121" s="67" t="n"/>
      <c r="I121" s="67" t="n"/>
      <c r="J121" s="67" t="n"/>
      <c r="K121" s="67" t="n"/>
      <c r="L121" s="67" t="n"/>
      <c r="N121" s="67" t="n"/>
      <c r="O121" s="67" t="n"/>
      <c r="P121" s="67" t="n"/>
      <c r="Q121" s="67" t="n"/>
      <c r="R121" s="67" t="n"/>
      <c r="S121" s="67" t="n"/>
      <c r="T121" s="67" t="n"/>
      <c r="U121" s="67" t="n"/>
      <c r="V121" s="67" t="n"/>
      <c r="W121" s="67" t="n"/>
      <c r="X121" s="67" t="n"/>
      <c r="Y121" s="67" t="n"/>
      <c r="Z121" s="67" t="n"/>
      <c r="AG121" s="67" t="n"/>
      <c r="AH121" s="67" t="n"/>
      <c r="AI121" s="67" t="n"/>
      <c r="AJ121" s="67" t="n"/>
      <c r="AK121" s="67" t="n"/>
      <c r="AL121" s="67" t="n"/>
      <c r="AM121" s="67" t="n"/>
    </row>
    <row r="122">
      <c r="B122" s="67" t="n"/>
      <c r="C122" s="67" t="n"/>
      <c r="D122" s="67" t="n"/>
      <c r="E122" s="67" t="n"/>
      <c r="F122" s="67" t="n"/>
      <c r="G122" s="67" t="n"/>
      <c r="I122" s="67" t="n"/>
      <c r="J122" s="67" t="n"/>
      <c r="K122" s="67" t="n"/>
      <c r="L122" s="67" t="n"/>
      <c r="N122" s="67" t="n"/>
      <c r="O122" s="67" t="n"/>
      <c r="P122" s="67" t="n"/>
      <c r="Q122" s="67" t="n"/>
      <c r="R122" s="67" t="n"/>
      <c r="S122" s="67" t="n"/>
      <c r="T122" s="67" t="n"/>
      <c r="U122" s="67" t="n"/>
      <c r="V122" s="67" t="n"/>
      <c r="W122" s="67" t="n"/>
      <c r="X122" s="67" t="n"/>
      <c r="Y122" s="67" t="n"/>
      <c r="Z122" s="67" t="n"/>
      <c r="AG122" s="67" t="n"/>
      <c r="AH122" s="67" t="n"/>
      <c r="AI122" s="67" t="n"/>
      <c r="AJ122" s="67" t="n"/>
      <c r="AK122" s="67" t="n"/>
      <c r="AL122" s="67" t="n"/>
      <c r="AM122" s="67" t="n"/>
    </row>
    <row r="123">
      <c r="B123" s="67" t="n"/>
      <c r="C123" s="67" t="n"/>
      <c r="D123" s="67" t="n"/>
      <c r="E123" s="67" t="n"/>
      <c r="F123" s="67" t="n"/>
      <c r="G123" s="67" t="n"/>
      <c r="I123" s="67" t="n"/>
      <c r="J123" s="67" t="n"/>
      <c r="K123" s="67" t="n"/>
      <c r="L123" s="67" t="n"/>
      <c r="N123" s="67" t="n"/>
      <c r="O123" s="67" t="n"/>
      <c r="P123" s="67" t="n"/>
      <c r="Q123" s="67" t="n"/>
      <c r="R123" s="67" t="n"/>
      <c r="S123" s="67" t="n"/>
      <c r="T123" s="67" t="n"/>
      <c r="U123" s="67" t="n"/>
      <c r="V123" s="67" t="n"/>
      <c r="W123" s="67" t="n"/>
      <c r="X123" s="67" t="n"/>
      <c r="Y123" s="67" t="n"/>
      <c r="Z123" s="67" t="n"/>
      <c r="AG123" s="67" t="n"/>
      <c r="AH123" s="67" t="n"/>
      <c r="AI123" s="67" t="n"/>
      <c r="AJ123" s="67" t="n"/>
      <c r="AK123" s="67" t="n"/>
      <c r="AL123" s="67" t="n"/>
      <c r="AM123" s="67" t="n"/>
    </row>
    <row r="124">
      <c r="B124" s="67" t="n"/>
      <c r="C124" s="67" t="n"/>
      <c r="D124" s="67" t="n"/>
      <c r="E124" s="67" t="n"/>
      <c r="F124" s="67" t="n"/>
      <c r="G124" s="67" t="n"/>
      <c r="I124" s="67" t="n"/>
      <c r="J124" s="67" t="n"/>
      <c r="K124" s="67" t="n"/>
      <c r="L124" s="67" t="n"/>
      <c r="N124" s="67" t="n"/>
      <c r="O124" s="67" t="n"/>
      <c r="P124" s="67" t="n"/>
      <c r="Q124" s="67" t="n"/>
      <c r="R124" s="67" t="n"/>
      <c r="S124" s="67" t="n"/>
      <c r="T124" s="67" t="n"/>
      <c r="U124" s="67" t="n"/>
      <c r="V124" s="67" t="n"/>
      <c r="W124" s="67" t="n"/>
      <c r="X124" s="67" t="n"/>
      <c r="Y124" s="67" t="n"/>
      <c r="Z124" s="67" t="n"/>
      <c r="AG124" s="67" t="n"/>
      <c r="AH124" s="67" t="n"/>
      <c r="AI124" s="67" t="n"/>
      <c r="AJ124" s="67" t="n"/>
      <c r="AK124" s="67" t="n"/>
      <c r="AL124" s="67" t="n"/>
      <c r="AM124" s="67" t="n"/>
    </row>
    <row r="125">
      <c r="B125" s="67" t="n"/>
      <c r="C125" s="67" t="n"/>
      <c r="D125" s="67" t="n"/>
      <c r="E125" s="67" t="n"/>
      <c r="F125" s="67" t="n"/>
      <c r="G125" s="67" t="n"/>
      <c r="I125" s="67" t="n"/>
      <c r="J125" s="67" t="n"/>
      <c r="K125" s="67" t="n"/>
      <c r="L125" s="67" t="n"/>
      <c r="N125" s="67" t="n"/>
      <c r="O125" s="67" t="n"/>
      <c r="P125" s="67" t="n"/>
      <c r="Q125" s="67" t="n"/>
      <c r="R125" s="67" t="n"/>
      <c r="S125" s="67" t="n"/>
      <c r="T125" s="67" t="n"/>
      <c r="U125" s="67" t="n"/>
      <c r="V125" s="67" t="n"/>
      <c r="W125" s="67" t="n"/>
      <c r="X125" s="67" t="n"/>
      <c r="Y125" s="67" t="n"/>
      <c r="Z125" s="67" t="n"/>
      <c r="AG125" s="67" t="n"/>
      <c r="AH125" s="67" t="n"/>
      <c r="AI125" s="67" t="n"/>
      <c r="AJ125" s="67" t="n"/>
      <c r="AK125" s="67" t="n"/>
      <c r="AL125" s="67" t="n"/>
      <c r="AM125" s="67" t="n"/>
    </row>
    <row r="126">
      <c r="B126" s="67" t="n"/>
      <c r="C126" s="67" t="n"/>
      <c r="D126" s="67" t="n"/>
      <c r="E126" s="67" t="n"/>
      <c r="F126" s="67" t="n"/>
      <c r="G126" s="67" t="n"/>
      <c r="I126" s="67" t="n"/>
      <c r="J126" s="67" t="n"/>
      <c r="K126" s="67" t="n"/>
      <c r="L126" s="67" t="n"/>
      <c r="N126" s="67" t="n"/>
      <c r="O126" s="67" t="n"/>
      <c r="P126" s="67" t="n"/>
      <c r="Q126" s="67" t="n"/>
      <c r="R126" s="67" t="n"/>
      <c r="S126" s="67" t="n"/>
      <c r="T126" s="67" t="n"/>
      <c r="U126" s="67" t="n"/>
      <c r="V126" s="67" t="n"/>
      <c r="W126" s="67" t="n"/>
      <c r="X126" s="67" t="n"/>
      <c r="Y126" s="67" t="n"/>
      <c r="Z126" s="67" t="n"/>
      <c r="AG126" s="67" t="n"/>
      <c r="AH126" s="67" t="n"/>
      <c r="AI126" s="67" t="n"/>
      <c r="AJ126" s="67" t="n"/>
      <c r="AK126" s="67" t="n"/>
      <c r="AL126" s="67" t="n"/>
      <c r="AM126" s="67" t="n"/>
    </row>
    <row r="127">
      <c r="B127" s="67" t="n"/>
      <c r="C127" s="67" t="n"/>
      <c r="D127" s="67" t="n"/>
      <c r="E127" s="67" t="n"/>
      <c r="F127" s="67" t="n"/>
      <c r="G127" s="67" t="n"/>
      <c r="I127" s="67" t="n"/>
      <c r="J127" s="67" t="n"/>
      <c r="K127" s="67" t="n"/>
      <c r="L127" s="67" t="n"/>
      <c r="N127" s="67" t="n"/>
      <c r="O127" s="67" t="n"/>
      <c r="P127" s="67" t="n"/>
      <c r="Q127" s="67" t="n"/>
      <c r="R127" s="67" t="n"/>
      <c r="S127" s="67" t="n"/>
      <c r="T127" s="67" t="n"/>
      <c r="U127" s="67" t="n"/>
      <c r="V127" s="67" t="n"/>
      <c r="W127" s="67" t="n"/>
      <c r="X127" s="67" t="n"/>
      <c r="Y127" s="67" t="n"/>
      <c r="Z127" s="67" t="n"/>
      <c r="AG127" s="67" t="n"/>
      <c r="AH127" s="67" t="n"/>
      <c r="AI127" s="67" t="n"/>
      <c r="AJ127" s="67" t="n"/>
      <c r="AK127" s="67" t="n"/>
      <c r="AL127" s="67" t="n"/>
      <c r="AM127" s="67" t="n"/>
    </row>
    <row r="128">
      <c r="B128" s="67" t="n"/>
      <c r="C128" s="67" t="n"/>
      <c r="D128" s="67" t="n"/>
      <c r="E128" s="67" t="n"/>
      <c r="F128" s="67" t="n"/>
      <c r="G128" s="67" t="n"/>
      <c r="I128" s="67" t="n"/>
      <c r="J128" s="67" t="n"/>
      <c r="K128" s="67" t="n"/>
      <c r="L128" s="67" t="n"/>
      <c r="N128" s="67" t="n"/>
      <c r="O128" s="67" t="n"/>
      <c r="P128" s="67" t="n"/>
      <c r="Q128" s="67" t="n"/>
      <c r="R128" s="67" t="n"/>
      <c r="S128" s="67" t="n"/>
      <c r="T128" s="67" t="n"/>
      <c r="U128" s="67" t="n"/>
      <c r="V128" s="67" t="n"/>
      <c r="W128" s="67" t="n"/>
      <c r="X128" s="67" t="n"/>
      <c r="Y128" s="67" t="n"/>
      <c r="Z128" s="67" t="n"/>
      <c r="AG128" s="67" t="n"/>
      <c r="AH128" s="67" t="n"/>
      <c r="AI128" s="67" t="n"/>
      <c r="AJ128" s="67" t="n"/>
      <c r="AK128" s="67" t="n"/>
      <c r="AL128" s="67" t="n"/>
      <c r="AM128" s="67" t="n"/>
    </row>
    <row r="129">
      <c r="B129" s="67" t="n"/>
      <c r="C129" s="67" t="n"/>
      <c r="D129" s="67" t="n"/>
      <c r="E129" s="67" t="n"/>
      <c r="F129" s="67" t="n"/>
      <c r="G129" s="67" t="n"/>
      <c r="I129" s="67" t="n"/>
      <c r="J129" s="67" t="n"/>
      <c r="K129" s="67" t="n"/>
      <c r="L129" s="67" t="n"/>
      <c r="N129" s="67" t="n"/>
      <c r="O129" s="67" t="n"/>
      <c r="P129" s="67" t="n"/>
      <c r="Q129" s="67" t="n"/>
      <c r="R129" s="67" t="n"/>
      <c r="S129" s="67" t="n"/>
      <c r="T129" s="67" t="n"/>
      <c r="U129" s="67" t="n"/>
      <c r="V129" s="67" t="n"/>
      <c r="W129" s="67" t="n"/>
      <c r="X129" s="67" t="n"/>
      <c r="Y129" s="67" t="n"/>
      <c r="Z129" s="67" t="n"/>
      <c r="AG129" s="67" t="n"/>
      <c r="AH129" s="67" t="n"/>
      <c r="AI129" s="67" t="n"/>
      <c r="AJ129" s="67" t="n"/>
      <c r="AK129" s="67" t="n"/>
      <c r="AL129" s="67" t="n"/>
      <c r="AM129" s="67" t="n"/>
    </row>
    <row r="130">
      <c r="B130" s="67" t="n"/>
      <c r="C130" s="67" t="n"/>
      <c r="D130" s="67" t="n"/>
      <c r="E130" s="67" t="n"/>
      <c r="F130" s="67" t="n"/>
      <c r="G130" s="67" t="n"/>
      <c r="I130" s="67" t="n"/>
      <c r="J130" s="67" t="n"/>
      <c r="K130" s="67" t="n"/>
      <c r="L130" s="67" t="n"/>
      <c r="N130" s="67" t="n"/>
      <c r="O130" s="67" t="n"/>
      <c r="P130" s="67" t="n"/>
      <c r="Q130" s="67" t="n"/>
      <c r="R130" s="67" t="n"/>
      <c r="S130" s="67" t="n"/>
      <c r="T130" s="67" t="n"/>
      <c r="U130" s="67" t="n"/>
      <c r="V130" s="67" t="n"/>
      <c r="W130" s="67" t="n"/>
      <c r="X130" s="67" t="n"/>
      <c r="Y130" s="67" t="n"/>
      <c r="Z130" s="67" t="n"/>
      <c r="AG130" s="67" t="n"/>
      <c r="AH130" s="67" t="n"/>
      <c r="AI130" s="67" t="n"/>
      <c r="AJ130" s="67" t="n"/>
      <c r="AK130" s="67" t="n"/>
      <c r="AL130" s="67" t="n"/>
      <c r="AM130" s="67" t="n"/>
    </row>
    <row r="131">
      <c r="B131" s="67" t="n"/>
      <c r="C131" s="67" t="n"/>
      <c r="D131" s="67" t="n"/>
      <c r="E131" s="67" t="n"/>
      <c r="F131" s="67" t="n"/>
      <c r="G131" s="67" t="n"/>
      <c r="I131" s="67" t="n"/>
      <c r="J131" s="67" t="n"/>
      <c r="K131" s="67" t="n"/>
      <c r="L131" s="67" t="n"/>
      <c r="N131" s="67" t="n"/>
      <c r="O131" s="67" t="n"/>
      <c r="P131" s="67" t="n"/>
      <c r="Q131" s="67" t="n"/>
      <c r="R131" s="67" t="n"/>
      <c r="S131" s="67" t="n"/>
      <c r="T131" s="67" t="n"/>
      <c r="U131" s="67" t="n"/>
      <c r="V131" s="67" t="n"/>
      <c r="W131" s="67" t="n"/>
      <c r="X131" s="67" t="n"/>
      <c r="Y131" s="67" t="n"/>
      <c r="Z131" s="67" t="n"/>
      <c r="AG131" s="67" t="n"/>
      <c r="AH131" s="67" t="n"/>
      <c r="AI131" s="67" t="n"/>
      <c r="AJ131" s="67" t="n"/>
      <c r="AK131" s="67" t="n"/>
      <c r="AL131" s="67" t="n"/>
      <c r="AM131" s="67" t="n"/>
    </row>
    <row r="132">
      <c r="B132" s="67" t="n"/>
      <c r="C132" s="67" t="n"/>
      <c r="D132" s="67" t="n"/>
      <c r="E132" s="67" t="n"/>
      <c r="F132" s="67" t="n"/>
      <c r="G132" s="67" t="n"/>
      <c r="I132" s="67" t="n"/>
      <c r="J132" s="67" t="n"/>
      <c r="K132" s="67" t="n"/>
      <c r="L132" s="67" t="n"/>
      <c r="N132" s="67" t="n"/>
      <c r="O132" s="67" t="n"/>
      <c r="P132" s="67" t="n"/>
      <c r="Q132" s="67" t="n"/>
      <c r="R132" s="67" t="n"/>
      <c r="S132" s="67" t="n"/>
      <c r="T132" s="67" t="n"/>
      <c r="U132" s="67" t="n"/>
      <c r="V132" s="67" t="n"/>
      <c r="W132" s="67" t="n"/>
      <c r="X132" s="67" t="n"/>
      <c r="Y132" s="67" t="n"/>
      <c r="Z132" s="67" t="n"/>
      <c r="AG132" s="67" t="n"/>
      <c r="AH132" s="67" t="n"/>
      <c r="AI132" s="67" t="n"/>
      <c r="AJ132" s="67" t="n"/>
      <c r="AK132" s="67" t="n"/>
      <c r="AL132" s="67" t="n"/>
      <c r="AM132" s="67" t="n"/>
    </row>
    <row r="133">
      <c r="B133" s="67" t="n"/>
      <c r="C133" s="67" t="n"/>
      <c r="D133" s="67" t="n"/>
      <c r="E133" s="67" t="n"/>
      <c r="F133" s="67" t="n"/>
      <c r="G133" s="67" t="n"/>
      <c r="I133" s="67" t="n"/>
      <c r="J133" s="67" t="n"/>
      <c r="K133" s="67" t="n"/>
      <c r="L133" s="67" t="n"/>
      <c r="N133" s="67" t="n"/>
      <c r="O133" s="67" t="n"/>
      <c r="P133" s="67" t="n"/>
      <c r="Q133" s="67" t="n"/>
      <c r="R133" s="67" t="n"/>
      <c r="S133" s="67" t="n"/>
      <c r="T133" s="67" t="n"/>
      <c r="U133" s="67" t="n"/>
      <c r="V133" s="67" t="n"/>
      <c r="W133" s="67" t="n"/>
      <c r="X133" s="67" t="n"/>
      <c r="Y133" s="67" t="n"/>
      <c r="Z133" s="67" t="n"/>
      <c r="AG133" s="67" t="n"/>
      <c r="AH133" s="67" t="n"/>
      <c r="AI133" s="67" t="n"/>
      <c r="AJ133" s="67" t="n"/>
      <c r="AK133" s="67" t="n"/>
      <c r="AL133" s="67" t="n"/>
      <c r="AM133" s="67" t="n"/>
    </row>
    <row r="134">
      <c r="B134" s="67" t="n"/>
      <c r="C134" s="67" t="n"/>
      <c r="D134" s="67" t="n"/>
      <c r="E134" s="67" t="n"/>
      <c r="F134" s="67" t="n"/>
      <c r="G134" s="67" t="n"/>
      <c r="I134" s="67" t="n"/>
      <c r="J134" s="67" t="n"/>
      <c r="K134" s="67" t="n"/>
      <c r="L134" s="67" t="n"/>
      <c r="N134" s="67" t="n"/>
      <c r="O134" s="67" t="n"/>
      <c r="P134" s="67" t="n"/>
      <c r="Q134" s="67" t="n"/>
      <c r="R134" s="67" t="n"/>
      <c r="S134" s="67" t="n"/>
      <c r="T134" s="67" t="n"/>
      <c r="U134" s="67" t="n"/>
      <c r="V134" s="67" t="n"/>
      <c r="W134" s="67" t="n"/>
      <c r="X134" s="67" t="n"/>
      <c r="Y134" s="67" t="n"/>
      <c r="Z134" s="67" t="n"/>
      <c r="AG134" s="67" t="n"/>
      <c r="AH134" s="67" t="n"/>
      <c r="AI134" s="67" t="n"/>
      <c r="AJ134" s="67" t="n"/>
      <c r="AK134" s="67" t="n"/>
      <c r="AL134" s="67" t="n"/>
      <c r="AM134" s="67" t="n"/>
    </row>
    <row r="135">
      <c r="B135" s="67" t="n"/>
      <c r="C135" s="67" t="n"/>
      <c r="D135" s="67" t="n"/>
      <c r="E135" s="67" t="n"/>
      <c r="F135" s="67" t="n"/>
      <c r="G135" s="67" t="n"/>
      <c r="I135" s="67" t="n"/>
      <c r="J135" s="67" t="n"/>
      <c r="K135" s="67" t="n"/>
      <c r="L135" s="67" t="n"/>
      <c r="N135" s="67" t="n"/>
      <c r="O135" s="67" t="n"/>
      <c r="P135" s="67" t="n"/>
      <c r="Q135" s="67" t="n"/>
      <c r="R135" s="67" t="n"/>
      <c r="S135" s="67" t="n"/>
      <c r="T135" s="67" t="n"/>
      <c r="U135" s="67" t="n"/>
      <c r="V135" s="67" t="n"/>
      <c r="W135" s="67" t="n"/>
      <c r="X135" s="67" t="n"/>
      <c r="Y135" s="67" t="n"/>
      <c r="Z135" s="67" t="n"/>
      <c r="AG135" s="67" t="n"/>
      <c r="AH135" s="67" t="n"/>
      <c r="AI135" s="67" t="n"/>
      <c r="AJ135" s="67" t="n"/>
      <c r="AK135" s="67" t="n"/>
      <c r="AL135" s="67" t="n"/>
      <c r="AM135" s="67" t="n"/>
    </row>
    <row r="136">
      <c r="B136" s="67" t="n"/>
      <c r="C136" s="67" t="n"/>
      <c r="D136" s="67" t="n"/>
      <c r="E136" s="67" t="n"/>
      <c r="F136" s="67" t="n"/>
      <c r="G136" s="67" t="n"/>
      <c r="I136" s="67" t="n"/>
      <c r="J136" s="67" t="n"/>
      <c r="K136" s="67" t="n"/>
      <c r="L136" s="67" t="n"/>
      <c r="N136" s="67" t="n"/>
      <c r="O136" s="67" t="n"/>
      <c r="P136" s="67" t="n"/>
      <c r="Q136" s="67" t="n"/>
      <c r="R136" s="67" t="n"/>
      <c r="S136" s="67" t="n"/>
      <c r="T136" s="67" t="n"/>
      <c r="U136" s="67" t="n"/>
      <c r="V136" s="67" t="n"/>
      <c r="W136" s="67" t="n"/>
      <c r="X136" s="67" t="n"/>
      <c r="Y136" s="67" t="n"/>
      <c r="Z136" s="67" t="n"/>
      <c r="AG136" s="67" t="n"/>
      <c r="AH136" s="67" t="n"/>
      <c r="AI136" s="67" t="n"/>
      <c r="AJ136" s="67" t="n"/>
      <c r="AK136" s="67" t="n"/>
      <c r="AL136" s="67" t="n"/>
      <c r="AM136" s="67" t="n"/>
    </row>
    <row r="137">
      <c r="B137" s="67" t="n"/>
      <c r="C137" s="67" t="n"/>
      <c r="D137" s="67" t="n"/>
      <c r="E137" s="67" t="n"/>
      <c r="F137" s="67" t="n"/>
      <c r="G137" s="67" t="n"/>
      <c r="I137" s="67" t="n"/>
      <c r="J137" s="67" t="n"/>
      <c r="K137" s="67" t="n"/>
      <c r="L137" s="67" t="n"/>
      <c r="N137" s="67" t="n"/>
      <c r="O137" s="67" t="n"/>
      <c r="P137" s="67" t="n"/>
      <c r="Q137" s="67" t="n"/>
      <c r="R137" s="67" t="n"/>
      <c r="S137" s="67" t="n"/>
      <c r="T137" s="67" t="n"/>
      <c r="U137" s="67" t="n"/>
      <c r="V137" s="67" t="n"/>
      <c r="W137" s="67" t="n"/>
      <c r="X137" s="67" t="n"/>
      <c r="Y137" s="67" t="n"/>
      <c r="Z137" s="67" t="n"/>
      <c r="AG137" s="67" t="n"/>
      <c r="AH137" s="67" t="n"/>
      <c r="AI137" s="67" t="n"/>
      <c r="AJ137" s="67" t="n"/>
      <c r="AK137" s="67" t="n"/>
      <c r="AL137" s="67" t="n"/>
      <c r="AM137" s="67" t="n"/>
    </row>
    <row r="138">
      <c r="B138" s="67" t="n"/>
      <c r="C138" s="67" t="n"/>
      <c r="D138" s="67" t="n"/>
      <c r="E138" s="67" t="n"/>
      <c r="F138" s="67" t="n"/>
      <c r="G138" s="67" t="n"/>
      <c r="I138" s="67" t="n"/>
      <c r="J138" s="67" t="n"/>
      <c r="K138" s="67" t="n"/>
      <c r="L138" s="67" t="n"/>
      <c r="N138" s="67" t="n"/>
      <c r="O138" s="67" t="n"/>
      <c r="P138" s="67" t="n"/>
      <c r="Q138" s="67" t="n"/>
      <c r="R138" s="67" t="n"/>
      <c r="S138" s="67" t="n"/>
      <c r="T138" s="67" t="n"/>
      <c r="U138" s="67" t="n"/>
      <c r="V138" s="67" t="n"/>
      <c r="W138" s="67" t="n"/>
      <c r="X138" s="67" t="n"/>
      <c r="Y138" s="67" t="n"/>
      <c r="Z138" s="67" t="n"/>
      <c r="AG138" s="67" t="n"/>
      <c r="AH138" s="67" t="n"/>
      <c r="AI138" s="67" t="n"/>
      <c r="AJ138" s="67" t="n"/>
      <c r="AK138" s="67" t="n"/>
      <c r="AL138" s="67" t="n"/>
      <c r="AM138" s="67" t="n"/>
    </row>
    <row r="139">
      <c r="B139" s="67" t="n"/>
      <c r="C139" s="67" t="n"/>
      <c r="D139" s="67" t="n"/>
      <c r="E139" s="67" t="n"/>
      <c r="F139" s="67" t="n"/>
      <c r="G139" s="67" t="n"/>
      <c r="I139" s="67" t="n"/>
      <c r="J139" s="67" t="n"/>
      <c r="K139" s="67" t="n"/>
      <c r="L139" s="67" t="n"/>
      <c r="N139" s="67" t="n"/>
      <c r="O139" s="67" t="n"/>
      <c r="P139" s="67" t="n"/>
      <c r="Q139" s="67" t="n"/>
      <c r="R139" s="67" t="n"/>
      <c r="S139" s="67" t="n"/>
      <c r="T139" s="67" t="n"/>
      <c r="U139" s="67" t="n"/>
      <c r="V139" s="67" t="n"/>
      <c r="W139" s="67" t="n"/>
      <c r="X139" s="67" t="n"/>
      <c r="Y139" s="67" t="n"/>
      <c r="Z139" s="67" t="n"/>
      <c r="AG139" s="67" t="n"/>
      <c r="AH139" s="67" t="n"/>
      <c r="AI139" s="67" t="n"/>
      <c r="AJ139" s="67" t="n"/>
      <c r="AK139" s="67" t="n"/>
      <c r="AL139" s="67" t="n"/>
      <c r="AM139" s="67" t="n"/>
    </row>
    <row r="140">
      <c r="B140" s="67" t="n"/>
      <c r="C140" s="67" t="n"/>
      <c r="D140" s="67" t="n"/>
      <c r="E140" s="67" t="n"/>
      <c r="F140" s="67" t="n"/>
      <c r="G140" s="67" t="n"/>
      <c r="I140" s="67" t="n"/>
      <c r="J140" s="67" t="n"/>
      <c r="K140" s="67" t="n"/>
      <c r="L140" s="67" t="n"/>
      <c r="N140" s="67" t="n"/>
      <c r="O140" s="67" t="n"/>
      <c r="P140" s="67" t="n"/>
      <c r="Q140" s="67" t="n"/>
      <c r="R140" s="67" t="n"/>
      <c r="S140" s="67" t="n"/>
      <c r="T140" s="67" t="n"/>
      <c r="U140" s="67" t="n"/>
      <c r="V140" s="67" t="n"/>
      <c r="W140" s="67" t="n"/>
      <c r="X140" s="67" t="n"/>
      <c r="Y140" s="67" t="n"/>
      <c r="Z140" s="67" t="n"/>
      <c r="AG140" s="67" t="n"/>
      <c r="AH140" s="67" t="n"/>
      <c r="AI140" s="67" t="n"/>
      <c r="AJ140" s="67" t="n"/>
      <c r="AK140" s="67" t="n"/>
      <c r="AL140" s="67" t="n"/>
      <c r="AM140" s="67" t="n"/>
    </row>
    <row r="141">
      <c r="B141" s="67" t="n"/>
      <c r="C141" s="67" t="n"/>
      <c r="D141" s="67" t="n"/>
      <c r="E141" s="67" t="n"/>
      <c r="F141" s="67" t="n"/>
      <c r="G141" s="67" t="n"/>
      <c r="I141" s="67" t="n"/>
      <c r="J141" s="67" t="n"/>
      <c r="K141" s="67" t="n"/>
      <c r="L141" s="67" t="n"/>
      <c r="N141" s="67" t="n"/>
      <c r="O141" s="67" t="n"/>
      <c r="P141" s="67" t="n"/>
      <c r="Q141" s="67" t="n"/>
      <c r="R141" s="67" t="n"/>
      <c r="S141" s="67" t="n"/>
      <c r="T141" s="67" t="n"/>
      <c r="U141" s="67" t="n"/>
      <c r="V141" s="67" t="n"/>
      <c r="W141" s="67" t="n"/>
      <c r="X141" s="67" t="n"/>
      <c r="Y141" s="67" t="n"/>
      <c r="Z141" s="67" t="n"/>
      <c r="AG141" s="67" t="n"/>
      <c r="AH141" s="67" t="n"/>
      <c r="AI141" s="67" t="n"/>
      <c r="AJ141" s="67" t="n"/>
      <c r="AK141" s="67" t="n"/>
      <c r="AL141" s="67" t="n"/>
      <c r="AM141" s="67" t="n"/>
    </row>
    <row r="142">
      <c r="B142" s="67" t="n"/>
      <c r="C142" s="67" t="n"/>
      <c r="D142" s="67" t="n"/>
      <c r="E142" s="67" t="n"/>
      <c r="F142" s="67" t="n"/>
      <c r="G142" s="67" t="n"/>
      <c r="I142" s="67" t="n"/>
      <c r="J142" s="67" t="n"/>
      <c r="K142" s="67" t="n"/>
      <c r="L142" s="67" t="n"/>
      <c r="N142" s="67" t="n"/>
      <c r="O142" s="67" t="n"/>
      <c r="P142" s="67" t="n"/>
      <c r="Q142" s="67" t="n"/>
      <c r="R142" s="67" t="n"/>
      <c r="S142" s="67" t="n"/>
      <c r="T142" s="67" t="n"/>
      <c r="U142" s="67" t="n"/>
      <c r="V142" s="67" t="n"/>
      <c r="W142" s="67" t="n"/>
      <c r="X142" s="67" t="n"/>
      <c r="Y142" s="67" t="n"/>
      <c r="Z142" s="67" t="n"/>
      <c r="AG142" s="67" t="n"/>
      <c r="AH142" s="67" t="n"/>
      <c r="AI142" s="67" t="n"/>
      <c r="AJ142" s="67" t="n"/>
      <c r="AK142" s="67" t="n"/>
      <c r="AL142" s="67" t="n"/>
      <c r="AM142" s="67" t="n"/>
    </row>
    <row r="143">
      <c r="B143" s="67" t="n"/>
      <c r="C143" s="67" t="n"/>
      <c r="D143" s="67" t="n"/>
      <c r="E143" s="67" t="n"/>
      <c r="F143" s="67" t="n"/>
      <c r="G143" s="67" t="n"/>
      <c r="I143" s="67" t="n"/>
      <c r="J143" s="67" t="n"/>
      <c r="K143" s="67" t="n"/>
      <c r="L143" s="67" t="n"/>
      <c r="N143" s="67" t="n"/>
      <c r="O143" s="67" t="n"/>
      <c r="P143" s="67" t="n"/>
      <c r="Q143" s="67" t="n"/>
      <c r="R143" s="67" t="n"/>
      <c r="S143" s="67" t="n"/>
      <c r="T143" s="67" t="n"/>
      <c r="U143" s="67" t="n"/>
      <c r="V143" s="67" t="n"/>
      <c r="W143" s="67" t="n"/>
      <c r="X143" s="67" t="n"/>
      <c r="Y143" s="67" t="n"/>
      <c r="Z143" s="67" t="n"/>
      <c r="AG143" s="67" t="n"/>
      <c r="AH143" s="67" t="n"/>
      <c r="AI143" s="67" t="n"/>
      <c r="AJ143" s="67" t="n"/>
      <c r="AK143" s="67" t="n"/>
      <c r="AL143" s="67" t="n"/>
      <c r="AM143" s="67" t="n"/>
    </row>
    <row r="144">
      <c r="B144" s="67" t="n"/>
      <c r="C144" s="67" t="n"/>
      <c r="D144" s="67" t="n"/>
      <c r="E144" s="67" t="n"/>
      <c r="F144" s="67" t="n"/>
      <c r="G144" s="67" t="n"/>
      <c r="I144" s="67" t="n"/>
      <c r="J144" s="67" t="n"/>
      <c r="K144" s="67" t="n"/>
      <c r="L144" s="67" t="n"/>
      <c r="N144" s="67" t="n"/>
      <c r="O144" s="67" t="n"/>
      <c r="P144" s="67" t="n"/>
      <c r="Q144" s="67" t="n"/>
      <c r="R144" s="67" t="n"/>
      <c r="S144" s="67" t="n"/>
      <c r="T144" s="67" t="n"/>
      <c r="U144" s="67" t="n"/>
      <c r="V144" s="67" t="n"/>
      <c r="W144" s="67" t="n"/>
      <c r="X144" s="67" t="n"/>
      <c r="Y144" s="67" t="n"/>
      <c r="Z144" s="67" t="n"/>
      <c r="AG144" s="67" t="n"/>
      <c r="AH144" s="67" t="n"/>
      <c r="AI144" s="67" t="n"/>
      <c r="AJ144" s="67" t="n"/>
      <c r="AK144" s="67" t="n"/>
      <c r="AL144" s="67" t="n"/>
      <c r="AM144" s="67" t="n"/>
    </row>
    <row r="145">
      <c r="B145" s="67" t="n"/>
      <c r="C145" s="67" t="n"/>
      <c r="D145" s="67" t="n"/>
      <c r="E145" s="67" t="n"/>
      <c r="F145" s="67" t="n"/>
      <c r="G145" s="67" t="n"/>
      <c r="I145" s="67" t="n"/>
      <c r="J145" s="67" t="n"/>
      <c r="K145" s="67" t="n"/>
      <c r="L145" s="67" t="n"/>
      <c r="N145" s="67" t="n"/>
      <c r="O145" s="67" t="n"/>
      <c r="P145" s="67" t="n"/>
      <c r="Q145" s="67" t="n"/>
      <c r="R145" s="67" t="n"/>
      <c r="S145" s="67" t="n"/>
      <c r="T145" s="67" t="n"/>
      <c r="U145" s="67" t="n"/>
      <c r="V145" s="67" t="n"/>
      <c r="W145" s="67" t="n"/>
      <c r="X145" s="67" t="n"/>
      <c r="Y145" s="67" t="n"/>
      <c r="Z145" s="67" t="n"/>
      <c r="AG145" s="67" t="n"/>
      <c r="AH145" s="67" t="n"/>
      <c r="AI145" s="67" t="n"/>
      <c r="AJ145" s="67" t="n"/>
      <c r="AK145" s="67" t="n"/>
      <c r="AL145" s="67" t="n"/>
      <c r="AM145" s="67" t="n"/>
    </row>
    <row r="146">
      <c r="B146" s="67" t="n"/>
      <c r="C146" s="67" t="n"/>
      <c r="D146" s="67" t="n"/>
      <c r="E146" s="67" t="n"/>
      <c r="F146" s="67" t="n"/>
      <c r="G146" s="67" t="n"/>
      <c r="I146" s="67" t="n"/>
      <c r="J146" s="67" t="n"/>
      <c r="K146" s="67" t="n"/>
      <c r="L146" s="67" t="n"/>
      <c r="N146" s="67" t="n"/>
      <c r="O146" s="67" t="n"/>
      <c r="P146" s="67" t="n"/>
      <c r="Q146" s="67" t="n"/>
      <c r="R146" s="67" t="n"/>
      <c r="S146" s="67" t="n"/>
      <c r="T146" s="67" t="n"/>
      <c r="U146" s="67" t="n"/>
      <c r="V146" s="67" t="n"/>
      <c r="W146" s="67" t="n"/>
      <c r="X146" s="67" t="n"/>
      <c r="Y146" s="67" t="n"/>
      <c r="Z146" s="67" t="n"/>
      <c r="AG146" s="67" t="n"/>
      <c r="AH146" s="67" t="n"/>
      <c r="AI146" s="67" t="n"/>
      <c r="AJ146" s="67" t="n"/>
      <c r="AK146" s="67" t="n"/>
      <c r="AL146" s="67" t="n"/>
      <c r="AM146" s="67" t="n"/>
    </row>
    <row r="147">
      <c r="B147" s="67" t="n"/>
      <c r="C147" s="67" t="n"/>
      <c r="D147" s="67" t="n"/>
      <c r="E147" s="67" t="n"/>
      <c r="F147" s="67" t="n"/>
      <c r="G147" s="67" t="n"/>
      <c r="I147" s="67" t="n"/>
      <c r="J147" s="67" t="n"/>
      <c r="K147" s="67" t="n"/>
      <c r="L147" s="67" t="n"/>
      <c r="N147" s="67" t="n"/>
      <c r="O147" s="67" t="n"/>
      <c r="P147" s="67" t="n"/>
      <c r="Q147" s="67" t="n"/>
      <c r="R147" s="67" t="n"/>
      <c r="S147" s="67" t="n"/>
      <c r="T147" s="67" t="n"/>
      <c r="U147" s="67" t="n"/>
      <c r="V147" s="67" t="n"/>
      <c r="W147" s="67" t="n"/>
      <c r="X147" s="67" t="n"/>
      <c r="Y147" s="67" t="n"/>
      <c r="Z147" s="67" t="n"/>
      <c r="AG147" s="67" t="n"/>
      <c r="AH147" s="67" t="n"/>
      <c r="AI147" s="67" t="n"/>
      <c r="AJ147" s="67" t="n"/>
      <c r="AK147" s="67" t="n"/>
      <c r="AL147" s="67" t="n"/>
      <c r="AM147" s="67" t="n"/>
    </row>
    <row r="148">
      <c r="B148" s="67" t="n"/>
      <c r="C148" s="67" t="n"/>
      <c r="D148" s="67" t="n"/>
      <c r="E148" s="67" t="n"/>
      <c r="F148" s="67" t="n"/>
      <c r="G148" s="67" t="n"/>
      <c r="I148" s="67" t="n"/>
      <c r="J148" s="67" t="n"/>
      <c r="K148" s="67" t="n"/>
      <c r="L148" s="67" t="n"/>
      <c r="N148" s="67" t="n"/>
      <c r="O148" s="67" t="n"/>
      <c r="P148" s="67" t="n"/>
      <c r="Q148" s="67" t="n"/>
      <c r="R148" s="67" t="n"/>
      <c r="S148" s="67" t="n"/>
      <c r="T148" s="67" t="n"/>
      <c r="U148" s="67" t="n"/>
      <c r="V148" s="67" t="n"/>
      <c r="W148" s="67" t="n"/>
      <c r="X148" s="67" t="n"/>
      <c r="Y148" s="67" t="n"/>
      <c r="Z148" s="67" t="n"/>
      <c r="AG148" s="67" t="n"/>
      <c r="AH148" s="67" t="n"/>
      <c r="AI148" s="67" t="n"/>
      <c r="AJ148" s="67" t="n"/>
      <c r="AK148" s="67" t="n"/>
      <c r="AL148" s="67" t="n"/>
      <c r="AM148" s="67" t="n"/>
    </row>
    <row r="149">
      <c r="B149" s="67" t="n"/>
      <c r="C149" s="67" t="n"/>
      <c r="D149" s="67" t="n"/>
      <c r="E149" s="67" t="n"/>
      <c r="F149" s="67" t="n"/>
      <c r="G149" s="67" t="n"/>
      <c r="I149" s="67" t="n"/>
      <c r="J149" s="67" t="n"/>
      <c r="K149" s="67" t="n"/>
      <c r="L149" s="67" t="n"/>
      <c r="N149" s="67" t="n"/>
      <c r="O149" s="67" t="n"/>
      <c r="P149" s="67" t="n"/>
      <c r="Q149" s="67" t="n"/>
      <c r="R149" s="67" t="n"/>
      <c r="S149" s="67" t="n"/>
      <c r="T149" s="67" t="n"/>
      <c r="U149" s="67" t="n"/>
      <c r="V149" s="67" t="n"/>
      <c r="W149" s="67" t="n"/>
      <c r="X149" s="67" t="n"/>
      <c r="Y149" s="67" t="n"/>
      <c r="Z149" s="67" t="n"/>
      <c r="AG149" s="67" t="n"/>
      <c r="AH149" s="67" t="n"/>
      <c r="AI149" s="67" t="n"/>
      <c r="AJ149" s="67" t="n"/>
      <c r="AK149" s="67" t="n"/>
      <c r="AL149" s="67" t="n"/>
      <c r="AM149" s="67" t="n"/>
    </row>
    <row r="150">
      <c r="B150" s="67" t="n"/>
      <c r="C150" s="67" t="n"/>
      <c r="D150" s="67" t="n"/>
      <c r="E150" s="67" t="n"/>
      <c r="F150" s="67" t="n"/>
      <c r="G150" s="67" t="n"/>
      <c r="I150" s="67" t="n"/>
      <c r="J150" s="67" t="n"/>
      <c r="K150" s="67" t="n"/>
      <c r="L150" s="67" t="n"/>
      <c r="N150" s="67" t="n"/>
      <c r="O150" s="67" t="n"/>
      <c r="P150" s="67" t="n"/>
      <c r="Q150" s="67" t="n"/>
      <c r="R150" s="67" t="n"/>
      <c r="S150" s="67" t="n"/>
      <c r="T150" s="67" t="n"/>
      <c r="U150" s="67" t="n"/>
      <c r="V150" s="67" t="n"/>
      <c r="W150" s="67" t="n"/>
      <c r="X150" s="67" t="n"/>
      <c r="Y150" s="67" t="n"/>
      <c r="Z150" s="67" t="n"/>
      <c r="AG150" s="67" t="n"/>
      <c r="AH150" s="67" t="n"/>
      <c r="AI150" s="67" t="n"/>
      <c r="AJ150" s="67" t="n"/>
      <c r="AK150" s="67" t="n"/>
      <c r="AL150" s="67" t="n"/>
      <c r="AM150" s="67" t="n"/>
    </row>
    <row r="151">
      <c r="B151" s="67" t="n"/>
      <c r="C151" s="67" t="n"/>
      <c r="D151" s="67" t="n"/>
      <c r="E151" s="67" t="n"/>
      <c r="F151" s="67" t="n"/>
      <c r="G151" s="67" t="n"/>
      <c r="I151" s="67" t="n"/>
      <c r="J151" s="67" t="n"/>
      <c r="K151" s="67" t="n"/>
      <c r="L151" s="67" t="n"/>
      <c r="N151" s="67" t="n"/>
      <c r="O151" s="67" t="n"/>
      <c r="P151" s="67" t="n"/>
      <c r="Q151" s="67" t="n"/>
      <c r="R151" s="67" t="n"/>
      <c r="S151" s="67" t="n"/>
      <c r="T151" s="67" t="n"/>
      <c r="U151" s="67" t="n"/>
      <c r="V151" s="67" t="n"/>
      <c r="W151" s="67" t="n"/>
      <c r="X151" s="67" t="n"/>
      <c r="Y151" s="67" t="n"/>
      <c r="Z151" s="67" t="n"/>
      <c r="AG151" s="67" t="n"/>
      <c r="AH151" s="67" t="n"/>
      <c r="AI151" s="67" t="n"/>
      <c r="AJ151" s="67" t="n"/>
      <c r="AK151" s="67" t="n"/>
      <c r="AL151" s="67" t="n"/>
      <c r="AM151" s="67" t="n"/>
    </row>
    <row r="152">
      <c r="B152" s="67" t="n"/>
      <c r="C152" s="67" t="n"/>
      <c r="D152" s="67" t="n"/>
      <c r="E152" s="67" t="n"/>
      <c r="F152" s="67" t="n"/>
      <c r="G152" s="67" t="n"/>
      <c r="I152" s="67" t="n"/>
      <c r="J152" s="67" t="n"/>
      <c r="K152" s="67" t="n"/>
      <c r="L152" s="67" t="n"/>
      <c r="N152" s="67" t="n"/>
      <c r="O152" s="67" t="n"/>
      <c r="P152" s="67" t="n"/>
      <c r="Q152" s="67" t="n"/>
      <c r="R152" s="67" t="n"/>
      <c r="S152" s="67" t="n"/>
      <c r="T152" s="67" t="n"/>
      <c r="U152" s="67" t="n"/>
      <c r="V152" s="67" t="n"/>
      <c r="W152" s="67" t="n"/>
      <c r="X152" s="67" t="n"/>
      <c r="Y152" s="67" t="n"/>
      <c r="Z152" s="67" t="n"/>
      <c r="AG152" s="67" t="n"/>
      <c r="AH152" s="67" t="n"/>
      <c r="AI152" s="67" t="n"/>
      <c r="AJ152" s="67" t="n"/>
      <c r="AK152" s="67" t="n"/>
      <c r="AL152" s="67" t="n"/>
      <c r="AM152" s="67" t="n"/>
    </row>
    <row r="153">
      <c r="B153" s="67" t="n"/>
      <c r="C153" s="67" t="n"/>
      <c r="D153" s="67" t="n"/>
      <c r="E153" s="67" t="n"/>
      <c r="F153" s="67" t="n"/>
      <c r="G153" s="67" t="n"/>
      <c r="I153" s="67" t="n"/>
      <c r="J153" s="67" t="n"/>
      <c r="K153" s="67" t="n"/>
      <c r="L153" s="67" t="n"/>
      <c r="N153" s="67" t="n"/>
      <c r="O153" s="67" t="n"/>
      <c r="P153" s="67" t="n"/>
      <c r="Q153" s="67" t="n"/>
      <c r="R153" s="67" t="n"/>
      <c r="S153" s="67" t="n"/>
      <c r="T153" s="67" t="n"/>
      <c r="U153" s="67" t="n"/>
      <c r="V153" s="67" t="n"/>
      <c r="W153" s="67" t="n"/>
      <c r="X153" s="67" t="n"/>
      <c r="Y153" s="67" t="n"/>
      <c r="Z153" s="67" t="n"/>
      <c r="AG153" s="67" t="n"/>
      <c r="AH153" s="67" t="n"/>
      <c r="AI153" s="67" t="n"/>
      <c r="AJ153" s="67" t="n"/>
      <c r="AK153" s="67" t="n"/>
      <c r="AL153" s="67" t="n"/>
      <c r="AM153" s="67" t="n"/>
    </row>
    <row r="154">
      <c r="B154" s="67" t="n"/>
      <c r="C154" s="67" t="n"/>
      <c r="D154" s="67" t="n"/>
      <c r="E154" s="67" t="n"/>
      <c r="F154" s="67" t="n"/>
      <c r="G154" s="67" t="n"/>
      <c r="I154" s="67" t="n"/>
      <c r="J154" s="67" t="n"/>
      <c r="K154" s="67" t="n"/>
      <c r="L154" s="67" t="n"/>
      <c r="N154" s="67" t="n"/>
      <c r="O154" s="67" t="n"/>
      <c r="P154" s="67" t="n"/>
      <c r="Q154" s="67" t="n"/>
      <c r="R154" s="67" t="n"/>
      <c r="S154" s="67" t="n"/>
      <c r="T154" s="67" t="n"/>
      <c r="U154" s="67" t="n"/>
      <c r="V154" s="67" t="n"/>
      <c r="W154" s="67" t="n"/>
      <c r="X154" s="67" t="n"/>
      <c r="Y154" s="67" t="n"/>
      <c r="Z154" s="67" t="n"/>
      <c r="AG154" s="67" t="n"/>
      <c r="AH154" s="67" t="n"/>
      <c r="AI154" s="67" t="n"/>
      <c r="AJ154" s="67" t="n"/>
      <c r="AK154" s="67" t="n"/>
      <c r="AL154" s="67" t="n"/>
      <c r="AM154" s="67" t="n"/>
    </row>
    <row r="155">
      <c r="B155" s="67" t="n"/>
      <c r="C155" s="67" t="n"/>
      <c r="D155" s="67" t="n"/>
      <c r="E155" s="67" t="n"/>
      <c r="F155" s="67" t="n"/>
      <c r="G155" s="67" t="n"/>
      <c r="I155" s="67" t="n"/>
      <c r="J155" s="67" t="n"/>
      <c r="K155" s="67" t="n"/>
      <c r="L155" s="67" t="n"/>
      <c r="N155" s="67" t="n"/>
      <c r="O155" s="67" t="n"/>
      <c r="P155" s="67" t="n"/>
      <c r="Q155" s="67" t="n"/>
      <c r="R155" s="67" t="n"/>
      <c r="S155" s="67" t="n"/>
      <c r="T155" s="67" t="n"/>
      <c r="U155" s="67" t="n"/>
      <c r="V155" s="67" t="n"/>
      <c r="W155" s="67" t="n"/>
      <c r="X155" s="67" t="n"/>
      <c r="Y155" s="67" t="n"/>
      <c r="Z155" s="67" t="n"/>
      <c r="AG155" s="67" t="n"/>
      <c r="AH155" s="67" t="n"/>
      <c r="AI155" s="67" t="n"/>
      <c r="AJ155" s="67" t="n"/>
      <c r="AK155" s="67" t="n"/>
      <c r="AL155" s="67" t="n"/>
      <c r="AM155" s="67" t="n"/>
    </row>
    <row r="156">
      <c r="B156" s="67" t="n"/>
      <c r="C156" s="67" t="n"/>
      <c r="D156" s="67" t="n"/>
      <c r="E156" s="67" t="n"/>
      <c r="F156" s="67" t="n"/>
      <c r="G156" s="67" t="n"/>
      <c r="I156" s="67" t="n"/>
      <c r="J156" s="67" t="n"/>
      <c r="K156" s="67" t="n"/>
      <c r="L156" s="67" t="n"/>
      <c r="N156" s="67" t="n"/>
      <c r="O156" s="67" t="n"/>
      <c r="P156" s="67" t="n"/>
      <c r="Q156" s="67" t="n"/>
      <c r="R156" s="67" t="n"/>
      <c r="S156" s="67" t="n"/>
      <c r="T156" s="67" t="n"/>
      <c r="U156" s="67" t="n"/>
      <c r="V156" s="67" t="n"/>
      <c r="W156" s="67" t="n"/>
      <c r="X156" s="67" t="n"/>
      <c r="Y156" s="67" t="n"/>
      <c r="Z156" s="67" t="n"/>
      <c r="AG156" s="67" t="n"/>
      <c r="AH156" s="67" t="n"/>
      <c r="AI156" s="67" t="n"/>
      <c r="AJ156" s="67" t="n"/>
      <c r="AK156" s="67" t="n"/>
      <c r="AL156" s="67" t="n"/>
      <c r="AM156" s="67" t="n"/>
    </row>
    <row r="157">
      <c r="B157" s="67" t="n"/>
      <c r="C157" s="67" t="n"/>
      <c r="D157" s="67" t="n"/>
      <c r="E157" s="67" t="n"/>
      <c r="F157" s="67" t="n"/>
      <c r="G157" s="67" t="n"/>
      <c r="I157" s="67" t="n"/>
      <c r="J157" s="67" t="n"/>
      <c r="K157" s="67" t="n"/>
      <c r="L157" s="67" t="n"/>
      <c r="N157" s="67" t="n"/>
      <c r="O157" s="67" t="n"/>
      <c r="P157" s="67" t="n"/>
      <c r="Q157" s="67" t="n"/>
      <c r="R157" s="67" t="n"/>
      <c r="S157" s="67" t="n"/>
      <c r="T157" s="67" t="n"/>
      <c r="U157" s="67" t="n"/>
      <c r="V157" s="67" t="n"/>
      <c r="W157" s="67" t="n"/>
      <c r="X157" s="67" t="n"/>
      <c r="Y157" s="67" t="n"/>
      <c r="Z157" s="67" t="n"/>
      <c r="AG157" s="67" t="n"/>
      <c r="AH157" s="67" t="n"/>
      <c r="AI157" s="67" t="n"/>
      <c r="AJ157" s="67" t="n"/>
      <c r="AK157" s="67" t="n"/>
      <c r="AL157" s="67" t="n"/>
      <c r="AM157" s="67" t="n"/>
    </row>
    <row r="158">
      <c r="B158" s="67" t="n"/>
      <c r="C158" s="67" t="n"/>
      <c r="D158" s="67" t="n"/>
      <c r="E158" s="67" t="n"/>
      <c r="F158" s="67" t="n"/>
      <c r="G158" s="67" t="n"/>
      <c r="I158" s="67" t="n"/>
      <c r="J158" s="67" t="n"/>
      <c r="K158" s="67" t="n"/>
      <c r="L158" s="67" t="n"/>
      <c r="N158" s="67" t="n"/>
      <c r="O158" s="67" t="n"/>
      <c r="P158" s="67" t="n"/>
      <c r="Q158" s="67" t="n"/>
      <c r="R158" s="67" t="n"/>
      <c r="S158" s="67" t="n"/>
      <c r="T158" s="67" t="n"/>
      <c r="U158" s="67" t="n"/>
      <c r="V158" s="67" t="n"/>
      <c r="W158" s="67" t="n"/>
      <c r="X158" s="67" t="n"/>
      <c r="Y158" s="67" t="n"/>
      <c r="Z158" s="67" t="n"/>
      <c r="AG158" s="67" t="n"/>
      <c r="AH158" s="67" t="n"/>
      <c r="AI158" s="67" t="n"/>
      <c r="AJ158" s="67" t="n"/>
      <c r="AK158" s="67" t="n"/>
      <c r="AL158" s="67" t="n"/>
      <c r="AM158" s="67" t="n"/>
    </row>
    <row r="159">
      <c r="B159" s="67" t="n"/>
      <c r="C159" s="67" t="n"/>
      <c r="D159" s="67" t="n"/>
      <c r="E159" s="67" t="n"/>
      <c r="F159" s="67" t="n"/>
      <c r="G159" s="67" t="n"/>
      <c r="I159" s="67" t="n"/>
      <c r="J159" s="67" t="n"/>
      <c r="K159" s="67" t="n"/>
      <c r="L159" s="67" t="n"/>
      <c r="N159" s="67" t="n"/>
      <c r="O159" s="67" t="n"/>
      <c r="P159" s="67" t="n"/>
      <c r="Q159" s="67" t="n"/>
      <c r="R159" s="67" t="n"/>
      <c r="S159" s="67" t="n"/>
      <c r="T159" s="67" t="n"/>
      <c r="U159" s="67" t="n"/>
      <c r="V159" s="67" t="n"/>
      <c r="W159" s="67" t="n"/>
      <c r="X159" s="67" t="n"/>
      <c r="Y159" s="67" t="n"/>
      <c r="Z159" s="67" t="n"/>
      <c r="AG159" s="67" t="n"/>
      <c r="AH159" s="67" t="n"/>
      <c r="AI159" s="67" t="n"/>
      <c r="AJ159" s="67" t="n"/>
      <c r="AK159" s="67" t="n"/>
      <c r="AL159" s="67" t="n"/>
      <c r="AM159" s="67" t="n"/>
    </row>
    <row r="160">
      <c r="B160" s="67" t="n"/>
      <c r="C160" s="67" t="n"/>
      <c r="D160" s="67" t="n"/>
      <c r="E160" s="67" t="n"/>
      <c r="F160" s="67" t="n"/>
      <c r="G160" s="67" t="n"/>
      <c r="I160" s="67" t="n"/>
      <c r="J160" s="67" t="n"/>
      <c r="K160" s="67" t="n"/>
      <c r="L160" s="67" t="n"/>
      <c r="N160" s="67" t="n"/>
      <c r="O160" s="67" t="n"/>
      <c r="P160" s="67" t="n"/>
      <c r="Q160" s="67" t="n"/>
      <c r="R160" s="67" t="n"/>
      <c r="S160" s="67" t="n"/>
      <c r="T160" s="67" t="n"/>
      <c r="U160" s="67" t="n"/>
      <c r="V160" s="67" t="n"/>
      <c r="W160" s="67" t="n"/>
      <c r="X160" s="67" t="n"/>
      <c r="Y160" s="67" t="n"/>
      <c r="Z160" s="67" t="n"/>
      <c r="AG160" s="67" t="n"/>
      <c r="AH160" s="67" t="n"/>
      <c r="AI160" s="67" t="n"/>
      <c r="AJ160" s="67" t="n"/>
      <c r="AK160" s="67" t="n"/>
      <c r="AL160" s="67" t="n"/>
      <c r="AM160" s="67" t="n"/>
    </row>
    <row r="161">
      <c r="B161" s="67" t="n"/>
      <c r="C161" s="67" t="n"/>
      <c r="D161" s="67" t="n"/>
      <c r="E161" s="67" t="n"/>
      <c r="F161" s="67" t="n"/>
      <c r="G161" s="67" t="n"/>
      <c r="I161" s="67" t="n"/>
      <c r="J161" s="67" t="n"/>
      <c r="K161" s="67" t="n"/>
      <c r="L161" s="67" t="n"/>
      <c r="N161" s="67" t="n"/>
      <c r="O161" s="67" t="n"/>
      <c r="P161" s="67" t="n"/>
      <c r="Q161" s="67" t="n"/>
      <c r="R161" s="67" t="n"/>
      <c r="S161" s="67" t="n"/>
      <c r="T161" s="67" t="n"/>
      <c r="U161" s="67" t="n"/>
      <c r="V161" s="67" t="n"/>
      <c r="W161" s="67" t="n"/>
      <c r="X161" s="67" t="n"/>
      <c r="Y161" s="67" t="n"/>
      <c r="Z161" s="67" t="n"/>
      <c r="AG161" s="67" t="n"/>
      <c r="AH161" s="67" t="n"/>
      <c r="AI161" s="67" t="n"/>
      <c r="AJ161" s="67" t="n"/>
      <c r="AK161" s="67" t="n"/>
      <c r="AL161" s="67" t="n"/>
      <c r="AM161" s="67" t="n"/>
    </row>
    <row r="162">
      <c r="B162" s="67" t="n"/>
      <c r="C162" s="67" t="n"/>
      <c r="D162" s="67" t="n"/>
      <c r="E162" s="67" t="n"/>
      <c r="F162" s="67" t="n"/>
      <c r="G162" s="67" t="n"/>
      <c r="I162" s="67" t="n"/>
      <c r="J162" s="67" t="n"/>
      <c r="K162" s="67" t="n"/>
      <c r="L162" s="67" t="n"/>
      <c r="N162" s="67" t="n"/>
      <c r="O162" s="67" t="n"/>
      <c r="P162" s="67" t="n"/>
      <c r="Q162" s="67" t="n"/>
      <c r="R162" s="67" t="n"/>
      <c r="S162" s="67" t="n"/>
      <c r="T162" s="67" t="n"/>
      <c r="U162" s="67" t="n"/>
      <c r="V162" s="67" t="n"/>
      <c r="W162" s="67" t="n"/>
      <c r="X162" s="67" t="n"/>
      <c r="Y162" s="67" t="n"/>
      <c r="Z162" s="67" t="n"/>
      <c r="AG162" s="67" t="n"/>
      <c r="AH162" s="67" t="n"/>
      <c r="AI162" s="67" t="n"/>
      <c r="AJ162" s="67" t="n"/>
      <c r="AK162" s="67" t="n"/>
      <c r="AL162" s="67" t="n"/>
      <c r="AM162" s="67" t="n"/>
    </row>
    <row r="163">
      <c r="B163" s="67" t="n"/>
      <c r="C163" s="67" t="n"/>
      <c r="D163" s="67" t="n"/>
      <c r="E163" s="67" t="n"/>
      <c r="F163" s="67" t="n"/>
      <c r="G163" s="67" t="n"/>
      <c r="I163" s="67" t="n"/>
      <c r="J163" s="67" t="n"/>
      <c r="K163" s="67" t="n"/>
      <c r="L163" s="67" t="n"/>
      <c r="N163" s="67" t="n"/>
      <c r="O163" s="67" t="n"/>
      <c r="P163" s="67" t="n"/>
      <c r="Q163" s="67" t="n"/>
      <c r="R163" s="67" t="n"/>
      <c r="S163" s="67" t="n"/>
      <c r="T163" s="67" t="n"/>
      <c r="U163" s="67" t="n"/>
      <c r="V163" s="67" t="n"/>
      <c r="W163" s="67" t="n"/>
      <c r="X163" s="67" t="n"/>
      <c r="Y163" s="67" t="n"/>
      <c r="Z163" s="67" t="n"/>
      <c r="AG163" s="67" t="n"/>
      <c r="AH163" s="67" t="n"/>
      <c r="AI163" s="67" t="n"/>
      <c r="AJ163" s="67" t="n"/>
      <c r="AK163" s="67" t="n"/>
      <c r="AL163" s="67" t="n"/>
      <c r="AM163" s="67" t="n"/>
    </row>
    <row r="164">
      <c r="B164" s="67" t="n"/>
      <c r="C164" s="67" t="n"/>
      <c r="D164" s="67" t="n"/>
      <c r="E164" s="67" t="n"/>
      <c r="F164" s="67" t="n"/>
      <c r="G164" s="67" t="n"/>
      <c r="I164" s="67" t="n"/>
      <c r="J164" s="67" t="n"/>
      <c r="K164" s="67" t="n"/>
      <c r="L164" s="67" t="n"/>
      <c r="N164" s="67" t="n"/>
      <c r="O164" s="67" t="n"/>
      <c r="P164" s="67" t="n"/>
      <c r="Q164" s="67" t="n"/>
      <c r="R164" s="67" t="n"/>
      <c r="S164" s="67" t="n"/>
      <c r="T164" s="67" t="n"/>
      <c r="U164" s="67" t="n"/>
      <c r="V164" s="67" t="n"/>
      <c r="W164" s="67" t="n"/>
      <c r="X164" s="67" t="n"/>
      <c r="Y164" s="67" t="n"/>
      <c r="Z164" s="67" t="n"/>
      <c r="AG164" s="67" t="n"/>
      <c r="AH164" s="67" t="n"/>
      <c r="AI164" s="67" t="n"/>
      <c r="AJ164" s="67" t="n"/>
      <c r="AK164" s="67" t="n"/>
      <c r="AL164" s="67" t="n"/>
      <c r="AM164" s="67" t="n"/>
    </row>
    <row r="165">
      <c r="B165" s="67" t="n"/>
      <c r="C165" s="67" t="n"/>
      <c r="D165" s="67" t="n"/>
      <c r="E165" s="67" t="n"/>
      <c r="F165" s="67" t="n"/>
      <c r="G165" s="67" t="n"/>
      <c r="I165" s="67" t="n"/>
      <c r="J165" s="67" t="n"/>
      <c r="K165" s="67" t="n"/>
      <c r="L165" s="67" t="n"/>
      <c r="N165" s="67" t="n"/>
      <c r="O165" s="67" t="n"/>
      <c r="P165" s="67" t="n"/>
      <c r="Q165" s="67" t="n"/>
      <c r="R165" s="67" t="n"/>
      <c r="S165" s="67" t="n"/>
      <c r="T165" s="67" t="n"/>
      <c r="U165" s="67" t="n"/>
      <c r="V165" s="67" t="n"/>
      <c r="W165" s="67" t="n"/>
      <c r="X165" s="67" t="n"/>
      <c r="Y165" s="67" t="n"/>
      <c r="Z165" s="67" t="n"/>
      <c r="AG165" s="67" t="n"/>
      <c r="AH165" s="67" t="n"/>
      <c r="AI165" s="67" t="n"/>
      <c r="AJ165" s="67" t="n"/>
      <c r="AK165" s="67" t="n"/>
      <c r="AL165" s="67" t="n"/>
      <c r="AM165" s="67" t="n"/>
    </row>
    <row r="166">
      <c r="B166" s="67" t="n"/>
      <c r="C166" s="67" t="n"/>
      <c r="D166" s="67" t="n"/>
      <c r="E166" s="67" t="n"/>
      <c r="F166" s="67" t="n"/>
      <c r="G166" s="67" t="n"/>
      <c r="I166" s="67" t="n"/>
      <c r="J166" s="67" t="n"/>
      <c r="K166" s="67" t="n"/>
      <c r="L166" s="67" t="n"/>
      <c r="N166" s="67" t="n"/>
      <c r="O166" s="67" t="n"/>
      <c r="P166" s="67" t="n"/>
      <c r="Q166" s="67" t="n"/>
      <c r="R166" s="67" t="n"/>
      <c r="S166" s="67" t="n"/>
      <c r="T166" s="67" t="n"/>
      <c r="U166" s="67" t="n"/>
      <c r="V166" s="67" t="n"/>
      <c r="W166" s="67" t="n"/>
      <c r="X166" s="67" t="n"/>
      <c r="Y166" s="67" t="n"/>
      <c r="Z166" s="67" t="n"/>
      <c r="AG166" s="67" t="n"/>
      <c r="AH166" s="67" t="n"/>
      <c r="AI166" s="67" t="n"/>
      <c r="AJ166" s="67" t="n"/>
      <c r="AK166" s="67" t="n"/>
      <c r="AL166" s="67" t="n"/>
      <c r="AM166" s="67" t="n"/>
    </row>
    <row r="167">
      <c r="B167" s="67" t="n"/>
      <c r="C167" s="67" t="n"/>
      <c r="D167" s="67" t="n"/>
      <c r="E167" s="67" t="n"/>
      <c r="F167" s="67" t="n"/>
      <c r="G167" s="67" t="n"/>
      <c r="I167" s="67" t="n"/>
      <c r="J167" s="67" t="n"/>
      <c r="K167" s="67" t="n"/>
      <c r="L167" s="67" t="n"/>
      <c r="N167" s="67" t="n"/>
      <c r="O167" s="67" t="n"/>
      <c r="P167" s="67" t="n"/>
      <c r="Q167" s="67" t="n"/>
      <c r="R167" s="67" t="n"/>
      <c r="S167" s="67" t="n"/>
      <c r="T167" s="67" t="n"/>
      <c r="U167" s="67" t="n"/>
      <c r="V167" s="67" t="n"/>
      <c r="W167" s="67" t="n"/>
      <c r="X167" s="67" t="n"/>
      <c r="Y167" s="67" t="n"/>
      <c r="Z167" s="67" t="n"/>
      <c r="AG167" s="67" t="n"/>
      <c r="AH167" s="67" t="n"/>
      <c r="AI167" s="67" t="n"/>
      <c r="AJ167" s="67" t="n"/>
      <c r="AK167" s="67" t="n"/>
      <c r="AL167" s="67" t="n"/>
      <c r="AM167" s="67" t="n"/>
    </row>
    <row r="168">
      <c r="B168" s="67" t="n"/>
      <c r="C168" s="67" t="n"/>
      <c r="D168" s="67" t="n"/>
      <c r="E168" s="67" t="n"/>
      <c r="F168" s="67" t="n"/>
      <c r="G168" s="67" t="n"/>
      <c r="I168" s="67" t="n"/>
      <c r="J168" s="67" t="n"/>
      <c r="K168" s="67" t="n"/>
      <c r="L168" s="67" t="n"/>
      <c r="N168" s="67" t="n"/>
      <c r="O168" s="67" t="n"/>
      <c r="P168" s="67" t="n"/>
      <c r="Q168" s="67" t="n"/>
      <c r="R168" s="67" t="n"/>
      <c r="S168" s="67" t="n"/>
      <c r="T168" s="67" t="n"/>
      <c r="U168" s="67" t="n"/>
      <c r="V168" s="67" t="n"/>
      <c r="W168" s="67" t="n"/>
      <c r="X168" s="67" t="n"/>
      <c r="Y168" s="67" t="n"/>
      <c r="Z168" s="67" t="n"/>
      <c r="AG168" s="67" t="n"/>
      <c r="AH168" s="67" t="n"/>
      <c r="AI168" s="67" t="n"/>
      <c r="AJ168" s="67" t="n"/>
      <c r="AK168" s="67" t="n"/>
      <c r="AL168" s="67" t="n"/>
      <c r="AM168" s="67" t="n"/>
    </row>
    <row r="169">
      <c r="B169" s="67" t="n"/>
      <c r="C169" s="67" t="n"/>
      <c r="D169" s="67" t="n"/>
      <c r="E169" s="67" t="n"/>
      <c r="F169" s="67" t="n"/>
      <c r="G169" s="67" t="n"/>
      <c r="I169" s="67" t="n"/>
      <c r="J169" s="67" t="n"/>
      <c r="K169" s="67" t="n"/>
      <c r="L169" s="67" t="n"/>
      <c r="N169" s="67" t="n"/>
      <c r="O169" s="67" t="n"/>
      <c r="P169" s="67" t="n"/>
      <c r="Q169" s="67" t="n"/>
      <c r="R169" s="67" t="n"/>
      <c r="S169" s="67" t="n"/>
      <c r="T169" s="67" t="n"/>
      <c r="U169" s="67" t="n"/>
      <c r="V169" s="67" t="n"/>
      <c r="W169" s="67" t="n"/>
      <c r="X169" s="67" t="n"/>
      <c r="Y169" s="67" t="n"/>
      <c r="Z169" s="67" t="n"/>
      <c r="AG169" s="67" t="n"/>
      <c r="AH169" s="67" t="n"/>
      <c r="AI169" s="67" t="n"/>
      <c r="AJ169" s="67" t="n"/>
      <c r="AK169" s="67" t="n"/>
      <c r="AL169" s="67" t="n"/>
      <c r="AM169" s="67" t="n"/>
    </row>
    <row r="170">
      <c r="B170" s="67" t="n"/>
      <c r="C170" s="67" t="n"/>
      <c r="D170" s="67" t="n"/>
      <c r="E170" s="67" t="n"/>
      <c r="F170" s="67" t="n"/>
      <c r="G170" s="67" t="n"/>
      <c r="I170" s="67" t="n"/>
      <c r="J170" s="67" t="n"/>
      <c r="K170" s="67" t="n"/>
      <c r="L170" s="67" t="n"/>
      <c r="N170" s="67" t="n"/>
      <c r="O170" s="67" t="n"/>
      <c r="P170" s="67" t="n"/>
      <c r="Q170" s="67" t="n"/>
      <c r="R170" s="67" t="n"/>
      <c r="S170" s="67" t="n"/>
      <c r="T170" s="67" t="n"/>
      <c r="U170" s="67" t="n"/>
      <c r="V170" s="67" t="n"/>
      <c r="W170" s="67" t="n"/>
      <c r="X170" s="67" t="n"/>
      <c r="Y170" s="67" t="n"/>
      <c r="Z170" s="67" t="n"/>
      <c r="AG170" s="67" t="n"/>
      <c r="AH170" s="67" t="n"/>
      <c r="AI170" s="67" t="n"/>
      <c r="AJ170" s="67" t="n"/>
      <c r="AK170" s="67" t="n"/>
      <c r="AL170" s="67" t="n"/>
      <c r="AM170" s="67" t="n"/>
    </row>
    <row r="171">
      <c r="B171" s="67" t="n"/>
      <c r="C171" s="67" t="n"/>
      <c r="D171" s="67" t="n"/>
      <c r="E171" s="67" t="n"/>
      <c r="F171" s="67" t="n"/>
      <c r="G171" s="67" t="n"/>
      <c r="I171" s="67" t="n"/>
      <c r="J171" s="67" t="n"/>
      <c r="K171" s="67" t="n"/>
      <c r="L171" s="67" t="n"/>
      <c r="N171" s="67" t="n"/>
      <c r="O171" s="67" t="n"/>
      <c r="P171" s="67" t="n"/>
      <c r="Q171" s="67" t="n"/>
      <c r="R171" s="67" t="n"/>
      <c r="S171" s="67" t="n"/>
      <c r="T171" s="67" t="n"/>
      <c r="U171" s="67" t="n"/>
      <c r="V171" s="67" t="n"/>
      <c r="W171" s="67" t="n"/>
      <c r="X171" s="67" t="n"/>
      <c r="Y171" s="67" t="n"/>
      <c r="Z171" s="67" t="n"/>
      <c r="AG171" s="67" t="n"/>
      <c r="AH171" s="67" t="n"/>
      <c r="AI171" s="67" t="n"/>
      <c r="AJ171" s="67" t="n"/>
      <c r="AK171" s="67" t="n"/>
      <c r="AL171" s="67" t="n"/>
      <c r="AM171" s="67" t="n"/>
    </row>
    <row r="172">
      <c r="B172" s="67" t="n"/>
      <c r="C172" s="67" t="n"/>
      <c r="D172" s="67" t="n"/>
      <c r="E172" s="67" t="n"/>
      <c r="F172" s="67" t="n"/>
      <c r="G172" s="67" t="n"/>
      <c r="I172" s="67" t="n"/>
      <c r="J172" s="67" t="n"/>
      <c r="K172" s="67" t="n"/>
      <c r="L172" s="67" t="n"/>
      <c r="N172" s="67" t="n"/>
      <c r="O172" s="67" t="n"/>
      <c r="P172" s="67" t="n"/>
      <c r="Q172" s="67" t="n"/>
      <c r="R172" s="67" t="n"/>
      <c r="S172" s="67" t="n"/>
      <c r="T172" s="67" t="n"/>
      <c r="U172" s="67" t="n"/>
      <c r="V172" s="67" t="n"/>
      <c r="W172" s="67" t="n"/>
      <c r="X172" s="67" t="n"/>
      <c r="Y172" s="67" t="n"/>
      <c r="Z172" s="67" t="n"/>
      <c r="AG172" s="67" t="n"/>
      <c r="AH172" s="67" t="n"/>
      <c r="AI172" s="67" t="n"/>
      <c r="AJ172" s="67" t="n"/>
      <c r="AK172" s="67" t="n"/>
      <c r="AL172" s="67" t="n"/>
      <c r="AM172" s="67" t="n"/>
    </row>
    <row r="173">
      <c r="B173" s="67" t="n"/>
      <c r="C173" s="67" t="n"/>
      <c r="D173" s="67" t="n"/>
      <c r="E173" s="67" t="n"/>
      <c r="F173" s="67" t="n"/>
      <c r="G173" s="67" t="n"/>
      <c r="I173" s="67" t="n"/>
      <c r="J173" s="67" t="n"/>
      <c r="K173" s="67" t="n"/>
      <c r="L173" s="67" t="n"/>
      <c r="N173" s="67" t="n"/>
      <c r="O173" s="67" t="n"/>
      <c r="P173" s="67" t="n"/>
      <c r="Q173" s="67" t="n"/>
      <c r="R173" s="67" t="n"/>
      <c r="S173" s="67" t="n"/>
      <c r="T173" s="67" t="n"/>
      <c r="U173" s="67" t="n"/>
      <c r="V173" s="67" t="n"/>
      <c r="W173" s="67" t="n"/>
      <c r="X173" s="67" t="n"/>
      <c r="Y173" s="67" t="n"/>
      <c r="Z173" s="67" t="n"/>
      <c r="AG173" s="67" t="n"/>
      <c r="AH173" s="67" t="n"/>
      <c r="AI173" s="67" t="n"/>
      <c r="AJ173" s="67" t="n"/>
      <c r="AK173" s="67" t="n"/>
      <c r="AL173" s="67" t="n"/>
      <c r="AM173" s="67" t="n"/>
    </row>
    <row r="174">
      <c r="B174" s="67" t="n"/>
      <c r="C174" s="67" t="n"/>
      <c r="D174" s="67" t="n"/>
      <c r="E174" s="67" t="n"/>
      <c r="F174" s="67" t="n"/>
      <c r="G174" s="67" t="n"/>
      <c r="I174" s="67" t="n"/>
      <c r="J174" s="67" t="n"/>
      <c r="K174" s="67" t="n"/>
      <c r="L174" s="67" t="n"/>
      <c r="N174" s="67" t="n"/>
      <c r="O174" s="67" t="n"/>
      <c r="P174" s="67" t="n"/>
      <c r="Q174" s="67" t="n"/>
      <c r="R174" s="67" t="n"/>
      <c r="S174" s="67" t="n"/>
      <c r="T174" s="67" t="n"/>
      <c r="U174" s="67" t="n"/>
      <c r="V174" s="67" t="n"/>
      <c r="W174" s="67" t="n"/>
      <c r="X174" s="67" t="n"/>
      <c r="Y174" s="67" t="n"/>
      <c r="Z174" s="67" t="n"/>
      <c r="AG174" s="67" t="n"/>
      <c r="AH174" s="67" t="n"/>
      <c r="AI174" s="67" t="n"/>
      <c r="AJ174" s="67" t="n"/>
      <c r="AK174" s="67" t="n"/>
      <c r="AL174" s="67" t="n"/>
      <c r="AM174" s="67" t="n"/>
    </row>
    <row r="175">
      <c r="B175" s="67" t="n"/>
      <c r="C175" s="67" t="n"/>
      <c r="D175" s="67" t="n"/>
      <c r="E175" s="67" t="n"/>
      <c r="F175" s="67" t="n"/>
      <c r="G175" s="67" t="n"/>
      <c r="I175" s="67" t="n"/>
      <c r="J175" s="67" t="n"/>
      <c r="K175" s="67" t="n"/>
      <c r="L175" s="67" t="n"/>
      <c r="N175" s="67" t="n"/>
      <c r="O175" s="67" t="n"/>
      <c r="P175" s="67" t="n"/>
      <c r="Q175" s="67" t="n"/>
      <c r="R175" s="67" t="n"/>
      <c r="S175" s="67" t="n"/>
      <c r="T175" s="67" t="n"/>
      <c r="U175" s="67" t="n"/>
      <c r="V175" s="67" t="n"/>
      <c r="W175" s="67" t="n"/>
      <c r="X175" s="67" t="n"/>
      <c r="Y175" s="67" t="n"/>
      <c r="Z175" s="67" t="n"/>
      <c r="AG175" s="67" t="n"/>
      <c r="AH175" s="67" t="n"/>
      <c r="AI175" s="67" t="n"/>
      <c r="AJ175" s="67" t="n"/>
      <c r="AK175" s="67" t="n"/>
      <c r="AL175" s="67" t="n"/>
      <c r="AM175" s="67" t="n"/>
    </row>
    <row r="176">
      <c r="B176" s="67" t="n"/>
      <c r="C176" s="67" t="n"/>
      <c r="D176" s="67" t="n"/>
      <c r="E176" s="67" t="n"/>
      <c r="F176" s="67" t="n"/>
      <c r="G176" s="67" t="n"/>
      <c r="I176" s="67" t="n"/>
      <c r="J176" s="67" t="n"/>
      <c r="K176" s="67" t="n"/>
      <c r="L176" s="67" t="n"/>
      <c r="N176" s="67" t="n"/>
      <c r="O176" s="67" t="n"/>
      <c r="P176" s="67" t="n"/>
      <c r="Q176" s="67" t="n"/>
      <c r="R176" s="67" t="n"/>
      <c r="S176" s="67" t="n"/>
      <c r="T176" s="67" t="n"/>
      <c r="U176" s="67" t="n"/>
      <c r="V176" s="67" t="n"/>
      <c r="W176" s="67" t="n"/>
      <c r="X176" s="67" t="n"/>
      <c r="Y176" s="67" t="n"/>
      <c r="Z176" s="67" t="n"/>
      <c r="AG176" s="67" t="n"/>
      <c r="AH176" s="67" t="n"/>
      <c r="AI176" s="67" t="n"/>
      <c r="AJ176" s="67" t="n"/>
      <c r="AK176" s="67" t="n"/>
      <c r="AL176" s="67" t="n"/>
      <c r="AM176" s="67" t="n"/>
    </row>
    <row r="177">
      <c r="B177" s="67" t="n"/>
      <c r="C177" s="67" t="n"/>
      <c r="D177" s="67" t="n"/>
      <c r="E177" s="67" t="n"/>
      <c r="F177" s="67" t="n"/>
      <c r="G177" s="67" t="n"/>
      <c r="I177" s="67" t="n"/>
      <c r="J177" s="67" t="n"/>
      <c r="K177" s="67" t="n"/>
      <c r="L177" s="67" t="n"/>
      <c r="N177" s="67" t="n"/>
      <c r="O177" s="67" t="n"/>
      <c r="P177" s="67" t="n"/>
      <c r="Q177" s="67" t="n"/>
      <c r="R177" s="67" t="n"/>
      <c r="S177" s="67" t="n"/>
      <c r="T177" s="67" t="n"/>
      <c r="U177" s="67" t="n"/>
      <c r="V177" s="67" t="n"/>
      <c r="W177" s="67" t="n"/>
      <c r="X177" s="67" t="n"/>
      <c r="Y177" s="67" t="n"/>
      <c r="Z177" s="67" t="n"/>
      <c r="AG177" s="67" t="n"/>
      <c r="AH177" s="67" t="n"/>
      <c r="AI177" s="67" t="n"/>
      <c r="AJ177" s="67" t="n"/>
      <c r="AK177" s="67" t="n"/>
      <c r="AL177" s="67" t="n"/>
      <c r="AM177" s="67" t="n"/>
    </row>
    <row r="178">
      <c r="B178" s="67" t="n"/>
      <c r="C178" s="67" t="n"/>
      <c r="D178" s="67" t="n"/>
      <c r="E178" s="67" t="n"/>
      <c r="F178" s="67" t="n"/>
      <c r="G178" s="67" t="n"/>
      <c r="I178" s="67" t="n"/>
      <c r="J178" s="67" t="n"/>
      <c r="K178" s="67" t="n"/>
      <c r="L178" s="67" t="n"/>
      <c r="N178" s="67" t="n"/>
      <c r="O178" s="67" t="n"/>
      <c r="P178" s="67" t="n"/>
      <c r="Q178" s="67" t="n"/>
      <c r="R178" s="67" t="n"/>
      <c r="S178" s="67" t="n"/>
      <c r="T178" s="67" t="n"/>
      <c r="U178" s="67" t="n"/>
      <c r="V178" s="67" t="n"/>
      <c r="W178" s="67" t="n"/>
      <c r="X178" s="67" t="n"/>
      <c r="Y178" s="67" t="n"/>
      <c r="Z178" s="67" t="n"/>
      <c r="AG178" s="67" t="n"/>
      <c r="AH178" s="67" t="n"/>
      <c r="AI178" s="67" t="n"/>
      <c r="AJ178" s="67" t="n"/>
      <c r="AK178" s="67" t="n"/>
      <c r="AL178" s="67" t="n"/>
      <c r="AM178" s="67" t="n"/>
    </row>
    <row r="179">
      <c r="B179" s="67" t="n"/>
      <c r="C179" s="67" t="n"/>
      <c r="D179" s="67" t="n"/>
      <c r="E179" s="67" t="n"/>
      <c r="F179" s="67" t="n"/>
      <c r="G179" s="67" t="n"/>
      <c r="I179" s="67" t="n"/>
      <c r="J179" s="67" t="n"/>
      <c r="K179" s="67" t="n"/>
      <c r="L179" s="67" t="n"/>
      <c r="N179" s="67" t="n"/>
      <c r="O179" s="67" t="n"/>
      <c r="P179" s="67" t="n"/>
      <c r="Q179" s="67" t="n"/>
      <c r="R179" s="67" t="n"/>
      <c r="S179" s="67" t="n"/>
      <c r="T179" s="67" t="n"/>
      <c r="U179" s="67" t="n"/>
      <c r="V179" s="67" t="n"/>
      <c r="W179" s="67" t="n"/>
      <c r="X179" s="67" t="n"/>
      <c r="Y179" s="67" t="n"/>
      <c r="Z179" s="67" t="n"/>
      <c r="AG179" s="67" t="n"/>
      <c r="AH179" s="67" t="n"/>
      <c r="AI179" s="67" t="n"/>
      <c r="AJ179" s="67" t="n"/>
      <c r="AK179" s="67" t="n"/>
      <c r="AL179" s="67" t="n"/>
      <c r="AM179" s="67" t="n"/>
    </row>
    <row r="180">
      <c r="B180" s="67" t="n"/>
      <c r="C180" s="67" t="n"/>
      <c r="D180" s="67" t="n"/>
      <c r="E180" s="67" t="n"/>
      <c r="F180" s="67" t="n"/>
      <c r="G180" s="67" t="n"/>
      <c r="I180" s="67" t="n"/>
      <c r="J180" s="67" t="n"/>
      <c r="K180" s="67" t="n"/>
      <c r="L180" s="67" t="n"/>
      <c r="N180" s="67" t="n"/>
      <c r="O180" s="67" t="n"/>
      <c r="P180" s="67" t="n"/>
      <c r="Q180" s="67" t="n"/>
      <c r="R180" s="67" t="n"/>
      <c r="S180" s="67" t="n"/>
      <c r="T180" s="67" t="n"/>
      <c r="U180" s="67" t="n"/>
      <c r="V180" s="67" t="n"/>
      <c r="W180" s="67" t="n"/>
      <c r="X180" s="67" t="n"/>
      <c r="Y180" s="67" t="n"/>
      <c r="Z180" s="67" t="n"/>
      <c r="AG180" s="67" t="n"/>
      <c r="AH180" s="67" t="n"/>
      <c r="AI180" s="67" t="n"/>
      <c r="AJ180" s="67" t="n"/>
      <c r="AK180" s="67" t="n"/>
      <c r="AL180" s="67" t="n"/>
      <c r="AM180" s="67" t="n"/>
    </row>
    <row r="181">
      <c r="B181" s="67" t="n"/>
      <c r="C181" s="67" t="n"/>
      <c r="D181" s="67" t="n"/>
      <c r="E181" s="67" t="n"/>
      <c r="F181" s="67" t="n"/>
      <c r="G181" s="67" t="n"/>
      <c r="I181" s="67" t="n"/>
      <c r="J181" s="67" t="n"/>
      <c r="K181" s="67" t="n"/>
      <c r="L181" s="67" t="n"/>
      <c r="N181" s="67" t="n"/>
      <c r="O181" s="67" t="n"/>
      <c r="P181" s="67" t="n"/>
      <c r="Q181" s="67" t="n"/>
      <c r="R181" s="67" t="n"/>
      <c r="S181" s="67" t="n"/>
      <c r="T181" s="67" t="n"/>
      <c r="U181" s="67" t="n"/>
      <c r="V181" s="67" t="n"/>
      <c r="W181" s="67" t="n"/>
      <c r="X181" s="67" t="n"/>
      <c r="Y181" s="67" t="n"/>
      <c r="Z181" s="67" t="n"/>
      <c r="AG181" s="67" t="n"/>
      <c r="AH181" s="67" t="n"/>
      <c r="AI181" s="67" t="n"/>
      <c r="AJ181" s="67" t="n"/>
      <c r="AK181" s="67" t="n"/>
      <c r="AL181" s="67" t="n"/>
      <c r="AM181" s="67" t="n"/>
    </row>
    <row r="182">
      <c r="B182" s="67" t="n"/>
      <c r="C182" s="67" t="n"/>
      <c r="D182" s="67" t="n"/>
      <c r="E182" s="67" t="n"/>
      <c r="F182" s="67" t="n"/>
      <c r="G182" s="67" t="n"/>
      <c r="I182" s="67" t="n"/>
      <c r="J182" s="67" t="n"/>
      <c r="K182" s="67" t="n"/>
      <c r="L182" s="67" t="n"/>
      <c r="N182" s="67" t="n"/>
      <c r="O182" s="67" t="n"/>
      <c r="P182" s="67" t="n"/>
      <c r="Q182" s="67" t="n"/>
      <c r="R182" s="67" t="n"/>
      <c r="S182" s="67" t="n"/>
      <c r="T182" s="67" t="n"/>
      <c r="U182" s="67" t="n"/>
      <c r="V182" s="67" t="n"/>
      <c r="W182" s="67" t="n"/>
      <c r="X182" s="67" t="n"/>
      <c r="Y182" s="67" t="n"/>
      <c r="Z182" s="67" t="n"/>
      <c r="AG182" s="67" t="n"/>
      <c r="AH182" s="67" t="n"/>
      <c r="AI182" s="67" t="n"/>
      <c r="AJ182" s="67" t="n"/>
      <c r="AK182" s="67" t="n"/>
      <c r="AL182" s="67" t="n"/>
      <c r="AM182" s="67" t="n"/>
    </row>
    <row r="183">
      <c r="B183" s="67" t="n"/>
      <c r="C183" s="67" t="n"/>
      <c r="D183" s="67" t="n"/>
      <c r="E183" s="67" t="n"/>
      <c r="F183" s="67" t="n"/>
      <c r="G183" s="67" t="n"/>
      <c r="I183" s="67" t="n"/>
      <c r="J183" s="67" t="n"/>
      <c r="K183" s="67" t="n"/>
      <c r="L183" s="67" t="n"/>
      <c r="N183" s="67" t="n"/>
      <c r="O183" s="67" t="n"/>
      <c r="P183" s="67" t="n"/>
      <c r="Q183" s="67" t="n"/>
      <c r="R183" s="67" t="n"/>
      <c r="S183" s="67" t="n"/>
      <c r="T183" s="67" t="n"/>
      <c r="U183" s="67" t="n"/>
      <c r="V183" s="67" t="n"/>
      <c r="W183" s="67" t="n"/>
      <c r="X183" s="67" t="n"/>
      <c r="Y183" s="67" t="n"/>
      <c r="Z183" s="67" t="n"/>
      <c r="AG183" s="67" t="n"/>
      <c r="AH183" s="67" t="n"/>
      <c r="AI183" s="67" t="n"/>
      <c r="AJ183" s="67" t="n"/>
      <c r="AK183" s="67" t="n"/>
      <c r="AL183" s="67" t="n"/>
      <c r="AM183" s="67" t="n"/>
    </row>
    <row r="184">
      <c r="B184" s="67" t="n"/>
      <c r="C184" s="67" t="n"/>
      <c r="D184" s="67" t="n"/>
      <c r="E184" s="67" t="n"/>
      <c r="F184" s="67" t="n"/>
      <c r="G184" s="67" t="n"/>
      <c r="I184" s="67" t="n"/>
      <c r="J184" s="67" t="n"/>
      <c r="K184" s="67" t="n"/>
      <c r="L184" s="67" t="n"/>
      <c r="N184" s="67" t="n"/>
      <c r="O184" s="67" t="n"/>
      <c r="P184" s="67" t="n"/>
      <c r="Q184" s="67" t="n"/>
      <c r="R184" s="67" t="n"/>
      <c r="S184" s="67" t="n"/>
      <c r="T184" s="67" t="n"/>
      <c r="U184" s="67" t="n"/>
      <c r="V184" s="67" t="n"/>
      <c r="W184" s="67" t="n"/>
      <c r="X184" s="67" t="n"/>
      <c r="Y184" s="67" t="n"/>
      <c r="Z184" s="67" t="n"/>
      <c r="AG184" s="67" t="n"/>
      <c r="AH184" s="67" t="n"/>
      <c r="AI184" s="67" t="n"/>
      <c r="AJ184" s="67" t="n"/>
      <c r="AK184" s="67" t="n"/>
      <c r="AL184" s="67" t="n"/>
      <c r="AM184" s="67" t="n"/>
    </row>
    <row r="185">
      <c r="B185" s="67" t="n"/>
      <c r="C185" s="67" t="n"/>
      <c r="D185" s="67" t="n"/>
      <c r="E185" s="67" t="n"/>
      <c r="F185" s="67" t="n"/>
      <c r="G185" s="67" t="n"/>
      <c r="I185" s="67" t="n"/>
      <c r="J185" s="67" t="n"/>
      <c r="K185" s="67" t="n"/>
      <c r="L185" s="67" t="n"/>
      <c r="N185" s="67" t="n"/>
      <c r="O185" s="67" t="n"/>
      <c r="P185" s="67" t="n"/>
      <c r="Q185" s="67" t="n"/>
      <c r="R185" s="67" t="n"/>
      <c r="S185" s="67" t="n"/>
      <c r="T185" s="67" t="n"/>
      <c r="U185" s="67" t="n"/>
      <c r="V185" s="67" t="n"/>
      <c r="W185" s="67" t="n"/>
      <c r="X185" s="67" t="n"/>
      <c r="Y185" s="67" t="n"/>
      <c r="Z185" s="67" t="n"/>
      <c r="AG185" s="67" t="n"/>
      <c r="AH185" s="67" t="n"/>
      <c r="AI185" s="67" t="n"/>
      <c r="AJ185" s="67" t="n"/>
      <c r="AK185" s="67" t="n"/>
      <c r="AL185" s="67" t="n"/>
      <c r="AM185" s="67" t="n"/>
    </row>
    <row r="186">
      <c r="B186" s="67" t="n"/>
      <c r="C186" s="67" t="n"/>
      <c r="D186" s="67" t="n"/>
      <c r="E186" s="67" t="n"/>
      <c r="F186" s="67" t="n"/>
      <c r="G186" s="67" t="n"/>
      <c r="I186" s="67" t="n"/>
      <c r="J186" s="67" t="n"/>
      <c r="K186" s="67" t="n"/>
      <c r="L186" s="67" t="n"/>
      <c r="N186" s="67" t="n"/>
      <c r="O186" s="67" t="n"/>
      <c r="P186" s="67" t="n"/>
      <c r="Q186" s="67" t="n"/>
      <c r="R186" s="67" t="n"/>
      <c r="S186" s="67" t="n"/>
      <c r="T186" s="67" t="n"/>
      <c r="U186" s="67" t="n"/>
      <c r="V186" s="67" t="n"/>
      <c r="W186" s="67" t="n"/>
      <c r="X186" s="67" t="n"/>
      <c r="Y186" s="67" t="n"/>
      <c r="Z186" s="67" t="n"/>
      <c r="AG186" s="67" t="n"/>
      <c r="AH186" s="67" t="n"/>
      <c r="AI186" s="67" t="n"/>
      <c r="AJ186" s="67" t="n"/>
      <c r="AK186" s="67" t="n"/>
      <c r="AL186" s="67" t="n"/>
      <c r="AM186" s="67" t="n"/>
    </row>
    <row r="187">
      <c r="B187" s="67" t="n"/>
      <c r="C187" s="67" t="n"/>
      <c r="D187" s="67" t="n"/>
      <c r="E187" s="67" t="n"/>
      <c r="F187" s="67" t="n"/>
      <c r="G187" s="67" t="n"/>
      <c r="I187" s="67" t="n"/>
      <c r="J187" s="67" t="n"/>
      <c r="K187" s="67" t="n"/>
      <c r="L187" s="67" t="n"/>
      <c r="N187" s="67" t="n"/>
      <c r="O187" s="67" t="n"/>
      <c r="P187" s="67" t="n"/>
      <c r="Q187" s="67" t="n"/>
      <c r="R187" s="67" t="n"/>
      <c r="S187" s="67" t="n"/>
      <c r="T187" s="67" t="n"/>
      <c r="U187" s="67" t="n"/>
      <c r="V187" s="67" t="n"/>
      <c r="W187" s="67" t="n"/>
      <c r="X187" s="67" t="n"/>
      <c r="Y187" s="67" t="n"/>
      <c r="Z187" s="67" t="n"/>
      <c r="AG187" s="67" t="n"/>
      <c r="AH187" s="67" t="n"/>
      <c r="AI187" s="67" t="n"/>
      <c r="AJ187" s="67" t="n"/>
      <c r="AK187" s="67" t="n"/>
      <c r="AL187" s="67" t="n"/>
      <c r="AM187" s="67" t="n"/>
    </row>
    <row r="188">
      <c r="B188" s="67" t="n"/>
      <c r="C188" s="67" t="n"/>
      <c r="D188" s="67" t="n"/>
      <c r="E188" s="67" t="n"/>
      <c r="F188" s="67" t="n"/>
      <c r="G188" s="67" t="n"/>
      <c r="I188" s="67" t="n"/>
      <c r="J188" s="67" t="n"/>
      <c r="K188" s="67" t="n"/>
      <c r="L188" s="67" t="n"/>
      <c r="N188" s="67" t="n"/>
      <c r="O188" s="67" t="n"/>
      <c r="P188" s="67" t="n"/>
      <c r="Q188" s="67" t="n"/>
      <c r="R188" s="67" t="n"/>
      <c r="S188" s="67" t="n"/>
      <c r="T188" s="67" t="n"/>
      <c r="U188" s="67" t="n"/>
      <c r="V188" s="67" t="n"/>
      <c r="W188" s="67" t="n"/>
      <c r="X188" s="67" t="n"/>
      <c r="Y188" s="67" t="n"/>
      <c r="Z188" s="67" t="n"/>
      <c r="AG188" s="67" t="n"/>
      <c r="AH188" s="67" t="n"/>
      <c r="AI188" s="67" t="n"/>
      <c r="AJ188" s="67" t="n"/>
      <c r="AK188" s="67" t="n"/>
      <c r="AL188" s="67" t="n"/>
      <c r="AM188" s="67" t="n"/>
    </row>
    <row r="189">
      <c r="B189" s="67" t="n"/>
      <c r="C189" s="67" t="n"/>
      <c r="D189" s="67" t="n"/>
      <c r="E189" s="67" t="n"/>
      <c r="F189" s="67" t="n"/>
      <c r="G189" s="67" t="n"/>
      <c r="I189" s="67" t="n"/>
      <c r="J189" s="67" t="n"/>
      <c r="K189" s="67" t="n"/>
      <c r="L189" s="67" t="n"/>
      <c r="N189" s="67" t="n"/>
      <c r="O189" s="67" t="n"/>
      <c r="P189" s="67" t="n"/>
      <c r="Q189" s="67" t="n"/>
      <c r="R189" s="67" t="n"/>
      <c r="S189" s="67" t="n"/>
      <c r="T189" s="67" t="n"/>
      <c r="U189" s="67" t="n"/>
      <c r="V189" s="67" t="n"/>
      <c r="W189" s="67" t="n"/>
      <c r="X189" s="67" t="n"/>
      <c r="Y189" s="67" t="n"/>
      <c r="Z189" s="67" t="n"/>
      <c r="AG189" s="67" t="n"/>
      <c r="AH189" s="67" t="n"/>
      <c r="AI189" s="67" t="n"/>
      <c r="AJ189" s="67" t="n"/>
      <c r="AK189" s="67" t="n"/>
      <c r="AL189" s="67" t="n"/>
      <c r="AM189" s="67" t="n"/>
    </row>
    <row r="190">
      <c r="B190" s="67" t="n"/>
      <c r="C190" s="67" t="n"/>
      <c r="D190" s="67" t="n"/>
      <c r="E190" s="67" t="n"/>
      <c r="F190" s="67" t="n"/>
      <c r="G190" s="67" t="n"/>
      <c r="I190" s="67" t="n"/>
      <c r="J190" s="67" t="n"/>
      <c r="K190" s="67" t="n"/>
      <c r="L190" s="67" t="n"/>
      <c r="N190" s="67" t="n"/>
      <c r="O190" s="67" t="n"/>
      <c r="P190" s="67" t="n"/>
      <c r="Q190" s="67" t="n"/>
      <c r="R190" s="67" t="n"/>
      <c r="S190" s="67" t="n"/>
      <c r="T190" s="67" t="n"/>
      <c r="U190" s="67" t="n"/>
      <c r="V190" s="67" t="n"/>
      <c r="W190" s="67" t="n"/>
      <c r="X190" s="67" t="n"/>
      <c r="Y190" s="67" t="n"/>
      <c r="Z190" s="67" t="n"/>
      <c r="AG190" s="67" t="n"/>
      <c r="AH190" s="67" t="n"/>
      <c r="AI190" s="67" t="n"/>
      <c r="AJ190" s="67" t="n"/>
      <c r="AK190" s="67" t="n"/>
      <c r="AL190" s="67" t="n"/>
      <c r="AM190" s="67" t="n"/>
    </row>
    <row r="191">
      <c r="B191" s="67" t="n"/>
      <c r="C191" s="67" t="n"/>
      <c r="D191" s="67" t="n"/>
      <c r="E191" s="67" t="n"/>
      <c r="F191" s="67" t="n"/>
      <c r="G191" s="67" t="n"/>
      <c r="I191" s="67" t="n"/>
      <c r="J191" s="67" t="n"/>
      <c r="K191" s="67" t="n"/>
      <c r="L191" s="67" t="n"/>
      <c r="N191" s="67" t="n"/>
      <c r="O191" s="67" t="n"/>
      <c r="P191" s="67" t="n"/>
      <c r="Q191" s="67" t="n"/>
      <c r="R191" s="67" t="n"/>
      <c r="S191" s="67" t="n"/>
      <c r="T191" s="67" t="n"/>
      <c r="U191" s="67" t="n"/>
      <c r="V191" s="67" t="n"/>
      <c r="W191" s="67" t="n"/>
      <c r="X191" s="67" t="n"/>
      <c r="Y191" s="67" t="n"/>
      <c r="Z191" s="67" t="n"/>
      <c r="AG191" s="67" t="n"/>
      <c r="AH191" s="67" t="n"/>
      <c r="AI191" s="67" t="n"/>
      <c r="AJ191" s="67" t="n"/>
      <c r="AK191" s="67" t="n"/>
      <c r="AL191" s="67" t="n"/>
      <c r="AM191" s="67" t="n"/>
    </row>
    <row r="192">
      <c r="B192" s="67" t="n"/>
      <c r="C192" s="67" t="n"/>
      <c r="D192" s="67" t="n"/>
      <c r="E192" s="67" t="n"/>
      <c r="F192" s="67" t="n"/>
      <c r="G192" s="67" t="n"/>
      <c r="I192" s="67" t="n"/>
      <c r="J192" s="67" t="n"/>
      <c r="K192" s="67" t="n"/>
      <c r="L192" s="67" t="n"/>
      <c r="N192" s="67" t="n"/>
      <c r="O192" s="67" t="n"/>
      <c r="P192" s="67" t="n"/>
      <c r="Q192" s="67" t="n"/>
      <c r="R192" s="67" t="n"/>
      <c r="S192" s="67" t="n"/>
      <c r="T192" s="67" t="n"/>
      <c r="U192" s="67" t="n"/>
      <c r="V192" s="67" t="n"/>
      <c r="W192" s="67" t="n"/>
      <c r="X192" s="67" t="n"/>
      <c r="Y192" s="67" t="n"/>
      <c r="Z192" s="67" t="n"/>
      <c r="AG192" s="67" t="n"/>
      <c r="AH192" s="67" t="n"/>
      <c r="AI192" s="67" t="n"/>
      <c r="AJ192" s="67" t="n"/>
      <c r="AK192" s="67" t="n"/>
      <c r="AL192" s="67" t="n"/>
      <c r="AM192" s="67" t="n"/>
    </row>
    <row r="193">
      <c r="B193" s="67" t="n"/>
      <c r="C193" s="67" t="n"/>
      <c r="D193" s="67" t="n"/>
      <c r="E193" s="67" t="n"/>
      <c r="F193" s="67" t="n"/>
      <c r="G193" s="67" t="n"/>
      <c r="I193" s="67" t="n"/>
      <c r="J193" s="67" t="n"/>
      <c r="K193" s="67" t="n"/>
      <c r="L193" s="67" t="n"/>
      <c r="N193" s="67" t="n"/>
      <c r="O193" s="67" t="n"/>
      <c r="P193" s="67" t="n"/>
      <c r="Q193" s="67" t="n"/>
      <c r="R193" s="67" t="n"/>
      <c r="S193" s="67" t="n"/>
      <c r="T193" s="67" t="n"/>
      <c r="U193" s="67" t="n"/>
      <c r="V193" s="67" t="n"/>
      <c r="W193" s="67" t="n"/>
      <c r="X193" s="67" t="n"/>
      <c r="Y193" s="67" t="n"/>
      <c r="Z193" s="67" t="n"/>
      <c r="AG193" s="67" t="n"/>
      <c r="AH193" s="67" t="n"/>
      <c r="AI193" s="67" t="n"/>
      <c r="AJ193" s="67" t="n"/>
      <c r="AK193" s="67" t="n"/>
      <c r="AL193" s="67" t="n"/>
      <c r="AM193" s="67" t="n"/>
    </row>
    <row r="194">
      <c r="B194" s="67" t="n"/>
      <c r="C194" s="67" t="n"/>
      <c r="D194" s="67" t="n"/>
      <c r="E194" s="67" t="n"/>
      <c r="F194" s="67" t="n"/>
      <c r="G194" s="67" t="n"/>
      <c r="I194" s="67" t="n"/>
      <c r="J194" s="67" t="n"/>
      <c r="K194" s="67" t="n"/>
      <c r="L194" s="67" t="n"/>
      <c r="N194" s="67" t="n"/>
      <c r="O194" s="67" t="n"/>
      <c r="P194" s="67" t="n"/>
      <c r="Q194" s="67" t="n"/>
      <c r="R194" s="67" t="n"/>
      <c r="S194" s="67" t="n"/>
      <c r="T194" s="67" t="n"/>
      <c r="U194" s="67" t="n"/>
      <c r="V194" s="67" t="n"/>
      <c r="W194" s="67" t="n"/>
      <c r="X194" s="67" t="n"/>
      <c r="Y194" s="67" t="n"/>
      <c r="Z194" s="67" t="n"/>
      <c r="AG194" s="67" t="n"/>
      <c r="AH194" s="67" t="n"/>
      <c r="AI194" s="67" t="n"/>
      <c r="AJ194" s="67" t="n"/>
      <c r="AK194" s="67" t="n"/>
      <c r="AL194" s="67" t="n"/>
      <c r="AM194" s="67" t="n"/>
    </row>
    <row r="195">
      <c r="B195" s="67" t="n"/>
      <c r="C195" s="67" t="n"/>
      <c r="D195" s="67" t="n"/>
      <c r="E195" s="67" t="n"/>
      <c r="F195" s="67" t="n"/>
      <c r="G195" s="67" t="n"/>
      <c r="I195" s="67" t="n"/>
      <c r="J195" s="67" t="n"/>
      <c r="K195" s="67" t="n"/>
      <c r="L195" s="67" t="n"/>
      <c r="N195" s="67" t="n"/>
      <c r="O195" s="67" t="n"/>
      <c r="P195" s="67" t="n"/>
      <c r="Q195" s="67" t="n"/>
      <c r="R195" s="67" t="n"/>
      <c r="S195" s="67" t="n"/>
      <c r="T195" s="67" t="n"/>
      <c r="U195" s="67" t="n"/>
      <c r="V195" s="67" t="n"/>
      <c r="W195" s="67" t="n"/>
      <c r="X195" s="67" t="n"/>
      <c r="Y195" s="67" t="n"/>
      <c r="Z195" s="67" t="n"/>
      <c r="AG195" s="67" t="n"/>
      <c r="AH195" s="67" t="n"/>
      <c r="AI195" s="67" t="n"/>
      <c r="AJ195" s="67" t="n"/>
      <c r="AK195" s="67" t="n"/>
      <c r="AL195" s="67" t="n"/>
      <c r="AM195" s="67" t="n"/>
    </row>
    <row r="196">
      <c r="B196" s="67" t="n"/>
      <c r="C196" s="67" t="n"/>
      <c r="D196" s="67" t="n"/>
      <c r="E196" s="67" t="n"/>
      <c r="F196" s="67" t="n"/>
      <c r="G196" s="67" t="n"/>
      <c r="I196" s="67" t="n"/>
      <c r="J196" s="67" t="n"/>
      <c r="K196" s="67" t="n"/>
      <c r="L196" s="67" t="n"/>
      <c r="N196" s="67" t="n"/>
      <c r="O196" s="67" t="n"/>
      <c r="P196" s="67" t="n"/>
      <c r="Q196" s="67" t="n"/>
      <c r="R196" s="67" t="n"/>
      <c r="S196" s="67" t="n"/>
      <c r="T196" s="67" t="n"/>
      <c r="U196" s="67" t="n"/>
      <c r="V196" s="67" t="n"/>
      <c r="W196" s="67" t="n"/>
      <c r="X196" s="67" t="n"/>
      <c r="Y196" s="67" t="n"/>
      <c r="Z196" s="67" t="n"/>
      <c r="AG196" s="67" t="n"/>
      <c r="AH196" s="67" t="n"/>
      <c r="AI196" s="67" t="n"/>
      <c r="AJ196" s="67" t="n"/>
      <c r="AK196" s="67" t="n"/>
      <c r="AL196" s="67" t="n"/>
      <c r="AM196" s="67" t="n"/>
    </row>
    <row r="197">
      <c r="B197" s="67" t="n"/>
      <c r="C197" s="67" t="n"/>
      <c r="D197" s="67" t="n"/>
      <c r="E197" s="67" t="n"/>
      <c r="F197" s="67" t="n"/>
      <c r="G197" s="67" t="n"/>
      <c r="I197" s="67" t="n"/>
      <c r="J197" s="67" t="n"/>
      <c r="K197" s="67" t="n"/>
      <c r="L197" s="67" t="n"/>
      <c r="N197" s="67" t="n"/>
      <c r="O197" s="67" t="n"/>
      <c r="P197" s="67" t="n"/>
      <c r="Q197" s="67" t="n"/>
      <c r="R197" s="67" t="n"/>
      <c r="S197" s="67" t="n"/>
      <c r="T197" s="67" t="n"/>
      <c r="U197" s="67" t="n"/>
      <c r="V197" s="67" t="n"/>
      <c r="W197" s="67" t="n"/>
      <c r="X197" s="67" t="n"/>
      <c r="Y197" s="67" t="n"/>
      <c r="Z197" s="67" t="n"/>
      <c r="AG197" s="67" t="n"/>
      <c r="AH197" s="67" t="n"/>
      <c r="AI197" s="67" t="n"/>
      <c r="AJ197" s="67" t="n"/>
      <c r="AK197" s="67" t="n"/>
      <c r="AL197" s="67" t="n"/>
      <c r="AM197" s="67" t="n"/>
    </row>
    <row r="198">
      <c r="B198" s="67" t="n"/>
      <c r="C198" s="67" t="n"/>
      <c r="D198" s="67" t="n"/>
      <c r="E198" s="67" t="n"/>
      <c r="F198" s="67" t="n"/>
      <c r="G198" s="67" t="n"/>
      <c r="I198" s="67" t="n"/>
      <c r="J198" s="67" t="n"/>
      <c r="K198" s="67" t="n"/>
      <c r="L198" s="67" t="n"/>
      <c r="N198" s="67" t="n"/>
      <c r="O198" s="67" t="n"/>
      <c r="P198" s="67" t="n"/>
      <c r="Q198" s="67" t="n"/>
      <c r="R198" s="67" t="n"/>
      <c r="S198" s="67" t="n"/>
      <c r="T198" s="67" t="n"/>
      <c r="U198" s="67" t="n"/>
      <c r="V198" s="67" t="n"/>
      <c r="W198" s="67" t="n"/>
      <c r="X198" s="67" t="n"/>
      <c r="Y198" s="67" t="n"/>
      <c r="Z198" s="67" t="n"/>
      <c r="AG198" s="67" t="n"/>
      <c r="AH198" s="67" t="n"/>
      <c r="AI198" s="67" t="n"/>
      <c r="AJ198" s="67" t="n"/>
      <c r="AK198" s="67" t="n"/>
      <c r="AL198" s="67" t="n"/>
      <c r="AM198" s="67" t="n"/>
    </row>
    <row r="199">
      <c r="B199" s="67" t="n"/>
      <c r="C199" s="67" t="n"/>
      <c r="D199" s="67" t="n"/>
      <c r="E199" s="67" t="n"/>
      <c r="F199" s="67" t="n"/>
      <c r="G199" s="67" t="n"/>
      <c r="I199" s="67" t="n"/>
      <c r="J199" s="67" t="n"/>
      <c r="K199" s="67" t="n"/>
      <c r="L199" s="67" t="n"/>
      <c r="N199" s="67" t="n"/>
      <c r="O199" s="67" t="n"/>
      <c r="P199" s="67" t="n"/>
      <c r="Q199" s="67" t="n"/>
      <c r="R199" s="67" t="n"/>
      <c r="S199" s="67" t="n"/>
      <c r="T199" s="67" t="n"/>
      <c r="U199" s="67" t="n"/>
      <c r="V199" s="67" t="n"/>
      <c r="W199" s="67" t="n"/>
      <c r="X199" s="67" t="n"/>
      <c r="Y199" s="67" t="n"/>
      <c r="Z199" s="67" t="n"/>
      <c r="AG199" s="67" t="n"/>
      <c r="AH199" s="67" t="n"/>
      <c r="AI199" s="67" t="n"/>
      <c r="AJ199" s="67" t="n"/>
      <c r="AK199" s="67" t="n"/>
      <c r="AL199" s="67" t="n"/>
      <c r="AM199" s="67" t="n"/>
    </row>
    <row r="200">
      <c r="B200" s="67" t="n"/>
      <c r="C200" s="67" t="n"/>
      <c r="D200" s="67" t="n"/>
      <c r="E200" s="67" t="n"/>
      <c r="F200" s="67" t="n"/>
      <c r="G200" s="67" t="n"/>
      <c r="I200" s="67" t="n"/>
      <c r="J200" s="67" t="n"/>
      <c r="K200" s="67" t="n"/>
      <c r="L200" s="67" t="n"/>
      <c r="N200" s="67" t="n"/>
      <c r="O200" s="67" t="n"/>
      <c r="P200" s="67" t="n"/>
      <c r="Q200" s="67" t="n"/>
      <c r="R200" s="67" t="n"/>
      <c r="S200" s="67" t="n"/>
      <c r="T200" s="67" t="n"/>
      <c r="U200" s="67" t="n"/>
      <c r="V200" s="67" t="n"/>
      <c r="W200" s="67" t="n"/>
      <c r="X200" s="67" t="n"/>
      <c r="Y200" s="67" t="n"/>
      <c r="Z200" s="67" t="n"/>
      <c r="AG200" s="67" t="n"/>
      <c r="AH200" s="67" t="n"/>
      <c r="AI200" s="67" t="n"/>
      <c r="AJ200" s="67" t="n"/>
      <c r="AK200" s="67" t="n"/>
      <c r="AL200" s="67" t="n"/>
      <c r="AM200" s="67" t="n"/>
    </row>
    <row r="201">
      <c r="B201" s="67" t="n"/>
      <c r="C201" s="67" t="n"/>
      <c r="D201" s="67" t="n"/>
      <c r="E201" s="67" t="n"/>
      <c r="F201" s="67" t="n"/>
      <c r="G201" s="67" t="n"/>
      <c r="I201" s="67" t="n"/>
      <c r="J201" s="67" t="n"/>
      <c r="K201" s="67" t="n"/>
      <c r="L201" s="67" t="n"/>
      <c r="N201" s="67" t="n"/>
      <c r="O201" s="67" t="n"/>
      <c r="P201" s="67" t="n"/>
      <c r="Q201" s="67" t="n"/>
      <c r="R201" s="67" t="n"/>
      <c r="S201" s="67" t="n"/>
      <c r="T201" s="67" t="n"/>
      <c r="U201" s="67" t="n"/>
      <c r="V201" s="67" t="n"/>
      <c r="W201" s="67" t="n"/>
      <c r="X201" s="67" t="n"/>
      <c r="Y201" s="67" t="n"/>
      <c r="Z201" s="67" t="n"/>
      <c r="AG201" s="67" t="n"/>
      <c r="AH201" s="67" t="n"/>
      <c r="AI201" s="67" t="n"/>
      <c r="AJ201" s="67" t="n"/>
      <c r="AK201" s="67" t="n"/>
      <c r="AL201" s="67" t="n"/>
      <c r="AM201" s="67" t="n"/>
    </row>
    <row r="202">
      <c r="B202" s="67" t="n"/>
      <c r="C202" s="67" t="n"/>
      <c r="D202" s="67" t="n"/>
      <c r="E202" s="67" t="n"/>
      <c r="F202" s="67" t="n"/>
      <c r="G202" s="67" t="n"/>
      <c r="I202" s="67" t="n"/>
      <c r="J202" s="67" t="n"/>
      <c r="K202" s="67" t="n"/>
      <c r="L202" s="67" t="n"/>
      <c r="N202" s="67" t="n"/>
      <c r="O202" s="67" t="n"/>
      <c r="P202" s="67" t="n"/>
      <c r="Q202" s="67" t="n"/>
      <c r="R202" s="67" t="n"/>
      <c r="S202" s="67" t="n"/>
      <c r="T202" s="67" t="n"/>
      <c r="U202" s="67" t="n"/>
      <c r="V202" s="67" t="n"/>
      <c r="W202" s="67" t="n"/>
      <c r="X202" s="67" t="n"/>
      <c r="Y202" s="67" t="n"/>
      <c r="Z202" s="67" t="n"/>
      <c r="AG202" s="67" t="n"/>
      <c r="AH202" s="67" t="n"/>
      <c r="AI202" s="67" t="n"/>
      <c r="AJ202" s="67" t="n"/>
      <c r="AK202" s="67" t="n"/>
      <c r="AL202" s="67" t="n"/>
      <c r="AM202" s="67" t="n"/>
    </row>
    <row r="203">
      <c r="B203" s="67" t="n"/>
      <c r="C203" s="67" t="n"/>
      <c r="D203" s="67" t="n"/>
      <c r="E203" s="67" t="n"/>
      <c r="F203" s="67" t="n"/>
      <c r="G203" s="67" t="n"/>
      <c r="I203" s="67" t="n"/>
      <c r="J203" s="67" t="n"/>
      <c r="K203" s="67" t="n"/>
      <c r="L203" s="67" t="n"/>
      <c r="N203" s="67" t="n"/>
      <c r="O203" s="67" t="n"/>
      <c r="P203" s="67" t="n"/>
      <c r="Q203" s="67" t="n"/>
      <c r="R203" s="67" t="n"/>
      <c r="S203" s="67" t="n"/>
      <c r="T203" s="67" t="n"/>
      <c r="U203" s="67" t="n"/>
      <c r="V203" s="67" t="n"/>
      <c r="W203" s="67" t="n"/>
      <c r="X203" s="67" t="n"/>
      <c r="Y203" s="67" t="n"/>
      <c r="Z203" s="67" t="n"/>
      <c r="AG203" s="67" t="n"/>
      <c r="AH203" s="67" t="n"/>
      <c r="AI203" s="67" t="n"/>
      <c r="AJ203" s="67" t="n"/>
      <c r="AK203" s="67" t="n"/>
      <c r="AL203" s="67" t="n"/>
      <c r="AM203" s="67" t="n"/>
    </row>
    <row r="204">
      <c r="B204" s="67" t="n"/>
      <c r="C204" s="67" t="n"/>
      <c r="D204" s="67" t="n"/>
      <c r="E204" s="67" t="n"/>
      <c r="F204" s="67" t="n"/>
      <c r="G204" s="67" t="n"/>
      <c r="I204" s="67" t="n"/>
      <c r="J204" s="67" t="n"/>
      <c r="K204" s="67" t="n"/>
      <c r="L204" s="67" t="n"/>
      <c r="N204" s="67" t="n"/>
      <c r="O204" s="67" t="n"/>
      <c r="P204" s="67" t="n"/>
      <c r="Q204" s="67" t="n"/>
      <c r="R204" s="67" t="n"/>
      <c r="S204" s="67" t="n"/>
      <c r="T204" s="67" t="n"/>
      <c r="U204" s="67" t="n"/>
      <c r="V204" s="67" t="n"/>
      <c r="W204" s="67" t="n"/>
      <c r="X204" s="67" t="n"/>
      <c r="Y204" s="67" t="n"/>
      <c r="Z204" s="67" t="n"/>
      <c r="AG204" s="67" t="n"/>
      <c r="AH204" s="67" t="n"/>
      <c r="AI204" s="67" t="n"/>
      <c r="AJ204" s="67" t="n"/>
      <c r="AK204" s="67" t="n"/>
      <c r="AL204" s="67" t="n"/>
      <c r="AM204" s="67" t="n"/>
    </row>
    <row r="205">
      <c r="B205" s="67" t="n"/>
      <c r="C205" s="67" t="n"/>
      <c r="D205" s="67" t="n"/>
      <c r="E205" s="67" t="n"/>
      <c r="F205" s="67" t="n"/>
      <c r="G205" s="67" t="n"/>
      <c r="I205" s="67" t="n"/>
      <c r="J205" s="67" t="n"/>
      <c r="K205" s="67" t="n"/>
      <c r="L205" s="67" t="n"/>
      <c r="N205" s="67" t="n"/>
      <c r="O205" s="67" t="n"/>
      <c r="P205" s="67" t="n"/>
      <c r="Q205" s="67" t="n"/>
      <c r="R205" s="67" t="n"/>
      <c r="S205" s="67" t="n"/>
      <c r="T205" s="67" t="n"/>
      <c r="U205" s="67" t="n"/>
      <c r="V205" s="67" t="n"/>
      <c r="W205" s="67" t="n"/>
      <c r="X205" s="67" t="n"/>
      <c r="Y205" s="67" t="n"/>
      <c r="Z205" s="67" t="n"/>
      <c r="AG205" s="67" t="n"/>
      <c r="AH205" s="67" t="n"/>
      <c r="AI205" s="67" t="n"/>
      <c r="AJ205" s="67" t="n"/>
      <c r="AK205" s="67" t="n"/>
      <c r="AL205" s="67" t="n"/>
      <c r="AM205" s="67" t="n"/>
    </row>
    <row r="206">
      <c r="B206" s="67" t="n"/>
      <c r="C206" s="67" t="n"/>
      <c r="D206" s="67" t="n"/>
      <c r="E206" s="67" t="n"/>
      <c r="F206" s="67" t="n"/>
      <c r="G206" s="67" t="n"/>
      <c r="I206" s="67" t="n"/>
      <c r="J206" s="67" t="n"/>
      <c r="K206" s="67" t="n"/>
      <c r="L206" s="67" t="n"/>
      <c r="N206" s="67" t="n"/>
      <c r="O206" s="67" t="n"/>
      <c r="P206" s="67" t="n"/>
      <c r="Q206" s="67" t="n"/>
      <c r="R206" s="67" t="n"/>
      <c r="S206" s="67" t="n"/>
      <c r="T206" s="67" t="n"/>
      <c r="U206" s="67" t="n"/>
      <c r="V206" s="67" t="n"/>
      <c r="W206" s="67" t="n"/>
      <c r="X206" s="67" t="n"/>
      <c r="Y206" s="67" t="n"/>
      <c r="Z206" s="67" t="n"/>
      <c r="AG206" s="67" t="n"/>
      <c r="AH206" s="67" t="n"/>
      <c r="AI206" s="67" t="n"/>
      <c r="AJ206" s="67" t="n"/>
      <c r="AK206" s="67" t="n"/>
      <c r="AL206" s="67" t="n"/>
      <c r="AM206" s="67" t="n"/>
    </row>
    <row r="207">
      <c r="B207" s="67" t="n"/>
      <c r="C207" s="67" t="n"/>
      <c r="D207" s="67" t="n"/>
      <c r="E207" s="67" t="n"/>
      <c r="F207" s="67" t="n"/>
      <c r="G207" s="67" t="n"/>
      <c r="I207" s="67" t="n"/>
      <c r="J207" s="67" t="n"/>
      <c r="K207" s="67" t="n"/>
      <c r="L207" s="67" t="n"/>
      <c r="N207" s="67" t="n"/>
      <c r="O207" s="67" t="n"/>
      <c r="P207" s="67" t="n"/>
      <c r="Q207" s="67" t="n"/>
      <c r="R207" s="67" t="n"/>
      <c r="S207" s="67" t="n"/>
      <c r="T207" s="67" t="n"/>
      <c r="U207" s="67" t="n"/>
      <c r="V207" s="67" t="n"/>
      <c r="W207" s="67" t="n"/>
      <c r="X207" s="67" t="n"/>
      <c r="Y207" s="67" t="n"/>
      <c r="Z207" s="67" t="n"/>
      <c r="AG207" s="67" t="n"/>
      <c r="AH207" s="67" t="n"/>
      <c r="AI207" s="67" t="n"/>
      <c r="AJ207" s="67" t="n"/>
      <c r="AK207" s="67" t="n"/>
      <c r="AL207" s="67" t="n"/>
      <c r="AM207" s="67" t="n"/>
    </row>
    <row r="208">
      <c r="B208" s="67" t="n"/>
      <c r="C208" s="67" t="n"/>
      <c r="D208" s="67" t="n"/>
      <c r="E208" s="67" t="n"/>
      <c r="F208" s="67" t="n"/>
      <c r="G208" s="67" t="n"/>
      <c r="I208" s="67" t="n"/>
      <c r="J208" s="67" t="n"/>
      <c r="K208" s="67" t="n"/>
      <c r="L208" s="67" t="n"/>
      <c r="N208" s="67" t="n"/>
      <c r="O208" s="67" t="n"/>
      <c r="P208" s="67" t="n"/>
      <c r="Q208" s="67" t="n"/>
      <c r="R208" s="67" t="n"/>
      <c r="S208" s="67" t="n"/>
      <c r="T208" s="67" t="n"/>
      <c r="U208" s="67" t="n"/>
      <c r="V208" s="67" t="n"/>
      <c r="W208" s="67" t="n"/>
      <c r="X208" s="67" t="n"/>
      <c r="Y208" s="67" t="n"/>
      <c r="Z208" s="67" t="n"/>
      <c r="AG208" s="67" t="n"/>
      <c r="AH208" s="67" t="n"/>
      <c r="AI208" s="67" t="n"/>
      <c r="AJ208" s="67" t="n"/>
      <c r="AK208" s="67" t="n"/>
      <c r="AL208" s="67" t="n"/>
      <c r="AM208" s="67" t="n"/>
    </row>
    <row r="209">
      <c r="B209" s="67" t="n"/>
      <c r="C209" s="67" t="n"/>
      <c r="D209" s="67" t="n"/>
      <c r="E209" s="67" t="n"/>
      <c r="F209" s="67" t="n"/>
      <c r="G209" s="67" t="n"/>
      <c r="I209" s="67" t="n"/>
      <c r="J209" s="67" t="n"/>
      <c r="K209" s="67" t="n"/>
      <c r="L209" s="67" t="n"/>
      <c r="N209" s="67" t="n"/>
      <c r="O209" s="67" t="n"/>
      <c r="P209" s="67" t="n"/>
      <c r="Q209" s="67" t="n"/>
      <c r="R209" s="67" t="n"/>
      <c r="S209" s="67" t="n"/>
      <c r="T209" s="67" t="n"/>
      <c r="U209" s="67" t="n"/>
      <c r="V209" s="67" t="n"/>
      <c r="W209" s="67" t="n"/>
      <c r="X209" s="67" t="n"/>
      <c r="Y209" s="67" t="n"/>
      <c r="Z209" s="67" t="n"/>
      <c r="AG209" s="67" t="n"/>
      <c r="AH209" s="67" t="n"/>
      <c r="AI209" s="67" t="n"/>
      <c r="AJ209" s="67" t="n"/>
      <c r="AK209" s="67" t="n"/>
      <c r="AL209" s="67" t="n"/>
      <c r="AM209" s="67" t="n"/>
    </row>
    <row r="210">
      <c r="B210" s="67" t="n"/>
      <c r="C210" s="67" t="n"/>
      <c r="D210" s="67" t="n"/>
      <c r="E210" s="67" t="n"/>
      <c r="F210" s="67" t="n"/>
      <c r="G210" s="67" t="n"/>
      <c r="I210" s="67" t="n"/>
      <c r="J210" s="67" t="n"/>
      <c r="K210" s="67" t="n"/>
      <c r="L210" s="67" t="n"/>
      <c r="N210" s="67" t="n"/>
      <c r="O210" s="67" t="n"/>
      <c r="P210" s="67" t="n"/>
      <c r="Q210" s="67" t="n"/>
      <c r="R210" s="67" t="n"/>
      <c r="S210" s="67" t="n"/>
      <c r="T210" s="67" t="n"/>
      <c r="U210" s="67" t="n"/>
      <c r="V210" s="67" t="n"/>
      <c r="W210" s="67" t="n"/>
      <c r="X210" s="67" t="n"/>
      <c r="Y210" s="67" t="n"/>
      <c r="Z210" s="67" t="n"/>
      <c r="AG210" s="67" t="n"/>
      <c r="AH210" s="67" t="n"/>
      <c r="AI210" s="67" t="n"/>
      <c r="AJ210" s="67" t="n"/>
      <c r="AK210" s="67" t="n"/>
      <c r="AL210" s="67" t="n"/>
      <c r="AM210" s="67" t="n"/>
    </row>
    <row r="211">
      <c r="B211" s="67" t="n"/>
      <c r="C211" s="67" t="n"/>
      <c r="D211" s="67" t="n"/>
      <c r="E211" s="67" t="n"/>
      <c r="F211" s="67" t="n"/>
      <c r="G211" s="67" t="n"/>
      <c r="I211" s="67" t="n"/>
      <c r="J211" s="67" t="n"/>
      <c r="K211" s="67" t="n"/>
      <c r="L211" s="67" t="n"/>
      <c r="N211" s="67" t="n"/>
      <c r="O211" s="67" t="n"/>
      <c r="P211" s="67" t="n"/>
      <c r="Q211" s="67" t="n"/>
      <c r="R211" s="67" t="n"/>
      <c r="S211" s="67" t="n"/>
      <c r="T211" s="67" t="n"/>
      <c r="U211" s="67" t="n"/>
      <c r="V211" s="67" t="n"/>
      <c r="W211" s="67" t="n"/>
      <c r="X211" s="67" t="n"/>
      <c r="Y211" s="67" t="n"/>
      <c r="Z211" s="67" t="n"/>
      <c r="AG211" s="67" t="n"/>
      <c r="AH211" s="67" t="n"/>
      <c r="AI211" s="67" t="n"/>
      <c r="AJ211" s="67" t="n"/>
      <c r="AK211" s="67" t="n"/>
      <c r="AL211" s="67" t="n"/>
      <c r="AM211" s="67" t="n"/>
    </row>
    <row r="212">
      <c r="B212" s="67" t="n"/>
      <c r="C212" s="67" t="n"/>
      <c r="D212" s="67" t="n"/>
      <c r="E212" s="67" t="n"/>
      <c r="F212" s="67" t="n"/>
      <c r="G212" s="67" t="n"/>
      <c r="I212" s="67" t="n"/>
      <c r="J212" s="67" t="n"/>
      <c r="K212" s="67" t="n"/>
      <c r="L212" s="67" t="n"/>
      <c r="N212" s="67" t="n"/>
      <c r="O212" s="67" t="n"/>
      <c r="P212" s="67" t="n"/>
      <c r="Q212" s="67" t="n"/>
      <c r="R212" s="67" t="n"/>
      <c r="S212" s="67" t="n"/>
      <c r="T212" s="67" t="n"/>
      <c r="U212" s="67" t="n"/>
      <c r="V212" s="67" t="n"/>
      <c r="W212" s="67" t="n"/>
      <c r="X212" s="67" t="n"/>
      <c r="Y212" s="67" t="n"/>
      <c r="Z212" s="67" t="n"/>
      <c r="AG212" s="67" t="n"/>
      <c r="AH212" s="67" t="n"/>
      <c r="AI212" s="67" t="n"/>
      <c r="AJ212" s="67" t="n"/>
      <c r="AK212" s="67" t="n"/>
      <c r="AL212" s="67" t="n"/>
      <c r="AM212" s="67" t="n"/>
    </row>
    <row r="213">
      <c r="B213" s="67" t="n"/>
      <c r="C213" s="67" t="n"/>
      <c r="D213" s="67" t="n"/>
      <c r="E213" s="67" t="n"/>
      <c r="F213" s="67" t="n"/>
      <c r="G213" s="67" t="n"/>
      <c r="I213" s="67" t="n"/>
      <c r="J213" s="67" t="n"/>
      <c r="K213" s="67" t="n"/>
      <c r="L213" s="67" t="n"/>
      <c r="N213" s="67" t="n"/>
      <c r="O213" s="67" t="n"/>
      <c r="P213" s="67" t="n"/>
      <c r="Q213" s="67" t="n"/>
      <c r="R213" s="67" t="n"/>
      <c r="S213" s="67" t="n"/>
      <c r="T213" s="67" t="n"/>
      <c r="U213" s="67" t="n"/>
      <c r="V213" s="67" t="n"/>
      <c r="W213" s="67" t="n"/>
      <c r="X213" s="67" t="n"/>
      <c r="Y213" s="67" t="n"/>
      <c r="Z213" s="67" t="n"/>
      <c r="AG213" s="67" t="n"/>
      <c r="AH213" s="67" t="n"/>
      <c r="AI213" s="67" t="n"/>
      <c r="AJ213" s="67" t="n"/>
      <c r="AK213" s="67" t="n"/>
      <c r="AL213" s="67" t="n"/>
      <c r="AM213" s="67" t="n"/>
    </row>
    <row r="214">
      <c r="B214" s="67" t="n"/>
      <c r="C214" s="67" t="n"/>
      <c r="D214" s="67" t="n"/>
      <c r="E214" s="67" t="n"/>
      <c r="F214" s="67" t="n"/>
      <c r="G214" s="67" t="n"/>
      <c r="I214" s="67" t="n"/>
      <c r="J214" s="67" t="n"/>
      <c r="K214" s="67" t="n"/>
      <c r="L214" s="67" t="n"/>
      <c r="N214" s="67" t="n"/>
      <c r="O214" s="67" t="n"/>
      <c r="P214" s="67" t="n"/>
      <c r="Q214" s="67" t="n"/>
      <c r="R214" s="67" t="n"/>
      <c r="S214" s="67" t="n"/>
      <c r="T214" s="67" t="n"/>
      <c r="U214" s="67" t="n"/>
      <c r="V214" s="67" t="n"/>
      <c r="W214" s="67" t="n"/>
      <c r="X214" s="67" t="n"/>
      <c r="Y214" s="67" t="n"/>
      <c r="Z214" s="67" t="n"/>
      <c r="AG214" s="67" t="n"/>
      <c r="AH214" s="67" t="n"/>
      <c r="AI214" s="67" t="n"/>
      <c r="AJ214" s="67" t="n"/>
      <c r="AK214" s="67" t="n"/>
      <c r="AL214" s="67" t="n"/>
      <c r="AM214" s="67" t="n"/>
    </row>
    <row r="215">
      <c r="B215" s="67" t="n"/>
      <c r="C215" s="67" t="n"/>
      <c r="D215" s="67" t="n"/>
      <c r="E215" s="67" t="n"/>
      <c r="F215" s="67" t="n"/>
      <c r="G215" s="67" t="n"/>
      <c r="I215" s="67" t="n"/>
      <c r="J215" s="67" t="n"/>
      <c r="K215" s="67" t="n"/>
      <c r="L215" s="67" t="n"/>
      <c r="N215" s="67" t="n"/>
      <c r="O215" s="67" t="n"/>
      <c r="P215" s="67" t="n"/>
      <c r="Q215" s="67" t="n"/>
      <c r="R215" s="67" t="n"/>
      <c r="S215" s="67" t="n"/>
      <c r="T215" s="67" t="n"/>
      <c r="U215" s="67" t="n"/>
      <c r="V215" s="67" t="n"/>
      <c r="W215" s="67" t="n"/>
      <c r="X215" s="67" t="n"/>
      <c r="Y215" s="67" t="n"/>
      <c r="Z215" s="67" t="n"/>
      <c r="AG215" s="67" t="n"/>
      <c r="AH215" s="67" t="n"/>
      <c r="AI215" s="67" t="n"/>
      <c r="AJ215" s="67" t="n"/>
      <c r="AK215" s="67" t="n"/>
      <c r="AL215" s="67" t="n"/>
      <c r="AM215" s="67" t="n"/>
    </row>
    <row r="216">
      <c r="B216" s="67" t="n"/>
      <c r="C216" s="67" t="n"/>
      <c r="D216" s="67" t="n"/>
      <c r="E216" s="67" t="n"/>
      <c r="F216" s="67" t="n"/>
      <c r="G216" s="67" t="n"/>
      <c r="I216" s="67" t="n"/>
      <c r="J216" s="67" t="n"/>
      <c r="K216" s="67" t="n"/>
      <c r="L216" s="67" t="n"/>
      <c r="N216" s="67" t="n"/>
      <c r="O216" s="67" t="n"/>
      <c r="P216" s="67" t="n"/>
      <c r="Q216" s="67" t="n"/>
      <c r="R216" s="67" t="n"/>
      <c r="S216" s="67" t="n"/>
      <c r="T216" s="67" t="n"/>
      <c r="U216" s="67" t="n"/>
      <c r="V216" s="67" t="n"/>
      <c r="W216" s="67" t="n"/>
      <c r="X216" s="67" t="n"/>
      <c r="Y216" s="67" t="n"/>
      <c r="Z216" s="67" t="n"/>
      <c r="AG216" s="67" t="n"/>
      <c r="AH216" s="67" t="n"/>
      <c r="AI216" s="67" t="n"/>
      <c r="AJ216" s="67" t="n"/>
      <c r="AK216" s="67" t="n"/>
      <c r="AL216" s="67" t="n"/>
      <c r="AM216" s="67" t="n"/>
    </row>
    <row r="217">
      <c r="B217" s="67" t="n"/>
      <c r="C217" s="67" t="n"/>
      <c r="D217" s="67" t="n"/>
      <c r="E217" s="67" t="n"/>
      <c r="F217" s="67" t="n"/>
      <c r="G217" s="67" t="n"/>
      <c r="I217" s="67" t="n"/>
      <c r="J217" s="67" t="n"/>
      <c r="K217" s="67" t="n"/>
      <c r="L217" s="67" t="n"/>
      <c r="N217" s="67" t="n"/>
      <c r="O217" s="67" t="n"/>
      <c r="P217" s="67" t="n"/>
      <c r="Q217" s="67" t="n"/>
      <c r="R217" s="67" t="n"/>
      <c r="S217" s="67" t="n"/>
      <c r="T217" s="67" t="n"/>
      <c r="U217" s="67" t="n"/>
      <c r="V217" s="67" t="n"/>
      <c r="W217" s="67" t="n"/>
      <c r="X217" s="67" t="n"/>
      <c r="Y217" s="67" t="n"/>
      <c r="Z217" s="67" t="n"/>
      <c r="AG217" s="67" t="n"/>
      <c r="AH217" s="67" t="n"/>
      <c r="AI217" s="67" t="n"/>
      <c r="AJ217" s="67" t="n"/>
      <c r="AK217" s="67" t="n"/>
      <c r="AL217" s="67" t="n"/>
      <c r="AM217" s="67" t="n"/>
    </row>
    <row r="218">
      <c r="B218" s="67" t="n"/>
      <c r="C218" s="67" t="n"/>
      <c r="D218" s="67" t="n"/>
      <c r="E218" s="67" t="n"/>
      <c r="F218" s="67" t="n"/>
      <c r="G218" s="67" t="n"/>
      <c r="I218" s="67" t="n"/>
      <c r="J218" s="67" t="n"/>
      <c r="K218" s="67" t="n"/>
      <c r="L218" s="67" t="n"/>
      <c r="N218" s="67" t="n"/>
      <c r="O218" s="67" t="n"/>
      <c r="P218" s="67" t="n"/>
      <c r="Q218" s="67" t="n"/>
      <c r="R218" s="67" t="n"/>
      <c r="S218" s="67" t="n"/>
      <c r="T218" s="67" t="n"/>
      <c r="U218" s="67" t="n"/>
      <c r="V218" s="67" t="n"/>
      <c r="W218" s="67" t="n"/>
      <c r="X218" s="67" t="n"/>
      <c r="Y218" s="67" t="n"/>
      <c r="Z218" s="67" t="n"/>
      <c r="AG218" s="67" t="n"/>
      <c r="AH218" s="67" t="n"/>
      <c r="AI218" s="67" t="n"/>
      <c r="AJ218" s="67" t="n"/>
      <c r="AK218" s="67" t="n"/>
      <c r="AL218" s="67" t="n"/>
      <c r="AM218" s="67" t="n"/>
    </row>
    <row r="219">
      <c r="B219" s="67" t="n"/>
      <c r="C219" s="67" t="n"/>
      <c r="D219" s="67" t="n"/>
      <c r="E219" s="67" t="n"/>
      <c r="F219" s="67" t="n"/>
      <c r="G219" s="67" t="n"/>
      <c r="I219" s="67" t="n"/>
      <c r="J219" s="67" t="n"/>
      <c r="K219" s="67" t="n"/>
      <c r="L219" s="67" t="n"/>
      <c r="N219" s="67" t="n"/>
      <c r="O219" s="67" t="n"/>
      <c r="P219" s="67" t="n"/>
      <c r="Q219" s="67" t="n"/>
      <c r="R219" s="67" t="n"/>
      <c r="S219" s="67" t="n"/>
      <c r="T219" s="67" t="n"/>
      <c r="U219" s="67" t="n"/>
      <c r="V219" s="67" t="n"/>
      <c r="W219" s="67" t="n"/>
      <c r="X219" s="67" t="n"/>
      <c r="Y219" s="67" t="n"/>
      <c r="Z219" s="67" t="n"/>
      <c r="AG219" s="67" t="n"/>
      <c r="AH219" s="67" t="n"/>
      <c r="AI219" s="67" t="n"/>
      <c r="AJ219" s="67" t="n"/>
      <c r="AK219" s="67" t="n"/>
      <c r="AL219" s="67" t="n"/>
      <c r="AM219" s="67" t="n"/>
    </row>
    <row r="220">
      <c r="B220" s="67" t="n"/>
      <c r="C220" s="67" t="n"/>
      <c r="D220" s="67" t="n"/>
      <c r="E220" s="67" t="n"/>
      <c r="F220" s="67" t="n"/>
      <c r="G220" s="67" t="n"/>
      <c r="I220" s="67" t="n"/>
      <c r="J220" s="67" t="n"/>
      <c r="K220" s="67" t="n"/>
      <c r="L220" s="67" t="n"/>
      <c r="N220" s="67" t="n"/>
      <c r="O220" s="67" t="n"/>
      <c r="P220" s="67" t="n"/>
      <c r="Q220" s="67" t="n"/>
      <c r="R220" s="67" t="n"/>
      <c r="S220" s="67" t="n"/>
      <c r="T220" s="67" t="n"/>
      <c r="U220" s="67" t="n"/>
      <c r="V220" s="67" t="n"/>
      <c r="W220" s="67" t="n"/>
      <c r="X220" s="67" t="n"/>
      <c r="Y220" s="67" t="n"/>
      <c r="Z220" s="67" t="n"/>
      <c r="AG220" s="67" t="n"/>
      <c r="AH220" s="67" t="n"/>
      <c r="AI220" s="67" t="n"/>
      <c r="AJ220" s="67" t="n"/>
      <c r="AK220" s="67" t="n"/>
      <c r="AL220" s="67" t="n"/>
      <c r="AM220" s="67" t="n"/>
    </row>
  </sheetData>
  <mergeCells count="13">
    <mergeCell ref="D8:E8"/>
    <mergeCell ref="B7:AM7"/>
    <mergeCell ref="H8:I8"/>
    <mergeCell ref="B3:AM3"/>
    <mergeCell ref="B5:AM5"/>
    <mergeCell ref="N8:AM8"/>
    <mergeCell ref="B10:C10"/>
    <mergeCell ref="J8:K8"/>
    <mergeCell ref="B4:AM4"/>
    <mergeCell ref="L8:M8"/>
    <mergeCell ref="B8:C8"/>
    <mergeCell ref="B6:AM6"/>
    <mergeCell ref="F8:G8"/>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amp;$P20&amp;$Q20&amp;$R20&amp;$S20&amp;$T20&amp;$U20&amp;$V20&amp;$W20&amp;$X20&amp;$Y20&amp;$Z20&amp;$AA20&amp;$AB20&amp;$AC20&amp;$AD20&amp;$AE20&amp;$AF20&amp;$AG20&amp;$AH20&amp;$AI20&amp;$AJ20&amp;$AK20&amp;$AL20&amp;$AM20)&gt;0,B20="")</formula>
    </cfRule>
  </conditionalFormatting>
  <conditionalFormatting sqref="C20:C220">
    <cfRule type="expression" priority="3" dxfId="6">
      <formula>AND(LEN($B20&amp;$C20&amp;$D20&amp;$E20&amp;$F20&amp;$G20&amp;$H20&amp;$I20&amp;$J20&amp;$K20&amp;$L20&amp;$M20&amp;$N20&amp;$O20&amp;$P20&amp;$Q20&amp;$R20&amp;$S20&amp;$T20&amp;$U20&amp;$V20&amp;$W20&amp;$X20&amp;$Y20&amp;$Z20&amp;$AA20&amp;$AB20&amp;$AC20&amp;$AD20&amp;$AE20&amp;$AF20&amp;$AG20&amp;$AH20&amp;$AI20&amp;$AJ20&amp;$AK20&amp;$AL20&amp;$AM20)&gt;0,C20="")</formula>
    </cfRule>
  </conditionalFormatting>
  <conditionalFormatting sqref="G20:G220">
    <cfRule type="expression" priority="4" dxfId="6">
      <formula>AND(LEN($B20&amp;$C20&amp;$D20&amp;$E20&amp;$F20&amp;$G20&amp;$H20&amp;$I20&amp;$J20&amp;$K20&amp;$L20&amp;$M20&amp;$N20&amp;$O20&amp;$P20&amp;$Q20&amp;$R20&amp;$S20&amp;$T20&amp;$U20&amp;$V20&amp;$W20&amp;$X20&amp;$Y20&amp;$Z20&amp;$AA20&amp;$AB20&amp;$AC20&amp;$AD20&amp;$AE20&amp;$AF20&amp;$AG20&amp;$AH20&amp;$AI20&amp;$AJ20&amp;$AK20&amp;$AL20&amp;$AM20)&gt;0,G20="")</formula>
    </cfRule>
  </conditionalFormatting>
  <conditionalFormatting sqref="I20:I220">
    <cfRule type="expression" priority="5" dxfId="6">
      <formula>AND(LEN($B20&amp;$C20&amp;$D20&amp;$E20&amp;$F20&amp;$G20&amp;$H20&amp;$I20&amp;$J20&amp;$K20&amp;$L20&amp;$M20&amp;$N20&amp;$O20&amp;$P20&amp;$Q20&amp;$R20&amp;$S20&amp;$T20&amp;$U20&amp;$V20&amp;$W20&amp;$X20&amp;$Y20&amp;$Z20&amp;$AA20&amp;$AB20&amp;$AC20&amp;$AD20&amp;$AE20&amp;$AF20&amp;$AG20&amp;$AH20&amp;$AI20&amp;$AJ20&amp;$AK20&amp;$AL20&amp;$AM20)&gt;0,I20="")</formula>
    </cfRule>
  </conditionalFormatting>
  <conditionalFormatting sqref="J20:J220">
    <cfRule type="expression" priority="6" dxfId="6">
      <formula>AND(LEN($B20&amp;$C20&amp;$D20&amp;$E20&amp;$F20&amp;$G20&amp;$H20&amp;$I20&amp;$J20&amp;$K20&amp;$L20&amp;$M20&amp;$N20&amp;$O20&amp;$P20&amp;$Q20&amp;$R20&amp;$S20&amp;$T20&amp;$U20&amp;$V20&amp;$W20&amp;$X20&amp;$Y20&amp;$Z20&amp;$AA20&amp;$AB20&amp;$AC20&amp;$AD20&amp;$AE20&amp;$AF20&amp;$AG20&amp;$AH20&amp;$AI20&amp;$AJ20&amp;$AK20&amp;$AL20&amp;$AM20)&gt;0,J20="")</formula>
    </cfRule>
  </conditionalFormatting>
  <conditionalFormatting sqref="L20:L220">
    <cfRule type="expression" priority="7" dxfId="6">
      <formula>AND(LEN($B20&amp;$C20&amp;$D20&amp;$E20&amp;$F20&amp;$G20&amp;$H20&amp;$I20&amp;$J20&amp;$K20&amp;$L20&amp;$M20&amp;$N20&amp;$O20&amp;$P20&amp;$Q20&amp;$R20&amp;$S20&amp;$T20&amp;$U20&amp;$V20&amp;$W20&amp;$X20&amp;$Y20&amp;$Z20&amp;$AA20&amp;$AB20&amp;$AC20&amp;$AD20&amp;$AE20&amp;$AF20&amp;$AG20&amp;$AH20&amp;$AI20&amp;$AJ20&amp;$AK20&amp;$AL20&amp;$AM20)&gt;0,L20="")</formula>
    </cfRule>
  </conditionalFormatting>
  <conditionalFormatting sqref="N20:N220">
    <cfRule type="expression" priority="8" dxfId="6">
      <formula>AND(LEN($B20&amp;$C20&amp;$D20&amp;$E20&amp;$F20&amp;$G20&amp;$H20&amp;$I20&amp;$J20&amp;$K20&amp;$L20&amp;$M20&amp;$N20&amp;$O20&amp;$P20&amp;$Q20&amp;$R20&amp;$S20&amp;$T20&amp;$U20&amp;$V20&amp;$W20&amp;$X20&amp;$Y20&amp;$Z20&amp;$AA20&amp;$AB20&amp;$AC20&amp;$AD20&amp;$AE20&amp;$AF20&amp;$AG20&amp;$AH20&amp;$AI20&amp;$AJ20&amp;$AK20&amp;$AL20&amp;$AM20)&gt;0,N20="")</formula>
    </cfRule>
  </conditionalFormatting>
  <conditionalFormatting sqref="O20:O220">
    <cfRule type="expression" priority="9" dxfId="6">
      <formula>AND(LEN($B20&amp;$C20&amp;$D20&amp;$E20&amp;$F20&amp;$G20&amp;$H20&amp;$I20&amp;$J20&amp;$K20&amp;$L20&amp;$M20&amp;$N20&amp;$O20&amp;$P20&amp;$Q20&amp;$R20&amp;$S20&amp;$T20&amp;$U20&amp;$V20&amp;$W20&amp;$X20&amp;$Y20&amp;$Z20&amp;$AA20&amp;$AB20&amp;$AC20&amp;$AD20&amp;$AE20&amp;$AF20&amp;$AG20&amp;$AH20&amp;$AI20&amp;$AJ20&amp;$AK20&amp;$AL20&amp;$AM20)&gt;0,O20="")</formula>
    </cfRule>
  </conditionalFormatting>
  <conditionalFormatting sqref="P20:P220">
    <cfRule type="expression" priority="10" dxfId="6">
      <formula>AND(LEN($B20&amp;$C20&amp;$D20&amp;$E20&amp;$F20&amp;$G20&amp;$H20&amp;$I20&amp;$J20&amp;$K20&amp;$L20&amp;$M20&amp;$N20&amp;$O20&amp;$P20&amp;$Q20&amp;$R20&amp;$S20&amp;$T20&amp;$U20&amp;$V20&amp;$W20&amp;$X20&amp;$Y20&amp;$Z20&amp;$AA20&amp;$AB20&amp;$AC20&amp;$AD20&amp;$AE20&amp;$AF20&amp;$AG20&amp;$AH20&amp;$AI20&amp;$AJ20&amp;$AK20&amp;$AL20&amp;$AM20)&gt;0,P20="")</formula>
    </cfRule>
  </conditionalFormatting>
  <conditionalFormatting sqref="Q20:Q220">
    <cfRule type="expression" priority="11" dxfId="6">
      <formula>AND(LEN($B20&amp;$C20&amp;$D20&amp;$E20&amp;$F20&amp;$G20&amp;$H20&amp;$I20&amp;$J20&amp;$K20&amp;$L20&amp;$M20&amp;$N20&amp;$O20&amp;$P20&amp;$Q20&amp;$R20&amp;$S20&amp;$T20&amp;$U20&amp;$V20&amp;$W20&amp;$X20&amp;$Y20&amp;$Z20&amp;$AA20&amp;$AB20&amp;$AC20&amp;$AD20&amp;$AE20&amp;$AF20&amp;$AG20&amp;$AH20&amp;$AI20&amp;$AJ20&amp;$AK20&amp;$AL20&amp;$AM20)&gt;0,Q20="")</formula>
    </cfRule>
  </conditionalFormatting>
  <conditionalFormatting sqref="R20:R220">
    <cfRule type="expression" priority="12" dxfId="6">
      <formula>AND(LEN($B20&amp;$C20&amp;$D20&amp;$E20&amp;$F20&amp;$G20&amp;$H20&amp;$I20&amp;$J20&amp;$K20&amp;$L20&amp;$M20&amp;$N20&amp;$O20&amp;$P20&amp;$Q20&amp;$R20&amp;$S20&amp;$T20&amp;$U20&amp;$V20&amp;$W20&amp;$X20&amp;$Y20&amp;$Z20&amp;$AA20&amp;$AB20&amp;$AC20&amp;$AD20&amp;$AE20&amp;$AF20&amp;$AG20&amp;$AH20&amp;$AI20&amp;$AJ20&amp;$AK20&amp;$AL20&amp;$AM20)&gt;0,R20="")</formula>
    </cfRule>
  </conditionalFormatting>
  <conditionalFormatting sqref="S20:S220">
    <cfRule type="expression" priority="13" dxfId="6">
      <formula>AND(LEN($B20&amp;$C20&amp;$D20&amp;$E20&amp;$F20&amp;$G20&amp;$H20&amp;$I20&amp;$J20&amp;$K20&amp;$L20&amp;$M20&amp;$N20&amp;$O20&amp;$P20&amp;$Q20&amp;$R20&amp;$S20&amp;$T20&amp;$U20&amp;$V20&amp;$W20&amp;$X20&amp;$Y20&amp;$Z20&amp;$AA20&amp;$AB20&amp;$AC20&amp;$AD20&amp;$AE20&amp;$AF20&amp;$AG20&amp;$AH20&amp;$AI20&amp;$AJ20&amp;$AK20&amp;$AL20&amp;$AM20)&gt;0,S20="")</formula>
    </cfRule>
  </conditionalFormatting>
  <conditionalFormatting sqref="T20:T220">
    <cfRule type="expression" priority="14" dxfId="6">
      <formula>AND(LEN($B20&amp;$C20&amp;$D20&amp;$E20&amp;$F20&amp;$G20&amp;$H20&amp;$I20&amp;$J20&amp;$K20&amp;$L20&amp;$M20&amp;$N20&amp;$O20&amp;$P20&amp;$Q20&amp;$R20&amp;$S20&amp;$T20&amp;$U20&amp;$V20&amp;$W20&amp;$X20&amp;$Y20&amp;$Z20&amp;$AA20&amp;$AB20&amp;$AC20&amp;$AD20&amp;$AE20&amp;$AF20&amp;$AG20&amp;$AH20&amp;$AI20&amp;$AJ20&amp;$AK20&amp;$AL20&amp;$AM20)&gt;0,T20="")</formula>
    </cfRule>
  </conditionalFormatting>
  <conditionalFormatting sqref="U20:U220">
    <cfRule type="expression" priority="15" dxfId="6">
      <formula>AND(LEN($B20&amp;$C20&amp;$D20&amp;$E20&amp;$F20&amp;$G20&amp;$H20&amp;$I20&amp;$J20&amp;$K20&amp;$L20&amp;$M20&amp;$N20&amp;$O20&amp;$P20&amp;$Q20&amp;$R20&amp;$S20&amp;$T20&amp;$U20&amp;$V20&amp;$W20&amp;$X20&amp;$Y20&amp;$Z20&amp;$AA20&amp;$AB20&amp;$AC20&amp;$AD20&amp;$AE20&amp;$AF20&amp;$AG20&amp;$AH20&amp;$AI20&amp;$AJ20&amp;$AK20&amp;$AL20&amp;$AM20)&gt;0,U20="")</formula>
    </cfRule>
  </conditionalFormatting>
  <conditionalFormatting sqref="V20:V220">
    <cfRule type="expression" priority="16" dxfId="6">
      <formula>AND(LEN($B20&amp;$C20&amp;$D20&amp;$E20&amp;$F20&amp;$G20&amp;$H20&amp;$I20&amp;$J20&amp;$K20&amp;$L20&amp;$M20&amp;$N20&amp;$O20&amp;$P20&amp;$Q20&amp;$R20&amp;$S20&amp;$T20&amp;$U20&amp;$V20&amp;$W20&amp;$X20&amp;$Y20&amp;$Z20&amp;$AA20&amp;$AB20&amp;$AC20&amp;$AD20&amp;$AE20&amp;$AF20&amp;$AG20&amp;$AH20&amp;$AI20&amp;$AJ20&amp;$AK20&amp;$AL20&amp;$AM20)&gt;0,V20="")</formula>
    </cfRule>
  </conditionalFormatting>
  <conditionalFormatting sqref="W20:W220">
    <cfRule type="expression" priority="17" dxfId="6">
      <formula>AND(LEN($B20&amp;$C20&amp;$D20&amp;$E20&amp;$F20&amp;$G20&amp;$H20&amp;$I20&amp;$J20&amp;$K20&amp;$L20&amp;$M20&amp;$N20&amp;$O20&amp;$P20&amp;$Q20&amp;$R20&amp;$S20&amp;$T20&amp;$U20&amp;$V20&amp;$W20&amp;$X20&amp;$Y20&amp;$Z20&amp;$AA20&amp;$AB20&amp;$AC20&amp;$AD20&amp;$AE20&amp;$AF20&amp;$AG20&amp;$AH20&amp;$AI20&amp;$AJ20&amp;$AK20&amp;$AL20&amp;$AM20)&gt;0,W20="")</formula>
    </cfRule>
  </conditionalFormatting>
  <conditionalFormatting sqref="X20:X220">
    <cfRule type="expression" priority="18" dxfId="6">
      <formula>AND(LEN($B20&amp;$C20&amp;$D20&amp;$E20&amp;$F20&amp;$G20&amp;$H20&amp;$I20&amp;$J20&amp;$K20&amp;$L20&amp;$M20&amp;$N20&amp;$O20&amp;$P20&amp;$Q20&amp;$R20&amp;$S20&amp;$T20&amp;$U20&amp;$V20&amp;$W20&amp;$X20&amp;$Y20&amp;$Z20&amp;$AA20&amp;$AB20&amp;$AC20&amp;$AD20&amp;$AE20&amp;$AF20&amp;$AG20&amp;$AH20&amp;$AI20&amp;$AJ20&amp;$AK20&amp;$AL20&amp;$AM20)&gt;0,X20="")</formula>
    </cfRule>
  </conditionalFormatting>
  <conditionalFormatting sqref="AA20:AA220">
    <cfRule type="expression" priority="19" dxfId="6">
      <formula>AND(LEN($B20&amp;$C20&amp;$D20&amp;$E20&amp;$F20&amp;$G20&amp;$H20&amp;$I20&amp;$J20&amp;$K20&amp;$L20&amp;$M20&amp;$N20&amp;$O20&amp;$P20&amp;$Q20&amp;$R20&amp;$S20&amp;$T20&amp;$U20&amp;$V20&amp;$W20&amp;$X20&amp;$Y20&amp;$Z20&amp;$AA20&amp;$AB20&amp;$AC20&amp;$AD20&amp;$AE20&amp;$AF20&amp;$AG20&amp;$AH20&amp;$AI20&amp;$AJ20&amp;$AK20&amp;$AL20&amp;$AM20)&gt;0,AA20="")</formula>
    </cfRule>
  </conditionalFormatting>
  <conditionalFormatting sqref="AB20:AB220">
    <cfRule type="expression" priority="20" dxfId="6">
      <formula>AND(LEN($B20&amp;$C20&amp;$D20&amp;$E20&amp;$F20&amp;$G20&amp;$H20&amp;$I20&amp;$J20&amp;$K20&amp;$L20&amp;$M20&amp;$N20&amp;$O20&amp;$P20&amp;$Q20&amp;$R20&amp;$S20&amp;$T20&amp;$U20&amp;$V20&amp;$W20&amp;$X20&amp;$Y20&amp;$Z20&amp;$AA20&amp;$AB20&amp;$AC20&amp;$AD20&amp;$AE20&amp;$AF20&amp;$AG20&amp;$AH20&amp;$AI20&amp;$AJ20&amp;$AK20&amp;$AL20&amp;$AM20)&gt;0,AB20="")</formula>
    </cfRule>
  </conditionalFormatting>
  <conditionalFormatting sqref="AC20:AC220">
    <cfRule type="expression" priority="21" dxfId="6">
      <formula>AND(LEN($B20&amp;$C20&amp;$D20&amp;$E20&amp;$F20&amp;$G20&amp;$H20&amp;$I20&amp;$J20&amp;$K20&amp;$L20&amp;$M20&amp;$N20&amp;$O20&amp;$P20&amp;$Q20&amp;$R20&amp;$S20&amp;$T20&amp;$U20&amp;$V20&amp;$W20&amp;$X20&amp;$Y20&amp;$Z20&amp;$AA20&amp;$AB20&amp;$AC20&amp;$AD20&amp;$AE20&amp;$AF20&amp;$AG20&amp;$AH20&amp;$AI20&amp;$AJ20&amp;$AK20&amp;$AL20&amp;$AM20)&gt;0,AC20="")</formula>
    </cfRule>
  </conditionalFormatting>
  <conditionalFormatting sqref="AD20:AD220">
    <cfRule type="expression" priority="22" dxfId="6">
      <formula>AND(LEN($B20&amp;$C20&amp;$D20&amp;$E20&amp;$F20&amp;$G20&amp;$H20&amp;$I20&amp;$J20&amp;$K20&amp;$L20&amp;$M20&amp;$N20&amp;$O20&amp;$P20&amp;$Q20&amp;$R20&amp;$S20&amp;$T20&amp;$U20&amp;$V20&amp;$W20&amp;$X20&amp;$Y20&amp;$Z20&amp;$AA20&amp;$AB20&amp;$AC20&amp;$AD20&amp;$AE20&amp;$AF20&amp;$AG20&amp;$AH20&amp;$AI20&amp;$AJ20&amp;$AK20&amp;$AL20&amp;$AM20)&gt;0,AD20="")</formula>
    </cfRule>
  </conditionalFormatting>
  <conditionalFormatting sqref="AE20:AE220">
    <cfRule type="expression" priority="23" dxfId="6">
      <formula>AND(LEN($B20&amp;$C20&amp;$D20&amp;$E20&amp;$F20&amp;$G20&amp;$H20&amp;$I20&amp;$J20&amp;$K20&amp;$L20&amp;$M20&amp;$N20&amp;$O20&amp;$P20&amp;$Q20&amp;$R20&amp;$S20&amp;$T20&amp;$U20&amp;$V20&amp;$W20&amp;$X20&amp;$Y20&amp;$Z20&amp;$AA20&amp;$AB20&amp;$AC20&amp;$AD20&amp;$AE20&amp;$AF20&amp;$AG20&amp;$AH20&amp;$AI20&amp;$AJ20&amp;$AK20&amp;$AL20&amp;$AM20)&gt;0,AE20="")</formula>
    </cfRule>
  </conditionalFormatting>
  <conditionalFormatting sqref="AG20:AG220">
    <cfRule type="expression" priority="24" dxfId="6">
      <formula>AND(LEN($B20&amp;$C20&amp;$D20&amp;$E20&amp;$F20&amp;$G20&amp;$H20&amp;$I20&amp;$J20&amp;$K20&amp;$L20&amp;$M20&amp;$N20&amp;$O20&amp;$P20&amp;$Q20&amp;$R20&amp;$S20&amp;$T20&amp;$U20&amp;$V20&amp;$W20&amp;$X20&amp;$Y20&amp;$Z20&amp;$AA20&amp;$AB20&amp;$AC20&amp;$AD20&amp;$AE20&amp;$AF20&amp;$AG20&amp;$AH20&amp;$AI20&amp;$AJ20&amp;$AK20&amp;$AL20&amp;$AM20)&gt;0,AG20="")</formula>
    </cfRule>
  </conditionalFormatting>
  <conditionalFormatting sqref="AH20:AH220">
    <cfRule type="expression" priority="25" dxfId="6">
      <formula>AND(LEN($B20&amp;$C20&amp;$D20&amp;$E20&amp;$F20&amp;$G20&amp;$H20&amp;$I20&amp;$J20&amp;$K20&amp;$L20&amp;$M20&amp;$N20&amp;$O20&amp;$P20&amp;$Q20&amp;$R20&amp;$S20&amp;$T20&amp;$U20&amp;$V20&amp;$W20&amp;$X20&amp;$Y20&amp;$Z20&amp;$AA20&amp;$AB20&amp;$AC20&amp;$AD20&amp;$AE20&amp;$AF20&amp;$AG20&amp;$AH20&amp;$AI20&amp;$AJ20&amp;$AK20&amp;$AL20&amp;$AM20)&gt;0,AH20="")</formula>
    </cfRule>
  </conditionalFormatting>
  <dataValidations count="4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AM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invoice_no" error="At most 40 characters." promptTitle="legacy_invoice_no" prompt="Yes. Invoice number in the source system Allowed: Free entry, up to 40 characters" type="textLength" operator="lessThanOrEqual">
      <formula1>40</formula1>
    </dataValidation>
    <dataValidation sqref="C20:C220" showDropDown="0" showInputMessage="1" showErrorMessage="1" allowBlank="1" errorTitle="invoice_kind" error="Choose a value of the list F01 invoice_kind (sheet Reference lists)." promptTitle="invoice_kind" prompt="Yes. Kind of invoice Allowed: BOOKING, ENDORSEMENT_PLUS, ENDORSEMENT_MINUS, CANCELLATION (list F01 invoice_kind)" type="list" errorStyle="stop">
      <formula1>=LIST_F01_INVOICE_KIND</formula1>
    </dataValidation>
    <dataValidation sqref="D20:D220" showDropDown="0" showInputMessage="1" showErrorMessage="1" allowBlank="1" errorTitle="parent_invoice_no" error="At most 40 characters." promptTitle="parent_invoice_no" prompt="Conditional: Mandatory for ENDORSEMENT_PLUS, ENDORSEMENT_MINUS and CANCELLATION; parent in the file or loaded. Original invoice of an endorsement or cancellation invoice Allowed: legacy_invoice_no values" type="textLength" operator="lessThanOrEqual">
      <formula1>40</formula1>
    </dataValidation>
    <dataValidation sqref="E20:E220" showDropDown="0" showInputMessage="1" showErrorMessage="1" allowBlank="1" errorTitle="endorsement_no" error="At most 40 characters." promptTitle="endorsement_no" prompt="No. Legacy endorsement number Allowed: Free entry, up to 40 characters" type="textLength" operator="lessThanOrEqual">
      <formula1>40</formula1>
    </dataValidation>
    <dataValidation sqref="F20:F220" showDropDown="0" showInputMessage="1" showErrorMessage="1" allowBlank="1" errorTitle="legacy_policy_ref" error="At most 60 characters." promptTitle="legacy_policy_ref" prompt="Conditional: Mandatory when P01 is in scope; exists in P01. Legacy reference of the policy term Allowed: legacy_policy_ref of P01" type="textLength" operator="lessThanOrEqual">
      <formula1>60</formula1>
    </dataValidation>
    <dataValidation sqref="G20:G220" showDropDown="0" showInputMessage="1" showErrorMessage="1" allowBlank="1" errorTitle="policy_no" error="At most 60 characters." promptTitle="policy_no" prompt="Yes. Insurer policy number Allowed: Free entry, up to 60 characters" type="textLength" operator="lessThanOrEqual">
      <formula1>60</formula1>
    </dataValidation>
    <dataValidation sqref="H20:H220" showDropDown="0" showInputMessage="1" showErrorMessage="1" allowBlank="1" errorTitle="policy_year" error="Enter a whole number." promptTitle="policy_year" prompt="No. Year of a multi-year policy Allowed: A whole number" type="whole" operator="greaterThanOrEqual">
      <formula1>-1E+15</formula1>
    </dataValidation>
    <dataValidation sqref="I20:I220" showDropDown="0" showInputMessage="1" showErrorMessage="1" allowBlank="1" errorTitle="legacy_client_no" error="At most 30 characters." promptTitle="legacy_client_no" prompt="Yes. Client number of the assured Allowed: legacy_client_no of C01" type="textLength" operator="lessThanOrEqual">
      <formula1>30</formula1>
    </dataValidation>
    <dataValidation sqref="J20:J220" showDropDown="0" showInputMessage="1" showErrorMessage="1" allowBlank="1" errorTitle="assured_name" error="At most 250 characters." promptTitle="assured_name" prompt="Yes. Assured name on the invoice Allowed: Free entry, up to 250 characters" type="textLength" operator="lessThanOrEqual">
      <formula1>250</formula1>
    </dataValidation>
    <dataValidation sqref="K20:K220" showDropDown="0" showInputMessage="1" showErrorMessage="1" allowBlank="1" errorTitle="payor_name" error="At most 250 characters." promptTitle="payor_name" prompt="No. Payor if not the assured Allowed: Free entry, up to 250 characters" type="textLength" operator="lessThanOrEqual">
      <formula1>250</formula1>
    </dataValidation>
    <dataValidation sqref="L20:L220" showDropDown="0" showInputMessage="1" showErrorMessage="1" allowBlank="1" errorTitle="currency" error="At most 3 characters." promptTitle="currency" prompt="Yes. Invoice currency Allowed: ISO 4217" type="textLength" operator="lessThanOrEqual">
      <formula1>3</formula1>
    </dataValidation>
    <dataValidation sqref="M20:M220" showDropDown="0" showInputMessage="1" showErrorMessage="1" allowBlank="1" errorTitle="booking_fx_rate" error="Enter a number." promptTitle="booking_fx_rate" prompt="Conditional: Mandatory when currency is not PHP. Exchange rate used at booking (foreign currency) Allowed: A number" type="decimal" operator="greaterThanOrEqual">
      <formula1>-1E+15</formula1>
    </dataValidation>
    <dataValidation sqref="N20:N220" showDropDown="0" showInputMessage="1" showErrorMessage="0" allowBlank="1" promptTitle="booking_date" prompt="Yes. Legacy booking date"/>
    <dataValidation sqref="O20:O220" showDropDown="0" showInputMessage="1" showErrorMessage="0" allowBlank="1" promptTitle="invoice_date" prompt="Yes. Invoice date"/>
    <dataValidation sqref="P20:P220" showDropDown="0" showInputMessage="1" showErrorMessage="0" allowBlank="1" promptTitle="due_date" prompt="Yes. Due date"/>
    <dataValidation sqref="Q20:Q220" showDropDown="0" showInputMessage="1" showErrorMessage="0" allowBlank="1" promptTitle="inception_date" prompt="Yes. Period from"/>
    <dataValidation sqref="R20:R220" showDropDown="0" showInputMessage="1" showErrorMessage="0" allowBlank="1" promptTitle="expiry_date" prompt="Yes. Period to"/>
    <dataValidation sqref="S20:S220" showDropDown="0" showInputMessage="1" showErrorMessage="1" allowBlank="1" errorTitle="risk_code" error="At most 20 characters." promptTitle="risk_code" prompt="Yes. Product / risk code Allowed: The legacy code; mapped by the code map PRODUCT (sheet Code maps)" type="textLength" operator="lessThanOrEqual">
      <formula1>20</formula1>
    </dataValidation>
    <dataValidation sqref="T20:T220" showDropDown="0" showInputMessage="1" showErrorMessage="1" allowBlank="1" errorTitle="line_code" error="At most 30 characters." promptTitle="line_code" prompt="Yes. Line of business Allowed: The legacy code; mapped by the code map LINE (sheet Code maps)" type="textLength" operator="lessThanOrEqual">
      <formula1>30</formula1>
    </dataValidation>
    <dataValidation sqref="U20:U220" showDropDown="0" showInputMessage="1" showErrorMessage="1" allowBlank="1" errorTitle="market_segment" error="At most 40 characters." promptTitle="market_segment" prompt="Yes. Market segment Allowed: The legacy code; mapped by the code map LOV:MARKET_SEGMENT (sheet Code maps)" type="textLength" operator="lessThanOrEqual">
      <formula1>40</formula1>
    </dataValidation>
    <dataValidation sqref="V20:V220" showDropDown="0" showInputMessage="1" showErrorMessage="1" allowBlank="1" errorTitle="ao_user_id" error="At most 50 characters." promptTitle="ao_user_id" prompt="Yes. Account officer Allowed: The legacy code; mapped by the code map USER (sheet Code maps)" type="textLength" operator="lessThanOrEqual">
      <formula1>50</formula1>
    </dataValidation>
    <dataValidation sqref="W20:W220" showDropDown="0" showInputMessage="1" showErrorMessage="1" allowBlank="1" errorTitle="sales_unit_code" error="At most 20 characters." promptTitle="sales_unit_code" prompt="Yes. Sales team Allowed: The legacy code; mapped by the code map SALES_UNIT (sheet Code maps)" type="textLength" operator="lessThanOrEqual">
      <formula1>20</formula1>
    </dataValidation>
    <dataValidation sqref="X20:X220" showDropDown="0" showInputMessage="1" showErrorMessage="1" allowBlank="1" errorTitle="branch_code" error="At most 20 characters." promptTitle="branch_code" prompt="Yes. Invoicing branch Allowed: The legacy code; mapped by the code map BRANCH (sheet Code maps)" type="textLength" operator="lessThanOrEqual">
      <formula1>20</formula1>
    </dataValidation>
    <dataValidation sqref="Y20:Y220" showDropDown="0" showInputMessage="1" showErrorMessage="1" allowBlank="1" errorTitle="cost_center" error="At most 20 characters." promptTitle="cost_center" prompt="No. Cost centre Allowed: The legacy code; mapped by the code map COST_CENTER (sheet Code maps)" type="textLength" operator="lessThanOrEqual">
      <formula1>20</formula1>
    </dataValidation>
    <dataValidation sqref="Z20:Z220" showDropDown="0" showInputMessage="1" showErrorMessage="1" allowBlank="1" errorTitle="pn_nos" error="At most 500 characters." promptTitle="pn_nos" prompt="No. Loan PN numbers, separated by semicolons Allowed: Free entry, up to 500 characters" type="textLength" operator="lessThanOrEqual">
      <formula1>500</formula1>
    </dataValidation>
    <dataValidation sqref="AA20:AA220" showDropDown="0" showInputMessage="1" showErrorMessage="1" allowBlank="1" errorTitle="gross_premium" error="Enter a number." promptTitle="gross_premium" prompt="Yes. Gross premium of the invoice (sum of the six premium components) Allowed: A number" type="decimal" operator="greaterThanOrEqual">
      <formula1>-1E+15</formula1>
    </dataValidation>
    <dataValidation sqref="AB20:AB220" showDropDown="0" showInputMessage="1" showErrorMessage="1" allowBlank="1" errorTitle="commission" error="Enter a number." promptTitle="commission" prompt="Yes. Commission of the invoice Allowed: A number" type="decimal" operator="greaterThanOrEqual">
      <formula1>-1E+15</formula1>
    </dataValidation>
    <dataValidation sqref="AC20:AC220" showDropDown="0" showInputMessage="1" showErrorMessage="1" allowBlank="1" errorTitle="vat_on_commission" error="Enter a number." promptTitle="vat_on_commission" prompt="Yes. VAT on commission Allowed: A number" type="decimal" operator="greaterThanOrEqual">
      <formula1>-1E+15</formula1>
    </dataValidation>
    <dataValidation sqref="AD20:AD220" showDropDown="0" showInputMessage="1" showErrorMessage="1" allowBlank="1" errorTitle="wtax_rate_pct" error="Enter a number." promptTitle="wtax_rate_pct" prompt="Yes. Withholding tax rate on commission, in percent Allowed: A number" type="decimal" operator="greaterThanOrEqual">
      <formula1>-1E+15</formula1>
    </dataValidation>
    <dataValidation sqref="AE20:AE220" showDropDown="0" showInputMessage="1" showErrorMessage="1" allowBlank="1" errorTitle="commission_realised" error="Enter a number." promptTitle="commission_realised" prompt="Yes. Commission already realised (recognised as income) in legacy Allowed: A number" type="decimal" operator="greaterThanOrEqual">
      <formula1>-1E+15</formula1>
    </dataValidation>
    <dataValidation sqref="AF20:AF220" showDropDown="0" showInputMessage="1" showErrorMessage="1" allowBlank="1" errorTitle="deferred_vat_open" error="Enter a number." promptTitle="deferred_vat_open" prompt="No. Output VAT on commission still deferred Allowed: A number" type="decimal" operator="greaterThanOrEqual">
      <formula1>-1E+15</formula1>
    </dataValidation>
    <dataValidation sqref="AG20:AG220" showDropDown="0" showInputMessage="1" showErrorMessage="1" allowBlank="1" errorTitle="dp_flag" error="Choose a value of the list Yes or no (sheet Reference lists)." promptTitle="dp_flag" prompt="Yes. Direct-payment invoice (premium paid to the insurer) Allowed: Y or N" type="list" errorStyle="stop">
      <formula1>=LIST_YES_NO</formula1>
    </dataValidation>
    <dataValidation sqref="AH20:AH220" showDropDown="0" showInputMessage="1" showErrorMessage="1" allowBlank="1" errorTitle="cwt_flag" error="Choose a value of the list Yes or no (sheet Reference lists)." promptTitle="cwt_flag" prompt="Yes. Client withholds 2% (BIR 2307) Allowed: Y or N" type="list" errorStyle="stop">
      <formula1>=LIST_YES_NO</formula1>
    </dataValidation>
    <dataValidation sqref="AI20:AI220" showDropDown="0" showInputMessage="1" showErrorMessage="1" allowBlank="1" errorTitle="incentive_eligible_flag" error="Choose a value of the list Yes or no (sheet Reference lists)." promptTitle="incentive_eligible_flag" prompt="No. Counts for incentive programmes Allowed: Y or N" type="list" errorStyle="stop">
      <formula1>=LIST_YES_NO</formula1>
    </dataValidation>
    <dataValidation sqref="AJ20:AJ220" showDropDown="0" showInputMessage="1" showErrorMessage="1" allowBlank="1" errorTitle="hold_flag" error="Choose a value of the list Yes or no (sheet Reference lists)." promptTitle="hold_flag" prompt="No. Remittance on hold in legacy Allowed: Y or N" type="list" errorStyle="stop">
      <formula1>=LIST_YES_NO</formula1>
    </dataValidation>
    <dataValidation sqref="AK20:AK220" showDropDown="0" showInputMessage="1" showErrorMessage="1" allowBlank="1" errorTitle="legacy_service_invoice_no" error="At most 40 characters." promptTitle="legacy_service_invoice_no" prompt="No. Legacy service invoice issued for the commission Allowed: Free entry, up to 40 characters" type="textLength" operator="lessThanOrEqual">
      <formula1>40</formula1>
    </dataValidation>
    <dataValidation sqref="AL20:AL220" showDropDown="0" showInputMessage="1" showErrorMessage="0" allowBlank="1" promptTitle="last_payment_date" prompt="No. Date of the last payment applied in legacy"/>
    <dataValidation sqref="AM20:AM220" showDropDown="0" showInputMessage="1" showErrorMessage="1" allowBlank="1" errorTitle="remarks" error="At most 500 characters." promptTitle="remarks" prompt="No. Legacy remarks Allowed: Free entry, up to 500 characters" type="textLength" operator="lessThanOrEqual">
      <formula1>500</formula1>
    </dataValidation>
  </dataValidations>
  <hyperlinks>
    <hyperlink ref="A2" location="'Load templates'!A1"/>
    <hyperlink ref="AM2" location="'Comments log'!A1"/>
    <hyperlink ref="B8" location="'C01 Client master'!A1"/>
    <hyperlink ref="D8" location="'C02 Client addresses and contac'!A1"/>
    <hyperlink ref="F8" location="'R04 Insurers'!A1"/>
    <hyperlink ref="H8" location="'R04B Insurer branches'!A1"/>
    <hyperlink ref="J8" location="'R05 Product lines, cover types,'!A1"/>
    <hyperlink ref="L8" location="'P01 In-force policy headers'!A1"/>
    <hyperlink ref="N8" location="'P01S Policy insurer shares'!A1"/>
    <hyperlink ref="C17" location="'Reference lists'!A61"/>
    <hyperlink ref="S17" location="'Code maps'!A1"/>
    <hyperlink ref="T17" location="'Code maps'!A1"/>
    <hyperlink ref="U17" location="'Code maps'!A1"/>
    <hyperlink ref="V17" location="'Code maps'!A1"/>
    <hyperlink ref="W17" location="'Code maps'!A1"/>
    <hyperlink ref="X17" location="'Code maps'!A1"/>
    <hyperlink ref="Y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7.xml><?xml version="1.0" encoding="utf-8"?>
<worksheet xmlns="http://schemas.openxmlformats.org/spreadsheetml/2006/main">
  <sheetPr>
    <tabColor rgb="00004EA8"/>
    <outlinePr summaryBelow="0" summaryRight="1"/>
    <pageSetUpPr fitToPage="1"/>
  </sheetPr>
  <dimension ref="A1:I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4" customWidth="1" min="3" max="3"/>
    <col width="27.27272727272727" customWidth="1" min="4" max="4"/>
    <col width="19.54545454545454" customWidth="1" min="5" max="5"/>
    <col width="19.54545454545454" customWidth="1" min="6" max="6"/>
    <col width="19.54545454545454" customWidth="1" min="7" max="7"/>
    <col width="19.54545454545454" customWidth="1" min="8" max="8"/>
    <col width="19.54545454545454" customWidth="1" min="9" max="9"/>
  </cols>
  <sheetData>
    <row r="1" ht="26" customHeight="1">
      <c r="A1" s="44" t="inlineStr">
        <is>
          <t>F01C Open legacy invoices - components and positions</t>
        </is>
      </c>
      <c r="I1" s="45" t="inlineStr">
        <is>
          <t>Step 18 of 29</t>
        </is>
      </c>
    </row>
    <row r="2">
      <c r="A2" s="46" t="inlineStr">
        <is>
          <t>← Back to Load templates</t>
        </is>
      </c>
      <c r="B2" s="47" t="inlineStr">
        <is>
          <t>Step 18 of 29. Fill in one row per record below the column headers; the guide above each column says what to enter.</t>
        </is>
      </c>
      <c r="I2" s="48" t="inlineStr">
        <is>
          <t>Ask a question →</t>
        </is>
      </c>
    </row>
    <row r="3" outlineLevel="1" ht="40.5" customHeight="1">
      <c r="A3" s="49" t="inlineStr">
        <is>
          <t>Purpose</t>
        </is>
      </c>
      <c r="B3" s="50" t="inlineStr">
        <is>
          <t>One row per record of Open legacy invoices (premium receivable, paid not remitted, commission receivable, PR2307), with components and insurer shares as extracted from EBIX, QPS. Key legacy_invoice_no, component. Sent as the file F01C_template.csv (CSV, header row as below) with its control file (row count, row count; amount totals per currency: booked, adjusted, paid, remitted, written_off, open_balance).</t>
        </is>
      </c>
    </row>
    <row r="4" outlineLevel="1" ht="15.5" customHeight="1">
      <c r="A4" s="49" t="inlineStr">
        <is>
          <t>Provided by</t>
        </is>
      </c>
      <c r="B4" s="50" t="inlineStr">
        <is>
          <t>Operations data steward (to name); approved by Operations - Financial Transactions; Head, Comptrollership; extracted by BDOI IT</t>
        </is>
      </c>
    </row>
    <row r="5" outlineLevel="1" ht="15.5" customHeight="1">
      <c r="A5" s="49" t="inlineStr">
        <is>
          <t>Due</t>
        </is>
      </c>
      <c r="B5" s="51" t="inlineStr">
        <is>
          <t>M3 (29 Jan 2027); final at T-2</t>
        </is>
      </c>
    </row>
    <row r="6" outlineLevel="1" ht="28" customHeight="1">
      <c r="A6" s="49" t="inlineStr">
        <is>
          <t>How it is loaded</t>
        </is>
      </c>
      <c r="B6" s="50" t="inlineStr">
        <is>
          <t>Data migration object F01 (Carry forward), layout F01C version 1, through the Migration Console; lands in: Operations invoice ledger (invoices, insurer shares, components) with an opening accounting entry on the legacy sub-ledgers</t>
        </is>
      </c>
    </row>
    <row r="7" outlineLevel="1" ht="15.5" customHeight="1">
      <c r="A7" s="49" t="inlineStr">
        <is>
          <t>Source</t>
        </is>
      </c>
      <c r="B7" s="50" t="inlineStr">
        <is>
          <t>EBIX, QPS</t>
        </is>
      </c>
    </row>
    <row r="8" outlineLevel="1" ht="26" customHeight="1">
      <c r="A8" s="49" t="inlineStr">
        <is>
          <t>Depends on</t>
        </is>
      </c>
      <c r="B8" s="68" t="inlineStr">
        <is>
          <t>F01 Open legacy invoices - header →</t>
        </is>
      </c>
      <c r="D8" s="68" t="inlineStr">
        <is>
          <t>C01 Client master →</t>
        </is>
      </c>
      <c r="E8" s="68" t="inlineStr">
        <is>
          <t>C02 Client addresses and contacts →</t>
        </is>
      </c>
      <c r="G8" s="68" t="inlineStr">
        <is>
          <t>R04 Insurers →</t>
        </is>
      </c>
      <c r="I8" s="68" t="inlineStr">
        <is>
          <t>R04B Insurer branches →</t>
        </is>
      </c>
    </row>
    <row r="9" ht="26" customHeight="1">
      <c r="A9" s="53" t="inlineStr">
        <is>
          <t>Progress</t>
        </is>
      </c>
      <c r="B9" s="54" t="inlineStr">
        <is>
          <t>Rows entered</t>
        </is>
      </c>
      <c r="C9" s="55">
        <f>SUMPRODUCT(((ROW($B$20:$B$220)&gt;20)+($B$20&lt;&gt;"I00123456")&gt;0)*(LEN($B$20:$B$220&amp;$C$20:$C$220&amp;$D$20:$D$220&amp;$E$20:$E$220&amp;$F$20:$F$220&amp;$G$20:$G$220&amp;$H$20:$H$220&amp;$I$20:$I$220)&gt;0))</f>
        <v/>
      </c>
      <c r="D9" s="54" t="inlineStr">
        <is>
          <t>Mandatory cells missing</t>
        </is>
      </c>
      <c r="E9" s="55">
        <f>SUMPRODUCT(((ROW($B$20:$B$220)&gt;20)+($B$20&lt;&gt;"I00123456")&gt;0)*(LEN($B$20:$B$220&amp;$C$20:$C$220&amp;$D$20:$D$220&amp;$E$20:$E$220&amp;$F$20:$F$220&amp;$G$20:$G$220&amp;$H$20:$H$220&amp;$I$20:$I$220)&gt;0)*(($B$20:$B$220="")+($C$20:$C$220="")+($D$20:$D$220="")+($E$20:$E$220="")+($F$20:$F$220="")+($G$20:$G$220="")+($H$20:$H$220="")+($I$20:$I$220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row>
    <row r="12" ht="30" customHeight="1">
      <c r="A12" s="59" t="inlineStr">
        <is>
          <t>BU review</t>
        </is>
      </c>
      <c r="B12" s="60" t="n"/>
      <c r="C12" s="60" t="n"/>
      <c r="D12" s="60" t="n"/>
      <c r="E12" s="60" t="n"/>
      <c r="F12" s="60" t="n"/>
      <c r="G12" s="60" t="n"/>
      <c r="H12" s="60" t="n"/>
      <c r="I12" s="60" t="n"/>
    </row>
    <row r="13" ht="30" customHeight="1">
      <c r="A13" s="59" t="inlineStr">
        <is>
          <t>BU comment</t>
        </is>
      </c>
      <c r="B13" s="60" t="n"/>
      <c r="C13" s="60" t="n"/>
      <c r="D13" s="60" t="n"/>
      <c r="E13" s="60" t="n"/>
      <c r="F13" s="60" t="n"/>
      <c r="G13" s="60" t="n"/>
      <c r="H13" s="60" t="n"/>
      <c r="I13" s="60" t="n"/>
    </row>
    <row r="14" ht="121" customHeight="1">
      <c r="A14" s="59" t="inlineStr">
        <is>
          <t>Check when loaded</t>
        </is>
      </c>
      <c r="B14" s="61" t="inlineStr">
        <is>
          <t>Exists in F01</t>
        </is>
      </c>
      <c r="C14" s="61" t="inlineStr">
        <is>
          <t>In the list; one row per component and invoice</t>
        </is>
      </c>
      <c r="D14" s="61" t="inlineStr">
        <is>
          <t>Same sign as the invoice</t>
        </is>
      </c>
      <c r="E14" s="61" t="inlineStr">
        <is>
          <t>-</t>
        </is>
      </c>
      <c r="F14" s="61" t="inlineStr">
        <is>
          <t>0 for DTIP, COMMISSION, COMMISSION_VAT, WTAX</t>
        </is>
      </c>
      <c r="G14" s="61" t="inlineStr">
        <is>
          <t>0 for premium components</t>
        </is>
      </c>
      <c r="H14" s="61" t="inlineStr">
        <is>
          <t>-</t>
        </is>
      </c>
      <c r="I14" s="61" t="inlineStr">
        <is>
          <t>Premium components and PR2307 = booked + adjusted - paid - written_off; DTIP, COMMISSION, COMMISSION_VAT, WTAX = booked + adjusted - remitted - written_off; within 0 and booked + adjusted</t>
        </is>
      </c>
    </row>
    <row r="15" ht="17" customHeight="1">
      <c r="A15" s="59" t="inlineStr">
        <is>
          <t>Mandatory</t>
        </is>
      </c>
      <c r="B15" s="62" t="inlineStr">
        <is>
          <t>Yes</t>
        </is>
      </c>
      <c r="C15" s="62" t="inlineStr">
        <is>
          <t>Yes</t>
        </is>
      </c>
      <c r="D15" s="62" t="inlineStr">
        <is>
          <t>Yes</t>
        </is>
      </c>
      <c r="E15" s="62" t="inlineStr">
        <is>
          <t>Yes</t>
        </is>
      </c>
      <c r="F15" s="62" t="inlineStr">
        <is>
          <t>Yes</t>
        </is>
      </c>
      <c r="G15" s="62" t="inlineStr">
        <is>
          <t>Yes</t>
        </is>
      </c>
      <c r="H15" s="62" t="inlineStr">
        <is>
          <t>Yes</t>
        </is>
      </c>
      <c r="I15" s="62" t="inlineStr">
        <is>
          <t>Yes</t>
        </is>
      </c>
    </row>
    <row r="16" ht="43" customHeight="1">
      <c r="A16" s="59" t="inlineStr">
        <is>
          <t>Format</t>
        </is>
      </c>
      <c r="B16" s="61" t="inlineStr">
        <is>
          <t>Code, up to 40; As in F01</t>
        </is>
      </c>
      <c r="C16" s="61" t="inlineStr">
        <is>
          <t>Code, up to 20; Upper case</t>
        </is>
      </c>
      <c r="D16" s="61" t="inlineStr">
        <is>
          <t>Amount, up to 19,2; Dot decimal, 2 decimals; minus for return invoices</t>
        </is>
      </c>
      <c r="E16" s="61" t="inlineStr">
        <is>
          <t>Amount, up to 19,2; Dot decimal, 2 decimals</t>
        </is>
      </c>
      <c r="F16" s="61" t="inlineStr">
        <is>
          <t>Amount, up to 19,2; Dot decimal, 2 decimals</t>
        </is>
      </c>
      <c r="G16" s="61" t="inlineStr">
        <is>
          <t>Amount, up to 19,2; Dot decimal, 2 decimals</t>
        </is>
      </c>
      <c r="H16" s="61" t="inlineStr">
        <is>
          <t>Amount, up to 19,2; Dot decimal, 2 decimals</t>
        </is>
      </c>
      <c r="I16" s="61" t="inlineStr">
        <is>
          <t>Amount, up to 19,2; Dot decimal, 2 decimals</t>
        </is>
      </c>
    </row>
    <row r="17" ht="56" customHeight="1">
      <c r="A17" s="59" t="inlineStr">
        <is>
          <t>Allowed values</t>
        </is>
      </c>
      <c r="B17" s="61" t="inlineStr">
        <is>
          <t>legacy_invoice_no of F01</t>
        </is>
      </c>
      <c r="C17" s="69" t="inlineStr">
        <is>
          <t>List F01C component: 11 values, see Reference lists</t>
        </is>
      </c>
      <c r="D17" s="61" t="inlineStr">
        <is>
          <t>A number</t>
        </is>
      </c>
      <c r="E17" s="61" t="inlineStr">
        <is>
          <t>A number</t>
        </is>
      </c>
      <c r="F17" s="61" t="inlineStr">
        <is>
          <t>A number</t>
        </is>
      </c>
      <c r="G17" s="61" t="inlineStr">
        <is>
          <t>A number</t>
        </is>
      </c>
      <c r="H17" s="61" t="inlineStr">
        <is>
          <t>A number</t>
        </is>
      </c>
      <c r="I17" s="61" t="inlineStr">
        <is>
          <t>A number</t>
        </is>
      </c>
    </row>
    <row r="18" ht="56" customHeight="1">
      <c r="A18" s="59" t="inlineStr">
        <is>
          <t>What to enter</t>
        </is>
      </c>
      <c r="B18" s="61" t="inlineStr">
        <is>
          <t>Invoice number in the source system</t>
        </is>
      </c>
      <c r="C18" s="61" t="inlineStr">
        <is>
          <t>Premium or settlement component</t>
        </is>
      </c>
      <c r="D18" s="61" t="inlineStr">
        <is>
          <t>Amount booked in legacy</t>
        </is>
      </c>
      <c r="E18" s="61" t="inlineStr">
        <is>
          <t>Net legacy adjustments kept on the same invoice</t>
        </is>
      </c>
      <c r="F18" s="61" t="inlineStr">
        <is>
          <t>Paid by the client before cutover (premium components and PR2307)</t>
        </is>
      </c>
      <c r="G18" s="61" t="inlineStr">
        <is>
          <t>Settled with the insurer before cutover (DTIP, commission, VAT on commission, WTAX)</t>
        </is>
      </c>
      <c r="H18" s="61" t="inlineStr">
        <is>
          <t>Written off or DP-reversed before cutover</t>
        </is>
      </c>
      <c r="I18" s="61" t="inlineStr">
        <is>
          <t>Open balance at the freeze</t>
        </is>
      </c>
    </row>
    <row r="19" ht="30" customHeight="1">
      <c r="A19" s="63" t="inlineStr">
        <is>
          <t>Row</t>
        </is>
      </c>
      <c r="B19" s="24" t="inlineStr">
        <is>
          <t>legacy_invoice_no *</t>
        </is>
      </c>
      <c r="C19" s="24" t="inlineStr">
        <is>
          <t>component *</t>
        </is>
      </c>
      <c r="D19" s="24" t="inlineStr">
        <is>
          <t>booked *</t>
        </is>
      </c>
      <c r="E19" s="24" t="inlineStr">
        <is>
          <t>adjusted *</t>
        </is>
      </c>
      <c r="F19" s="24" t="inlineStr">
        <is>
          <t>paid *</t>
        </is>
      </c>
      <c r="G19" s="24" t="inlineStr">
        <is>
          <t>remitted *</t>
        </is>
      </c>
      <c r="H19" s="24" t="inlineStr">
        <is>
          <t>written_off *</t>
        </is>
      </c>
      <c r="I19" s="24" t="inlineStr">
        <is>
          <t>open_balance *</t>
        </is>
      </c>
    </row>
    <row r="20" ht="18" customHeight="1">
      <c r="A20" s="64" t="inlineStr">
        <is>
          <t>Example – overwrite or delete</t>
        </is>
      </c>
      <c r="B20" s="65" t="inlineStr">
        <is>
          <t>I00123456</t>
        </is>
      </c>
      <c r="C20" s="65" t="inlineStr">
        <is>
          <t>BASIC</t>
        </is>
      </c>
      <c r="D20" s="66" t="n">
        <v>21375</v>
      </c>
      <c r="E20" s="66" t="n">
        <v>0</v>
      </c>
      <c r="F20" s="66" t="n">
        <v>8550</v>
      </c>
      <c r="G20" s="66" t="n">
        <v>0</v>
      </c>
      <c r="H20" s="66" t="n">
        <v>0</v>
      </c>
      <c r="I20" s="66" t="n">
        <v>12825</v>
      </c>
    </row>
    <row r="21">
      <c r="B21" s="67" t="n"/>
      <c r="C21" s="67" t="n"/>
    </row>
    <row r="22">
      <c r="B22" s="67" t="n"/>
      <c r="C22" s="67" t="n"/>
    </row>
    <row r="23">
      <c r="B23" s="67" t="n"/>
      <c r="C23" s="67" t="n"/>
    </row>
    <row r="24">
      <c r="B24" s="67" t="n"/>
      <c r="C24" s="67" t="n"/>
    </row>
    <row r="25">
      <c r="B25" s="67" t="n"/>
      <c r="C25" s="67" t="n"/>
    </row>
    <row r="26">
      <c r="B26" s="67" t="n"/>
      <c r="C26" s="67" t="n"/>
    </row>
    <row r="27">
      <c r="B27" s="67" t="n"/>
      <c r="C27" s="67" t="n"/>
    </row>
    <row r="28">
      <c r="B28" s="67" t="n"/>
      <c r="C28" s="67" t="n"/>
    </row>
    <row r="29">
      <c r="B29" s="67" t="n"/>
      <c r="C29" s="67" t="n"/>
    </row>
    <row r="30">
      <c r="B30" s="67" t="n"/>
      <c r="C30" s="67" t="n"/>
    </row>
    <row r="31">
      <c r="B31" s="67" t="n"/>
      <c r="C31" s="67" t="n"/>
    </row>
    <row r="32">
      <c r="B32" s="67" t="n"/>
      <c r="C32" s="67" t="n"/>
    </row>
    <row r="33">
      <c r="B33" s="67" t="n"/>
      <c r="C33" s="67" t="n"/>
    </row>
    <row r="34">
      <c r="B34" s="67" t="n"/>
      <c r="C34" s="67" t="n"/>
    </row>
    <row r="35">
      <c r="B35" s="67" t="n"/>
      <c r="C35" s="67" t="n"/>
    </row>
    <row r="36">
      <c r="B36" s="67" t="n"/>
      <c r="C36" s="67" t="n"/>
    </row>
    <row r="37">
      <c r="B37" s="67" t="n"/>
      <c r="C37" s="67" t="n"/>
    </row>
    <row r="38">
      <c r="B38" s="67" t="n"/>
      <c r="C38" s="67" t="n"/>
    </row>
    <row r="39">
      <c r="B39" s="67" t="n"/>
      <c r="C39" s="67" t="n"/>
    </row>
    <row r="40">
      <c r="B40" s="67" t="n"/>
      <c r="C40" s="67" t="n"/>
    </row>
    <row r="41">
      <c r="B41" s="67" t="n"/>
      <c r="C41" s="67" t="n"/>
    </row>
    <row r="42">
      <c r="B42" s="67" t="n"/>
      <c r="C42" s="67" t="n"/>
    </row>
    <row r="43">
      <c r="B43" s="67" t="n"/>
      <c r="C43" s="67" t="n"/>
    </row>
    <row r="44">
      <c r="B44" s="67" t="n"/>
      <c r="C44" s="67" t="n"/>
    </row>
    <row r="45">
      <c r="B45" s="67" t="n"/>
      <c r="C45" s="67" t="n"/>
    </row>
    <row r="46">
      <c r="B46" s="67" t="n"/>
      <c r="C46" s="67" t="n"/>
    </row>
    <row r="47">
      <c r="B47" s="67" t="n"/>
      <c r="C47" s="67" t="n"/>
    </row>
    <row r="48">
      <c r="B48" s="67" t="n"/>
      <c r="C48" s="67" t="n"/>
    </row>
    <row r="49">
      <c r="B49" s="67" t="n"/>
      <c r="C49" s="67" t="n"/>
    </row>
    <row r="50">
      <c r="B50" s="67" t="n"/>
      <c r="C50" s="67" t="n"/>
    </row>
    <row r="51">
      <c r="B51" s="67" t="n"/>
      <c r="C51" s="67" t="n"/>
    </row>
    <row r="52">
      <c r="B52" s="67" t="n"/>
      <c r="C52" s="67" t="n"/>
    </row>
    <row r="53">
      <c r="B53" s="67" t="n"/>
      <c r="C53" s="67" t="n"/>
    </row>
    <row r="54">
      <c r="B54" s="67" t="n"/>
      <c r="C54" s="67" t="n"/>
    </row>
    <row r="55">
      <c r="B55" s="67" t="n"/>
      <c r="C55" s="67" t="n"/>
    </row>
    <row r="56">
      <c r="B56" s="67" t="n"/>
      <c r="C56" s="67" t="n"/>
    </row>
    <row r="57">
      <c r="B57" s="67" t="n"/>
      <c r="C57" s="67" t="n"/>
    </row>
    <row r="58">
      <c r="B58" s="67" t="n"/>
      <c r="C58" s="67" t="n"/>
    </row>
    <row r="59">
      <c r="B59" s="67" t="n"/>
      <c r="C59" s="67" t="n"/>
    </row>
    <row r="60">
      <c r="B60" s="67" t="n"/>
      <c r="C60" s="67" t="n"/>
    </row>
    <row r="61">
      <c r="B61" s="67" t="n"/>
      <c r="C61" s="67" t="n"/>
    </row>
    <row r="62">
      <c r="B62" s="67" t="n"/>
      <c r="C62" s="67" t="n"/>
    </row>
    <row r="63">
      <c r="B63" s="67" t="n"/>
      <c r="C63" s="67" t="n"/>
    </row>
    <row r="64">
      <c r="B64" s="67" t="n"/>
      <c r="C64" s="67" t="n"/>
    </row>
    <row r="65">
      <c r="B65" s="67" t="n"/>
      <c r="C65" s="67" t="n"/>
    </row>
    <row r="66">
      <c r="B66" s="67" t="n"/>
      <c r="C66" s="67" t="n"/>
    </row>
    <row r="67">
      <c r="B67" s="67" t="n"/>
      <c r="C67" s="67" t="n"/>
    </row>
    <row r="68">
      <c r="B68" s="67" t="n"/>
      <c r="C68" s="67" t="n"/>
    </row>
    <row r="69">
      <c r="B69" s="67" t="n"/>
      <c r="C69" s="67" t="n"/>
    </row>
    <row r="70">
      <c r="B70" s="67" t="n"/>
      <c r="C70" s="67" t="n"/>
    </row>
    <row r="71">
      <c r="B71" s="67" t="n"/>
      <c r="C71" s="67" t="n"/>
    </row>
    <row r="72">
      <c r="B72" s="67" t="n"/>
      <c r="C72" s="67" t="n"/>
    </row>
    <row r="73">
      <c r="B73" s="67" t="n"/>
      <c r="C73" s="67" t="n"/>
    </row>
    <row r="74">
      <c r="B74" s="67" t="n"/>
      <c r="C74" s="67" t="n"/>
    </row>
    <row r="75">
      <c r="B75" s="67" t="n"/>
      <c r="C75" s="67" t="n"/>
    </row>
    <row r="76">
      <c r="B76" s="67" t="n"/>
      <c r="C76" s="67" t="n"/>
    </row>
    <row r="77">
      <c r="B77" s="67" t="n"/>
      <c r="C77" s="67" t="n"/>
    </row>
    <row r="78">
      <c r="B78" s="67" t="n"/>
      <c r="C78" s="67" t="n"/>
    </row>
    <row r="79">
      <c r="B79" s="67" t="n"/>
      <c r="C79" s="67" t="n"/>
    </row>
    <row r="80">
      <c r="B80" s="67" t="n"/>
      <c r="C80" s="67" t="n"/>
    </row>
    <row r="81">
      <c r="B81" s="67" t="n"/>
      <c r="C81" s="67" t="n"/>
    </row>
    <row r="82">
      <c r="B82" s="67" t="n"/>
      <c r="C82" s="67" t="n"/>
    </row>
    <row r="83">
      <c r="B83" s="67" t="n"/>
      <c r="C83" s="67" t="n"/>
    </row>
    <row r="84">
      <c r="B84" s="67" t="n"/>
      <c r="C84" s="67" t="n"/>
    </row>
    <row r="85">
      <c r="B85" s="67" t="n"/>
      <c r="C85" s="67" t="n"/>
    </row>
    <row r="86">
      <c r="B86" s="67" t="n"/>
      <c r="C86" s="67" t="n"/>
    </row>
    <row r="87">
      <c r="B87" s="67" t="n"/>
      <c r="C87" s="67" t="n"/>
    </row>
    <row r="88">
      <c r="B88" s="67" t="n"/>
      <c r="C88" s="67" t="n"/>
    </row>
    <row r="89">
      <c r="B89" s="67" t="n"/>
      <c r="C89" s="67" t="n"/>
    </row>
    <row r="90">
      <c r="B90" s="67" t="n"/>
      <c r="C90" s="67" t="n"/>
    </row>
    <row r="91">
      <c r="B91" s="67" t="n"/>
      <c r="C91" s="67" t="n"/>
    </row>
    <row r="92">
      <c r="B92" s="67" t="n"/>
      <c r="C92" s="67" t="n"/>
    </row>
    <row r="93">
      <c r="B93" s="67" t="n"/>
      <c r="C93" s="67" t="n"/>
    </row>
    <row r="94">
      <c r="B94" s="67" t="n"/>
      <c r="C94" s="67" t="n"/>
    </row>
    <row r="95">
      <c r="B95" s="67" t="n"/>
      <c r="C95" s="67" t="n"/>
    </row>
    <row r="96">
      <c r="B96" s="67" t="n"/>
      <c r="C96" s="67" t="n"/>
    </row>
    <row r="97">
      <c r="B97" s="67" t="n"/>
      <c r="C97" s="67" t="n"/>
    </row>
    <row r="98">
      <c r="B98" s="67" t="n"/>
      <c r="C98" s="67" t="n"/>
    </row>
    <row r="99">
      <c r="B99" s="67" t="n"/>
      <c r="C99" s="67" t="n"/>
    </row>
    <row r="100">
      <c r="B100" s="67" t="n"/>
      <c r="C100" s="67" t="n"/>
    </row>
    <row r="101">
      <c r="B101" s="67" t="n"/>
      <c r="C101" s="67" t="n"/>
    </row>
    <row r="102">
      <c r="B102" s="67" t="n"/>
      <c r="C102" s="67" t="n"/>
    </row>
    <row r="103">
      <c r="B103" s="67" t="n"/>
      <c r="C103" s="67" t="n"/>
    </row>
    <row r="104">
      <c r="B104" s="67" t="n"/>
      <c r="C104" s="67" t="n"/>
    </row>
    <row r="105">
      <c r="B105" s="67" t="n"/>
      <c r="C105" s="67" t="n"/>
    </row>
    <row r="106">
      <c r="B106" s="67" t="n"/>
      <c r="C106" s="67" t="n"/>
    </row>
    <row r="107">
      <c r="B107" s="67" t="n"/>
      <c r="C107" s="67" t="n"/>
    </row>
    <row r="108">
      <c r="B108" s="67" t="n"/>
      <c r="C108" s="67" t="n"/>
    </row>
    <row r="109">
      <c r="B109" s="67" t="n"/>
      <c r="C109" s="67" t="n"/>
    </row>
    <row r="110">
      <c r="B110" s="67" t="n"/>
      <c r="C110" s="67" t="n"/>
    </row>
    <row r="111">
      <c r="B111" s="67" t="n"/>
      <c r="C111" s="67" t="n"/>
    </row>
    <row r="112">
      <c r="B112" s="67" t="n"/>
      <c r="C112" s="67" t="n"/>
    </row>
    <row r="113">
      <c r="B113" s="67" t="n"/>
      <c r="C113" s="67" t="n"/>
    </row>
    <row r="114">
      <c r="B114" s="67" t="n"/>
      <c r="C114" s="67" t="n"/>
    </row>
    <row r="115">
      <c r="B115" s="67" t="n"/>
      <c r="C115" s="67" t="n"/>
    </row>
    <row r="116">
      <c r="B116" s="67" t="n"/>
      <c r="C116" s="67" t="n"/>
    </row>
    <row r="117">
      <c r="B117" s="67" t="n"/>
      <c r="C117" s="67" t="n"/>
    </row>
    <row r="118">
      <c r="B118" s="67" t="n"/>
      <c r="C118" s="67" t="n"/>
    </row>
    <row r="119">
      <c r="B119" s="67" t="n"/>
      <c r="C119" s="67" t="n"/>
    </row>
    <row r="120">
      <c r="B120" s="67" t="n"/>
      <c r="C120" s="67" t="n"/>
    </row>
    <row r="121">
      <c r="B121" s="67" t="n"/>
      <c r="C121" s="67" t="n"/>
    </row>
    <row r="122">
      <c r="B122" s="67" t="n"/>
      <c r="C122" s="67" t="n"/>
    </row>
    <row r="123">
      <c r="B123" s="67" t="n"/>
      <c r="C123" s="67" t="n"/>
    </row>
    <row r="124">
      <c r="B124" s="67" t="n"/>
      <c r="C124" s="67" t="n"/>
    </row>
    <row r="125">
      <c r="B125" s="67" t="n"/>
      <c r="C125" s="67" t="n"/>
    </row>
    <row r="126">
      <c r="B126" s="67" t="n"/>
      <c r="C126" s="67" t="n"/>
    </row>
    <row r="127">
      <c r="B127" s="67" t="n"/>
      <c r="C127" s="67" t="n"/>
    </row>
    <row r="128">
      <c r="B128" s="67" t="n"/>
      <c r="C128" s="67" t="n"/>
    </row>
    <row r="129">
      <c r="B129" s="67" t="n"/>
      <c r="C129" s="67" t="n"/>
    </row>
    <row r="130">
      <c r="B130" s="67" t="n"/>
      <c r="C130" s="67" t="n"/>
    </row>
    <row r="131">
      <c r="B131" s="67" t="n"/>
      <c r="C131" s="67" t="n"/>
    </row>
    <row r="132">
      <c r="B132" s="67" t="n"/>
      <c r="C132" s="67" t="n"/>
    </row>
    <row r="133">
      <c r="B133" s="67" t="n"/>
      <c r="C133" s="67" t="n"/>
    </row>
    <row r="134">
      <c r="B134" s="67" t="n"/>
      <c r="C134" s="67" t="n"/>
    </row>
    <row r="135">
      <c r="B135" s="67" t="n"/>
      <c r="C135" s="67" t="n"/>
    </row>
    <row r="136">
      <c r="B136" s="67" t="n"/>
      <c r="C136" s="67" t="n"/>
    </row>
    <row r="137">
      <c r="B137" s="67" t="n"/>
      <c r="C137" s="67" t="n"/>
    </row>
    <row r="138">
      <c r="B138" s="67" t="n"/>
      <c r="C138" s="67" t="n"/>
    </row>
    <row r="139">
      <c r="B139" s="67" t="n"/>
      <c r="C139" s="67" t="n"/>
    </row>
    <row r="140">
      <c r="B140" s="67" t="n"/>
      <c r="C140" s="67" t="n"/>
    </row>
    <row r="141">
      <c r="B141" s="67" t="n"/>
      <c r="C141" s="67" t="n"/>
    </row>
    <row r="142">
      <c r="B142" s="67" t="n"/>
      <c r="C142" s="67" t="n"/>
    </row>
    <row r="143">
      <c r="B143" s="67" t="n"/>
      <c r="C143" s="67" t="n"/>
    </row>
    <row r="144">
      <c r="B144" s="67" t="n"/>
      <c r="C144" s="67" t="n"/>
    </row>
    <row r="145">
      <c r="B145" s="67" t="n"/>
      <c r="C145" s="67" t="n"/>
    </row>
    <row r="146">
      <c r="B146" s="67" t="n"/>
      <c r="C146" s="67" t="n"/>
    </row>
    <row r="147">
      <c r="B147" s="67" t="n"/>
      <c r="C147" s="67" t="n"/>
    </row>
    <row r="148">
      <c r="B148" s="67" t="n"/>
      <c r="C148" s="67" t="n"/>
    </row>
    <row r="149">
      <c r="B149" s="67" t="n"/>
      <c r="C149" s="67" t="n"/>
    </row>
    <row r="150">
      <c r="B150" s="67" t="n"/>
      <c r="C150" s="67" t="n"/>
    </row>
    <row r="151">
      <c r="B151" s="67" t="n"/>
      <c r="C151" s="67" t="n"/>
    </row>
    <row r="152">
      <c r="B152" s="67" t="n"/>
      <c r="C152" s="67" t="n"/>
    </row>
    <row r="153">
      <c r="B153" s="67" t="n"/>
      <c r="C153" s="67" t="n"/>
    </row>
    <row r="154">
      <c r="B154" s="67" t="n"/>
      <c r="C154" s="67" t="n"/>
    </row>
    <row r="155">
      <c r="B155" s="67" t="n"/>
      <c r="C155" s="67" t="n"/>
    </row>
    <row r="156">
      <c r="B156" s="67" t="n"/>
      <c r="C156" s="67" t="n"/>
    </row>
    <row r="157">
      <c r="B157" s="67" t="n"/>
      <c r="C157" s="67" t="n"/>
    </row>
    <row r="158">
      <c r="B158" s="67" t="n"/>
      <c r="C158" s="67" t="n"/>
    </row>
    <row r="159">
      <c r="B159" s="67" t="n"/>
      <c r="C159" s="67" t="n"/>
    </row>
    <row r="160">
      <c r="B160" s="67" t="n"/>
      <c r="C160" s="67" t="n"/>
    </row>
    <row r="161">
      <c r="B161" s="67" t="n"/>
      <c r="C161" s="67" t="n"/>
    </row>
    <row r="162">
      <c r="B162" s="67" t="n"/>
      <c r="C162" s="67" t="n"/>
    </row>
    <row r="163">
      <c r="B163" s="67" t="n"/>
      <c r="C163" s="67" t="n"/>
    </row>
    <row r="164">
      <c r="B164" s="67" t="n"/>
      <c r="C164" s="67" t="n"/>
    </row>
    <row r="165">
      <c r="B165" s="67" t="n"/>
      <c r="C165" s="67" t="n"/>
    </row>
    <row r="166">
      <c r="B166" s="67" t="n"/>
      <c r="C166" s="67" t="n"/>
    </row>
    <row r="167">
      <c r="B167" s="67" t="n"/>
      <c r="C167" s="67" t="n"/>
    </row>
    <row r="168">
      <c r="B168" s="67" t="n"/>
      <c r="C168" s="67" t="n"/>
    </row>
    <row r="169">
      <c r="B169" s="67" t="n"/>
      <c r="C169" s="67" t="n"/>
    </row>
    <row r="170">
      <c r="B170" s="67" t="n"/>
      <c r="C170" s="67" t="n"/>
    </row>
    <row r="171">
      <c r="B171" s="67" t="n"/>
      <c r="C171" s="67" t="n"/>
    </row>
    <row r="172">
      <c r="B172" s="67" t="n"/>
      <c r="C172" s="67" t="n"/>
    </row>
    <row r="173">
      <c r="B173" s="67" t="n"/>
      <c r="C173" s="67" t="n"/>
    </row>
    <row r="174">
      <c r="B174" s="67" t="n"/>
      <c r="C174" s="67" t="n"/>
    </row>
    <row r="175">
      <c r="B175" s="67" t="n"/>
      <c r="C175" s="67" t="n"/>
    </row>
    <row r="176">
      <c r="B176" s="67" t="n"/>
      <c r="C176" s="67" t="n"/>
    </row>
    <row r="177">
      <c r="B177" s="67" t="n"/>
      <c r="C177" s="67" t="n"/>
    </row>
    <row r="178">
      <c r="B178" s="67" t="n"/>
      <c r="C178" s="67" t="n"/>
    </row>
    <row r="179">
      <c r="B179" s="67" t="n"/>
      <c r="C179" s="67" t="n"/>
    </row>
    <row r="180">
      <c r="B180" s="67" t="n"/>
      <c r="C180" s="67" t="n"/>
    </row>
    <row r="181">
      <c r="B181" s="67" t="n"/>
      <c r="C181" s="67" t="n"/>
    </row>
    <row r="182">
      <c r="B182" s="67" t="n"/>
      <c r="C182" s="67" t="n"/>
    </row>
    <row r="183">
      <c r="B183" s="67" t="n"/>
      <c r="C183" s="67" t="n"/>
    </row>
    <row r="184">
      <c r="B184" s="67" t="n"/>
      <c r="C184" s="67" t="n"/>
    </row>
    <row r="185">
      <c r="B185" s="67" t="n"/>
      <c r="C185" s="67" t="n"/>
    </row>
    <row r="186">
      <c r="B186" s="67" t="n"/>
      <c r="C186" s="67" t="n"/>
    </row>
    <row r="187">
      <c r="B187" s="67" t="n"/>
      <c r="C187" s="67" t="n"/>
    </row>
    <row r="188">
      <c r="B188" s="67" t="n"/>
      <c r="C188" s="67" t="n"/>
    </row>
    <row r="189">
      <c r="B189" s="67" t="n"/>
      <c r="C189" s="67" t="n"/>
    </row>
    <row r="190">
      <c r="B190" s="67" t="n"/>
      <c r="C190" s="67" t="n"/>
    </row>
    <row r="191">
      <c r="B191" s="67" t="n"/>
      <c r="C191" s="67" t="n"/>
    </row>
    <row r="192">
      <c r="B192" s="67" t="n"/>
      <c r="C192" s="67" t="n"/>
    </row>
    <row r="193">
      <c r="B193" s="67" t="n"/>
      <c r="C193" s="67" t="n"/>
    </row>
    <row r="194">
      <c r="B194" s="67" t="n"/>
      <c r="C194" s="67" t="n"/>
    </row>
    <row r="195">
      <c r="B195" s="67" t="n"/>
      <c r="C195" s="67" t="n"/>
    </row>
    <row r="196">
      <c r="B196" s="67" t="n"/>
      <c r="C196" s="67" t="n"/>
    </row>
    <row r="197">
      <c r="B197" s="67" t="n"/>
      <c r="C197" s="67" t="n"/>
    </row>
    <row r="198">
      <c r="B198" s="67" t="n"/>
      <c r="C198" s="67" t="n"/>
    </row>
    <row r="199">
      <c r="B199" s="67" t="n"/>
      <c r="C199" s="67" t="n"/>
    </row>
    <row r="200">
      <c r="B200" s="67" t="n"/>
      <c r="C200" s="67" t="n"/>
    </row>
    <row r="201">
      <c r="B201" s="67" t="n"/>
      <c r="C201" s="67" t="n"/>
    </row>
    <row r="202">
      <c r="B202" s="67" t="n"/>
      <c r="C202" s="67" t="n"/>
    </row>
    <row r="203">
      <c r="B203" s="67" t="n"/>
      <c r="C203" s="67" t="n"/>
    </row>
    <row r="204">
      <c r="B204" s="67" t="n"/>
      <c r="C204" s="67" t="n"/>
    </row>
    <row r="205">
      <c r="B205" s="67" t="n"/>
      <c r="C205" s="67" t="n"/>
    </row>
    <row r="206">
      <c r="B206" s="67" t="n"/>
      <c r="C206" s="67" t="n"/>
    </row>
    <row r="207">
      <c r="B207" s="67" t="n"/>
      <c r="C207" s="67" t="n"/>
    </row>
    <row r="208">
      <c r="B208" s="67" t="n"/>
      <c r="C208" s="67" t="n"/>
    </row>
    <row r="209">
      <c r="B209" s="67" t="n"/>
      <c r="C209" s="67" t="n"/>
    </row>
    <row r="210">
      <c r="B210" s="67" t="n"/>
      <c r="C210" s="67" t="n"/>
    </row>
    <row r="211">
      <c r="B211" s="67" t="n"/>
      <c r="C211" s="67" t="n"/>
    </row>
    <row r="212">
      <c r="B212" s="67" t="n"/>
      <c r="C212" s="67" t="n"/>
    </row>
    <row r="213">
      <c r="B213" s="67" t="n"/>
      <c r="C213" s="67" t="n"/>
    </row>
    <row r="214">
      <c r="B214" s="67" t="n"/>
      <c r="C214" s="67" t="n"/>
    </row>
    <row r="215">
      <c r="B215" s="67" t="n"/>
      <c r="C215" s="67" t="n"/>
    </row>
    <row r="216">
      <c r="B216" s="67" t="n"/>
      <c r="C216" s="67" t="n"/>
    </row>
    <row r="217">
      <c r="B217" s="67" t="n"/>
      <c r="C217" s="67" t="n"/>
    </row>
    <row r="218">
      <c r="B218" s="67" t="n"/>
      <c r="C218" s="67" t="n"/>
    </row>
    <row r="219">
      <c r="B219" s="67" t="n"/>
      <c r="C219" s="67" t="n"/>
    </row>
    <row r="220">
      <c r="B220" s="67" t="n"/>
      <c r="C220" s="67" t="n"/>
    </row>
  </sheetData>
  <mergeCells count="9">
    <mergeCell ref="B7:I7"/>
    <mergeCell ref="B6:I6"/>
    <mergeCell ref="B10:C10"/>
    <mergeCell ref="B3:I3"/>
    <mergeCell ref="B5:I5"/>
    <mergeCell ref="G8:H8"/>
    <mergeCell ref="B8:C8"/>
    <mergeCell ref="E8:F8"/>
    <mergeCell ref="B4:I4"/>
  </mergeCells>
  <conditionalFormatting sqref="E9">
    <cfRule type="cellIs" priority="1" operator="greaterThan" dxfId="5">
      <formula>0</formula>
    </cfRule>
  </conditionalFormatting>
  <conditionalFormatting sqref="B20:B220">
    <cfRule type="expression" priority="2" dxfId="6">
      <formula>AND(LEN($B20&amp;$C20&amp;$D20&amp;$E20&amp;$F20&amp;$G20&amp;$H20&amp;$I20)&gt;0,B20="")</formula>
    </cfRule>
  </conditionalFormatting>
  <conditionalFormatting sqref="C20:C220">
    <cfRule type="expression" priority="3" dxfId="6">
      <formula>AND(LEN($B20&amp;$C20&amp;$D20&amp;$E20&amp;$F20&amp;$G20&amp;$H20&amp;$I20)&gt;0,C20="")</formula>
    </cfRule>
  </conditionalFormatting>
  <conditionalFormatting sqref="D20:D220">
    <cfRule type="expression" priority="4" dxfId="6">
      <formula>AND(LEN($B20&amp;$C20&amp;$D20&amp;$E20&amp;$F20&amp;$G20&amp;$H20&amp;$I20)&gt;0,D20="")</formula>
    </cfRule>
  </conditionalFormatting>
  <conditionalFormatting sqref="E20:E220">
    <cfRule type="expression" priority="5" dxfId="6">
      <formula>AND(LEN($B20&amp;$C20&amp;$D20&amp;$E20&amp;$F20&amp;$G20&amp;$H20&amp;$I20)&gt;0,E20="")</formula>
    </cfRule>
  </conditionalFormatting>
  <conditionalFormatting sqref="F20:F220">
    <cfRule type="expression" priority="6" dxfId="6">
      <formula>AND(LEN($B20&amp;$C20&amp;$D20&amp;$E20&amp;$F20&amp;$G20&amp;$H20&amp;$I20)&gt;0,F20="")</formula>
    </cfRule>
  </conditionalFormatting>
  <conditionalFormatting sqref="G20:G220">
    <cfRule type="expression" priority="7" dxfId="6">
      <formula>AND(LEN($B20&amp;$C20&amp;$D20&amp;$E20&amp;$F20&amp;$G20&amp;$H20&amp;$I20)&gt;0,G20="")</formula>
    </cfRule>
  </conditionalFormatting>
  <conditionalFormatting sqref="H20:H220">
    <cfRule type="expression" priority="8" dxfId="6">
      <formula>AND(LEN($B20&amp;$C20&amp;$D20&amp;$E20&amp;$F20&amp;$G20&amp;$H20&amp;$I20)&gt;0,H20="")</formula>
    </cfRule>
  </conditionalFormatting>
  <conditionalFormatting sqref="I20:I220">
    <cfRule type="expression" priority="9" dxfId="6">
      <formula>AND(LEN($B20&amp;$C20&amp;$D20&amp;$E20&amp;$F20&amp;$G20&amp;$H20&amp;$I20)&gt;0,I20="")</formula>
    </cfRule>
  </conditionalFormatting>
  <dataValidations count="1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I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invoice_no" error="At most 40 characters." promptTitle="legacy_invoice_no" prompt="Yes. Invoice number in the source system Allowed: legacy_invoice_no of F01" type="textLength" operator="lessThanOrEqual">
      <formula1>40</formula1>
    </dataValidation>
    <dataValidation sqref="C20:C220" showDropDown="0" showInputMessage="1" showErrorMessage="1" allowBlank="1" errorTitle="component" error="Choose a value of the list F01C component (sheet Reference lists)." promptTitle="component" prompt="Yes. Premium or settlement component Allowed: List F01C component: 11 values, see Reference lists" type="list" errorStyle="stop">
      <formula1>=LIST_F01C_COMPONENT</formula1>
    </dataValidation>
    <dataValidation sqref="D20:D220" showDropDown="0" showInputMessage="1" showErrorMessage="1" allowBlank="1" errorTitle="booked" error="Enter a number." promptTitle="booked" prompt="Yes. Amount booked in legacy Allowed: A number" type="decimal" operator="greaterThanOrEqual">
      <formula1>-1E+15</formula1>
    </dataValidation>
    <dataValidation sqref="E20:E220" showDropDown="0" showInputMessage="1" showErrorMessage="1" allowBlank="1" errorTitle="adjusted" error="Enter a number." promptTitle="adjusted" prompt="Yes. Net legacy adjustments kept on the same invoice Allowed: A number" type="decimal" operator="greaterThanOrEqual">
      <formula1>-1E+15</formula1>
    </dataValidation>
    <dataValidation sqref="F20:F220" showDropDown="0" showInputMessage="1" showErrorMessage="1" allowBlank="1" errorTitle="paid" error="Enter a number." promptTitle="paid" prompt="Yes. Paid by the client before cutover (premium components and PR2307) Allowed: A number" type="decimal" operator="greaterThanOrEqual">
      <formula1>-1E+15</formula1>
    </dataValidation>
    <dataValidation sqref="G20:G220" showDropDown="0" showInputMessage="1" showErrorMessage="1" allowBlank="1" errorTitle="remitted" error="Enter a number." promptTitle="remitted" prompt="Yes. Settled with the insurer before cutover (DTIP, commission, VAT on commission, WTAX) Allowed: A number" type="decimal" operator="greaterThanOrEqual">
      <formula1>-1E+15</formula1>
    </dataValidation>
    <dataValidation sqref="H20:H220" showDropDown="0" showInputMessage="1" showErrorMessage="1" allowBlank="1" errorTitle="written_off" error="Enter a number." promptTitle="written_off" prompt="Yes. Written off or DP-reversed before cutover Allowed: A number" type="decimal" operator="greaterThanOrEqual">
      <formula1>-1E+15</formula1>
    </dataValidation>
    <dataValidation sqref="I20:I220" showDropDown="0" showInputMessage="1" showErrorMessage="1" allowBlank="1" errorTitle="open_balance" error="Enter a number." promptTitle="open_balance" prompt="Yes. Open balance at the freeze Allowed: A number" type="decimal" operator="greaterThanOrEqual">
      <formula1>-1E+15</formula1>
    </dataValidation>
  </dataValidations>
  <hyperlinks>
    <hyperlink ref="A2" location="'Load templates'!A1"/>
    <hyperlink ref="I2" location="'Comments log'!A1"/>
    <hyperlink ref="B8" location="'F01 Open legacy invoices - head'!A1"/>
    <hyperlink ref="D8" location="'C01 Client master'!A1"/>
    <hyperlink ref="E8" location="'C02 Client addresses and contac'!A1"/>
    <hyperlink ref="G8" location="'R04 Insurers'!A1"/>
    <hyperlink ref="I8" location="'R04B Insurer branches'!A1"/>
    <hyperlink ref="C17" location="'Reference lists'!A65"/>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8.xml><?xml version="1.0" encoding="utf-8"?>
<worksheet xmlns="http://schemas.openxmlformats.org/spreadsheetml/2006/main">
  <sheetPr>
    <tabColor rgb="00004EA8"/>
    <outlinePr summaryBelow="0" summaryRight="1"/>
    <pageSetUpPr fitToPage="1"/>
  </sheetPr>
  <dimension ref="A1:G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4" customWidth="1" min="3" max="3"/>
    <col width="17" customWidth="1" min="4" max="4"/>
    <col width="14.09090909090909" customWidth="1" min="5" max="5"/>
    <col width="14" customWidth="1" min="6" max="6"/>
    <col width="12" customWidth="1" min="7" max="7"/>
  </cols>
  <sheetData>
    <row r="1" ht="26" customHeight="1">
      <c r="A1" s="44" t="inlineStr">
        <is>
          <t>F01S Open legacy invoices - insurer shares</t>
        </is>
      </c>
      <c r="G1" s="45" t="inlineStr">
        <is>
          <t>Step 19 of 29</t>
        </is>
      </c>
    </row>
    <row r="2">
      <c r="A2" s="46" t="inlineStr">
        <is>
          <t>← Back to Load templates</t>
        </is>
      </c>
      <c r="B2" s="47" t="inlineStr">
        <is>
          <t>Step 19 of 29. Fill in one row per record below the column headers; the guide above each column says what to enter.</t>
        </is>
      </c>
      <c r="G2" s="48" t="inlineStr">
        <is>
          <t>Ask a question →</t>
        </is>
      </c>
    </row>
    <row r="3" outlineLevel="1" ht="40.5" customHeight="1">
      <c r="A3" s="49" t="inlineStr">
        <is>
          <t>Purpose</t>
        </is>
      </c>
      <c r="B3" s="50" t="inlineStr">
        <is>
          <t>One row per record of Open legacy invoices (premium receivable, paid not remitted, commission receivable, PR2307), with components and insurer shares as extracted from EBIX, QPS. Key legacy_invoice_no, share_seq. Sent as the file F01S_template.csv (CSV, header row as below) with its control file (row count, row count).</t>
        </is>
      </c>
    </row>
    <row r="4" outlineLevel="1" ht="28" customHeight="1">
      <c r="A4" s="49" t="inlineStr">
        <is>
          <t>Provided by</t>
        </is>
      </c>
      <c r="B4" s="50" t="inlineStr">
        <is>
          <t>Operations data steward (to name); approved by Operations - Financial Transactions; Head, Comptrollership; extracted by BDOI IT</t>
        </is>
      </c>
    </row>
    <row r="5" outlineLevel="1" ht="15.5" customHeight="1">
      <c r="A5" s="49" t="inlineStr">
        <is>
          <t>Due</t>
        </is>
      </c>
      <c r="B5" s="51" t="inlineStr">
        <is>
          <t>M3 (29 Jan 2027); final at T-2</t>
        </is>
      </c>
    </row>
    <row r="6" outlineLevel="1" ht="40.5" customHeight="1">
      <c r="A6" s="49" t="inlineStr">
        <is>
          <t>How it is loaded</t>
        </is>
      </c>
      <c r="B6" s="50" t="inlineStr">
        <is>
          <t>Data migration object F01 (Carry forward), layout F01S version 1, through the Migration Console; lands in: Operations invoice ledger (invoices, insurer shares, components) with an opening accounting entry on the legacy sub-ledgers</t>
        </is>
      </c>
    </row>
    <row r="7" outlineLevel="1" ht="15.5" customHeight="1">
      <c r="A7" s="49" t="inlineStr">
        <is>
          <t>Source</t>
        </is>
      </c>
      <c r="B7" s="50" t="inlineStr">
        <is>
          <t>EBIX, QPS</t>
        </is>
      </c>
    </row>
    <row r="8" outlineLevel="1" ht="26" customHeight="1">
      <c r="A8" s="49" t="inlineStr">
        <is>
          <t>Depends on</t>
        </is>
      </c>
      <c r="B8" s="68" t="inlineStr">
        <is>
          <t>F01 Open legacy invoices - header →</t>
        </is>
      </c>
      <c r="D8" s="68" t="inlineStr">
        <is>
          <t>C01 Client master →</t>
        </is>
      </c>
      <c r="F8" s="68" t="inlineStr">
        <is>
          <t>C02 Client addresses and contacts →</t>
        </is>
      </c>
    </row>
    <row r="9" ht="26" customHeight="1">
      <c r="A9" s="53" t="inlineStr">
        <is>
          <t>Progress</t>
        </is>
      </c>
      <c r="B9" s="54" t="inlineStr">
        <is>
          <t>Rows entered</t>
        </is>
      </c>
      <c r="C9" s="55">
        <f>SUMPRODUCT(((ROW($B$20:$B$220)&gt;20)+($B$20&lt;&gt;"I00123456")&gt;0)*(LEN($B$20:$B$220&amp;$C$20:$C$220&amp;$D$20:$D$220&amp;$E$20:$E$220&amp;$F$20:$F$220)&gt;0))</f>
        <v/>
      </c>
      <c r="D9" s="54" t="inlineStr">
        <is>
          <t>Mandatory cells missing</t>
        </is>
      </c>
      <c r="E9" s="55">
        <f>SUMPRODUCT(((ROW($B$20:$B$220)&gt;20)+($B$20&lt;&gt;"I00123456")&gt;0)*(LEN($B$20:$B$220&amp;$C$20:$C$220&amp;$D$20:$D$220&amp;$E$20:$E$220&amp;$F$20:$F$220)&gt;0)*(($B$20:$B$220="")+($C$20:$C$220="")+($D$20:$D$220="")+($E$20:$E$220="")+($F$20:$F$220="")))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row>
    <row r="12" ht="30" customHeight="1">
      <c r="A12" s="59" t="inlineStr">
        <is>
          <t>BU review</t>
        </is>
      </c>
      <c r="B12" s="60" t="n"/>
      <c r="C12" s="60" t="n"/>
      <c r="D12" s="60" t="n"/>
      <c r="E12" s="60" t="n"/>
      <c r="F12" s="60" t="n"/>
    </row>
    <row r="13" ht="30" customHeight="1">
      <c r="A13" s="59" t="inlineStr">
        <is>
          <t>BU comment</t>
        </is>
      </c>
      <c r="B13" s="60" t="n"/>
      <c r="C13" s="60" t="n"/>
      <c r="D13" s="60" t="n"/>
      <c r="E13" s="60" t="n"/>
      <c r="F13" s="60" t="n"/>
    </row>
    <row r="14" ht="56" customHeight="1">
      <c r="A14" s="59" t="inlineStr">
        <is>
          <t>Check when loaded</t>
        </is>
      </c>
      <c r="B14" s="61" t="inlineStr">
        <is>
          <t>Exists in F01</t>
        </is>
      </c>
      <c r="C14" s="61" t="inlineStr">
        <is>
          <t>Unique per invoice</t>
        </is>
      </c>
      <c r="D14" s="61" t="inlineStr">
        <is>
          <t>Mapped</t>
        </is>
      </c>
      <c r="E14" s="61" t="inlineStr">
        <is>
          <t>Above 0 and at most 100; shares of an invoice add to 100</t>
        </is>
      </c>
      <c r="F14" s="61" t="inlineStr">
        <is>
          <t>One lead per invoice</t>
        </is>
      </c>
    </row>
    <row r="15" ht="17" customHeight="1">
      <c r="A15" s="59" t="inlineStr">
        <is>
          <t>Mandatory</t>
        </is>
      </c>
      <c r="B15" s="62" t="inlineStr">
        <is>
          <t>Yes</t>
        </is>
      </c>
      <c r="C15" s="62" t="inlineStr">
        <is>
          <t>Yes</t>
        </is>
      </c>
      <c r="D15" s="62" t="inlineStr">
        <is>
          <t>Yes</t>
        </is>
      </c>
      <c r="E15" s="62" t="inlineStr">
        <is>
          <t>Yes</t>
        </is>
      </c>
      <c r="F15" s="62" t="inlineStr">
        <is>
          <t>Yes</t>
        </is>
      </c>
    </row>
    <row r="16" ht="30" customHeight="1">
      <c r="A16" s="59" t="inlineStr">
        <is>
          <t>Format</t>
        </is>
      </c>
      <c r="B16" s="61" t="inlineStr">
        <is>
          <t>Code, up to 40; As in F01</t>
        </is>
      </c>
      <c r="C16" s="61" t="inlineStr">
        <is>
          <t>Integer, up to 2; Digits</t>
        </is>
      </c>
      <c r="D16" s="61" t="inlineStr">
        <is>
          <t>Code, up to 30; As stored in legacy</t>
        </is>
      </c>
      <c r="E16" s="61" t="inlineStr">
        <is>
          <t>Decimal, up to 9,4; Dot decimal</t>
        </is>
      </c>
      <c r="F16" s="61" t="inlineStr">
        <is>
          <t>Flag, up to 1; Y or N</t>
        </is>
      </c>
    </row>
    <row r="17" ht="56" customHeight="1">
      <c r="A17" s="59" t="inlineStr">
        <is>
          <t>Allowed values</t>
        </is>
      </c>
      <c r="B17" s="61" t="inlineStr">
        <is>
          <t>legacy_invoice_no of F01</t>
        </is>
      </c>
      <c r="C17" s="61" t="inlineStr">
        <is>
          <t>A whole number</t>
        </is>
      </c>
      <c r="D17" s="69" t="inlineStr">
        <is>
          <t>The legacy code; mapped by the code map INSURER (sheet Code maps)</t>
        </is>
      </c>
      <c r="E17" s="61" t="inlineStr">
        <is>
          <t>A number</t>
        </is>
      </c>
      <c r="F17" s="61" t="inlineStr">
        <is>
          <t>Y or N</t>
        </is>
      </c>
    </row>
    <row r="18" ht="30" customHeight="1">
      <c r="A18" s="59" t="inlineStr">
        <is>
          <t>What to enter</t>
        </is>
      </c>
      <c r="B18" s="61" t="inlineStr">
        <is>
          <t>Invoice number in the source system</t>
        </is>
      </c>
      <c r="C18" s="61" t="inlineStr">
        <is>
          <t>Sequence of the insurer</t>
        </is>
      </c>
      <c r="D18" s="61" t="inlineStr">
        <is>
          <t>Insurer</t>
        </is>
      </c>
      <c r="E18" s="61" t="inlineStr">
        <is>
          <t>Share in percent</t>
        </is>
      </c>
      <c r="F18" s="61" t="inlineStr">
        <is>
          <t>Lead insurer</t>
        </is>
      </c>
    </row>
    <row r="19" ht="30" customHeight="1">
      <c r="A19" s="63" t="inlineStr">
        <is>
          <t>Row</t>
        </is>
      </c>
      <c r="B19" s="24" t="inlineStr">
        <is>
          <t>legacy_invoice_no *</t>
        </is>
      </c>
      <c r="C19" s="24" t="inlineStr">
        <is>
          <t>share_seq *</t>
        </is>
      </c>
      <c r="D19" s="24" t="inlineStr">
        <is>
          <t>insurer_code *</t>
        </is>
      </c>
      <c r="E19" s="24" t="inlineStr">
        <is>
          <t>share_pct *</t>
        </is>
      </c>
      <c r="F19" s="24" t="inlineStr">
        <is>
          <t>lead_flag *</t>
        </is>
      </c>
    </row>
    <row r="20" ht="18" customHeight="1">
      <c r="A20" s="64" t="inlineStr">
        <is>
          <t>Example – overwrite or delete</t>
        </is>
      </c>
      <c r="B20" s="65" t="inlineStr">
        <is>
          <t>I00123456</t>
        </is>
      </c>
      <c r="C20" s="66" t="n">
        <v>1</v>
      </c>
      <c r="D20" s="65" t="inlineStr">
        <is>
          <t>MAL</t>
        </is>
      </c>
      <c r="E20" s="66" t="n">
        <v>100</v>
      </c>
      <c r="F20" s="65" t="inlineStr">
        <is>
          <t>Y</t>
        </is>
      </c>
    </row>
    <row r="21">
      <c r="B21" s="67" t="n"/>
      <c r="D21" s="67" t="n"/>
      <c r="F21" s="67" t="n"/>
    </row>
    <row r="22">
      <c r="B22" s="67" t="n"/>
      <c r="D22" s="67" t="n"/>
      <c r="F22" s="67" t="n"/>
    </row>
    <row r="23">
      <c r="B23" s="67" t="n"/>
      <c r="D23" s="67" t="n"/>
      <c r="F23" s="67" t="n"/>
    </row>
    <row r="24">
      <c r="B24" s="67" t="n"/>
      <c r="D24" s="67" t="n"/>
      <c r="F24" s="67" t="n"/>
    </row>
    <row r="25">
      <c r="B25" s="67" t="n"/>
      <c r="D25" s="67" t="n"/>
      <c r="F25" s="67" t="n"/>
    </row>
    <row r="26">
      <c r="B26" s="67" t="n"/>
      <c r="D26" s="67" t="n"/>
      <c r="F26" s="67" t="n"/>
    </row>
    <row r="27">
      <c r="B27" s="67" t="n"/>
      <c r="D27" s="67" t="n"/>
      <c r="F27" s="67" t="n"/>
    </row>
    <row r="28">
      <c r="B28" s="67" t="n"/>
      <c r="D28" s="67" t="n"/>
      <c r="F28" s="67" t="n"/>
    </row>
    <row r="29">
      <c r="B29" s="67" t="n"/>
      <c r="D29" s="67" t="n"/>
      <c r="F29" s="67" t="n"/>
    </row>
    <row r="30">
      <c r="B30" s="67" t="n"/>
      <c r="D30" s="67" t="n"/>
      <c r="F30" s="67" t="n"/>
    </row>
    <row r="31">
      <c r="B31" s="67" t="n"/>
      <c r="D31" s="67" t="n"/>
      <c r="F31" s="67" t="n"/>
    </row>
    <row r="32">
      <c r="B32" s="67" t="n"/>
      <c r="D32" s="67" t="n"/>
      <c r="F32" s="67" t="n"/>
    </row>
    <row r="33">
      <c r="B33" s="67" t="n"/>
      <c r="D33" s="67" t="n"/>
      <c r="F33" s="67" t="n"/>
    </row>
    <row r="34">
      <c r="B34" s="67" t="n"/>
      <c r="D34" s="67" t="n"/>
      <c r="F34" s="67" t="n"/>
    </row>
    <row r="35">
      <c r="B35" s="67" t="n"/>
      <c r="D35" s="67" t="n"/>
      <c r="F35" s="67" t="n"/>
    </row>
    <row r="36">
      <c r="B36" s="67" t="n"/>
      <c r="D36" s="67" t="n"/>
      <c r="F36" s="67" t="n"/>
    </row>
    <row r="37">
      <c r="B37" s="67" t="n"/>
      <c r="D37" s="67" t="n"/>
      <c r="F37" s="67" t="n"/>
    </row>
    <row r="38">
      <c r="B38" s="67" t="n"/>
      <c r="D38" s="67" t="n"/>
      <c r="F38" s="67" t="n"/>
    </row>
    <row r="39">
      <c r="B39" s="67" t="n"/>
      <c r="D39" s="67" t="n"/>
      <c r="F39" s="67" t="n"/>
    </row>
    <row r="40">
      <c r="B40" s="67" t="n"/>
      <c r="D40" s="67" t="n"/>
      <c r="F40" s="67" t="n"/>
    </row>
    <row r="41">
      <c r="B41" s="67" t="n"/>
      <c r="D41" s="67" t="n"/>
      <c r="F41" s="67" t="n"/>
    </row>
    <row r="42">
      <c r="B42" s="67" t="n"/>
      <c r="D42" s="67" t="n"/>
      <c r="F42" s="67" t="n"/>
    </row>
    <row r="43">
      <c r="B43" s="67" t="n"/>
      <c r="D43" s="67" t="n"/>
      <c r="F43" s="67" t="n"/>
    </row>
    <row r="44">
      <c r="B44" s="67" t="n"/>
      <c r="D44" s="67" t="n"/>
      <c r="F44" s="67" t="n"/>
    </row>
    <row r="45">
      <c r="B45" s="67" t="n"/>
      <c r="D45" s="67" t="n"/>
      <c r="F45" s="67" t="n"/>
    </row>
    <row r="46">
      <c r="B46" s="67" t="n"/>
      <c r="D46" s="67" t="n"/>
      <c r="F46" s="67" t="n"/>
    </row>
    <row r="47">
      <c r="B47" s="67" t="n"/>
      <c r="D47" s="67" t="n"/>
      <c r="F47" s="67" t="n"/>
    </row>
    <row r="48">
      <c r="B48" s="67" t="n"/>
      <c r="D48" s="67" t="n"/>
      <c r="F48" s="67" t="n"/>
    </row>
    <row r="49">
      <c r="B49" s="67" t="n"/>
      <c r="D49" s="67" t="n"/>
      <c r="F49" s="67" t="n"/>
    </row>
    <row r="50">
      <c r="B50" s="67" t="n"/>
      <c r="D50" s="67" t="n"/>
      <c r="F50" s="67" t="n"/>
    </row>
    <row r="51">
      <c r="B51" s="67" t="n"/>
      <c r="D51" s="67" t="n"/>
      <c r="F51" s="67" t="n"/>
    </row>
    <row r="52">
      <c r="B52" s="67" t="n"/>
      <c r="D52" s="67" t="n"/>
      <c r="F52" s="67" t="n"/>
    </row>
    <row r="53">
      <c r="B53" s="67" t="n"/>
      <c r="D53" s="67" t="n"/>
      <c r="F53" s="67" t="n"/>
    </row>
    <row r="54">
      <c r="B54" s="67" t="n"/>
      <c r="D54" s="67" t="n"/>
      <c r="F54" s="67" t="n"/>
    </row>
    <row r="55">
      <c r="B55" s="67" t="n"/>
      <c r="D55" s="67" t="n"/>
      <c r="F55" s="67" t="n"/>
    </row>
    <row r="56">
      <c r="B56" s="67" t="n"/>
      <c r="D56" s="67" t="n"/>
      <c r="F56" s="67" t="n"/>
    </row>
    <row r="57">
      <c r="B57" s="67" t="n"/>
      <c r="D57" s="67" t="n"/>
      <c r="F57" s="67" t="n"/>
    </row>
    <row r="58">
      <c r="B58" s="67" t="n"/>
      <c r="D58" s="67" t="n"/>
      <c r="F58" s="67" t="n"/>
    </row>
    <row r="59">
      <c r="B59" s="67" t="n"/>
      <c r="D59" s="67" t="n"/>
      <c r="F59" s="67" t="n"/>
    </row>
    <row r="60">
      <c r="B60" s="67" t="n"/>
      <c r="D60" s="67" t="n"/>
      <c r="F60" s="67" t="n"/>
    </row>
    <row r="61">
      <c r="B61" s="67" t="n"/>
      <c r="D61" s="67" t="n"/>
      <c r="F61" s="67" t="n"/>
    </row>
    <row r="62">
      <c r="B62" s="67" t="n"/>
      <c r="D62" s="67" t="n"/>
      <c r="F62" s="67" t="n"/>
    </row>
    <row r="63">
      <c r="B63" s="67" t="n"/>
      <c r="D63" s="67" t="n"/>
      <c r="F63" s="67" t="n"/>
    </row>
    <row r="64">
      <c r="B64" s="67" t="n"/>
      <c r="D64" s="67" t="n"/>
      <c r="F64" s="67" t="n"/>
    </row>
    <row r="65">
      <c r="B65" s="67" t="n"/>
      <c r="D65" s="67" t="n"/>
      <c r="F65" s="67" t="n"/>
    </row>
    <row r="66">
      <c r="B66" s="67" t="n"/>
      <c r="D66" s="67" t="n"/>
      <c r="F66" s="67" t="n"/>
    </row>
    <row r="67">
      <c r="B67" s="67" t="n"/>
      <c r="D67" s="67" t="n"/>
      <c r="F67" s="67" t="n"/>
    </row>
    <row r="68">
      <c r="B68" s="67" t="n"/>
      <c r="D68" s="67" t="n"/>
      <c r="F68" s="67" t="n"/>
    </row>
    <row r="69">
      <c r="B69" s="67" t="n"/>
      <c r="D69" s="67" t="n"/>
      <c r="F69" s="67" t="n"/>
    </row>
    <row r="70">
      <c r="B70" s="67" t="n"/>
      <c r="D70" s="67" t="n"/>
      <c r="F70" s="67" t="n"/>
    </row>
    <row r="71">
      <c r="B71" s="67" t="n"/>
      <c r="D71" s="67" t="n"/>
      <c r="F71" s="67" t="n"/>
    </row>
    <row r="72">
      <c r="B72" s="67" t="n"/>
      <c r="D72" s="67" t="n"/>
      <c r="F72" s="67" t="n"/>
    </row>
    <row r="73">
      <c r="B73" s="67" t="n"/>
      <c r="D73" s="67" t="n"/>
      <c r="F73" s="67" t="n"/>
    </row>
    <row r="74">
      <c r="B74" s="67" t="n"/>
      <c r="D74" s="67" t="n"/>
      <c r="F74" s="67" t="n"/>
    </row>
    <row r="75">
      <c r="B75" s="67" t="n"/>
      <c r="D75" s="67" t="n"/>
      <c r="F75" s="67" t="n"/>
    </row>
    <row r="76">
      <c r="B76" s="67" t="n"/>
      <c r="D76" s="67" t="n"/>
      <c r="F76" s="67" t="n"/>
    </row>
    <row r="77">
      <c r="B77" s="67" t="n"/>
      <c r="D77" s="67" t="n"/>
      <c r="F77" s="67" t="n"/>
    </row>
    <row r="78">
      <c r="B78" s="67" t="n"/>
      <c r="D78" s="67" t="n"/>
      <c r="F78" s="67" t="n"/>
    </row>
    <row r="79">
      <c r="B79" s="67" t="n"/>
      <c r="D79" s="67" t="n"/>
      <c r="F79" s="67" t="n"/>
    </row>
    <row r="80">
      <c r="B80" s="67" t="n"/>
      <c r="D80" s="67" t="n"/>
      <c r="F80" s="67" t="n"/>
    </row>
    <row r="81">
      <c r="B81" s="67" t="n"/>
      <c r="D81" s="67" t="n"/>
      <c r="F81" s="67" t="n"/>
    </row>
    <row r="82">
      <c r="B82" s="67" t="n"/>
      <c r="D82" s="67" t="n"/>
      <c r="F82" s="67" t="n"/>
    </row>
    <row r="83">
      <c r="B83" s="67" t="n"/>
      <c r="D83" s="67" t="n"/>
      <c r="F83" s="67" t="n"/>
    </row>
    <row r="84">
      <c r="B84" s="67" t="n"/>
      <c r="D84" s="67" t="n"/>
      <c r="F84" s="67" t="n"/>
    </row>
    <row r="85">
      <c r="B85" s="67" t="n"/>
      <c r="D85" s="67" t="n"/>
      <c r="F85" s="67" t="n"/>
    </row>
    <row r="86">
      <c r="B86" s="67" t="n"/>
      <c r="D86" s="67" t="n"/>
      <c r="F86" s="67" t="n"/>
    </row>
    <row r="87">
      <c r="B87" s="67" t="n"/>
      <c r="D87" s="67" t="n"/>
      <c r="F87" s="67" t="n"/>
    </row>
    <row r="88">
      <c r="B88" s="67" t="n"/>
      <c r="D88" s="67" t="n"/>
      <c r="F88" s="67" t="n"/>
    </row>
    <row r="89">
      <c r="B89" s="67" t="n"/>
      <c r="D89" s="67" t="n"/>
      <c r="F89" s="67" t="n"/>
    </row>
    <row r="90">
      <c r="B90" s="67" t="n"/>
      <c r="D90" s="67" t="n"/>
      <c r="F90" s="67" t="n"/>
    </row>
    <row r="91">
      <c r="B91" s="67" t="n"/>
      <c r="D91" s="67" t="n"/>
      <c r="F91" s="67" t="n"/>
    </row>
    <row r="92">
      <c r="B92" s="67" t="n"/>
      <c r="D92" s="67" t="n"/>
      <c r="F92" s="67" t="n"/>
    </row>
    <row r="93">
      <c r="B93" s="67" t="n"/>
      <c r="D93" s="67" t="n"/>
      <c r="F93" s="67" t="n"/>
    </row>
    <row r="94">
      <c r="B94" s="67" t="n"/>
      <c r="D94" s="67" t="n"/>
      <c r="F94" s="67" t="n"/>
    </row>
    <row r="95">
      <c r="B95" s="67" t="n"/>
      <c r="D95" s="67" t="n"/>
      <c r="F95" s="67" t="n"/>
    </row>
    <row r="96">
      <c r="B96" s="67" t="n"/>
      <c r="D96" s="67" t="n"/>
      <c r="F96" s="67" t="n"/>
    </row>
    <row r="97">
      <c r="B97" s="67" t="n"/>
      <c r="D97" s="67" t="n"/>
      <c r="F97" s="67" t="n"/>
    </row>
    <row r="98">
      <c r="B98" s="67" t="n"/>
      <c r="D98" s="67" t="n"/>
      <c r="F98" s="67" t="n"/>
    </row>
    <row r="99">
      <c r="B99" s="67" t="n"/>
      <c r="D99" s="67" t="n"/>
      <c r="F99" s="67" t="n"/>
    </row>
    <row r="100">
      <c r="B100" s="67" t="n"/>
      <c r="D100" s="67" t="n"/>
      <c r="F100" s="67" t="n"/>
    </row>
    <row r="101">
      <c r="B101" s="67" t="n"/>
      <c r="D101" s="67" t="n"/>
      <c r="F101" s="67" t="n"/>
    </row>
    <row r="102">
      <c r="B102" s="67" t="n"/>
      <c r="D102" s="67" t="n"/>
      <c r="F102" s="67" t="n"/>
    </row>
    <row r="103">
      <c r="B103" s="67" t="n"/>
      <c r="D103" s="67" t="n"/>
      <c r="F103" s="67" t="n"/>
    </row>
    <row r="104">
      <c r="B104" s="67" t="n"/>
      <c r="D104" s="67" t="n"/>
      <c r="F104" s="67" t="n"/>
    </row>
    <row r="105">
      <c r="B105" s="67" t="n"/>
      <c r="D105" s="67" t="n"/>
      <c r="F105" s="67" t="n"/>
    </row>
    <row r="106">
      <c r="B106" s="67" t="n"/>
      <c r="D106" s="67" t="n"/>
      <c r="F106" s="67" t="n"/>
    </row>
    <row r="107">
      <c r="B107" s="67" t="n"/>
      <c r="D107" s="67" t="n"/>
      <c r="F107" s="67" t="n"/>
    </row>
    <row r="108">
      <c r="B108" s="67" t="n"/>
      <c r="D108" s="67" t="n"/>
      <c r="F108" s="67" t="n"/>
    </row>
    <row r="109">
      <c r="B109" s="67" t="n"/>
      <c r="D109" s="67" t="n"/>
      <c r="F109" s="67" t="n"/>
    </row>
    <row r="110">
      <c r="B110" s="67" t="n"/>
      <c r="D110" s="67" t="n"/>
      <c r="F110" s="67" t="n"/>
    </row>
    <row r="111">
      <c r="B111" s="67" t="n"/>
      <c r="D111" s="67" t="n"/>
      <c r="F111" s="67" t="n"/>
    </row>
    <row r="112">
      <c r="B112" s="67" t="n"/>
      <c r="D112" s="67" t="n"/>
      <c r="F112" s="67" t="n"/>
    </row>
    <row r="113">
      <c r="B113" s="67" t="n"/>
      <c r="D113" s="67" t="n"/>
      <c r="F113" s="67" t="n"/>
    </row>
    <row r="114">
      <c r="B114" s="67" t="n"/>
      <c r="D114" s="67" t="n"/>
      <c r="F114" s="67" t="n"/>
    </row>
    <row r="115">
      <c r="B115" s="67" t="n"/>
      <c r="D115" s="67" t="n"/>
      <c r="F115" s="67" t="n"/>
    </row>
    <row r="116">
      <c r="B116" s="67" t="n"/>
      <c r="D116" s="67" t="n"/>
      <c r="F116" s="67" t="n"/>
    </row>
    <row r="117">
      <c r="B117" s="67" t="n"/>
      <c r="D117" s="67" t="n"/>
      <c r="F117" s="67" t="n"/>
    </row>
    <row r="118">
      <c r="B118" s="67" t="n"/>
      <c r="D118" s="67" t="n"/>
      <c r="F118" s="67" t="n"/>
    </row>
    <row r="119">
      <c r="B119" s="67" t="n"/>
      <c r="D119" s="67" t="n"/>
      <c r="F119" s="67" t="n"/>
    </row>
    <row r="120">
      <c r="B120" s="67" t="n"/>
      <c r="D120" s="67" t="n"/>
      <c r="F120" s="67" t="n"/>
    </row>
    <row r="121">
      <c r="B121" s="67" t="n"/>
      <c r="D121" s="67" t="n"/>
      <c r="F121" s="67" t="n"/>
    </row>
    <row r="122">
      <c r="B122" s="67" t="n"/>
      <c r="D122" s="67" t="n"/>
      <c r="F122" s="67" t="n"/>
    </row>
    <row r="123">
      <c r="B123" s="67" t="n"/>
      <c r="D123" s="67" t="n"/>
      <c r="F123" s="67" t="n"/>
    </row>
    <row r="124">
      <c r="B124" s="67" t="n"/>
      <c r="D124" s="67" t="n"/>
      <c r="F124" s="67" t="n"/>
    </row>
    <row r="125">
      <c r="B125" s="67" t="n"/>
      <c r="D125" s="67" t="n"/>
      <c r="F125" s="67" t="n"/>
    </row>
    <row r="126">
      <c r="B126" s="67" t="n"/>
      <c r="D126" s="67" t="n"/>
      <c r="F126" s="67" t="n"/>
    </row>
    <row r="127">
      <c r="B127" s="67" t="n"/>
      <c r="D127" s="67" t="n"/>
      <c r="F127" s="67" t="n"/>
    </row>
    <row r="128">
      <c r="B128" s="67" t="n"/>
      <c r="D128" s="67" t="n"/>
      <c r="F128" s="67" t="n"/>
    </row>
    <row r="129">
      <c r="B129" s="67" t="n"/>
      <c r="D129" s="67" t="n"/>
      <c r="F129" s="67" t="n"/>
    </row>
    <row r="130">
      <c r="B130" s="67" t="n"/>
      <c r="D130" s="67" t="n"/>
      <c r="F130" s="67" t="n"/>
    </row>
    <row r="131">
      <c r="B131" s="67" t="n"/>
      <c r="D131" s="67" t="n"/>
      <c r="F131" s="67" t="n"/>
    </row>
    <row r="132">
      <c r="B132" s="67" t="n"/>
      <c r="D132" s="67" t="n"/>
      <c r="F132" s="67" t="n"/>
    </row>
    <row r="133">
      <c r="B133" s="67" t="n"/>
      <c r="D133" s="67" t="n"/>
      <c r="F133" s="67" t="n"/>
    </row>
    <row r="134">
      <c r="B134" s="67" t="n"/>
      <c r="D134" s="67" t="n"/>
      <c r="F134" s="67" t="n"/>
    </row>
    <row r="135">
      <c r="B135" s="67" t="n"/>
      <c r="D135" s="67" t="n"/>
      <c r="F135" s="67" t="n"/>
    </row>
    <row r="136">
      <c r="B136" s="67" t="n"/>
      <c r="D136" s="67" t="n"/>
      <c r="F136" s="67" t="n"/>
    </row>
    <row r="137">
      <c r="B137" s="67" t="n"/>
      <c r="D137" s="67" t="n"/>
      <c r="F137" s="67" t="n"/>
    </row>
    <row r="138">
      <c r="B138" s="67" t="n"/>
      <c r="D138" s="67" t="n"/>
      <c r="F138" s="67" t="n"/>
    </row>
    <row r="139">
      <c r="B139" s="67" t="n"/>
      <c r="D139" s="67" t="n"/>
      <c r="F139" s="67" t="n"/>
    </row>
    <row r="140">
      <c r="B140" s="67" t="n"/>
      <c r="D140" s="67" t="n"/>
      <c r="F140" s="67" t="n"/>
    </row>
    <row r="141">
      <c r="B141" s="67" t="n"/>
      <c r="D141" s="67" t="n"/>
      <c r="F141" s="67" t="n"/>
    </row>
    <row r="142">
      <c r="B142" s="67" t="n"/>
      <c r="D142" s="67" t="n"/>
      <c r="F142" s="67" t="n"/>
    </row>
    <row r="143">
      <c r="B143" s="67" t="n"/>
      <c r="D143" s="67" t="n"/>
      <c r="F143" s="67" t="n"/>
    </row>
    <row r="144">
      <c r="B144" s="67" t="n"/>
      <c r="D144" s="67" t="n"/>
      <c r="F144" s="67" t="n"/>
    </row>
    <row r="145">
      <c r="B145" s="67" t="n"/>
      <c r="D145" s="67" t="n"/>
      <c r="F145" s="67" t="n"/>
    </row>
    <row r="146">
      <c r="B146" s="67" t="n"/>
      <c r="D146" s="67" t="n"/>
      <c r="F146" s="67" t="n"/>
    </row>
    <row r="147">
      <c r="B147" s="67" t="n"/>
      <c r="D147" s="67" t="n"/>
      <c r="F147" s="67" t="n"/>
    </row>
    <row r="148">
      <c r="B148" s="67" t="n"/>
      <c r="D148" s="67" t="n"/>
      <c r="F148" s="67" t="n"/>
    </row>
    <row r="149">
      <c r="B149" s="67" t="n"/>
      <c r="D149" s="67" t="n"/>
      <c r="F149" s="67" t="n"/>
    </row>
    <row r="150">
      <c r="B150" s="67" t="n"/>
      <c r="D150" s="67" t="n"/>
      <c r="F150" s="67" t="n"/>
    </row>
    <row r="151">
      <c r="B151" s="67" t="n"/>
      <c r="D151" s="67" t="n"/>
      <c r="F151" s="67" t="n"/>
    </row>
    <row r="152">
      <c r="B152" s="67" t="n"/>
      <c r="D152" s="67" t="n"/>
      <c r="F152" s="67" t="n"/>
    </row>
    <row r="153">
      <c r="B153" s="67" t="n"/>
      <c r="D153" s="67" t="n"/>
      <c r="F153" s="67" t="n"/>
    </row>
    <row r="154">
      <c r="B154" s="67" t="n"/>
      <c r="D154" s="67" t="n"/>
      <c r="F154" s="67" t="n"/>
    </row>
    <row r="155">
      <c r="B155" s="67" t="n"/>
      <c r="D155" s="67" t="n"/>
      <c r="F155" s="67" t="n"/>
    </row>
    <row r="156">
      <c r="B156" s="67" t="n"/>
      <c r="D156" s="67" t="n"/>
      <c r="F156" s="67" t="n"/>
    </row>
    <row r="157">
      <c r="B157" s="67" t="n"/>
      <c r="D157" s="67" t="n"/>
      <c r="F157" s="67" t="n"/>
    </row>
    <row r="158">
      <c r="B158" s="67" t="n"/>
      <c r="D158" s="67" t="n"/>
      <c r="F158" s="67" t="n"/>
    </row>
    <row r="159">
      <c r="B159" s="67" t="n"/>
      <c r="D159" s="67" t="n"/>
      <c r="F159" s="67" t="n"/>
    </row>
    <row r="160">
      <c r="B160" s="67" t="n"/>
      <c r="D160" s="67" t="n"/>
      <c r="F160" s="67" t="n"/>
    </row>
    <row r="161">
      <c r="B161" s="67" t="n"/>
      <c r="D161" s="67" t="n"/>
      <c r="F161" s="67" t="n"/>
    </row>
    <row r="162">
      <c r="B162" s="67" t="n"/>
      <c r="D162" s="67" t="n"/>
      <c r="F162" s="67" t="n"/>
    </row>
    <row r="163">
      <c r="B163" s="67" t="n"/>
      <c r="D163" s="67" t="n"/>
      <c r="F163" s="67" t="n"/>
    </row>
    <row r="164">
      <c r="B164" s="67" t="n"/>
      <c r="D164" s="67" t="n"/>
      <c r="F164" s="67" t="n"/>
    </row>
    <row r="165">
      <c r="B165" s="67" t="n"/>
      <c r="D165" s="67" t="n"/>
      <c r="F165" s="67" t="n"/>
    </row>
    <row r="166">
      <c r="B166" s="67" t="n"/>
      <c r="D166" s="67" t="n"/>
      <c r="F166" s="67" t="n"/>
    </row>
    <row r="167">
      <c r="B167" s="67" t="n"/>
      <c r="D167" s="67" t="n"/>
      <c r="F167" s="67" t="n"/>
    </row>
    <row r="168">
      <c r="B168" s="67" t="n"/>
      <c r="D168" s="67" t="n"/>
      <c r="F168" s="67" t="n"/>
    </row>
    <row r="169">
      <c r="B169" s="67" t="n"/>
      <c r="D169" s="67" t="n"/>
      <c r="F169" s="67" t="n"/>
    </row>
    <row r="170">
      <c r="B170" s="67" t="n"/>
      <c r="D170" s="67" t="n"/>
      <c r="F170" s="67" t="n"/>
    </row>
    <row r="171">
      <c r="B171" s="67" t="n"/>
      <c r="D171" s="67" t="n"/>
      <c r="F171" s="67" t="n"/>
    </row>
    <row r="172">
      <c r="B172" s="67" t="n"/>
      <c r="D172" s="67" t="n"/>
      <c r="F172" s="67" t="n"/>
    </row>
    <row r="173">
      <c r="B173" s="67" t="n"/>
      <c r="D173" s="67" t="n"/>
      <c r="F173" s="67" t="n"/>
    </row>
    <row r="174">
      <c r="B174" s="67" t="n"/>
      <c r="D174" s="67" t="n"/>
      <c r="F174" s="67" t="n"/>
    </row>
    <row r="175">
      <c r="B175" s="67" t="n"/>
      <c r="D175" s="67" t="n"/>
      <c r="F175" s="67" t="n"/>
    </row>
    <row r="176">
      <c r="B176" s="67" t="n"/>
      <c r="D176" s="67" t="n"/>
      <c r="F176" s="67" t="n"/>
    </row>
    <row r="177">
      <c r="B177" s="67" t="n"/>
      <c r="D177" s="67" t="n"/>
      <c r="F177" s="67" t="n"/>
    </row>
    <row r="178">
      <c r="B178" s="67" t="n"/>
      <c r="D178" s="67" t="n"/>
      <c r="F178" s="67" t="n"/>
    </row>
    <row r="179">
      <c r="B179" s="67" t="n"/>
      <c r="D179" s="67" t="n"/>
      <c r="F179" s="67" t="n"/>
    </row>
    <row r="180">
      <c r="B180" s="67" t="n"/>
      <c r="D180" s="67" t="n"/>
      <c r="F180" s="67" t="n"/>
    </row>
    <row r="181">
      <c r="B181" s="67" t="n"/>
      <c r="D181" s="67" t="n"/>
      <c r="F181" s="67" t="n"/>
    </row>
    <row r="182">
      <c r="B182" s="67" t="n"/>
      <c r="D182" s="67" t="n"/>
      <c r="F182" s="67" t="n"/>
    </row>
    <row r="183">
      <c r="B183" s="67" t="n"/>
      <c r="D183" s="67" t="n"/>
      <c r="F183" s="67" t="n"/>
    </row>
    <row r="184">
      <c r="B184" s="67" t="n"/>
      <c r="D184" s="67" t="n"/>
      <c r="F184" s="67" t="n"/>
    </row>
    <row r="185">
      <c r="B185" s="67" t="n"/>
      <c r="D185" s="67" t="n"/>
      <c r="F185" s="67" t="n"/>
    </row>
    <row r="186">
      <c r="B186" s="67" t="n"/>
      <c r="D186" s="67" t="n"/>
      <c r="F186" s="67" t="n"/>
    </row>
    <row r="187">
      <c r="B187" s="67" t="n"/>
      <c r="D187" s="67" t="n"/>
      <c r="F187" s="67" t="n"/>
    </row>
    <row r="188">
      <c r="B188" s="67" t="n"/>
      <c r="D188" s="67" t="n"/>
      <c r="F188" s="67" t="n"/>
    </row>
    <row r="189">
      <c r="B189" s="67" t="n"/>
      <c r="D189" s="67" t="n"/>
      <c r="F189" s="67" t="n"/>
    </row>
    <row r="190">
      <c r="B190" s="67" t="n"/>
      <c r="D190" s="67" t="n"/>
      <c r="F190" s="67" t="n"/>
    </row>
    <row r="191">
      <c r="B191" s="67" t="n"/>
      <c r="D191" s="67" t="n"/>
      <c r="F191" s="67" t="n"/>
    </row>
    <row r="192">
      <c r="B192" s="67" t="n"/>
      <c r="D192" s="67" t="n"/>
      <c r="F192" s="67" t="n"/>
    </row>
    <row r="193">
      <c r="B193" s="67" t="n"/>
      <c r="D193" s="67" t="n"/>
      <c r="F193" s="67" t="n"/>
    </row>
    <row r="194">
      <c r="B194" s="67" t="n"/>
      <c r="D194" s="67" t="n"/>
      <c r="F194" s="67" t="n"/>
    </row>
    <row r="195">
      <c r="B195" s="67" t="n"/>
      <c r="D195" s="67" t="n"/>
      <c r="F195" s="67" t="n"/>
    </row>
    <row r="196">
      <c r="B196" s="67" t="n"/>
      <c r="D196" s="67" t="n"/>
      <c r="F196" s="67" t="n"/>
    </row>
    <row r="197">
      <c r="B197" s="67" t="n"/>
      <c r="D197" s="67" t="n"/>
      <c r="F197" s="67" t="n"/>
    </row>
    <row r="198">
      <c r="B198" s="67" t="n"/>
      <c r="D198" s="67" t="n"/>
      <c r="F198" s="67" t="n"/>
    </row>
    <row r="199">
      <c r="B199" s="67" t="n"/>
      <c r="D199" s="67" t="n"/>
      <c r="F199" s="67" t="n"/>
    </row>
    <row r="200">
      <c r="B200" s="67" t="n"/>
      <c r="D200" s="67" t="n"/>
      <c r="F200" s="67" t="n"/>
    </row>
    <row r="201">
      <c r="B201" s="67" t="n"/>
      <c r="D201" s="67" t="n"/>
      <c r="F201" s="67" t="n"/>
    </row>
    <row r="202">
      <c r="B202" s="67" t="n"/>
      <c r="D202" s="67" t="n"/>
      <c r="F202" s="67" t="n"/>
    </row>
    <row r="203">
      <c r="B203" s="67" t="n"/>
      <c r="D203" s="67" t="n"/>
      <c r="F203" s="67" t="n"/>
    </row>
    <row r="204">
      <c r="B204" s="67" t="n"/>
      <c r="D204" s="67" t="n"/>
      <c r="F204" s="67" t="n"/>
    </row>
    <row r="205">
      <c r="B205" s="67" t="n"/>
      <c r="D205" s="67" t="n"/>
      <c r="F205" s="67" t="n"/>
    </row>
    <row r="206">
      <c r="B206" s="67" t="n"/>
      <c r="D206" s="67" t="n"/>
      <c r="F206" s="67" t="n"/>
    </row>
    <row r="207">
      <c r="B207" s="67" t="n"/>
      <c r="D207" s="67" t="n"/>
      <c r="F207" s="67" t="n"/>
    </row>
    <row r="208">
      <c r="B208" s="67" t="n"/>
      <c r="D208" s="67" t="n"/>
      <c r="F208" s="67" t="n"/>
    </row>
    <row r="209">
      <c r="B209" s="67" t="n"/>
      <c r="D209" s="67" t="n"/>
      <c r="F209" s="67" t="n"/>
    </row>
    <row r="210">
      <c r="B210" s="67" t="n"/>
      <c r="D210" s="67" t="n"/>
      <c r="F210" s="67" t="n"/>
    </row>
    <row r="211">
      <c r="B211" s="67" t="n"/>
      <c r="D211" s="67" t="n"/>
      <c r="F211" s="67" t="n"/>
    </row>
    <row r="212">
      <c r="B212" s="67" t="n"/>
      <c r="D212" s="67" t="n"/>
      <c r="F212" s="67" t="n"/>
    </row>
    <row r="213">
      <c r="B213" s="67" t="n"/>
      <c r="D213" s="67" t="n"/>
      <c r="F213" s="67" t="n"/>
    </row>
    <row r="214">
      <c r="B214" s="67" t="n"/>
      <c r="D214" s="67" t="n"/>
      <c r="F214" s="67" t="n"/>
    </row>
    <row r="215">
      <c r="B215" s="67" t="n"/>
      <c r="D215" s="67" t="n"/>
      <c r="F215" s="67" t="n"/>
    </row>
    <row r="216">
      <c r="B216" s="67" t="n"/>
      <c r="D216" s="67" t="n"/>
      <c r="F216" s="67" t="n"/>
    </row>
    <row r="217">
      <c r="B217" s="67" t="n"/>
      <c r="D217" s="67" t="n"/>
      <c r="F217" s="67" t="n"/>
    </row>
    <row r="218">
      <c r="B218" s="67" t="n"/>
      <c r="D218" s="67" t="n"/>
      <c r="F218" s="67" t="n"/>
    </row>
    <row r="219">
      <c r="B219" s="67" t="n"/>
      <c r="D219" s="67" t="n"/>
      <c r="F219" s="67" t="n"/>
    </row>
    <row r="220">
      <c r="B220" s="67" t="n"/>
      <c r="D220" s="67" t="n"/>
      <c r="F220" s="67" t="n"/>
    </row>
  </sheetData>
  <mergeCells count="9">
    <mergeCell ref="B3:G3"/>
    <mergeCell ref="D8:E8"/>
    <mergeCell ref="B5:G5"/>
    <mergeCell ref="B10:C10"/>
    <mergeCell ref="B4:G4"/>
    <mergeCell ref="F8:G8"/>
    <mergeCell ref="B8:C8"/>
    <mergeCell ref="B7:G7"/>
    <mergeCell ref="B6:G6"/>
  </mergeCells>
  <conditionalFormatting sqref="E9">
    <cfRule type="cellIs" priority="1" operator="greaterThan" dxfId="5">
      <formula>0</formula>
    </cfRule>
  </conditionalFormatting>
  <conditionalFormatting sqref="B20:B220">
    <cfRule type="expression" priority="2" dxfId="6">
      <formula>AND(LEN($B20&amp;$C20&amp;$D20&amp;$E20&amp;$F20)&gt;0,B20="")</formula>
    </cfRule>
  </conditionalFormatting>
  <conditionalFormatting sqref="C20:C220">
    <cfRule type="expression" priority="3" dxfId="6">
      <formula>AND(LEN($B20&amp;$C20&amp;$D20&amp;$E20&amp;$F20)&gt;0,C20="")</formula>
    </cfRule>
  </conditionalFormatting>
  <conditionalFormatting sqref="D20:D220">
    <cfRule type="expression" priority="4" dxfId="6">
      <formula>AND(LEN($B20&amp;$C20&amp;$D20&amp;$E20&amp;$F20)&gt;0,D20="")</formula>
    </cfRule>
  </conditionalFormatting>
  <conditionalFormatting sqref="E20:E220">
    <cfRule type="expression" priority="5" dxfId="6">
      <formula>AND(LEN($B20&amp;$C20&amp;$D20&amp;$E20&amp;$F20)&gt;0,E20="")</formula>
    </cfRule>
  </conditionalFormatting>
  <conditionalFormatting sqref="F20:F220">
    <cfRule type="expression" priority="6" dxfId="6">
      <formula>AND(LEN($B20&amp;$C20&amp;$D20&amp;$E20&amp;$F20)&gt;0,F20="")</formula>
    </cfRule>
  </conditionalFormatting>
  <dataValidations count="7">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F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invoice_no" error="At most 40 characters." promptTitle="legacy_invoice_no" prompt="Yes. Invoice number in the source system Allowed: legacy_invoice_no of F01" type="textLength" operator="lessThanOrEqual">
      <formula1>40</formula1>
    </dataValidation>
    <dataValidation sqref="C20:C220" showDropDown="0" showInputMessage="1" showErrorMessage="1" allowBlank="1" errorTitle="share_seq" error="Enter a whole number." promptTitle="share_seq" prompt="Yes. Sequence of the insurer Allowed: A whole number" type="whole" operator="greaterThanOrEqual">
      <formula1>-1E+15</formula1>
    </dataValidation>
    <dataValidation sqref="D20:D220" showDropDown="0" showInputMessage="1" showErrorMessage="1" allowBlank="1" errorTitle="insurer_code" error="At most 30 characters." promptTitle="insurer_code" prompt="Yes. Insurer Allowed: The legacy code; mapped by the code map INSURER (sheet Code maps)" type="textLength" operator="lessThanOrEqual">
      <formula1>30</formula1>
    </dataValidation>
    <dataValidation sqref="E20:E220" showDropDown="0" showInputMessage="1" showErrorMessage="1" allowBlank="1" errorTitle="share_pct" error="Enter a number." promptTitle="share_pct" prompt="Yes. Share in percent Allowed: A number" type="decimal" operator="greaterThanOrEqual">
      <formula1>-1E+15</formula1>
    </dataValidation>
    <dataValidation sqref="F20:F220" showDropDown="0" showInputMessage="1" showErrorMessage="1" allowBlank="1" errorTitle="lead_flag" error="Choose a value of the list Yes or no (sheet Reference lists)." promptTitle="lead_flag" prompt="Yes. Lead insurer Allowed: Y or N" type="list" errorStyle="stop">
      <formula1>=LIST_YES_NO</formula1>
    </dataValidation>
  </dataValidations>
  <hyperlinks>
    <hyperlink ref="A2" location="'Load templates'!A1"/>
    <hyperlink ref="G2" location="'Comments log'!A1"/>
    <hyperlink ref="B8" location="'F01 Open legacy invoices - head'!A1"/>
    <hyperlink ref="D8" location="'C01 Client master'!A1"/>
    <hyperlink ref="F8" location="'C02 Client addresses and contac'!A1"/>
    <hyperlink ref="D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9.xml><?xml version="1.0" encoding="utf-8"?>
<worksheet xmlns="http://schemas.openxmlformats.org/spreadsheetml/2006/main">
  <sheetPr>
    <tabColor rgb="00004EA8"/>
    <outlinePr summaryBelow="0" summaryRight="1"/>
    <pageSetUpPr fitToPage="1"/>
  </sheetPr>
  <dimension ref="A1:V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9" customWidth="1" min="2" max="2"/>
    <col width="17" customWidth="1" min="3" max="3"/>
    <col width="19" customWidth="1" min="4" max="4"/>
    <col width="15" customWidth="1" min="5" max="5"/>
    <col width="15" customWidth="1" min="6" max="6"/>
    <col width="15" customWidth="1" min="7" max="7"/>
    <col width="21" customWidth="1" min="8" max="8"/>
    <col width="13" customWidth="1" min="9" max="9"/>
    <col width="19.54545454545454" customWidth="1" min="10" max="10"/>
    <col width="19.54545454545454" customWidth="1" min="11" max="11"/>
    <col width="20" customWidth="1" min="12" max="12"/>
    <col width="16" customWidth="1" min="13" max="13"/>
    <col width="20" customWidth="1" min="14" max="14"/>
    <col width="18" customWidth="1" min="15" max="15"/>
    <col width="16" customWidth="1" min="16" max="16"/>
    <col width="23" customWidth="1" min="17" max="17"/>
    <col width="18" customWidth="1" min="18" max="18"/>
    <col width="21" customWidth="1" min="19" max="19"/>
    <col width="23" customWidth="1" min="20" max="20"/>
    <col width="28" customWidth="1" min="21" max="21"/>
    <col width="27" customWidth="1" min="22" max="22"/>
  </cols>
  <sheetData>
    <row r="1" ht="26" customHeight="1">
      <c r="A1" s="44" t="inlineStr">
        <is>
          <t>F02 Unapplied premium payments (UPP)</t>
        </is>
      </c>
      <c r="V1" s="45" t="inlineStr">
        <is>
          <t>Step 20 of 29</t>
        </is>
      </c>
    </row>
    <row r="2">
      <c r="A2" s="46" t="inlineStr">
        <is>
          <t>← Back to Load templates</t>
        </is>
      </c>
      <c r="B2" s="47" t="inlineStr">
        <is>
          <t>Step 20 of 29. Fill in one row per record below the column headers; the guide above each column says what to enter.</t>
        </is>
      </c>
      <c r="V2" s="48" t="inlineStr">
        <is>
          <t>Ask a question →</t>
        </is>
      </c>
    </row>
    <row r="3" outlineLevel="1" ht="15.5" customHeight="1">
      <c r="A3" s="49" t="inlineStr">
        <is>
          <t>Purpose</t>
        </is>
      </c>
      <c r="B3" s="50" t="inlineStr">
        <is>
          <t>One row per record of Unapplied premium payments (UPP) with disposition in progress as extracted from EBIX, CMS. Key legacy_upp_ref. Sent as the file F02_template.csv (CSV, header row as below) with its control file (row count, count of distinct keys; amount totals per currency: amount, balance).</t>
        </is>
      </c>
    </row>
    <row r="4" outlineLevel="1" ht="15.5" customHeight="1">
      <c r="A4" s="49" t="inlineStr">
        <is>
          <t>Provided by</t>
        </is>
      </c>
      <c r="B4" s="50" t="inlineStr">
        <is>
          <t>Cashiering data steward (to name); approved by Operations - Financial Transactions; extracted by BDOI IT</t>
        </is>
      </c>
    </row>
    <row r="5" outlineLevel="1" ht="15.5" customHeight="1">
      <c r="A5" s="49" t="inlineStr">
        <is>
          <t>Due</t>
        </is>
      </c>
      <c r="B5" s="51" t="inlineStr">
        <is>
          <t>M3 (29 Jan 2027); final at T-2</t>
        </is>
      </c>
    </row>
    <row r="6" outlineLevel="1" ht="15.5" customHeight="1">
      <c r="A6" s="49" t="inlineStr">
        <is>
          <t>How it is loaded</t>
        </is>
      </c>
      <c r="B6" s="50" t="inlineStr">
        <is>
          <t>Data migration object F02 (Carry forward), layout F02 version 1, through the Migration Console; lands in: Cashiering unapplied payments, as migrated items, with an opening accounting entry</t>
        </is>
      </c>
    </row>
    <row r="7" outlineLevel="1" ht="15.5" customHeight="1">
      <c r="A7" s="49" t="inlineStr">
        <is>
          <t>Source</t>
        </is>
      </c>
      <c r="B7" s="50" t="inlineStr">
        <is>
          <t>EBIX, CMS</t>
        </is>
      </c>
    </row>
    <row r="8" outlineLevel="1" ht="26" customHeight="1">
      <c r="A8" s="49" t="inlineStr">
        <is>
          <t>Depends on</t>
        </is>
      </c>
      <c r="B8" s="68" t="inlineStr">
        <is>
          <t>C01 Client master →</t>
        </is>
      </c>
      <c r="D8" s="68" t="inlineStr">
        <is>
          <t>C02 Client addresses and contacts →</t>
        </is>
      </c>
    </row>
    <row r="9" ht="26" customHeight="1">
      <c r="A9" s="53" t="inlineStr">
        <is>
          <t>Progress</t>
        </is>
      </c>
      <c r="B9" s="54" t="inlineStr">
        <is>
          <t>Rows entered</t>
        </is>
      </c>
      <c r="C9" s="55">
        <f>SUMPRODUCT(((ROW($B$20:$B$220)&gt;20)+($B$20&lt;&gt;"UPP-2026-004321")&gt;0)*(LEN($B$20:$B$220&amp;$C$20:$C$220&amp;$D$20:$D$220&amp;$E$20:$E$220&amp;$F$20:$F$220&amp;$G$20:$G$220&amp;$H$20:$H$220&amp;$I$20:$I$220&amp;$J$20:$J$220&amp;$K$20:$K$220&amp;$L$20:$L$220&amp;$M$20:$M$220&amp;$N$20:$N$220&amp;$O$20:$O$220&amp;$P$20:$P$220&amp;$Q$20:$Q$220&amp;$R$20:$R$220&amp;$S$20:$S$220&amp;$T$20:$T$220&amp;$U$20:$U$220&amp;$V$20:$V$220)&gt;0))</f>
        <v/>
      </c>
      <c r="D9" s="54" t="inlineStr">
        <is>
          <t>Mandatory cells missing</t>
        </is>
      </c>
      <c r="E9" s="55">
        <f>SUMPRODUCT(((ROW($B$20:$B$220)&gt;20)+($B$20&lt;&gt;"UPP-2026-004321")&gt;0)*(LEN($B$20:$B$220&amp;$C$20:$C$220&amp;$D$20:$D$220&amp;$E$20:$E$220&amp;$F$20:$F$220&amp;$G$20:$G$220&amp;$H$20:$H$220&amp;$I$20:$I$220&amp;$J$20:$J$220&amp;$K$20:$K$220&amp;$L$20:$L$220&amp;$M$20:$M$220&amp;$N$20:$N$220&amp;$O$20:$O$220&amp;$P$20:$P$220&amp;$Q$20:$Q$220&amp;$R$20:$R$220&amp;$S$20:$S$220&amp;$T$20:$T$220&amp;$U$20:$U$220&amp;$V$20:$V$220)&gt;0)*(($B$20:$B$220="")+($C$20:$C$220="")+($D$20:$D$220="")+($E$20:$E$220="")+($F$20:$F$220="")+($G$20:$G$220="")+($I$20:$I$220="")+($J$20:$J$220="")+($K$20:$K$220="")+($M$20:$M$220="")+($R$20:$R$220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row>
    <row r="12" ht="30" customHeight="1">
      <c r="A12" s="59" t="inlineStr">
        <is>
          <t>BU review</t>
        </is>
      </c>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row>
    <row r="14" ht="30" customHeight="1">
      <c r="A14" s="59" t="inlineStr">
        <is>
          <t>Check when loaded</t>
        </is>
      </c>
      <c r="B14" s="61" t="inlineStr">
        <is>
          <t>Unique</t>
        </is>
      </c>
      <c r="C14" s="61" t="inlineStr">
        <is>
          <t>Not blank</t>
        </is>
      </c>
      <c r="D14" s="61" t="inlineStr">
        <is>
          <t>Before the cutover date</t>
        </is>
      </c>
      <c r="E14" s="61" t="inlineStr">
        <is>
          <t>Before the cutover date</t>
        </is>
      </c>
      <c r="F14" s="61" t="inlineStr">
        <is>
          <t>In the list</t>
        </is>
      </c>
      <c r="G14" s="61" t="inlineStr">
        <is>
          <t>Not blank</t>
        </is>
      </c>
      <c r="H14" s="61" t="inlineStr">
        <is>
          <t>Client loaded when given</t>
        </is>
      </c>
      <c r="I14" s="61" t="inlineStr">
        <is>
          <t>Valid code</t>
        </is>
      </c>
      <c r="J14" s="61" t="inlineStr">
        <is>
          <t>Above 0</t>
        </is>
      </c>
      <c r="K14" s="61" t="inlineStr">
        <is>
          <t>Above 0 and at most amount</t>
        </is>
      </c>
      <c r="L14" s="61" t="inlineStr">
        <is>
          <t>Mapped</t>
        </is>
      </c>
      <c r="M14" s="61" t="inlineStr">
        <is>
          <t>Mapped</t>
        </is>
      </c>
      <c r="N14" s="61" t="inlineStr">
        <is>
          <t>At least one ref_ field is recommended</t>
        </is>
      </c>
      <c r="O14" s="61" t="inlineStr">
        <is>
          <t>-</t>
        </is>
      </c>
      <c r="P14" s="61" t="inlineStr">
        <is>
          <t>-</t>
        </is>
      </c>
      <c r="Q14" s="61" t="inlineStr">
        <is>
          <t>-</t>
        </is>
      </c>
      <c r="R14" s="61" t="inlineStr">
        <is>
          <t>Mapped</t>
        </is>
      </c>
      <c r="S14" s="61" t="inlineStr">
        <is>
          <t>Mapped</t>
        </is>
      </c>
      <c r="T14" s="61" t="inlineStr">
        <is>
          <t>Mandatory when disposition_type is given</t>
        </is>
      </c>
      <c r="U14" s="61" t="inlineStr">
        <is>
          <t>-</t>
        </is>
      </c>
      <c r="V14" s="61" t="inlineStr">
        <is>
          <t>-</t>
        </is>
      </c>
    </row>
    <row r="15" ht="30" customHeight="1">
      <c r="A15" s="59" t="inlineStr">
        <is>
          <t>Mandatory</t>
        </is>
      </c>
      <c r="B15" s="62" t="inlineStr">
        <is>
          <t>Yes</t>
        </is>
      </c>
      <c r="C15" s="62" t="inlineStr">
        <is>
          <t>Yes</t>
        </is>
      </c>
      <c r="D15" s="62" t="inlineStr">
        <is>
          <t>Yes</t>
        </is>
      </c>
      <c r="E15" s="62" t="inlineStr">
        <is>
          <t>Yes</t>
        </is>
      </c>
      <c r="F15" s="62" t="inlineStr">
        <is>
          <t>Yes</t>
        </is>
      </c>
      <c r="G15" s="62" t="inlineStr">
        <is>
          <t>Yes</t>
        </is>
      </c>
      <c r="H15" s="61" t="inlineStr">
        <is>
          <t>No</t>
        </is>
      </c>
      <c r="I15" s="62" t="inlineStr">
        <is>
          <t>Yes</t>
        </is>
      </c>
      <c r="J15" s="62" t="inlineStr">
        <is>
          <t>Yes</t>
        </is>
      </c>
      <c r="K15" s="62" t="inlineStr">
        <is>
          <t>Yes</t>
        </is>
      </c>
      <c r="L15" s="61" t="inlineStr">
        <is>
          <t>No</t>
        </is>
      </c>
      <c r="M15" s="62" t="inlineStr">
        <is>
          <t>Yes</t>
        </is>
      </c>
      <c r="N15" s="61" t="inlineStr">
        <is>
          <t>No</t>
        </is>
      </c>
      <c r="O15" s="61" t="inlineStr">
        <is>
          <t>No</t>
        </is>
      </c>
      <c r="P15" s="61" t="inlineStr">
        <is>
          <t>No</t>
        </is>
      </c>
      <c r="Q15" s="61" t="inlineStr">
        <is>
          <t>No</t>
        </is>
      </c>
      <c r="R15" s="62" t="inlineStr">
        <is>
          <t>Yes</t>
        </is>
      </c>
      <c r="S15" s="61" t="inlineStr">
        <is>
          <t>No</t>
        </is>
      </c>
      <c r="T15" s="61" t="inlineStr">
        <is>
          <t>Conditional: Mandatory when disposition_type is given</t>
        </is>
      </c>
      <c r="U15" s="61" t="inlineStr">
        <is>
          <t>No</t>
        </is>
      </c>
      <c r="V15" s="61" t="inlineStr">
        <is>
          <t>No</t>
        </is>
      </c>
    </row>
    <row r="16" ht="30" customHeight="1">
      <c r="A16" s="59" t="inlineStr">
        <is>
          <t>Format</t>
        </is>
      </c>
      <c r="B16" s="61" t="inlineStr">
        <is>
          <t>Code, up to 40; As stored in legacy</t>
        </is>
      </c>
      <c r="C16" s="61" t="inlineStr">
        <is>
          <t>Text, up to 40; As printed</t>
        </is>
      </c>
      <c r="D16" s="61" t="inlineStr">
        <is>
          <t>Date, up to 10; yyyy-MM-dd</t>
        </is>
      </c>
      <c r="E16" s="61" t="inlineStr">
        <is>
          <t>Date, up to 10; yyyy-MM-dd</t>
        </is>
      </c>
      <c r="F16" s="61" t="inlineStr">
        <is>
          <t>Code, up to 20; Upper case</t>
        </is>
      </c>
      <c r="G16" s="61" t="inlineStr">
        <is>
          <t>Text, up to 250; Free text</t>
        </is>
      </c>
      <c r="H16" s="61" t="inlineStr">
        <is>
          <t>Code, up to 30; As stored in legacy</t>
        </is>
      </c>
      <c r="I16" s="61" t="inlineStr">
        <is>
          <t>Code, up to 3; Upper case</t>
        </is>
      </c>
      <c r="J16" s="61" t="inlineStr">
        <is>
          <t>Amount, up to 19,2; Dot decimal, 2 decimals</t>
        </is>
      </c>
      <c r="K16" s="61" t="inlineStr">
        <is>
          <t>Amount, up to 19,2; Dot decimal, 2 decimals</t>
        </is>
      </c>
      <c r="L16" s="61" t="inlineStr">
        <is>
          <t>Code, up to 20; As stored in legacy</t>
        </is>
      </c>
      <c r="M16" s="61" t="inlineStr">
        <is>
          <t>Code, up to 20; As stored in legacy</t>
        </is>
      </c>
      <c r="N16" s="61" t="inlineStr">
        <is>
          <t>Text, up to 400; NO;NO</t>
        </is>
      </c>
      <c r="O16" s="61" t="inlineStr">
        <is>
          <t>Text, up to 400; NO;NO</t>
        </is>
      </c>
      <c r="P16" s="61" t="inlineStr">
        <is>
          <t>Text, up to 400; PN;PN</t>
        </is>
      </c>
      <c r="Q16" s="61" t="inlineStr">
        <is>
          <t>Text, up to 80; As in the payment file</t>
        </is>
      </c>
      <c r="R16" s="61" t="inlineStr">
        <is>
          <t>Code, up to 30; As stored in legacy</t>
        </is>
      </c>
      <c r="S16" s="61" t="inlineStr">
        <is>
          <t>Code, up to 40; As stored in legacy</t>
        </is>
      </c>
      <c r="T16" s="61" t="inlineStr">
        <is>
          <t>Code, up to 20; Upper case</t>
        </is>
      </c>
      <c r="U16" s="61" t="inlineStr">
        <is>
          <t>Text, up to 500; Free text</t>
        </is>
      </c>
      <c r="V16" s="61" t="inlineStr">
        <is>
          <t>Text, up to 250; Free text</t>
        </is>
      </c>
    </row>
    <row r="17" ht="56" customHeight="1">
      <c r="A17" s="59" t="inlineStr">
        <is>
          <t>Allowed values</t>
        </is>
      </c>
      <c r="B17" s="61" t="inlineStr">
        <is>
          <t>Free entry, up to 40 characters</t>
        </is>
      </c>
      <c r="C17" s="61" t="inlineStr">
        <is>
          <t>Free entry, up to 40 characters</t>
        </is>
      </c>
      <c r="D17" s="61" t="inlineStr">
        <is>
          <t>Free entry</t>
        </is>
      </c>
      <c r="E17" s="61" t="inlineStr">
        <is>
          <t>Free entry</t>
        </is>
      </c>
      <c r="F17" s="69" t="inlineStr">
        <is>
          <t>List F02 channel: 7 values, see Reference lists</t>
        </is>
      </c>
      <c r="G17" s="61" t="inlineStr">
        <is>
          <t>Free entry, up to 250 characters</t>
        </is>
      </c>
      <c r="H17" s="61" t="inlineStr">
        <is>
          <t>legacy_client_no of C01</t>
        </is>
      </c>
      <c r="I17" s="61" t="inlineStr">
        <is>
          <t>ISO 4217</t>
        </is>
      </c>
      <c r="J17" s="61" t="inlineStr">
        <is>
          <t>A number</t>
        </is>
      </c>
      <c r="K17" s="61" t="inlineStr">
        <is>
          <t>A number</t>
        </is>
      </c>
      <c r="L17" s="69" t="inlineStr">
        <is>
          <t>The legacy code; mapped by the code map SALES_UNIT (sheet Code maps)</t>
        </is>
      </c>
      <c r="M17" s="69" t="inlineStr">
        <is>
          <t>The legacy code; mapped by the code map BRANCH (sheet Code maps)</t>
        </is>
      </c>
      <c r="N17" s="61" t="inlineStr">
        <is>
          <t>Free entry, up to 400 characters</t>
        </is>
      </c>
      <c r="O17" s="61" t="inlineStr">
        <is>
          <t>Free entry, up to 400 characters</t>
        </is>
      </c>
      <c r="P17" s="61" t="inlineStr">
        <is>
          <t>Free entry, up to 400 characters</t>
        </is>
      </c>
      <c r="Q17" s="61" t="inlineStr">
        <is>
          <t>Free entry, up to 80 characters</t>
        </is>
      </c>
      <c r="R17" s="69" t="inlineStr">
        <is>
          <t>The legacy code; mapped by the code map STATUS:UPP (sheet Code maps)</t>
        </is>
      </c>
      <c r="S17" s="69" t="inlineStr">
        <is>
          <t>The legacy code; mapped by the code map DISPOSITION_TYPE (sheet Code maps)</t>
        </is>
      </c>
      <c r="T17" s="69" t="inlineStr">
        <is>
          <t>MONITORING, FOR_APPROVAL, IN_PROCESS (list F02 disposition_status)</t>
        </is>
      </c>
      <c r="U17" s="61" t="inlineStr">
        <is>
          <t>Free entry, up to 500 characters</t>
        </is>
      </c>
      <c r="V17" s="61" t="inlineStr">
        <is>
          <t>Free entry, up to 250 characters</t>
        </is>
      </c>
    </row>
    <row r="18" ht="43" customHeight="1">
      <c r="A18" s="59" t="inlineStr">
        <is>
          <t>What to enter</t>
        </is>
      </c>
      <c r="B18" s="61" t="inlineStr">
        <is>
          <t>UPP reference in the source system</t>
        </is>
      </c>
      <c r="C18" s="61" t="inlineStr">
        <is>
          <t>Acknowledgment receipt issued in legacy</t>
        </is>
      </c>
      <c r="D18" s="61" t="inlineStr">
        <is>
          <t>AR date</t>
        </is>
      </c>
      <c r="E18" s="61" t="inlineStr">
        <is>
          <t>Value date of the cash</t>
        </is>
      </c>
      <c r="F18" s="61" t="inlineStr">
        <is>
          <t>Channel of the payment</t>
        </is>
      </c>
      <c r="G18" s="61" t="inlineStr">
        <is>
          <t>Payor</t>
        </is>
      </c>
      <c r="H18" s="61" t="inlineStr">
        <is>
          <t>Client if identified</t>
        </is>
      </c>
      <c r="I18" s="61" t="inlineStr">
        <is>
          <t>Currency</t>
        </is>
      </c>
      <c r="J18" s="61" t="inlineStr">
        <is>
          <t>Amount received</t>
        </is>
      </c>
      <c r="K18" s="61" t="inlineStr">
        <is>
          <t>Unapplied balance at the freeze</t>
        </is>
      </c>
      <c r="L18" s="61" t="inlineStr">
        <is>
          <t>Sales unit</t>
        </is>
      </c>
      <c r="M18" s="61" t="inlineStr">
        <is>
          <t>Branch that received the cash</t>
        </is>
      </c>
      <c r="N18" s="61" t="inlineStr">
        <is>
          <t>Invoice numbers the payor quoted, separated by semicolons</t>
        </is>
      </c>
      <c r="O18" s="61" t="inlineStr">
        <is>
          <t>Cover or policy numbers quoted</t>
        </is>
      </c>
      <c r="P18" s="61" t="inlineStr">
        <is>
          <t>PN numbers quoted</t>
        </is>
      </c>
      <c r="Q18" s="61" t="inlineStr">
        <is>
          <t>Bank or payment file reference</t>
        </is>
      </c>
      <c r="R18" s="61" t="inlineStr">
        <is>
          <t>UPP status in legacy</t>
        </is>
      </c>
      <c r="S18" s="61" t="inlineStr">
        <is>
          <t>Disposition in progress in legacy</t>
        </is>
      </c>
      <c r="T18" s="61" t="inlineStr">
        <is>
          <t>Status of the disposition</t>
        </is>
      </c>
      <c r="U18" s="61" t="inlineStr">
        <is>
          <t>Details (target invoice, refund payee, amount)</t>
        </is>
      </c>
      <c r="V18" s="61" t="inlineStr">
        <is>
          <t>Legacy remarks</t>
        </is>
      </c>
    </row>
    <row r="19" ht="30" customHeight="1">
      <c r="A19" s="63" t="inlineStr">
        <is>
          <t>Row</t>
        </is>
      </c>
      <c r="B19" s="24" t="inlineStr">
        <is>
          <t>legacy_upp_ref *</t>
        </is>
      </c>
      <c r="C19" s="24" t="inlineStr">
        <is>
          <t>legacy_ar_no *</t>
        </is>
      </c>
      <c r="D19" s="24" t="inlineStr">
        <is>
          <t>legacy_ar_date *</t>
        </is>
      </c>
      <c r="E19" s="24" t="inlineStr">
        <is>
          <t>value_date *</t>
        </is>
      </c>
      <c r="F19" s="24" t="inlineStr">
        <is>
          <t>channel *</t>
        </is>
      </c>
      <c r="G19" s="24" t="inlineStr">
        <is>
          <t>payor_name *</t>
        </is>
      </c>
      <c r="H19" s="24" t="inlineStr">
        <is>
          <t>legacy_client_no</t>
        </is>
      </c>
      <c r="I19" s="24" t="inlineStr">
        <is>
          <t>currency *</t>
        </is>
      </c>
      <c r="J19" s="24" t="inlineStr">
        <is>
          <t>amount *</t>
        </is>
      </c>
      <c r="K19" s="24" t="inlineStr">
        <is>
          <t>balance *</t>
        </is>
      </c>
      <c r="L19" s="24" t="inlineStr">
        <is>
          <t>sales_unit_code</t>
        </is>
      </c>
      <c r="M19" s="24" t="inlineStr">
        <is>
          <t>branch_code *</t>
        </is>
      </c>
      <c r="N19" s="24" t="inlineStr">
        <is>
          <t>ref_invoice_nos</t>
        </is>
      </c>
      <c r="O19" s="24" t="inlineStr">
        <is>
          <t>ref_cover_nos</t>
        </is>
      </c>
      <c r="P19" s="24" t="inlineStr">
        <is>
          <t>ref_pn_nos</t>
        </is>
      </c>
      <c r="Q19" s="24" t="inlineStr">
        <is>
          <t>ref_bank_reference</t>
        </is>
      </c>
      <c r="R19" s="24" t="inlineStr">
        <is>
          <t>legacy_status *</t>
        </is>
      </c>
      <c r="S19" s="24" t="inlineStr">
        <is>
          <t>disposition_type</t>
        </is>
      </c>
      <c r="T19" s="24" t="inlineStr">
        <is>
          <t>disposition_status</t>
        </is>
      </c>
      <c r="U19" s="24" t="inlineStr">
        <is>
          <t>disposition_details</t>
        </is>
      </c>
      <c r="V19" s="24" t="inlineStr">
        <is>
          <t>remarks</t>
        </is>
      </c>
    </row>
    <row r="20" ht="18" customHeight="1">
      <c r="A20" s="64" t="inlineStr">
        <is>
          <t>Example – overwrite or delete</t>
        </is>
      </c>
      <c r="B20" s="65" t="inlineStr">
        <is>
          <t>UPP-2026-004321</t>
        </is>
      </c>
      <c r="C20" s="65" t="inlineStr">
        <is>
          <t>AR-MKT-131002</t>
        </is>
      </c>
      <c r="D20" s="65" t="inlineStr">
        <is>
          <t>2026-07-14</t>
        </is>
      </c>
      <c r="E20" s="65" t="inlineStr">
        <is>
          <t>2026-07-14</t>
        </is>
      </c>
      <c r="F20" s="65" t="inlineStr">
        <is>
          <t>DIRECT_CREDIT</t>
        </is>
      </c>
      <c r="G20" s="65" t="inlineStr">
        <is>
          <t>Ana C. Reyes</t>
        </is>
      </c>
      <c r="H20" s="65" t="inlineStr">
        <is>
          <t>Q-0012345</t>
        </is>
      </c>
      <c r="I20" s="65" t="inlineStr">
        <is>
          <t>PHP</t>
        </is>
      </c>
      <c r="J20" s="66" t="n">
        <v>5000</v>
      </c>
      <c r="K20" s="66" t="n">
        <v>5000</v>
      </c>
      <c r="L20" s="65" t="inlineStr">
        <is>
          <t>T-RET-07</t>
        </is>
      </c>
      <c r="M20" s="65" t="inlineStr">
        <is>
          <t>MKT01</t>
        </is>
      </c>
      <c r="N20" s="65" t="inlineStr">
        <is>
          <t>I00123456</t>
        </is>
      </c>
      <c r="O20" s="65" t="inlineStr">
        <is>
          <t>C-2026-004512</t>
        </is>
      </c>
      <c r="P20" s="65" t="inlineStr">
        <is>
          <t>PN-2019-000123</t>
        </is>
      </c>
      <c r="Q20" s="65" t="inlineStr">
        <is>
          <t>DC20260714-000981</t>
        </is>
      </c>
      <c r="R20" s="65" t="inlineStr">
        <is>
          <t>FOR_MONITORING</t>
        </is>
      </c>
      <c r="S20" s="65" t="inlineStr">
        <is>
          <t>REFUND</t>
        </is>
      </c>
      <c r="T20" s="65" t="inlineStr">
        <is>
          <t>FOR_APPROVAL</t>
        </is>
      </c>
      <c r="U20" s="65" t="inlineStr">
        <is>
          <t>Refund to CTA 001234567890</t>
        </is>
      </c>
      <c r="V20" s="65" t="inlineStr">
        <is>
          <t>Client to confirm invoice</t>
        </is>
      </c>
    </row>
    <row r="21">
      <c r="B21" s="67" t="n"/>
      <c r="C21" s="67" t="n"/>
      <c r="D21" s="67" t="n"/>
      <c r="E21" s="67" t="n"/>
      <c r="F21" s="67" t="n"/>
      <c r="G21" s="67" t="n"/>
      <c r="H21" s="67" t="n"/>
      <c r="I21" s="67" t="n"/>
      <c r="L21" s="67" t="n"/>
      <c r="M21" s="67" t="n"/>
      <c r="N21" s="67" t="n"/>
      <c r="O21" s="67" t="n"/>
      <c r="P21" s="67" t="n"/>
      <c r="Q21" s="67" t="n"/>
      <c r="R21" s="67" t="n"/>
      <c r="S21" s="67" t="n"/>
      <c r="T21" s="67" t="n"/>
      <c r="U21" s="67" t="n"/>
      <c r="V21" s="67" t="n"/>
    </row>
    <row r="22">
      <c r="B22" s="67" t="n"/>
      <c r="C22" s="67" t="n"/>
      <c r="D22" s="67" t="n"/>
      <c r="E22" s="67" t="n"/>
      <c r="F22" s="67" t="n"/>
      <c r="G22" s="67" t="n"/>
      <c r="H22" s="67" t="n"/>
      <c r="I22" s="67" t="n"/>
      <c r="L22" s="67" t="n"/>
      <c r="M22" s="67" t="n"/>
      <c r="N22" s="67" t="n"/>
      <c r="O22" s="67" t="n"/>
      <c r="P22" s="67" t="n"/>
      <c r="Q22" s="67" t="n"/>
      <c r="R22" s="67" t="n"/>
      <c r="S22" s="67" t="n"/>
      <c r="T22" s="67" t="n"/>
      <c r="U22" s="67" t="n"/>
      <c r="V22" s="67" t="n"/>
    </row>
    <row r="23">
      <c r="B23" s="67" t="n"/>
      <c r="C23" s="67" t="n"/>
      <c r="D23" s="67" t="n"/>
      <c r="E23" s="67" t="n"/>
      <c r="F23" s="67" t="n"/>
      <c r="G23" s="67" t="n"/>
      <c r="H23" s="67" t="n"/>
      <c r="I23" s="67" t="n"/>
      <c r="L23" s="67" t="n"/>
      <c r="M23" s="67" t="n"/>
      <c r="N23" s="67" t="n"/>
      <c r="O23" s="67" t="n"/>
      <c r="P23" s="67" t="n"/>
      <c r="Q23" s="67" t="n"/>
      <c r="R23" s="67" t="n"/>
      <c r="S23" s="67" t="n"/>
      <c r="T23" s="67" t="n"/>
      <c r="U23" s="67" t="n"/>
      <c r="V23" s="67" t="n"/>
    </row>
    <row r="24">
      <c r="B24" s="67" t="n"/>
      <c r="C24" s="67" t="n"/>
      <c r="D24" s="67" t="n"/>
      <c r="E24" s="67" t="n"/>
      <c r="F24" s="67" t="n"/>
      <c r="G24" s="67" t="n"/>
      <c r="H24" s="67" t="n"/>
      <c r="I24" s="67" t="n"/>
      <c r="L24" s="67" t="n"/>
      <c r="M24" s="67" t="n"/>
      <c r="N24" s="67" t="n"/>
      <c r="O24" s="67" t="n"/>
      <c r="P24" s="67" t="n"/>
      <c r="Q24" s="67" t="n"/>
      <c r="R24" s="67" t="n"/>
      <c r="S24" s="67" t="n"/>
      <c r="T24" s="67" t="n"/>
      <c r="U24" s="67" t="n"/>
      <c r="V24" s="67" t="n"/>
    </row>
    <row r="25">
      <c r="B25" s="67" t="n"/>
      <c r="C25" s="67" t="n"/>
      <c r="D25" s="67" t="n"/>
      <c r="E25" s="67" t="n"/>
      <c r="F25" s="67" t="n"/>
      <c r="G25" s="67" t="n"/>
      <c r="H25" s="67" t="n"/>
      <c r="I25" s="67" t="n"/>
      <c r="L25" s="67" t="n"/>
      <c r="M25" s="67" t="n"/>
      <c r="N25" s="67" t="n"/>
      <c r="O25" s="67" t="n"/>
      <c r="P25" s="67" t="n"/>
      <c r="Q25" s="67" t="n"/>
      <c r="R25" s="67" t="n"/>
      <c r="S25" s="67" t="n"/>
      <c r="T25" s="67" t="n"/>
      <c r="U25" s="67" t="n"/>
      <c r="V25" s="67" t="n"/>
    </row>
    <row r="26">
      <c r="B26" s="67" t="n"/>
      <c r="C26" s="67" t="n"/>
      <c r="D26" s="67" t="n"/>
      <c r="E26" s="67" t="n"/>
      <c r="F26" s="67" t="n"/>
      <c r="G26" s="67" t="n"/>
      <c r="H26" s="67" t="n"/>
      <c r="I26" s="67" t="n"/>
      <c r="L26" s="67" t="n"/>
      <c r="M26" s="67" t="n"/>
      <c r="N26" s="67" t="n"/>
      <c r="O26" s="67" t="n"/>
      <c r="P26" s="67" t="n"/>
      <c r="Q26" s="67" t="n"/>
      <c r="R26" s="67" t="n"/>
      <c r="S26" s="67" t="n"/>
      <c r="T26" s="67" t="n"/>
      <c r="U26" s="67" t="n"/>
      <c r="V26" s="67" t="n"/>
    </row>
    <row r="27">
      <c r="B27" s="67" t="n"/>
      <c r="C27" s="67" t="n"/>
      <c r="D27" s="67" t="n"/>
      <c r="E27" s="67" t="n"/>
      <c r="F27" s="67" t="n"/>
      <c r="G27" s="67" t="n"/>
      <c r="H27" s="67" t="n"/>
      <c r="I27" s="67" t="n"/>
      <c r="L27" s="67" t="n"/>
      <c r="M27" s="67" t="n"/>
      <c r="N27" s="67" t="n"/>
      <c r="O27" s="67" t="n"/>
      <c r="P27" s="67" t="n"/>
      <c r="Q27" s="67" t="n"/>
      <c r="R27" s="67" t="n"/>
      <c r="S27" s="67" t="n"/>
      <c r="T27" s="67" t="n"/>
      <c r="U27" s="67" t="n"/>
      <c r="V27" s="67" t="n"/>
    </row>
    <row r="28">
      <c r="B28" s="67" t="n"/>
      <c r="C28" s="67" t="n"/>
      <c r="D28" s="67" t="n"/>
      <c r="E28" s="67" t="n"/>
      <c r="F28" s="67" t="n"/>
      <c r="G28" s="67" t="n"/>
      <c r="H28" s="67" t="n"/>
      <c r="I28" s="67" t="n"/>
      <c r="L28" s="67" t="n"/>
      <c r="M28" s="67" t="n"/>
      <c r="N28" s="67" t="n"/>
      <c r="O28" s="67" t="n"/>
      <c r="P28" s="67" t="n"/>
      <c r="Q28" s="67" t="n"/>
      <c r="R28" s="67" t="n"/>
      <c r="S28" s="67" t="n"/>
      <c r="T28" s="67" t="n"/>
      <c r="U28" s="67" t="n"/>
      <c r="V28" s="67" t="n"/>
    </row>
    <row r="29">
      <c r="B29" s="67" t="n"/>
      <c r="C29" s="67" t="n"/>
      <c r="D29" s="67" t="n"/>
      <c r="E29" s="67" t="n"/>
      <c r="F29" s="67" t="n"/>
      <c r="G29" s="67" t="n"/>
      <c r="H29" s="67" t="n"/>
      <c r="I29" s="67" t="n"/>
      <c r="L29" s="67" t="n"/>
      <c r="M29" s="67" t="n"/>
      <c r="N29" s="67" t="n"/>
      <c r="O29" s="67" t="n"/>
      <c r="P29" s="67" t="n"/>
      <c r="Q29" s="67" t="n"/>
      <c r="R29" s="67" t="n"/>
      <c r="S29" s="67" t="n"/>
      <c r="T29" s="67" t="n"/>
      <c r="U29" s="67" t="n"/>
      <c r="V29" s="67" t="n"/>
    </row>
    <row r="30">
      <c r="B30" s="67" t="n"/>
      <c r="C30" s="67" t="n"/>
      <c r="D30" s="67" t="n"/>
      <c r="E30" s="67" t="n"/>
      <c r="F30" s="67" t="n"/>
      <c r="G30" s="67" t="n"/>
      <c r="H30" s="67" t="n"/>
      <c r="I30" s="67" t="n"/>
      <c r="L30" s="67" t="n"/>
      <c r="M30" s="67" t="n"/>
      <c r="N30" s="67" t="n"/>
      <c r="O30" s="67" t="n"/>
      <c r="P30" s="67" t="n"/>
      <c r="Q30" s="67" t="n"/>
      <c r="R30" s="67" t="n"/>
      <c r="S30" s="67" t="n"/>
      <c r="T30" s="67" t="n"/>
      <c r="U30" s="67" t="n"/>
      <c r="V30" s="67" t="n"/>
    </row>
    <row r="31">
      <c r="B31" s="67" t="n"/>
      <c r="C31" s="67" t="n"/>
      <c r="D31" s="67" t="n"/>
      <c r="E31" s="67" t="n"/>
      <c r="F31" s="67" t="n"/>
      <c r="G31" s="67" t="n"/>
      <c r="H31" s="67" t="n"/>
      <c r="I31" s="67" t="n"/>
      <c r="L31" s="67" t="n"/>
      <c r="M31" s="67" t="n"/>
      <c r="N31" s="67" t="n"/>
      <c r="O31" s="67" t="n"/>
      <c r="P31" s="67" t="n"/>
      <c r="Q31" s="67" t="n"/>
      <c r="R31" s="67" t="n"/>
      <c r="S31" s="67" t="n"/>
      <c r="T31" s="67" t="n"/>
      <c r="U31" s="67" t="n"/>
      <c r="V31" s="67" t="n"/>
    </row>
    <row r="32">
      <c r="B32" s="67" t="n"/>
      <c r="C32" s="67" t="n"/>
      <c r="D32" s="67" t="n"/>
      <c r="E32" s="67" t="n"/>
      <c r="F32" s="67" t="n"/>
      <c r="G32" s="67" t="n"/>
      <c r="H32" s="67" t="n"/>
      <c r="I32" s="67" t="n"/>
      <c r="L32" s="67" t="n"/>
      <c r="M32" s="67" t="n"/>
      <c r="N32" s="67" t="n"/>
      <c r="O32" s="67" t="n"/>
      <c r="P32" s="67" t="n"/>
      <c r="Q32" s="67" t="n"/>
      <c r="R32" s="67" t="n"/>
      <c r="S32" s="67" t="n"/>
      <c r="T32" s="67" t="n"/>
      <c r="U32" s="67" t="n"/>
      <c r="V32" s="67" t="n"/>
    </row>
    <row r="33">
      <c r="B33" s="67" t="n"/>
      <c r="C33" s="67" t="n"/>
      <c r="D33" s="67" t="n"/>
      <c r="E33" s="67" t="n"/>
      <c r="F33" s="67" t="n"/>
      <c r="G33" s="67" t="n"/>
      <c r="H33" s="67" t="n"/>
      <c r="I33" s="67" t="n"/>
      <c r="L33" s="67" t="n"/>
      <c r="M33" s="67" t="n"/>
      <c r="N33" s="67" t="n"/>
      <c r="O33" s="67" t="n"/>
      <c r="P33" s="67" t="n"/>
      <c r="Q33" s="67" t="n"/>
      <c r="R33" s="67" t="n"/>
      <c r="S33" s="67" t="n"/>
      <c r="T33" s="67" t="n"/>
      <c r="U33" s="67" t="n"/>
      <c r="V33" s="67" t="n"/>
    </row>
    <row r="34">
      <c r="B34" s="67" t="n"/>
      <c r="C34" s="67" t="n"/>
      <c r="D34" s="67" t="n"/>
      <c r="E34" s="67" t="n"/>
      <c r="F34" s="67" t="n"/>
      <c r="G34" s="67" t="n"/>
      <c r="H34" s="67" t="n"/>
      <c r="I34" s="67" t="n"/>
      <c r="L34" s="67" t="n"/>
      <c r="M34" s="67" t="n"/>
      <c r="N34" s="67" t="n"/>
      <c r="O34" s="67" t="n"/>
      <c r="P34" s="67" t="n"/>
      <c r="Q34" s="67" t="n"/>
      <c r="R34" s="67" t="n"/>
      <c r="S34" s="67" t="n"/>
      <c r="T34" s="67" t="n"/>
      <c r="U34" s="67" t="n"/>
      <c r="V34" s="67" t="n"/>
    </row>
    <row r="35">
      <c r="B35" s="67" t="n"/>
      <c r="C35" s="67" t="n"/>
      <c r="D35" s="67" t="n"/>
      <c r="E35" s="67" t="n"/>
      <c r="F35" s="67" t="n"/>
      <c r="G35" s="67" t="n"/>
      <c r="H35" s="67" t="n"/>
      <c r="I35" s="67" t="n"/>
      <c r="L35" s="67" t="n"/>
      <c r="M35" s="67" t="n"/>
      <c r="N35" s="67" t="n"/>
      <c r="O35" s="67" t="n"/>
      <c r="P35" s="67" t="n"/>
      <c r="Q35" s="67" t="n"/>
      <c r="R35" s="67" t="n"/>
      <c r="S35" s="67" t="n"/>
      <c r="T35" s="67" t="n"/>
      <c r="U35" s="67" t="n"/>
      <c r="V35" s="67" t="n"/>
    </row>
    <row r="36">
      <c r="B36" s="67" t="n"/>
      <c r="C36" s="67" t="n"/>
      <c r="D36" s="67" t="n"/>
      <c r="E36" s="67" t="n"/>
      <c r="F36" s="67" t="n"/>
      <c r="G36" s="67" t="n"/>
      <c r="H36" s="67" t="n"/>
      <c r="I36" s="67" t="n"/>
      <c r="L36" s="67" t="n"/>
      <c r="M36" s="67" t="n"/>
      <c r="N36" s="67" t="n"/>
      <c r="O36" s="67" t="n"/>
      <c r="P36" s="67" t="n"/>
      <c r="Q36" s="67" t="n"/>
      <c r="R36" s="67" t="n"/>
      <c r="S36" s="67" t="n"/>
      <c r="T36" s="67" t="n"/>
      <c r="U36" s="67" t="n"/>
      <c r="V36" s="67" t="n"/>
    </row>
    <row r="37">
      <c r="B37" s="67" t="n"/>
      <c r="C37" s="67" t="n"/>
      <c r="D37" s="67" t="n"/>
      <c r="E37" s="67" t="n"/>
      <c r="F37" s="67" t="n"/>
      <c r="G37" s="67" t="n"/>
      <c r="H37" s="67" t="n"/>
      <c r="I37" s="67" t="n"/>
      <c r="L37" s="67" t="n"/>
      <c r="M37" s="67" t="n"/>
      <c r="N37" s="67" t="n"/>
      <c r="O37" s="67" t="n"/>
      <c r="P37" s="67" t="n"/>
      <c r="Q37" s="67" t="n"/>
      <c r="R37" s="67" t="n"/>
      <c r="S37" s="67" t="n"/>
      <c r="T37" s="67" t="n"/>
      <c r="U37" s="67" t="n"/>
      <c r="V37" s="67" t="n"/>
    </row>
    <row r="38">
      <c r="B38" s="67" t="n"/>
      <c r="C38" s="67" t="n"/>
      <c r="D38" s="67" t="n"/>
      <c r="E38" s="67" t="n"/>
      <c r="F38" s="67" t="n"/>
      <c r="G38" s="67" t="n"/>
      <c r="H38" s="67" t="n"/>
      <c r="I38" s="67" t="n"/>
      <c r="L38" s="67" t="n"/>
      <c r="M38" s="67" t="n"/>
      <c r="N38" s="67" t="n"/>
      <c r="O38" s="67" t="n"/>
      <c r="P38" s="67" t="n"/>
      <c r="Q38" s="67" t="n"/>
      <c r="R38" s="67" t="n"/>
      <c r="S38" s="67" t="n"/>
      <c r="T38" s="67" t="n"/>
      <c r="U38" s="67" t="n"/>
      <c r="V38" s="67" t="n"/>
    </row>
    <row r="39">
      <c r="B39" s="67" t="n"/>
      <c r="C39" s="67" t="n"/>
      <c r="D39" s="67" t="n"/>
      <c r="E39" s="67" t="n"/>
      <c r="F39" s="67" t="n"/>
      <c r="G39" s="67" t="n"/>
      <c r="H39" s="67" t="n"/>
      <c r="I39" s="67" t="n"/>
      <c r="L39" s="67" t="n"/>
      <c r="M39" s="67" t="n"/>
      <c r="N39" s="67" t="n"/>
      <c r="O39" s="67" t="n"/>
      <c r="P39" s="67" t="n"/>
      <c r="Q39" s="67" t="n"/>
      <c r="R39" s="67" t="n"/>
      <c r="S39" s="67" t="n"/>
      <c r="T39" s="67" t="n"/>
      <c r="U39" s="67" t="n"/>
      <c r="V39" s="67" t="n"/>
    </row>
    <row r="40">
      <c r="B40" s="67" t="n"/>
      <c r="C40" s="67" t="n"/>
      <c r="D40" s="67" t="n"/>
      <c r="E40" s="67" t="n"/>
      <c r="F40" s="67" t="n"/>
      <c r="G40" s="67" t="n"/>
      <c r="H40" s="67" t="n"/>
      <c r="I40" s="67" t="n"/>
      <c r="L40" s="67" t="n"/>
      <c r="M40" s="67" t="n"/>
      <c r="N40" s="67" t="n"/>
      <c r="O40" s="67" t="n"/>
      <c r="P40" s="67" t="n"/>
      <c r="Q40" s="67" t="n"/>
      <c r="R40" s="67" t="n"/>
      <c r="S40" s="67" t="n"/>
      <c r="T40" s="67" t="n"/>
      <c r="U40" s="67" t="n"/>
      <c r="V40" s="67" t="n"/>
    </row>
    <row r="41">
      <c r="B41" s="67" t="n"/>
      <c r="C41" s="67" t="n"/>
      <c r="D41" s="67" t="n"/>
      <c r="E41" s="67" t="n"/>
      <c r="F41" s="67" t="n"/>
      <c r="G41" s="67" t="n"/>
      <c r="H41" s="67" t="n"/>
      <c r="I41" s="67" t="n"/>
      <c r="L41" s="67" t="n"/>
      <c r="M41" s="67" t="n"/>
      <c r="N41" s="67" t="n"/>
      <c r="O41" s="67" t="n"/>
      <c r="P41" s="67" t="n"/>
      <c r="Q41" s="67" t="n"/>
      <c r="R41" s="67" t="n"/>
      <c r="S41" s="67" t="n"/>
      <c r="T41" s="67" t="n"/>
      <c r="U41" s="67" t="n"/>
      <c r="V41" s="67" t="n"/>
    </row>
    <row r="42">
      <c r="B42" s="67" t="n"/>
      <c r="C42" s="67" t="n"/>
      <c r="D42" s="67" t="n"/>
      <c r="E42" s="67" t="n"/>
      <c r="F42" s="67" t="n"/>
      <c r="G42" s="67" t="n"/>
      <c r="H42" s="67" t="n"/>
      <c r="I42" s="67" t="n"/>
      <c r="L42" s="67" t="n"/>
      <c r="M42" s="67" t="n"/>
      <c r="N42" s="67" t="n"/>
      <c r="O42" s="67" t="n"/>
      <c r="P42" s="67" t="n"/>
      <c r="Q42" s="67" t="n"/>
      <c r="R42" s="67" t="n"/>
      <c r="S42" s="67" t="n"/>
      <c r="T42" s="67" t="n"/>
      <c r="U42" s="67" t="n"/>
      <c r="V42" s="67" t="n"/>
    </row>
    <row r="43">
      <c r="B43" s="67" t="n"/>
      <c r="C43" s="67" t="n"/>
      <c r="D43" s="67" t="n"/>
      <c r="E43" s="67" t="n"/>
      <c r="F43" s="67" t="n"/>
      <c r="G43" s="67" t="n"/>
      <c r="H43" s="67" t="n"/>
      <c r="I43" s="67" t="n"/>
      <c r="L43" s="67" t="n"/>
      <c r="M43" s="67" t="n"/>
      <c r="N43" s="67" t="n"/>
      <c r="O43" s="67" t="n"/>
      <c r="P43" s="67" t="n"/>
      <c r="Q43" s="67" t="n"/>
      <c r="R43" s="67" t="n"/>
      <c r="S43" s="67" t="n"/>
      <c r="T43" s="67" t="n"/>
      <c r="U43" s="67" t="n"/>
      <c r="V43" s="67" t="n"/>
    </row>
    <row r="44">
      <c r="B44" s="67" t="n"/>
      <c r="C44" s="67" t="n"/>
      <c r="D44" s="67" t="n"/>
      <c r="E44" s="67" t="n"/>
      <c r="F44" s="67" t="n"/>
      <c r="G44" s="67" t="n"/>
      <c r="H44" s="67" t="n"/>
      <c r="I44" s="67" t="n"/>
      <c r="L44" s="67" t="n"/>
      <c r="M44" s="67" t="n"/>
      <c r="N44" s="67" t="n"/>
      <c r="O44" s="67" t="n"/>
      <c r="P44" s="67" t="n"/>
      <c r="Q44" s="67" t="n"/>
      <c r="R44" s="67" t="n"/>
      <c r="S44" s="67" t="n"/>
      <c r="T44" s="67" t="n"/>
      <c r="U44" s="67" t="n"/>
      <c r="V44" s="67" t="n"/>
    </row>
    <row r="45">
      <c r="B45" s="67" t="n"/>
      <c r="C45" s="67" t="n"/>
      <c r="D45" s="67" t="n"/>
      <c r="E45" s="67" t="n"/>
      <c r="F45" s="67" t="n"/>
      <c r="G45" s="67" t="n"/>
      <c r="H45" s="67" t="n"/>
      <c r="I45" s="67" t="n"/>
      <c r="L45" s="67" t="n"/>
      <c r="M45" s="67" t="n"/>
      <c r="N45" s="67" t="n"/>
      <c r="O45" s="67" t="n"/>
      <c r="P45" s="67" t="n"/>
      <c r="Q45" s="67" t="n"/>
      <c r="R45" s="67" t="n"/>
      <c r="S45" s="67" t="n"/>
      <c r="T45" s="67" t="n"/>
      <c r="U45" s="67" t="n"/>
      <c r="V45" s="67" t="n"/>
    </row>
    <row r="46">
      <c r="B46" s="67" t="n"/>
      <c r="C46" s="67" t="n"/>
      <c r="D46" s="67" t="n"/>
      <c r="E46" s="67" t="n"/>
      <c r="F46" s="67" t="n"/>
      <c r="G46" s="67" t="n"/>
      <c r="H46" s="67" t="n"/>
      <c r="I46" s="67" t="n"/>
      <c r="L46" s="67" t="n"/>
      <c r="M46" s="67" t="n"/>
      <c r="N46" s="67" t="n"/>
      <c r="O46" s="67" t="n"/>
      <c r="P46" s="67" t="n"/>
      <c r="Q46" s="67" t="n"/>
      <c r="R46" s="67" t="n"/>
      <c r="S46" s="67" t="n"/>
      <c r="T46" s="67" t="n"/>
      <c r="U46" s="67" t="n"/>
      <c r="V46" s="67" t="n"/>
    </row>
    <row r="47">
      <c r="B47" s="67" t="n"/>
      <c r="C47" s="67" t="n"/>
      <c r="D47" s="67" t="n"/>
      <c r="E47" s="67" t="n"/>
      <c r="F47" s="67" t="n"/>
      <c r="G47" s="67" t="n"/>
      <c r="H47" s="67" t="n"/>
      <c r="I47" s="67" t="n"/>
      <c r="L47" s="67" t="n"/>
      <c r="M47" s="67" t="n"/>
      <c r="N47" s="67" t="n"/>
      <c r="O47" s="67" t="n"/>
      <c r="P47" s="67" t="n"/>
      <c r="Q47" s="67" t="n"/>
      <c r="R47" s="67" t="n"/>
      <c r="S47" s="67" t="n"/>
      <c r="T47" s="67" t="n"/>
      <c r="U47" s="67" t="n"/>
      <c r="V47" s="67" t="n"/>
    </row>
    <row r="48">
      <c r="B48" s="67" t="n"/>
      <c r="C48" s="67" t="n"/>
      <c r="D48" s="67" t="n"/>
      <c r="E48" s="67" t="n"/>
      <c r="F48" s="67" t="n"/>
      <c r="G48" s="67" t="n"/>
      <c r="H48" s="67" t="n"/>
      <c r="I48" s="67" t="n"/>
      <c r="L48" s="67" t="n"/>
      <c r="M48" s="67" t="n"/>
      <c r="N48" s="67" t="n"/>
      <c r="O48" s="67" t="n"/>
      <c r="P48" s="67" t="n"/>
      <c r="Q48" s="67" t="n"/>
      <c r="R48" s="67" t="n"/>
      <c r="S48" s="67" t="n"/>
      <c r="T48" s="67" t="n"/>
      <c r="U48" s="67" t="n"/>
      <c r="V48" s="67" t="n"/>
    </row>
    <row r="49">
      <c r="B49" s="67" t="n"/>
      <c r="C49" s="67" t="n"/>
      <c r="D49" s="67" t="n"/>
      <c r="E49" s="67" t="n"/>
      <c r="F49" s="67" t="n"/>
      <c r="G49" s="67" t="n"/>
      <c r="H49" s="67" t="n"/>
      <c r="I49" s="67" t="n"/>
      <c r="L49" s="67" t="n"/>
      <c r="M49" s="67" t="n"/>
      <c r="N49" s="67" t="n"/>
      <c r="O49" s="67" t="n"/>
      <c r="P49" s="67" t="n"/>
      <c r="Q49" s="67" t="n"/>
      <c r="R49" s="67" t="n"/>
      <c r="S49" s="67" t="n"/>
      <c r="T49" s="67" t="n"/>
      <c r="U49" s="67" t="n"/>
      <c r="V49" s="67" t="n"/>
    </row>
    <row r="50">
      <c r="B50" s="67" t="n"/>
      <c r="C50" s="67" t="n"/>
      <c r="D50" s="67" t="n"/>
      <c r="E50" s="67" t="n"/>
      <c r="F50" s="67" t="n"/>
      <c r="G50" s="67" t="n"/>
      <c r="H50" s="67" t="n"/>
      <c r="I50" s="67" t="n"/>
      <c r="L50" s="67" t="n"/>
      <c r="M50" s="67" t="n"/>
      <c r="N50" s="67" t="n"/>
      <c r="O50" s="67" t="n"/>
      <c r="P50" s="67" t="n"/>
      <c r="Q50" s="67" t="n"/>
      <c r="R50" s="67" t="n"/>
      <c r="S50" s="67" t="n"/>
      <c r="T50" s="67" t="n"/>
      <c r="U50" s="67" t="n"/>
      <c r="V50" s="67" t="n"/>
    </row>
    <row r="51">
      <c r="B51" s="67" t="n"/>
      <c r="C51" s="67" t="n"/>
      <c r="D51" s="67" t="n"/>
      <c r="E51" s="67" t="n"/>
      <c r="F51" s="67" t="n"/>
      <c r="G51" s="67" t="n"/>
      <c r="H51" s="67" t="n"/>
      <c r="I51" s="67" t="n"/>
      <c r="L51" s="67" t="n"/>
      <c r="M51" s="67" t="n"/>
      <c r="N51" s="67" t="n"/>
      <c r="O51" s="67" t="n"/>
      <c r="P51" s="67" t="n"/>
      <c r="Q51" s="67" t="n"/>
      <c r="R51" s="67" t="n"/>
      <c r="S51" s="67" t="n"/>
      <c r="T51" s="67" t="n"/>
      <c r="U51" s="67" t="n"/>
      <c r="V51" s="67" t="n"/>
    </row>
    <row r="52">
      <c r="B52" s="67" t="n"/>
      <c r="C52" s="67" t="n"/>
      <c r="D52" s="67" t="n"/>
      <c r="E52" s="67" t="n"/>
      <c r="F52" s="67" t="n"/>
      <c r="G52" s="67" t="n"/>
      <c r="H52" s="67" t="n"/>
      <c r="I52" s="67" t="n"/>
      <c r="L52" s="67" t="n"/>
      <c r="M52" s="67" t="n"/>
      <c r="N52" s="67" t="n"/>
      <c r="O52" s="67" t="n"/>
      <c r="P52" s="67" t="n"/>
      <c r="Q52" s="67" t="n"/>
      <c r="R52" s="67" t="n"/>
      <c r="S52" s="67" t="n"/>
      <c r="T52" s="67" t="n"/>
      <c r="U52" s="67" t="n"/>
      <c r="V52" s="67" t="n"/>
    </row>
    <row r="53">
      <c r="B53" s="67" t="n"/>
      <c r="C53" s="67" t="n"/>
      <c r="D53" s="67" t="n"/>
      <c r="E53" s="67" t="n"/>
      <c r="F53" s="67" t="n"/>
      <c r="G53" s="67" t="n"/>
      <c r="H53" s="67" t="n"/>
      <c r="I53" s="67" t="n"/>
      <c r="L53" s="67" t="n"/>
      <c r="M53" s="67" t="n"/>
      <c r="N53" s="67" t="n"/>
      <c r="O53" s="67" t="n"/>
      <c r="P53" s="67" t="n"/>
      <c r="Q53" s="67" t="n"/>
      <c r="R53" s="67" t="n"/>
      <c r="S53" s="67" t="n"/>
      <c r="T53" s="67" t="n"/>
      <c r="U53" s="67" t="n"/>
      <c r="V53" s="67" t="n"/>
    </row>
    <row r="54">
      <c r="B54" s="67" t="n"/>
      <c r="C54" s="67" t="n"/>
      <c r="D54" s="67" t="n"/>
      <c r="E54" s="67" t="n"/>
      <c r="F54" s="67" t="n"/>
      <c r="G54" s="67" t="n"/>
      <c r="H54" s="67" t="n"/>
      <c r="I54" s="67" t="n"/>
      <c r="L54" s="67" t="n"/>
      <c r="M54" s="67" t="n"/>
      <c r="N54" s="67" t="n"/>
      <c r="O54" s="67" t="n"/>
      <c r="P54" s="67" t="n"/>
      <c r="Q54" s="67" t="n"/>
      <c r="R54" s="67" t="n"/>
      <c r="S54" s="67" t="n"/>
      <c r="T54" s="67" t="n"/>
      <c r="U54" s="67" t="n"/>
      <c r="V54" s="67" t="n"/>
    </row>
    <row r="55">
      <c r="B55" s="67" t="n"/>
      <c r="C55" s="67" t="n"/>
      <c r="D55" s="67" t="n"/>
      <c r="E55" s="67" t="n"/>
      <c r="F55" s="67" t="n"/>
      <c r="G55" s="67" t="n"/>
      <c r="H55" s="67" t="n"/>
      <c r="I55" s="67" t="n"/>
      <c r="L55" s="67" t="n"/>
      <c r="M55" s="67" t="n"/>
      <c r="N55" s="67" t="n"/>
      <c r="O55" s="67" t="n"/>
      <c r="P55" s="67" t="n"/>
      <c r="Q55" s="67" t="n"/>
      <c r="R55" s="67" t="n"/>
      <c r="S55" s="67" t="n"/>
      <c r="T55" s="67" t="n"/>
      <c r="U55" s="67" t="n"/>
      <c r="V55" s="67" t="n"/>
    </row>
    <row r="56">
      <c r="B56" s="67" t="n"/>
      <c r="C56" s="67" t="n"/>
      <c r="D56" s="67" t="n"/>
      <c r="E56" s="67" t="n"/>
      <c r="F56" s="67" t="n"/>
      <c r="G56" s="67" t="n"/>
      <c r="H56" s="67" t="n"/>
      <c r="I56" s="67" t="n"/>
      <c r="L56" s="67" t="n"/>
      <c r="M56" s="67" t="n"/>
      <c r="N56" s="67" t="n"/>
      <c r="O56" s="67" t="n"/>
      <c r="P56" s="67" t="n"/>
      <c r="Q56" s="67" t="n"/>
      <c r="R56" s="67" t="n"/>
      <c r="S56" s="67" t="n"/>
      <c r="T56" s="67" t="n"/>
      <c r="U56" s="67" t="n"/>
      <c r="V56" s="67" t="n"/>
    </row>
    <row r="57">
      <c r="B57" s="67" t="n"/>
      <c r="C57" s="67" t="n"/>
      <c r="D57" s="67" t="n"/>
      <c r="E57" s="67" t="n"/>
      <c r="F57" s="67" t="n"/>
      <c r="G57" s="67" t="n"/>
      <c r="H57" s="67" t="n"/>
      <c r="I57" s="67" t="n"/>
      <c r="L57" s="67" t="n"/>
      <c r="M57" s="67" t="n"/>
      <c r="N57" s="67" t="n"/>
      <c r="O57" s="67" t="n"/>
      <c r="P57" s="67" t="n"/>
      <c r="Q57" s="67" t="n"/>
      <c r="R57" s="67" t="n"/>
      <c r="S57" s="67" t="n"/>
      <c r="T57" s="67" t="n"/>
      <c r="U57" s="67" t="n"/>
      <c r="V57" s="67" t="n"/>
    </row>
    <row r="58">
      <c r="B58" s="67" t="n"/>
      <c r="C58" s="67" t="n"/>
      <c r="D58" s="67" t="n"/>
      <c r="E58" s="67" t="n"/>
      <c r="F58" s="67" t="n"/>
      <c r="G58" s="67" t="n"/>
      <c r="H58" s="67" t="n"/>
      <c r="I58" s="67" t="n"/>
      <c r="L58" s="67" t="n"/>
      <c r="M58" s="67" t="n"/>
      <c r="N58" s="67" t="n"/>
      <c r="O58" s="67" t="n"/>
      <c r="P58" s="67" t="n"/>
      <c r="Q58" s="67" t="n"/>
      <c r="R58" s="67" t="n"/>
      <c r="S58" s="67" t="n"/>
      <c r="T58" s="67" t="n"/>
      <c r="U58" s="67" t="n"/>
      <c r="V58" s="67" t="n"/>
    </row>
    <row r="59">
      <c r="B59" s="67" t="n"/>
      <c r="C59" s="67" t="n"/>
      <c r="D59" s="67" t="n"/>
      <c r="E59" s="67" t="n"/>
      <c r="F59" s="67" t="n"/>
      <c r="G59" s="67" t="n"/>
      <c r="H59" s="67" t="n"/>
      <c r="I59" s="67" t="n"/>
      <c r="L59" s="67" t="n"/>
      <c r="M59" s="67" t="n"/>
      <c r="N59" s="67" t="n"/>
      <c r="O59" s="67" t="n"/>
      <c r="P59" s="67" t="n"/>
      <c r="Q59" s="67" t="n"/>
      <c r="R59" s="67" t="n"/>
      <c r="S59" s="67" t="n"/>
      <c r="T59" s="67" t="n"/>
      <c r="U59" s="67" t="n"/>
      <c r="V59" s="67" t="n"/>
    </row>
    <row r="60">
      <c r="B60" s="67" t="n"/>
      <c r="C60" s="67" t="n"/>
      <c r="D60" s="67" t="n"/>
      <c r="E60" s="67" t="n"/>
      <c r="F60" s="67" t="n"/>
      <c r="G60" s="67" t="n"/>
      <c r="H60" s="67" t="n"/>
      <c r="I60" s="67" t="n"/>
      <c r="L60" s="67" t="n"/>
      <c r="M60" s="67" t="n"/>
      <c r="N60" s="67" t="n"/>
      <c r="O60" s="67" t="n"/>
      <c r="P60" s="67" t="n"/>
      <c r="Q60" s="67" t="n"/>
      <c r="R60" s="67" t="n"/>
      <c r="S60" s="67" t="n"/>
      <c r="T60" s="67" t="n"/>
      <c r="U60" s="67" t="n"/>
      <c r="V60" s="67" t="n"/>
    </row>
    <row r="61">
      <c r="B61" s="67" t="n"/>
      <c r="C61" s="67" t="n"/>
      <c r="D61" s="67" t="n"/>
      <c r="E61" s="67" t="n"/>
      <c r="F61" s="67" t="n"/>
      <c r="G61" s="67" t="n"/>
      <c r="H61" s="67" t="n"/>
      <c r="I61" s="67" t="n"/>
      <c r="L61" s="67" t="n"/>
      <c r="M61" s="67" t="n"/>
      <c r="N61" s="67" t="n"/>
      <c r="O61" s="67" t="n"/>
      <c r="P61" s="67" t="n"/>
      <c r="Q61" s="67" t="n"/>
      <c r="R61" s="67" t="n"/>
      <c r="S61" s="67" t="n"/>
      <c r="T61" s="67" t="n"/>
      <c r="U61" s="67" t="n"/>
      <c r="V61" s="67" t="n"/>
    </row>
    <row r="62">
      <c r="B62" s="67" t="n"/>
      <c r="C62" s="67" t="n"/>
      <c r="D62" s="67" t="n"/>
      <c r="E62" s="67" t="n"/>
      <c r="F62" s="67" t="n"/>
      <c r="G62" s="67" t="n"/>
      <c r="H62" s="67" t="n"/>
      <c r="I62" s="67" t="n"/>
      <c r="L62" s="67" t="n"/>
      <c r="M62" s="67" t="n"/>
      <c r="N62" s="67" t="n"/>
      <c r="O62" s="67" t="n"/>
      <c r="P62" s="67" t="n"/>
      <c r="Q62" s="67" t="n"/>
      <c r="R62" s="67" t="n"/>
      <c r="S62" s="67" t="n"/>
      <c r="T62" s="67" t="n"/>
      <c r="U62" s="67" t="n"/>
      <c r="V62" s="67" t="n"/>
    </row>
    <row r="63">
      <c r="B63" s="67" t="n"/>
      <c r="C63" s="67" t="n"/>
      <c r="D63" s="67" t="n"/>
      <c r="E63" s="67" t="n"/>
      <c r="F63" s="67" t="n"/>
      <c r="G63" s="67" t="n"/>
      <c r="H63" s="67" t="n"/>
      <c r="I63" s="67" t="n"/>
      <c r="L63" s="67" t="n"/>
      <c r="M63" s="67" t="n"/>
      <c r="N63" s="67" t="n"/>
      <c r="O63" s="67" t="n"/>
      <c r="P63" s="67" t="n"/>
      <c r="Q63" s="67" t="n"/>
      <c r="R63" s="67" t="n"/>
      <c r="S63" s="67" t="n"/>
      <c r="T63" s="67" t="n"/>
      <c r="U63" s="67" t="n"/>
      <c r="V63" s="67" t="n"/>
    </row>
    <row r="64">
      <c r="B64" s="67" t="n"/>
      <c r="C64" s="67" t="n"/>
      <c r="D64" s="67" t="n"/>
      <c r="E64" s="67" t="n"/>
      <c r="F64" s="67" t="n"/>
      <c r="G64" s="67" t="n"/>
      <c r="H64" s="67" t="n"/>
      <c r="I64" s="67" t="n"/>
      <c r="L64" s="67" t="n"/>
      <c r="M64" s="67" t="n"/>
      <c r="N64" s="67" t="n"/>
      <c r="O64" s="67" t="n"/>
      <c r="P64" s="67" t="n"/>
      <c r="Q64" s="67" t="n"/>
      <c r="R64" s="67" t="n"/>
      <c r="S64" s="67" t="n"/>
      <c r="T64" s="67" t="n"/>
      <c r="U64" s="67" t="n"/>
      <c r="V64" s="67" t="n"/>
    </row>
    <row r="65">
      <c r="B65" s="67" t="n"/>
      <c r="C65" s="67" t="n"/>
      <c r="D65" s="67" t="n"/>
      <c r="E65" s="67" t="n"/>
      <c r="F65" s="67" t="n"/>
      <c r="G65" s="67" t="n"/>
      <c r="H65" s="67" t="n"/>
      <c r="I65" s="67" t="n"/>
      <c r="L65" s="67" t="n"/>
      <c r="M65" s="67" t="n"/>
      <c r="N65" s="67" t="n"/>
      <c r="O65" s="67" t="n"/>
      <c r="P65" s="67" t="n"/>
      <c r="Q65" s="67" t="n"/>
      <c r="R65" s="67" t="n"/>
      <c r="S65" s="67" t="n"/>
      <c r="T65" s="67" t="n"/>
      <c r="U65" s="67" t="n"/>
      <c r="V65" s="67" t="n"/>
    </row>
    <row r="66">
      <c r="B66" s="67" t="n"/>
      <c r="C66" s="67" t="n"/>
      <c r="D66" s="67" t="n"/>
      <c r="E66" s="67" t="n"/>
      <c r="F66" s="67" t="n"/>
      <c r="G66" s="67" t="n"/>
      <c r="H66" s="67" t="n"/>
      <c r="I66" s="67" t="n"/>
      <c r="L66" s="67" t="n"/>
      <c r="M66" s="67" t="n"/>
      <c r="N66" s="67" t="n"/>
      <c r="O66" s="67" t="n"/>
      <c r="P66" s="67" t="n"/>
      <c r="Q66" s="67" t="n"/>
      <c r="R66" s="67" t="n"/>
      <c r="S66" s="67" t="n"/>
      <c r="T66" s="67" t="n"/>
      <c r="U66" s="67" t="n"/>
      <c r="V66" s="67" t="n"/>
    </row>
    <row r="67">
      <c r="B67" s="67" t="n"/>
      <c r="C67" s="67" t="n"/>
      <c r="D67" s="67" t="n"/>
      <c r="E67" s="67" t="n"/>
      <c r="F67" s="67" t="n"/>
      <c r="G67" s="67" t="n"/>
      <c r="H67" s="67" t="n"/>
      <c r="I67" s="67" t="n"/>
      <c r="L67" s="67" t="n"/>
      <c r="M67" s="67" t="n"/>
      <c r="N67" s="67" t="n"/>
      <c r="O67" s="67" t="n"/>
      <c r="P67" s="67" t="n"/>
      <c r="Q67" s="67" t="n"/>
      <c r="R67" s="67" t="n"/>
      <c r="S67" s="67" t="n"/>
      <c r="T67" s="67" t="n"/>
      <c r="U67" s="67" t="n"/>
      <c r="V67" s="67" t="n"/>
    </row>
    <row r="68">
      <c r="B68" s="67" t="n"/>
      <c r="C68" s="67" t="n"/>
      <c r="D68" s="67" t="n"/>
      <c r="E68" s="67" t="n"/>
      <c r="F68" s="67" t="n"/>
      <c r="G68" s="67" t="n"/>
      <c r="H68" s="67" t="n"/>
      <c r="I68" s="67" t="n"/>
      <c r="L68" s="67" t="n"/>
      <c r="M68" s="67" t="n"/>
      <c r="N68" s="67" t="n"/>
      <c r="O68" s="67" t="n"/>
      <c r="P68" s="67" t="n"/>
      <c r="Q68" s="67" t="n"/>
      <c r="R68" s="67" t="n"/>
      <c r="S68" s="67" t="n"/>
      <c r="T68" s="67" t="n"/>
      <c r="U68" s="67" t="n"/>
      <c r="V68" s="67" t="n"/>
    </row>
    <row r="69">
      <c r="B69" s="67" t="n"/>
      <c r="C69" s="67" t="n"/>
      <c r="D69" s="67" t="n"/>
      <c r="E69" s="67" t="n"/>
      <c r="F69" s="67" t="n"/>
      <c r="G69" s="67" t="n"/>
      <c r="H69" s="67" t="n"/>
      <c r="I69" s="67" t="n"/>
      <c r="L69" s="67" t="n"/>
      <c r="M69" s="67" t="n"/>
      <c r="N69" s="67" t="n"/>
      <c r="O69" s="67" t="n"/>
      <c r="P69" s="67" t="n"/>
      <c r="Q69" s="67" t="n"/>
      <c r="R69" s="67" t="n"/>
      <c r="S69" s="67" t="n"/>
      <c r="T69" s="67" t="n"/>
      <c r="U69" s="67" t="n"/>
      <c r="V69" s="67" t="n"/>
    </row>
    <row r="70">
      <c r="B70" s="67" t="n"/>
      <c r="C70" s="67" t="n"/>
      <c r="D70" s="67" t="n"/>
      <c r="E70" s="67" t="n"/>
      <c r="F70" s="67" t="n"/>
      <c r="G70" s="67" t="n"/>
      <c r="H70" s="67" t="n"/>
      <c r="I70" s="67" t="n"/>
      <c r="L70" s="67" t="n"/>
      <c r="M70" s="67" t="n"/>
      <c r="N70" s="67" t="n"/>
      <c r="O70" s="67" t="n"/>
      <c r="P70" s="67" t="n"/>
      <c r="Q70" s="67" t="n"/>
      <c r="R70" s="67" t="n"/>
      <c r="S70" s="67" t="n"/>
      <c r="T70" s="67" t="n"/>
      <c r="U70" s="67" t="n"/>
      <c r="V70" s="67" t="n"/>
    </row>
    <row r="71">
      <c r="B71" s="67" t="n"/>
      <c r="C71" s="67" t="n"/>
      <c r="D71" s="67" t="n"/>
      <c r="E71" s="67" t="n"/>
      <c r="F71" s="67" t="n"/>
      <c r="G71" s="67" t="n"/>
      <c r="H71" s="67" t="n"/>
      <c r="I71" s="67" t="n"/>
      <c r="L71" s="67" t="n"/>
      <c r="M71" s="67" t="n"/>
      <c r="N71" s="67" t="n"/>
      <c r="O71" s="67" t="n"/>
      <c r="P71" s="67" t="n"/>
      <c r="Q71" s="67" t="n"/>
      <c r="R71" s="67" t="n"/>
      <c r="S71" s="67" t="n"/>
      <c r="T71" s="67" t="n"/>
      <c r="U71" s="67" t="n"/>
      <c r="V71" s="67" t="n"/>
    </row>
    <row r="72">
      <c r="B72" s="67" t="n"/>
      <c r="C72" s="67" t="n"/>
      <c r="D72" s="67" t="n"/>
      <c r="E72" s="67" t="n"/>
      <c r="F72" s="67" t="n"/>
      <c r="G72" s="67" t="n"/>
      <c r="H72" s="67" t="n"/>
      <c r="I72" s="67" t="n"/>
      <c r="L72" s="67" t="n"/>
      <c r="M72" s="67" t="n"/>
      <c r="N72" s="67" t="n"/>
      <c r="O72" s="67" t="n"/>
      <c r="P72" s="67" t="n"/>
      <c r="Q72" s="67" t="n"/>
      <c r="R72" s="67" t="n"/>
      <c r="S72" s="67" t="n"/>
      <c r="T72" s="67" t="n"/>
      <c r="U72" s="67" t="n"/>
      <c r="V72" s="67" t="n"/>
    </row>
    <row r="73">
      <c r="B73" s="67" t="n"/>
      <c r="C73" s="67" t="n"/>
      <c r="D73" s="67" t="n"/>
      <c r="E73" s="67" t="n"/>
      <c r="F73" s="67" t="n"/>
      <c r="G73" s="67" t="n"/>
      <c r="H73" s="67" t="n"/>
      <c r="I73" s="67" t="n"/>
      <c r="L73" s="67" t="n"/>
      <c r="M73" s="67" t="n"/>
      <c r="N73" s="67" t="n"/>
      <c r="O73" s="67" t="n"/>
      <c r="P73" s="67" t="n"/>
      <c r="Q73" s="67" t="n"/>
      <c r="R73" s="67" t="n"/>
      <c r="S73" s="67" t="n"/>
      <c r="T73" s="67" t="n"/>
      <c r="U73" s="67" t="n"/>
      <c r="V73" s="67" t="n"/>
    </row>
    <row r="74">
      <c r="B74" s="67" t="n"/>
      <c r="C74" s="67" t="n"/>
      <c r="D74" s="67" t="n"/>
      <c r="E74" s="67" t="n"/>
      <c r="F74" s="67" t="n"/>
      <c r="G74" s="67" t="n"/>
      <c r="H74" s="67" t="n"/>
      <c r="I74" s="67" t="n"/>
      <c r="L74" s="67" t="n"/>
      <c r="M74" s="67" t="n"/>
      <c r="N74" s="67" t="n"/>
      <c r="O74" s="67" t="n"/>
      <c r="P74" s="67" t="n"/>
      <c r="Q74" s="67" t="n"/>
      <c r="R74" s="67" t="n"/>
      <c r="S74" s="67" t="n"/>
      <c r="T74" s="67" t="n"/>
      <c r="U74" s="67" t="n"/>
      <c r="V74" s="67" t="n"/>
    </row>
    <row r="75">
      <c r="B75" s="67" t="n"/>
      <c r="C75" s="67" t="n"/>
      <c r="D75" s="67" t="n"/>
      <c r="E75" s="67" t="n"/>
      <c r="F75" s="67" t="n"/>
      <c r="G75" s="67" t="n"/>
      <c r="H75" s="67" t="n"/>
      <c r="I75" s="67" t="n"/>
      <c r="L75" s="67" t="n"/>
      <c r="M75" s="67" t="n"/>
      <c r="N75" s="67" t="n"/>
      <c r="O75" s="67" t="n"/>
      <c r="P75" s="67" t="n"/>
      <c r="Q75" s="67" t="n"/>
      <c r="R75" s="67" t="n"/>
      <c r="S75" s="67" t="n"/>
      <c r="T75" s="67" t="n"/>
      <c r="U75" s="67" t="n"/>
      <c r="V75" s="67" t="n"/>
    </row>
    <row r="76">
      <c r="B76" s="67" t="n"/>
      <c r="C76" s="67" t="n"/>
      <c r="D76" s="67" t="n"/>
      <c r="E76" s="67" t="n"/>
      <c r="F76" s="67" t="n"/>
      <c r="G76" s="67" t="n"/>
      <c r="H76" s="67" t="n"/>
      <c r="I76" s="67" t="n"/>
      <c r="L76" s="67" t="n"/>
      <c r="M76" s="67" t="n"/>
      <c r="N76" s="67" t="n"/>
      <c r="O76" s="67" t="n"/>
      <c r="P76" s="67" t="n"/>
      <c r="Q76" s="67" t="n"/>
      <c r="R76" s="67" t="n"/>
      <c r="S76" s="67" t="n"/>
      <c r="T76" s="67" t="n"/>
      <c r="U76" s="67" t="n"/>
      <c r="V76" s="67" t="n"/>
    </row>
    <row r="77">
      <c r="B77" s="67" t="n"/>
      <c r="C77" s="67" t="n"/>
      <c r="D77" s="67" t="n"/>
      <c r="E77" s="67" t="n"/>
      <c r="F77" s="67" t="n"/>
      <c r="G77" s="67" t="n"/>
      <c r="H77" s="67" t="n"/>
      <c r="I77" s="67" t="n"/>
      <c r="L77" s="67" t="n"/>
      <c r="M77" s="67" t="n"/>
      <c r="N77" s="67" t="n"/>
      <c r="O77" s="67" t="n"/>
      <c r="P77" s="67" t="n"/>
      <c r="Q77" s="67" t="n"/>
      <c r="R77" s="67" t="n"/>
      <c r="S77" s="67" t="n"/>
      <c r="T77" s="67" t="n"/>
      <c r="U77" s="67" t="n"/>
      <c r="V77" s="67" t="n"/>
    </row>
    <row r="78">
      <c r="B78" s="67" t="n"/>
      <c r="C78" s="67" t="n"/>
      <c r="D78" s="67" t="n"/>
      <c r="E78" s="67" t="n"/>
      <c r="F78" s="67" t="n"/>
      <c r="G78" s="67" t="n"/>
      <c r="H78" s="67" t="n"/>
      <c r="I78" s="67" t="n"/>
      <c r="L78" s="67" t="n"/>
      <c r="M78" s="67" t="n"/>
      <c r="N78" s="67" t="n"/>
      <c r="O78" s="67" t="n"/>
      <c r="P78" s="67" t="n"/>
      <c r="Q78" s="67" t="n"/>
      <c r="R78" s="67" t="n"/>
      <c r="S78" s="67" t="n"/>
      <c r="T78" s="67" t="n"/>
      <c r="U78" s="67" t="n"/>
      <c r="V78" s="67" t="n"/>
    </row>
    <row r="79">
      <c r="B79" s="67" t="n"/>
      <c r="C79" s="67" t="n"/>
      <c r="D79" s="67" t="n"/>
      <c r="E79" s="67" t="n"/>
      <c r="F79" s="67" t="n"/>
      <c r="G79" s="67" t="n"/>
      <c r="H79" s="67" t="n"/>
      <c r="I79" s="67" t="n"/>
      <c r="L79" s="67" t="n"/>
      <c r="M79" s="67" t="n"/>
      <c r="N79" s="67" t="n"/>
      <c r="O79" s="67" t="n"/>
      <c r="P79" s="67" t="n"/>
      <c r="Q79" s="67" t="n"/>
      <c r="R79" s="67" t="n"/>
      <c r="S79" s="67" t="n"/>
      <c r="T79" s="67" t="n"/>
      <c r="U79" s="67" t="n"/>
      <c r="V79" s="67" t="n"/>
    </row>
    <row r="80">
      <c r="B80" s="67" t="n"/>
      <c r="C80" s="67" t="n"/>
      <c r="D80" s="67" t="n"/>
      <c r="E80" s="67" t="n"/>
      <c r="F80" s="67" t="n"/>
      <c r="G80" s="67" t="n"/>
      <c r="H80" s="67" t="n"/>
      <c r="I80" s="67" t="n"/>
      <c r="L80" s="67" t="n"/>
      <c r="M80" s="67" t="n"/>
      <c r="N80" s="67" t="n"/>
      <c r="O80" s="67" t="n"/>
      <c r="P80" s="67" t="n"/>
      <c r="Q80" s="67" t="n"/>
      <c r="R80" s="67" t="n"/>
      <c r="S80" s="67" t="n"/>
      <c r="T80" s="67" t="n"/>
      <c r="U80" s="67" t="n"/>
      <c r="V80" s="67" t="n"/>
    </row>
    <row r="81">
      <c r="B81" s="67" t="n"/>
      <c r="C81" s="67" t="n"/>
      <c r="D81" s="67" t="n"/>
      <c r="E81" s="67" t="n"/>
      <c r="F81" s="67" t="n"/>
      <c r="G81" s="67" t="n"/>
      <c r="H81" s="67" t="n"/>
      <c r="I81" s="67" t="n"/>
      <c r="L81" s="67" t="n"/>
      <c r="M81" s="67" t="n"/>
      <c r="N81" s="67" t="n"/>
      <c r="O81" s="67" t="n"/>
      <c r="P81" s="67" t="n"/>
      <c r="Q81" s="67" t="n"/>
      <c r="R81" s="67" t="n"/>
      <c r="S81" s="67" t="n"/>
      <c r="T81" s="67" t="n"/>
      <c r="U81" s="67" t="n"/>
      <c r="V81" s="67" t="n"/>
    </row>
    <row r="82">
      <c r="B82" s="67" t="n"/>
      <c r="C82" s="67" t="n"/>
      <c r="D82" s="67" t="n"/>
      <c r="E82" s="67" t="n"/>
      <c r="F82" s="67" t="n"/>
      <c r="G82" s="67" t="n"/>
      <c r="H82" s="67" t="n"/>
      <c r="I82" s="67" t="n"/>
      <c r="L82" s="67" t="n"/>
      <c r="M82" s="67" t="n"/>
      <c r="N82" s="67" t="n"/>
      <c r="O82" s="67" t="n"/>
      <c r="P82" s="67" t="n"/>
      <c r="Q82" s="67" t="n"/>
      <c r="R82" s="67" t="n"/>
      <c r="S82" s="67" t="n"/>
      <c r="T82" s="67" t="n"/>
      <c r="U82" s="67" t="n"/>
      <c r="V82" s="67" t="n"/>
    </row>
    <row r="83">
      <c r="B83" s="67" t="n"/>
      <c r="C83" s="67" t="n"/>
      <c r="D83" s="67" t="n"/>
      <c r="E83" s="67" t="n"/>
      <c r="F83" s="67" t="n"/>
      <c r="G83" s="67" t="n"/>
      <c r="H83" s="67" t="n"/>
      <c r="I83" s="67" t="n"/>
      <c r="L83" s="67" t="n"/>
      <c r="M83" s="67" t="n"/>
      <c r="N83" s="67" t="n"/>
      <c r="O83" s="67" t="n"/>
      <c r="P83" s="67" t="n"/>
      <c r="Q83" s="67" t="n"/>
      <c r="R83" s="67" t="n"/>
      <c r="S83" s="67" t="n"/>
      <c r="T83" s="67" t="n"/>
      <c r="U83" s="67" t="n"/>
      <c r="V83" s="67" t="n"/>
    </row>
    <row r="84">
      <c r="B84" s="67" t="n"/>
      <c r="C84" s="67" t="n"/>
      <c r="D84" s="67" t="n"/>
      <c r="E84" s="67" t="n"/>
      <c r="F84" s="67" t="n"/>
      <c r="G84" s="67" t="n"/>
      <c r="H84" s="67" t="n"/>
      <c r="I84" s="67" t="n"/>
      <c r="L84" s="67" t="n"/>
      <c r="M84" s="67" t="n"/>
      <c r="N84" s="67" t="n"/>
      <c r="O84" s="67" t="n"/>
      <c r="P84" s="67" t="n"/>
      <c r="Q84" s="67" t="n"/>
      <c r="R84" s="67" t="n"/>
      <c r="S84" s="67" t="n"/>
      <c r="T84" s="67" t="n"/>
      <c r="U84" s="67" t="n"/>
      <c r="V84" s="67" t="n"/>
    </row>
    <row r="85">
      <c r="B85" s="67" t="n"/>
      <c r="C85" s="67" t="n"/>
      <c r="D85" s="67" t="n"/>
      <c r="E85" s="67" t="n"/>
      <c r="F85" s="67" t="n"/>
      <c r="G85" s="67" t="n"/>
      <c r="H85" s="67" t="n"/>
      <c r="I85" s="67" t="n"/>
      <c r="L85" s="67" t="n"/>
      <c r="M85" s="67" t="n"/>
      <c r="N85" s="67" t="n"/>
      <c r="O85" s="67" t="n"/>
      <c r="P85" s="67" t="n"/>
      <c r="Q85" s="67" t="n"/>
      <c r="R85" s="67" t="n"/>
      <c r="S85" s="67" t="n"/>
      <c r="T85" s="67" t="n"/>
      <c r="U85" s="67" t="n"/>
      <c r="V85" s="67" t="n"/>
    </row>
    <row r="86">
      <c r="B86" s="67" t="n"/>
      <c r="C86" s="67" t="n"/>
      <c r="D86" s="67" t="n"/>
      <c r="E86" s="67" t="n"/>
      <c r="F86" s="67" t="n"/>
      <c r="G86" s="67" t="n"/>
      <c r="H86" s="67" t="n"/>
      <c r="I86" s="67" t="n"/>
      <c r="L86" s="67" t="n"/>
      <c r="M86" s="67" t="n"/>
      <c r="N86" s="67" t="n"/>
      <c r="O86" s="67" t="n"/>
      <c r="P86" s="67" t="n"/>
      <c r="Q86" s="67" t="n"/>
      <c r="R86" s="67" t="n"/>
      <c r="S86" s="67" t="n"/>
      <c r="T86" s="67" t="n"/>
      <c r="U86" s="67" t="n"/>
      <c r="V86" s="67" t="n"/>
    </row>
    <row r="87">
      <c r="B87" s="67" t="n"/>
      <c r="C87" s="67" t="n"/>
      <c r="D87" s="67" t="n"/>
      <c r="E87" s="67" t="n"/>
      <c r="F87" s="67" t="n"/>
      <c r="G87" s="67" t="n"/>
      <c r="H87" s="67" t="n"/>
      <c r="I87" s="67" t="n"/>
      <c r="L87" s="67" t="n"/>
      <c r="M87" s="67" t="n"/>
      <c r="N87" s="67" t="n"/>
      <c r="O87" s="67" t="n"/>
      <c r="P87" s="67" t="n"/>
      <c r="Q87" s="67" t="n"/>
      <c r="R87" s="67" t="n"/>
      <c r="S87" s="67" t="n"/>
      <c r="T87" s="67" t="n"/>
      <c r="U87" s="67" t="n"/>
      <c r="V87" s="67" t="n"/>
    </row>
    <row r="88">
      <c r="B88" s="67" t="n"/>
      <c r="C88" s="67" t="n"/>
      <c r="D88" s="67" t="n"/>
      <c r="E88" s="67" t="n"/>
      <c r="F88" s="67" t="n"/>
      <c r="G88" s="67" t="n"/>
      <c r="H88" s="67" t="n"/>
      <c r="I88" s="67" t="n"/>
      <c r="L88" s="67" t="n"/>
      <c r="M88" s="67" t="n"/>
      <c r="N88" s="67" t="n"/>
      <c r="O88" s="67" t="n"/>
      <c r="P88" s="67" t="n"/>
      <c r="Q88" s="67" t="n"/>
      <c r="R88" s="67" t="n"/>
      <c r="S88" s="67" t="n"/>
      <c r="T88" s="67" t="n"/>
      <c r="U88" s="67" t="n"/>
      <c r="V88" s="67" t="n"/>
    </row>
    <row r="89">
      <c r="B89" s="67" t="n"/>
      <c r="C89" s="67" t="n"/>
      <c r="D89" s="67" t="n"/>
      <c r="E89" s="67" t="n"/>
      <c r="F89" s="67" t="n"/>
      <c r="G89" s="67" t="n"/>
      <c r="H89" s="67" t="n"/>
      <c r="I89" s="67" t="n"/>
      <c r="L89" s="67" t="n"/>
      <c r="M89" s="67" t="n"/>
      <c r="N89" s="67" t="n"/>
      <c r="O89" s="67" t="n"/>
      <c r="P89" s="67" t="n"/>
      <c r="Q89" s="67" t="n"/>
      <c r="R89" s="67" t="n"/>
      <c r="S89" s="67" t="n"/>
      <c r="T89" s="67" t="n"/>
      <c r="U89" s="67" t="n"/>
      <c r="V89" s="67" t="n"/>
    </row>
    <row r="90">
      <c r="B90" s="67" t="n"/>
      <c r="C90" s="67" t="n"/>
      <c r="D90" s="67" t="n"/>
      <c r="E90" s="67" t="n"/>
      <c r="F90" s="67" t="n"/>
      <c r="G90" s="67" t="n"/>
      <c r="H90" s="67" t="n"/>
      <c r="I90" s="67" t="n"/>
      <c r="L90" s="67" t="n"/>
      <c r="M90" s="67" t="n"/>
      <c r="N90" s="67" t="n"/>
      <c r="O90" s="67" t="n"/>
      <c r="P90" s="67" t="n"/>
      <c r="Q90" s="67" t="n"/>
      <c r="R90" s="67" t="n"/>
      <c r="S90" s="67" t="n"/>
      <c r="T90" s="67" t="n"/>
      <c r="U90" s="67" t="n"/>
      <c r="V90" s="67" t="n"/>
    </row>
    <row r="91">
      <c r="B91" s="67" t="n"/>
      <c r="C91" s="67" t="n"/>
      <c r="D91" s="67" t="n"/>
      <c r="E91" s="67" t="n"/>
      <c r="F91" s="67" t="n"/>
      <c r="G91" s="67" t="n"/>
      <c r="H91" s="67" t="n"/>
      <c r="I91" s="67" t="n"/>
      <c r="L91" s="67" t="n"/>
      <c r="M91" s="67" t="n"/>
      <c r="N91" s="67" t="n"/>
      <c r="O91" s="67" t="n"/>
      <c r="P91" s="67" t="n"/>
      <c r="Q91" s="67" t="n"/>
      <c r="R91" s="67" t="n"/>
      <c r="S91" s="67" t="n"/>
      <c r="T91" s="67" t="n"/>
      <c r="U91" s="67" t="n"/>
      <c r="V91" s="67" t="n"/>
    </row>
    <row r="92">
      <c r="B92" s="67" t="n"/>
      <c r="C92" s="67" t="n"/>
      <c r="D92" s="67" t="n"/>
      <c r="E92" s="67" t="n"/>
      <c r="F92" s="67" t="n"/>
      <c r="G92" s="67" t="n"/>
      <c r="H92" s="67" t="n"/>
      <c r="I92" s="67" t="n"/>
      <c r="L92" s="67" t="n"/>
      <c r="M92" s="67" t="n"/>
      <c r="N92" s="67" t="n"/>
      <c r="O92" s="67" t="n"/>
      <c r="P92" s="67" t="n"/>
      <c r="Q92" s="67" t="n"/>
      <c r="R92" s="67" t="n"/>
      <c r="S92" s="67" t="n"/>
      <c r="T92" s="67" t="n"/>
      <c r="U92" s="67" t="n"/>
      <c r="V92" s="67" t="n"/>
    </row>
    <row r="93">
      <c r="B93" s="67" t="n"/>
      <c r="C93" s="67" t="n"/>
      <c r="D93" s="67" t="n"/>
      <c r="E93" s="67" t="n"/>
      <c r="F93" s="67" t="n"/>
      <c r="G93" s="67" t="n"/>
      <c r="H93" s="67" t="n"/>
      <c r="I93" s="67" t="n"/>
      <c r="L93" s="67" t="n"/>
      <c r="M93" s="67" t="n"/>
      <c r="N93" s="67" t="n"/>
      <c r="O93" s="67" t="n"/>
      <c r="P93" s="67" t="n"/>
      <c r="Q93" s="67" t="n"/>
      <c r="R93" s="67" t="n"/>
      <c r="S93" s="67" t="n"/>
      <c r="T93" s="67" t="n"/>
      <c r="U93" s="67" t="n"/>
      <c r="V93" s="67" t="n"/>
    </row>
    <row r="94">
      <c r="B94" s="67" t="n"/>
      <c r="C94" s="67" t="n"/>
      <c r="D94" s="67" t="n"/>
      <c r="E94" s="67" t="n"/>
      <c r="F94" s="67" t="n"/>
      <c r="G94" s="67" t="n"/>
      <c r="H94" s="67" t="n"/>
      <c r="I94" s="67" t="n"/>
      <c r="L94" s="67" t="n"/>
      <c r="M94" s="67" t="n"/>
      <c r="N94" s="67" t="n"/>
      <c r="O94" s="67" t="n"/>
      <c r="P94" s="67" t="n"/>
      <c r="Q94" s="67" t="n"/>
      <c r="R94" s="67" t="n"/>
      <c r="S94" s="67" t="n"/>
      <c r="T94" s="67" t="n"/>
      <c r="U94" s="67" t="n"/>
      <c r="V94" s="67" t="n"/>
    </row>
    <row r="95">
      <c r="B95" s="67" t="n"/>
      <c r="C95" s="67" t="n"/>
      <c r="D95" s="67" t="n"/>
      <c r="E95" s="67" t="n"/>
      <c r="F95" s="67" t="n"/>
      <c r="G95" s="67" t="n"/>
      <c r="H95" s="67" t="n"/>
      <c r="I95" s="67" t="n"/>
      <c r="L95" s="67" t="n"/>
      <c r="M95" s="67" t="n"/>
      <c r="N95" s="67" t="n"/>
      <c r="O95" s="67" t="n"/>
      <c r="P95" s="67" t="n"/>
      <c r="Q95" s="67" t="n"/>
      <c r="R95" s="67" t="n"/>
      <c r="S95" s="67" t="n"/>
      <c r="T95" s="67" t="n"/>
      <c r="U95" s="67" t="n"/>
      <c r="V95" s="67" t="n"/>
    </row>
    <row r="96">
      <c r="B96" s="67" t="n"/>
      <c r="C96" s="67" t="n"/>
      <c r="D96" s="67" t="n"/>
      <c r="E96" s="67" t="n"/>
      <c r="F96" s="67" t="n"/>
      <c r="G96" s="67" t="n"/>
      <c r="H96" s="67" t="n"/>
      <c r="I96" s="67" t="n"/>
      <c r="L96" s="67" t="n"/>
      <c r="M96" s="67" t="n"/>
      <c r="N96" s="67" t="n"/>
      <c r="O96" s="67" t="n"/>
      <c r="P96" s="67" t="n"/>
      <c r="Q96" s="67" t="n"/>
      <c r="R96" s="67" t="n"/>
      <c r="S96" s="67" t="n"/>
      <c r="T96" s="67" t="n"/>
      <c r="U96" s="67" t="n"/>
      <c r="V96" s="67" t="n"/>
    </row>
    <row r="97">
      <c r="B97" s="67" t="n"/>
      <c r="C97" s="67" t="n"/>
      <c r="D97" s="67" t="n"/>
      <c r="E97" s="67" t="n"/>
      <c r="F97" s="67" t="n"/>
      <c r="G97" s="67" t="n"/>
      <c r="H97" s="67" t="n"/>
      <c r="I97" s="67" t="n"/>
      <c r="L97" s="67" t="n"/>
      <c r="M97" s="67" t="n"/>
      <c r="N97" s="67" t="n"/>
      <c r="O97" s="67" t="n"/>
      <c r="P97" s="67" t="n"/>
      <c r="Q97" s="67" t="n"/>
      <c r="R97" s="67" t="n"/>
      <c r="S97" s="67" t="n"/>
      <c r="T97" s="67" t="n"/>
      <c r="U97" s="67" t="n"/>
      <c r="V97" s="67" t="n"/>
    </row>
    <row r="98">
      <c r="B98" s="67" t="n"/>
      <c r="C98" s="67" t="n"/>
      <c r="D98" s="67" t="n"/>
      <c r="E98" s="67" t="n"/>
      <c r="F98" s="67" t="n"/>
      <c r="G98" s="67" t="n"/>
      <c r="H98" s="67" t="n"/>
      <c r="I98" s="67" t="n"/>
      <c r="L98" s="67" t="n"/>
      <c r="M98" s="67" t="n"/>
      <c r="N98" s="67" t="n"/>
      <c r="O98" s="67" t="n"/>
      <c r="P98" s="67" t="n"/>
      <c r="Q98" s="67" t="n"/>
      <c r="R98" s="67" t="n"/>
      <c r="S98" s="67" t="n"/>
      <c r="T98" s="67" t="n"/>
      <c r="U98" s="67" t="n"/>
      <c r="V98" s="67" t="n"/>
    </row>
    <row r="99">
      <c r="B99" s="67" t="n"/>
      <c r="C99" s="67" t="n"/>
      <c r="D99" s="67" t="n"/>
      <c r="E99" s="67" t="n"/>
      <c r="F99" s="67" t="n"/>
      <c r="G99" s="67" t="n"/>
      <c r="H99" s="67" t="n"/>
      <c r="I99" s="67" t="n"/>
      <c r="L99" s="67" t="n"/>
      <c r="M99" s="67" t="n"/>
      <c r="N99" s="67" t="n"/>
      <c r="O99" s="67" t="n"/>
      <c r="P99" s="67" t="n"/>
      <c r="Q99" s="67" t="n"/>
      <c r="R99" s="67" t="n"/>
      <c r="S99" s="67" t="n"/>
      <c r="T99" s="67" t="n"/>
      <c r="U99" s="67" t="n"/>
      <c r="V99" s="67" t="n"/>
    </row>
    <row r="100">
      <c r="B100" s="67" t="n"/>
      <c r="C100" s="67" t="n"/>
      <c r="D100" s="67" t="n"/>
      <c r="E100" s="67" t="n"/>
      <c r="F100" s="67" t="n"/>
      <c r="G100" s="67" t="n"/>
      <c r="H100" s="67" t="n"/>
      <c r="I100" s="67" t="n"/>
      <c r="L100" s="67" t="n"/>
      <c r="M100" s="67" t="n"/>
      <c r="N100" s="67" t="n"/>
      <c r="O100" s="67" t="n"/>
      <c r="P100" s="67" t="n"/>
      <c r="Q100" s="67" t="n"/>
      <c r="R100" s="67" t="n"/>
      <c r="S100" s="67" t="n"/>
      <c r="T100" s="67" t="n"/>
      <c r="U100" s="67" t="n"/>
      <c r="V100" s="67" t="n"/>
    </row>
    <row r="101">
      <c r="B101" s="67" t="n"/>
      <c r="C101" s="67" t="n"/>
      <c r="D101" s="67" t="n"/>
      <c r="E101" s="67" t="n"/>
      <c r="F101" s="67" t="n"/>
      <c r="G101" s="67" t="n"/>
      <c r="H101" s="67" t="n"/>
      <c r="I101" s="67" t="n"/>
      <c r="L101" s="67" t="n"/>
      <c r="M101" s="67" t="n"/>
      <c r="N101" s="67" t="n"/>
      <c r="O101" s="67" t="n"/>
      <c r="P101" s="67" t="n"/>
      <c r="Q101" s="67" t="n"/>
      <c r="R101" s="67" t="n"/>
      <c r="S101" s="67" t="n"/>
      <c r="T101" s="67" t="n"/>
      <c r="U101" s="67" t="n"/>
      <c r="V101" s="67" t="n"/>
    </row>
    <row r="102">
      <c r="B102" s="67" t="n"/>
      <c r="C102" s="67" t="n"/>
      <c r="D102" s="67" t="n"/>
      <c r="E102" s="67" t="n"/>
      <c r="F102" s="67" t="n"/>
      <c r="G102" s="67" t="n"/>
      <c r="H102" s="67" t="n"/>
      <c r="I102" s="67" t="n"/>
      <c r="L102" s="67" t="n"/>
      <c r="M102" s="67" t="n"/>
      <c r="N102" s="67" t="n"/>
      <c r="O102" s="67" t="n"/>
      <c r="P102" s="67" t="n"/>
      <c r="Q102" s="67" t="n"/>
      <c r="R102" s="67" t="n"/>
      <c r="S102" s="67" t="n"/>
      <c r="T102" s="67" t="n"/>
      <c r="U102" s="67" t="n"/>
      <c r="V102" s="67" t="n"/>
    </row>
    <row r="103">
      <c r="B103" s="67" t="n"/>
      <c r="C103" s="67" t="n"/>
      <c r="D103" s="67" t="n"/>
      <c r="E103" s="67" t="n"/>
      <c r="F103" s="67" t="n"/>
      <c r="G103" s="67" t="n"/>
      <c r="H103" s="67" t="n"/>
      <c r="I103" s="67" t="n"/>
      <c r="L103" s="67" t="n"/>
      <c r="M103" s="67" t="n"/>
      <c r="N103" s="67" t="n"/>
      <c r="O103" s="67" t="n"/>
      <c r="P103" s="67" t="n"/>
      <c r="Q103" s="67" t="n"/>
      <c r="R103" s="67" t="n"/>
      <c r="S103" s="67" t="n"/>
      <c r="T103" s="67" t="n"/>
      <c r="U103" s="67" t="n"/>
      <c r="V103" s="67" t="n"/>
    </row>
    <row r="104">
      <c r="B104" s="67" t="n"/>
      <c r="C104" s="67" t="n"/>
      <c r="D104" s="67" t="n"/>
      <c r="E104" s="67" t="n"/>
      <c r="F104" s="67" t="n"/>
      <c r="G104" s="67" t="n"/>
      <c r="H104" s="67" t="n"/>
      <c r="I104" s="67" t="n"/>
      <c r="L104" s="67" t="n"/>
      <c r="M104" s="67" t="n"/>
      <c r="N104" s="67" t="n"/>
      <c r="O104" s="67" t="n"/>
      <c r="P104" s="67" t="n"/>
      <c r="Q104" s="67" t="n"/>
      <c r="R104" s="67" t="n"/>
      <c r="S104" s="67" t="n"/>
      <c r="T104" s="67" t="n"/>
      <c r="U104" s="67" t="n"/>
      <c r="V104" s="67" t="n"/>
    </row>
    <row r="105">
      <c r="B105" s="67" t="n"/>
      <c r="C105" s="67" t="n"/>
      <c r="D105" s="67" t="n"/>
      <c r="E105" s="67" t="n"/>
      <c r="F105" s="67" t="n"/>
      <c r="G105" s="67" t="n"/>
      <c r="H105" s="67" t="n"/>
      <c r="I105" s="67" t="n"/>
      <c r="L105" s="67" t="n"/>
      <c r="M105" s="67" t="n"/>
      <c r="N105" s="67" t="n"/>
      <c r="O105" s="67" t="n"/>
      <c r="P105" s="67" t="n"/>
      <c r="Q105" s="67" t="n"/>
      <c r="R105" s="67" t="n"/>
      <c r="S105" s="67" t="n"/>
      <c r="T105" s="67" t="n"/>
      <c r="U105" s="67" t="n"/>
      <c r="V105" s="67" t="n"/>
    </row>
    <row r="106">
      <c r="B106" s="67" t="n"/>
      <c r="C106" s="67" t="n"/>
      <c r="D106" s="67" t="n"/>
      <c r="E106" s="67" t="n"/>
      <c r="F106" s="67" t="n"/>
      <c r="G106" s="67" t="n"/>
      <c r="H106" s="67" t="n"/>
      <c r="I106" s="67" t="n"/>
      <c r="L106" s="67" t="n"/>
      <c r="M106" s="67" t="n"/>
      <c r="N106" s="67" t="n"/>
      <c r="O106" s="67" t="n"/>
      <c r="P106" s="67" t="n"/>
      <c r="Q106" s="67" t="n"/>
      <c r="R106" s="67" t="n"/>
      <c r="S106" s="67" t="n"/>
      <c r="T106" s="67" t="n"/>
      <c r="U106" s="67" t="n"/>
      <c r="V106" s="67" t="n"/>
    </row>
    <row r="107">
      <c r="B107" s="67" t="n"/>
      <c r="C107" s="67" t="n"/>
      <c r="D107" s="67" t="n"/>
      <c r="E107" s="67" t="n"/>
      <c r="F107" s="67" t="n"/>
      <c r="G107" s="67" t="n"/>
      <c r="H107" s="67" t="n"/>
      <c r="I107" s="67" t="n"/>
      <c r="L107" s="67" t="n"/>
      <c r="M107" s="67" t="n"/>
      <c r="N107" s="67" t="n"/>
      <c r="O107" s="67" t="n"/>
      <c r="P107" s="67" t="n"/>
      <c r="Q107" s="67" t="n"/>
      <c r="R107" s="67" t="n"/>
      <c r="S107" s="67" t="n"/>
      <c r="T107" s="67" t="n"/>
      <c r="U107" s="67" t="n"/>
      <c r="V107" s="67" t="n"/>
    </row>
    <row r="108">
      <c r="B108" s="67" t="n"/>
      <c r="C108" s="67" t="n"/>
      <c r="D108" s="67" t="n"/>
      <c r="E108" s="67" t="n"/>
      <c r="F108" s="67" t="n"/>
      <c r="G108" s="67" t="n"/>
      <c r="H108" s="67" t="n"/>
      <c r="I108" s="67" t="n"/>
      <c r="L108" s="67" t="n"/>
      <c r="M108" s="67" t="n"/>
      <c r="N108" s="67" t="n"/>
      <c r="O108" s="67" t="n"/>
      <c r="P108" s="67" t="n"/>
      <c r="Q108" s="67" t="n"/>
      <c r="R108" s="67" t="n"/>
      <c r="S108" s="67" t="n"/>
      <c r="T108" s="67" t="n"/>
      <c r="U108" s="67" t="n"/>
      <c r="V108" s="67" t="n"/>
    </row>
    <row r="109">
      <c r="B109" s="67" t="n"/>
      <c r="C109" s="67" t="n"/>
      <c r="D109" s="67" t="n"/>
      <c r="E109" s="67" t="n"/>
      <c r="F109" s="67" t="n"/>
      <c r="G109" s="67" t="n"/>
      <c r="H109" s="67" t="n"/>
      <c r="I109" s="67" t="n"/>
      <c r="L109" s="67" t="n"/>
      <c r="M109" s="67" t="n"/>
      <c r="N109" s="67" t="n"/>
      <c r="O109" s="67" t="n"/>
      <c r="P109" s="67" t="n"/>
      <c r="Q109" s="67" t="n"/>
      <c r="R109" s="67" t="n"/>
      <c r="S109" s="67" t="n"/>
      <c r="T109" s="67" t="n"/>
      <c r="U109" s="67" t="n"/>
      <c r="V109" s="67" t="n"/>
    </row>
    <row r="110">
      <c r="B110" s="67" t="n"/>
      <c r="C110" s="67" t="n"/>
      <c r="D110" s="67" t="n"/>
      <c r="E110" s="67" t="n"/>
      <c r="F110" s="67" t="n"/>
      <c r="G110" s="67" t="n"/>
      <c r="H110" s="67" t="n"/>
      <c r="I110" s="67" t="n"/>
      <c r="L110" s="67" t="n"/>
      <c r="M110" s="67" t="n"/>
      <c r="N110" s="67" t="n"/>
      <c r="O110" s="67" t="n"/>
      <c r="P110" s="67" t="n"/>
      <c r="Q110" s="67" t="n"/>
      <c r="R110" s="67" t="n"/>
      <c r="S110" s="67" t="n"/>
      <c r="T110" s="67" t="n"/>
      <c r="U110" s="67" t="n"/>
      <c r="V110" s="67" t="n"/>
    </row>
    <row r="111">
      <c r="B111" s="67" t="n"/>
      <c r="C111" s="67" t="n"/>
      <c r="D111" s="67" t="n"/>
      <c r="E111" s="67" t="n"/>
      <c r="F111" s="67" t="n"/>
      <c r="G111" s="67" t="n"/>
      <c r="H111" s="67" t="n"/>
      <c r="I111" s="67" t="n"/>
      <c r="L111" s="67" t="n"/>
      <c r="M111" s="67" t="n"/>
      <c r="N111" s="67" t="n"/>
      <c r="O111" s="67" t="n"/>
      <c r="P111" s="67" t="n"/>
      <c r="Q111" s="67" t="n"/>
      <c r="R111" s="67" t="n"/>
      <c r="S111" s="67" t="n"/>
      <c r="T111" s="67" t="n"/>
      <c r="U111" s="67" t="n"/>
      <c r="V111" s="67" t="n"/>
    </row>
    <row r="112">
      <c r="B112" s="67" t="n"/>
      <c r="C112" s="67" t="n"/>
      <c r="D112" s="67" t="n"/>
      <c r="E112" s="67" t="n"/>
      <c r="F112" s="67" t="n"/>
      <c r="G112" s="67" t="n"/>
      <c r="H112" s="67" t="n"/>
      <c r="I112" s="67" t="n"/>
      <c r="L112" s="67" t="n"/>
      <c r="M112" s="67" t="n"/>
      <c r="N112" s="67" t="n"/>
      <c r="O112" s="67" t="n"/>
      <c r="P112" s="67" t="n"/>
      <c r="Q112" s="67" t="n"/>
      <c r="R112" s="67" t="n"/>
      <c r="S112" s="67" t="n"/>
      <c r="T112" s="67" t="n"/>
      <c r="U112" s="67" t="n"/>
      <c r="V112" s="67" t="n"/>
    </row>
    <row r="113">
      <c r="B113" s="67" t="n"/>
      <c r="C113" s="67" t="n"/>
      <c r="D113" s="67" t="n"/>
      <c r="E113" s="67" t="n"/>
      <c r="F113" s="67" t="n"/>
      <c r="G113" s="67" t="n"/>
      <c r="H113" s="67" t="n"/>
      <c r="I113" s="67" t="n"/>
      <c r="L113" s="67" t="n"/>
      <c r="M113" s="67" t="n"/>
      <c r="N113" s="67" t="n"/>
      <c r="O113" s="67" t="n"/>
      <c r="P113" s="67" t="n"/>
      <c r="Q113" s="67" t="n"/>
      <c r="R113" s="67" t="n"/>
      <c r="S113" s="67" t="n"/>
      <c r="T113" s="67" t="n"/>
      <c r="U113" s="67" t="n"/>
      <c r="V113" s="67" t="n"/>
    </row>
    <row r="114">
      <c r="B114" s="67" t="n"/>
      <c r="C114" s="67" t="n"/>
      <c r="D114" s="67" t="n"/>
      <c r="E114" s="67" t="n"/>
      <c r="F114" s="67" t="n"/>
      <c r="G114" s="67" t="n"/>
      <c r="H114" s="67" t="n"/>
      <c r="I114" s="67" t="n"/>
      <c r="L114" s="67" t="n"/>
      <c r="M114" s="67" t="n"/>
      <c r="N114" s="67" t="n"/>
      <c r="O114" s="67" t="n"/>
      <c r="P114" s="67" t="n"/>
      <c r="Q114" s="67" t="n"/>
      <c r="R114" s="67" t="n"/>
      <c r="S114" s="67" t="n"/>
      <c r="T114" s="67" t="n"/>
      <c r="U114" s="67" t="n"/>
      <c r="V114" s="67" t="n"/>
    </row>
    <row r="115">
      <c r="B115" s="67" t="n"/>
      <c r="C115" s="67" t="n"/>
      <c r="D115" s="67" t="n"/>
      <c r="E115" s="67" t="n"/>
      <c r="F115" s="67" t="n"/>
      <c r="G115" s="67" t="n"/>
      <c r="H115" s="67" t="n"/>
      <c r="I115" s="67" t="n"/>
      <c r="L115" s="67" t="n"/>
      <c r="M115" s="67" t="n"/>
      <c r="N115" s="67" t="n"/>
      <c r="O115" s="67" t="n"/>
      <c r="P115" s="67" t="n"/>
      <c r="Q115" s="67" t="n"/>
      <c r="R115" s="67" t="n"/>
      <c r="S115" s="67" t="n"/>
      <c r="T115" s="67" t="n"/>
      <c r="U115" s="67" t="n"/>
      <c r="V115" s="67" t="n"/>
    </row>
    <row r="116">
      <c r="B116" s="67" t="n"/>
      <c r="C116" s="67" t="n"/>
      <c r="D116" s="67" t="n"/>
      <c r="E116" s="67" t="n"/>
      <c r="F116" s="67" t="n"/>
      <c r="G116" s="67" t="n"/>
      <c r="H116" s="67" t="n"/>
      <c r="I116" s="67" t="n"/>
      <c r="L116" s="67" t="n"/>
      <c r="M116" s="67" t="n"/>
      <c r="N116" s="67" t="n"/>
      <c r="O116" s="67" t="n"/>
      <c r="P116" s="67" t="n"/>
      <c r="Q116" s="67" t="n"/>
      <c r="R116" s="67" t="n"/>
      <c r="S116" s="67" t="n"/>
      <c r="T116" s="67" t="n"/>
      <c r="U116" s="67" t="n"/>
      <c r="V116" s="67" t="n"/>
    </row>
    <row r="117">
      <c r="B117" s="67" t="n"/>
      <c r="C117" s="67" t="n"/>
      <c r="D117" s="67" t="n"/>
      <c r="E117" s="67" t="n"/>
      <c r="F117" s="67" t="n"/>
      <c r="G117" s="67" t="n"/>
      <c r="H117" s="67" t="n"/>
      <c r="I117" s="67" t="n"/>
      <c r="L117" s="67" t="n"/>
      <c r="M117" s="67" t="n"/>
      <c r="N117" s="67" t="n"/>
      <c r="O117" s="67" t="n"/>
      <c r="P117" s="67" t="n"/>
      <c r="Q117" s="67" t="n"/>
      <c r="R117" s="67" t="n"/>
      <c r="S117" s="67" t="n"/>
      <c r="T117" s="67" t="n"/>
      <c r="U117" s="67" t="n"/>
      <c r="V117" s="67" t="n"/>
    </row>
    <row r="118">
      <c r="B118" s="67" t="n"/>
      <c r="C118" s="67" t="n"/>
      <c r="D118" s="67" t="n"/>
      <c r="E118" s="67" t="n"/>
      <c r="F118" s="67" t="n"/>
      <c r="G118" s="67" t="n"/>
      <c r="H118" s="67" t="n"/>
      <c r="I118" s="67" t="n"/>
      <c r="L118" s="67" t="n"/>
      <c r="M118" s="67" t="n"/>
      <c r="N118" s="67" t="n"/>
      <c r="O118" s="67" t="n"/>
      <c r="P118" s="67" t="n"/>
      <c r="Q118" s="67" t="n"/>
      <c r="R118" s="67" t="n"/>
      <c r="S118" s="67" t="n"/>
      <c r="T118" s="67" t="n"/>
      <c r="U118" s="67" t="n"/>
      <c r="V118" s="67" t="n"/>
    </row>
    <row r="119">
      <c r="B119" s="67" t="n"/>
      <c r="C119" s="67" t="n"/>
      <c r="D119" s="67" t="n"/>
      <c r="E119" s="67" t="n"/>
      <c r="F119" s="67" t="n"/>
      <c r="G119" s="67" t="n"/>
      <c r="H119" s="67" t="n"/>
      <c r="I119" s="67" t="n"/>
      <c r="L119" s="67" t="n"/>
      <c r="M119" s="67" t="n"/>
      <c r="N119" s="67" t="n"/>
      <c r="O119" s="67" t="n"/>
      <c r="P119" s="67" t="n"/>
      <c r="Q119" s="67" t="n"/>
      <c r="R119" s="67" t="n"/>
      <c r="S119" s="67" t="n"/>
      <c r="T119" s="67" t="n"/>
      <c r="U119" s="67" t="n"/>
      <c r="V119" s="67" t="n"/>
    </row>
    <row r="120">
      <c r="B120" s="67" t="n"/>
      <c r="C120" s="67" t="n"/>
      <c r="D120" s="67" t="n"/>
      <c r="E120" s="67" t="n"/>
      <c r="F120" s="67" t="n"/>
      <c r="G120" s="67" t="n"/>
      <c r="H120" s="67" t="n"/>
      <c r="I120" s="67" t="n"/>
      <c r="L120" s="67" t="n"/>
      <c r="M120" s="67" t="n"/>
      <c r="N120" s="67" t="n"/>
      <c r="O120" s="67" t="n"/>
      <c r="P120" s="67" t="n"/>
      <c r="Q120" s="67" t="n"/>
      <c r="R120" s="67" t="n"/>
      <c r="S120" s="67" t="n"/>
      <c r="T120" s="67" t="n"/>
      <c r="U120" s="67" t="n"/>
      <c r="V120" s="67" t="n"/>
    </row>
    <row r="121">
      <c r="B121" s="67" t="n"/>
      <c r="C121" s="67" t="n"/>
      <c r="D121" s="67" t="n"/>
      <c r="E121" s="67" t="n"/>
      <c r="F121" s="67" t="n"/>
      <c r="G121" s="67" t="n"/>
      <c r="H121" s="67" t="n"/>
      <c r="I121" s="67" t="n"/>
      <c r="L121" s="67" t="n"/>
      <c r="M121" s="67" t="n"/>
      <c r="N121" s="67" t="n"/>
      <c r="O121" s="67" t="n"/>
      <c r="P121" s="67" t="n"/>
      <c r="Q121" s="67" t="n"/>
      <c r="R121" s="67" t="n"/>
      <c r="S121" s="67" t="n"/>
      <c r="T121" s="67" t="n"/>
      <c r="U121" s="67" t="n"/>
      <c r="V121" s="67" t="n"/>
    </row>
    <row r="122">
      <c r="B122" s="67" t="n"/>
      <c r="C122" s="67" t="n"/>
      <c r="D122" s="67" t="n"/>
      <c r="E122" s="67" t="n"/>
      <c r="F122" s="67" t="n"/>
      <c r="G122" s="67" t="n"/>
      <c r="H122" s="67" t="n"/>
      <c r="I122" s="67" t="n"/>
      <c r="L122" s="67" t="n"/>
      <c r="M122" s="67" t="n"/>
      <c r="N122" s="67" t="n"/>
      <c r="O122" s="67" t="n"/>
      <c r="P122" s="67" t="n"/>
      <c r="Q122" s="67" t="n"/>
      <c r="R122" s="67" t="n"/>
      <c r="S122" s="67" t="n"/>
      <c r="T122" s="67" t="n"/>
      <c r="U122" s="67" t="n"/>
      <c r="V122" s="67" t="n"/>
    </row>
    <row r="123">
      <c r="B123" s="67" t="n"/>
      <c r="C123" s="67" t="n"/>
      <c r="D123" s="67" t="n"/>
      <c r="E123" s="67" t="n"/>
      <c r="F123" s="67" t="n"/>
      <c r="G123" s="67" t="n"/>
      <c r="H123" s="67" t="n"/>
      <c r="I123" s="67" t="n"/>
      <c r="L123" s="67" t="n"/>
      <c r="M123" s="67" t="n"/>
      <c r="N123" s="67" t="n"/>
      <c r="O123" s="67" t="n"/>
      <c r="P123" s="67" t="n"/>
      <c r="Q123" s="67" t="n"/>
      <c r="R123" s="67" t="n"/>
      <c r="S123" s="67" t="n"/>
      <c r="T123" s="67" t="n"/>
      <c r="U123" s="67" t="n"/>
      <c r="V123" s="67" t="n"/>
    </row>
    <row r="124">
      <c r="B124" s="67" t="n"/>
      <c r="C124" s="67" t="n"/>
      <c r="D124" s="67" t="n"/>
      <c r="E124" s="67" t="n"/>
      <c r="F124" s="67" t="n"/>
      <c r="G124" s="67" t="n"/>
      <c r="H124" s="67" t="n"/>
      <c r="I124" s="67" t="n"/>
      <c r="L124" s="67" t="n"/>
      <c r="M124" s="67" t="n"/>
      <c r="N124" s="67" t="n"/>
      <c r="O124" s="67" t="n"/>
      <c r="P124" s="67" t="n"/>
      <c r="Q124" s="67" t="n"/>
      <c r="R124" s="67" t="n"/>
      <c r="S124" s="67" t="n"/>
      <c r="T124" s="67" t="n"/>
      <c r="U124" s="67" t="n"/>
      <c r="V124" s="67" t="n"/>
    </row>
    <row r="125">
      <c r="B125" s="67" t="n"/>
      <c r="C125" s="67" t="n"/>
      <c r="D125" s="67" t="n"/>
      <c r="E125" s="67" t="n"/>
      <c r="F125" s="67" t="n"/>
      <c r="G125" s="67" t="n"/>
      <c r="H125" s="67" t="n"/>
      <c r="I125" s="67" t="n"/>
      <c r="L125" s="67" t="n"/>
      <c r="M125" s="67" t="n"/>
      <c r="N125" s="67" t="n"/>
      <c r="O125" s="67" t="n"/>
      <c r="P125" s="67" t="n"/>
      <c r="Q125" s="67" t="n"/>
      <c r="R125" s="67" t="n"/>
      <c r="S125" s="67" t="n"/>
      <c r="T125" s="67" t="n"/>
      <c r="U125" s="67" t="n"/>
      <c r="V125" s="67" t="n"/>
    </row>
    <row r="126">
      <c r="B126" s="67" t="n"/>
      <c r="C126" s="67" t="n"/>
      <c r="D126" s="67" t="n"/>
      <c r="E126" s="67" t="n"/>
      <c r="F126" s="67" t="n"/>
      <c r="G126" s="67" t="n"/>
      <c r="H126" s="67" t="n"/>
      <c r="I126" s="67" t="n"/>
      <c r="L126" s="67" t="n"/>
      <c r="M126" s="67" t="n"/>
      <c r="N126" s="67" t="n"/>
      <c r="O126" s="67" t="n"/>
      <c r="P126" s="67" t="n"/>
      <c r="Q126" s="67" t="n"/>
      <c r="R126" s="67" t="n"/>
      <c r="S126" s="67" t="n"/>
      <c r="T126" s="67" t="n"/>
      <c r="U126" s="67" t="n"/>
      <c r="V126" s="67" t="n"/>
    </row>
    <row r="127">
      <c r="B127" s="67" t="n"/>
      <c r="C127" s="67" t="n"/>
      <c r="D127" s="67" t="n"/>
      <c r="E127" s="67" t="n"/>
      <c r="F127" s="67" t="n"/>
      <c r="G127" s="67" t="n"/>
      <c r="H127" s="67" t="n"/>
      <c r="I127" s="67" t="n"/>
      <c r="L127" s="67" t="n"/>
      <c r="M127" s="67" t="n"/>
      <c r="N127" s="67" t="n"/>
      <c r="O127" s="67" t="n"/>
      <c r="P127" s="67" t="n"/>
      <c r="Q127" s="67" t="n"/>
      <c r="R127" s="67" t="n"/>
      <c r="S127" s="67" t="n"/>
      <c r="T127" s="67" t="n"/>
      <c r="U127" s="67" t="n"/>
      <c r="V127" s="67" t="n"/>
    </row>
    <row r="128">
      <c r="B128" s="67" t="n"/>
      <c r="C128" s="67" t="n"/>
      <c r="D128" s="67" t="n"/>
      <c r="E128" s="67" t="n"/>
      <c r="F128" s="67" t="n"/>
      <c r="G128" s="67" t="n"/>
      <c r="H128" s="67" t="n"/>
      <c r="I128" s="67" t="n"/>
      <c r="L128" s="67" t="n"/>
      <c r="M128" s="67" t="n"/>
      <c r="N128" s="67" t="n"/>
      <c r="O128" s="67" t="n"/>
      <c r="P128" s="67" t="n"/>
      <c r="Q128" s="67" t="n"/>
      <c r="R128" s="67" t="n"/>
      <c r="S128" s="67" t="n"/>
      <c r="T128" s="67" t="n"/>
      <c r="U128" s="67" t="n"/>
      <c r="V128" s="67" t="n"/>
    </row>
    <row r="129">
      <c r="B129" s="67" t="n"/>
      <c r="C129" s="67" t="n"/>
      <c r="D129" s="67" t="n"/>
      <c r="E129" s="67" t="n"/>
      <c r="F129" s="67" t="n"/>
      <c r="G129" s="67" t="n"/>
      <c r="H129" s="67" t="n"/>
      <c r="I129" s="67" t="n"/>
      <c r="L129" s="67" t="n"/>
      <c r="M129" s="67" t="n"/>
      <c r="N129" s="67" t="n"/>
      <c r="O129" s="67" t="n"/>
      <c r="P129" s="67" t="n"/>
      <c r="Q129" s="67" t="n"/>
      <c r="R129" s="67" t="n"/>
      <c r="S129" s="67" t="n"/>
      <c r="T129" s="67" t="n"/>
      <c r="U129" s="67" t="n"/>
      <c r="V129" s="67" t="n"/>
    </row>
    <row r="130">
      <c r="B130" s="67" t="n"/>
      <c r="C130" s="67" t="n"/>
      <c r="D130" s="67" t="n"/>
      <c r="E130" s="67" t="n"/>
      <c r="F130" s="67" t="n"/>
      <c r="G130" s="67" t="n"/>
      <c r="H130" s="67" t="n"/>
      <c r="I130" s="67" t="n"/>
      <c r="L130" s="67" t="n"/>
      <c r="M130" s="67" t="n"/>
      <c r="N130" s="67" t="n"/>
      <c r="O130" s="67" t="n"/>
      <c r="P130" s="67" t="n"/>
      <c r="Q130" s="67" t="n"/>
      <c r="R130" s="67" t="n"/>
      <c r="S130" s="67" t="n"/>
      <c r="T130" s="67" t="n"/>
      <c r="U130" s="67" t="n"/>
      <c r="V130" s="67" t="n"/>
    </row>
    <row r="131">
      <c r="B131" s="67" t="n"/>
      <c r="C131" s="67" t="n"/>
      <c r="D131" s="67" t="n"/>
      <c r="E131" s="67" t="n"/>
      <c r="F131" s="67" t="n"/>
      <c r="G131" s="67" t="n"/>
      <c r="H131" s="67" t="n"/>
      <c r="I131" s="67" t="n"/>
      <c r="L131" s="67" t="n"/>
      <c r="M131" s="67" t="n"/>
      <c r="N131" s="67" t="n"/>
      <c r="O131" s="67" t="n"/>
      <c r="P131" s="67" t="n"/>
      <c r="Q131" s="67" t="n"/>
      <c r="R131" s="67" t="n"/>
      <c r="S131" s="67" t="n"/>
      <c r="T131" s="67" t="n"/>
      <c r="U131" s="67" t="n"/>
      <c r="V131" s="67" t="n"/>
    </row>
    <row r="132">
      <c r="B132" s="67" t="n"/>
      <c r="C132" s="67" t="n"/>
      <c r="D132" s="67" t="n"/>
      <c r="E132" s="67" t="n"/>
      <c r="F132" s="67" t="n"/>
      <c r="G132" s="67" t="n"/>
      <c r="H132" s="67" t="n"/>
      <c r="I132" s="67" t="n"/>
      <c r="L132" s="67" t="n"/>
      <c r="M132" s="67" t="n"/>
      <c r="N132" s="67" t="n"/>
      <c r="O132" s="67" t="n"/>
      <c r="P132" s="67" t="n"/>
      <c r="Q132" s="67" t="n"/>
      <c r="R132" s="67" t="n"/>
      <c r="S132" s="67" t="n"/>
      <c r="T132" s="67" t="n"/>
      <c r="U132" s="67" t="n"/>
      <c r="V132" s="67" t="n"/>
    </row>
    <row r="133">
      <c r="B133" s="67" t="n"/>
      <c r="C133" s="67" t="n"/>
      <c r="D133" s="67" t="n"/>
      <c r="E133" s="67" t="n"/>
      <c r="F133" s="67" t="n"/>
      <c r="G133" s="67" t="n"/>
      <c r="H133" s="67" t="n"/>
      <c r="I133" s="67" t="n"/>
      <c r="L133" s="67" t="n"/>
      <c r="M133" s="67" t="n"/>
      <c r="N133" s="67" t="n"/>
      <c r="O133" s="67" t="n"/>
      <c r="P133" s="67" t="n"/>
      <c r="Q133" s="67" t="n"/>
      <c r="R133" s="67" t="n"/>
      <c r="S133" s="67" t="n"/>
      <c r="T133" s="67" t="n"/>
      <c r="U133" s="67" t="n"/>
      <c r="V133" s="67" t="n"/>
    </row>
    <row r="134">
      <c r="B134" s="67" t="n"/>
      <c r="C134" s="67" t="n"/>
      <c r="D134" s="67" t="n"/>
      <c r="E134" s="67" t="n"/>
      <c r="F134" s="67" t="n"/>
      <c r="G134" s="67" t="n"/>
      <c r="H134" s="67" t="n"/>
      <c r="I134" s="67" t="n"/>
      <c r="L134" s="67" t="n"/>
      <c r="M134" s="67" t="n"/>
      <c r="N134" s="67" t="n"/>
      <c r="O134" s="67" t="n"/>
      <c r="P134" s="67" t="n"/>
      <c r="Q134" s="67" t="n"/>
      <c r="R134" s="67" t="n"/>
      <c r="S134" s="67" t="n"/>
      <c r="T134" s="67" t="n"/>
      <c r="U134" s="67" t="n"/>
      <c r="V134" s="67" t="n"/>
    </row>
    <row r="135">
      <c r="B135" s="67" t="n"/>
      <c r="C135" s="67" t="n"/>
      <c r="D135" s="67" t="n"/>
      <c r="E135" s="67" t="n"/>
      <c r="F135" s="67" t="n"/>
      <c r="G135" s="67" t="n"/>
      <c r="H135" s="67" t="n"/>
      <c r="I135" s="67" t="n"/>
      <c r="L135" s="67" t="n"/>
      <c r="M135" s="67" t="n"/>
      <c r="N135" s="67" t="n"/>
      <c r="O135" s="67" t="n"/>
      <c r="P135" s="67" t="n"/>
      <c r="Q135" s="67" t="n"/>
      <c r="R135" s="67" t="n"/>
      <c r="S135" s="67" t="n"/>
      <c r="T135" s="67" t="n"/>
      <c r="U135" s="67" t="n"/>
      <c r="V135" s="67" t="n"/>
    </row>
    <row r="136">
      <c r="B136" s="67" t="n"/>
      <c r="C136" s="67" t="n"/>
      <c r="D136" s="67" t="n"/>
      <c r="E136" s="67" t="n"/>
      <c r="F136" s="67" t="n"/>
      <c r="G136" s="67" t="n"/>
      <c r="H136" s="67" t="n"/>
      <c r="I136" s="67" t="n"/>
      <c r="L136" s="67" t="n"/>
      <c r="M136" s="67" t="n"/>
      <c r="N136" s="67" t="n"/>
      <c r="O136" s="67" t="n"/>
      <c r="P136" s="67" t="n"/>
      <c r="Q136" s="67" t="n"/>
      <c r="R136" s="67" t="n"/>
      <c r="S136" s="67" t="n"/>
      <c r="T136" s="67" t="n"/>
      <c r="U136" s="67" t="n"/>
      <c r="V136" s="67" t="n"/>
    </row>
    <row r="137">
      <c r="B137" s="67" t="n"/>
      <c r="C137" s="67" t="n"/>
      <c r="D137" s="67" t="n"/>
      <c r="E137" s="67" t="n"/>
      <c r="F137" s="67" t="n"/>
      <c r="G137" s="67" t="n"/>
      <c r="H137" s="67" t="n"/>
      <c r="I137" s="67" t="n"/>
      <c r="L137" s="67" t="n"/>
      <c r="M137" s="67" t="n"/>
      <c r="N137" s="67" t="n"/>
      <c r="O137" s="67" t="n"/>
      <c r="P137" s="67" t="n"/>
      <c r="Q137" s="67" t="n"/>
      <c r="R137" s="67" t="n"/>
      <c r="S137" s="67" t="n"/>
      <c r="T137" s="67" t="n"/>
      <c r="U137" s="67" t="n"/>
      <c r="V137" s="67" t="n"/>
    </row>
    <row r="138">
      <c r="B138" s="67" t="n"/>
      <c r="C138" s="67" t="n"/>
      <c r="D138" s="67" t="n"/>
      <c r="E138" s="67" t="n"/>
      <c r="F138" s="67" t="n"/>
      <c r="G138" s="67" t="n"/>
      <c r="H138" s="67" t="n"/>
      <c r="I138" s="67" t="n"/>
      <c r="L138" s="67" t="n"/>
      <c r="M138" s="67" t="n"/>
      <c r="N138" s="67" t="n"/>
      <c r="O138" s="67" t="n"/>
      <c r="P138" s="67" t="n"/>
      <c r="Q138" s="67" t="n"/>
      <c r="R138" s="67" t="n"/>
      <c r="S138" s="67" t="n"/>
      <c r="T138" s="67" t="n"/>
      <c r="U138" s="67" t="n"/>
      <c r="V138" s="67" t="n"/>
    </row>
    <row r="139">
      <c r="B139" s="67" t="n"/>
      <c r="C139" s="67" t="n"/>
      <c r="D139" s="67" t="n"/>
      <c r="E139" s="67" t="n"/>
      <c r="F139" s="67" t="n"/>
      <c r="G139" s="67" t="n"/>
      <c r="H139" s="67" t="n"/>
      <c r="I139" s="67" t="n"/>
      <c r="L139" s="67" t="n"/>
      <c r="M139" s="67" t="n"/>
      <c r="N139" s="67" t="n"/>
      <c r="O139" s="67" t="n"/>
      <c r="P139" s="67" t="n"/>
      <c r="Q139" s="67" t="n"/>
      <c r="R139" s="67" t="n"/>
      <c r="S139" s="67" t="n"/>
      <c r="T139" s="67" t="n"/>
      <c r="U139" s="67" t="n"/>
      <c r="V139" s="67" t="n"/>
    </row>
    <row r="140">
      <c r="B140" s="67" t="n"/>
      <c r="C140" s="67" t="n"/>
      <c r="D140" s="67" t="n"/>
      <c r="E140" s="67" t="n"/>
      <c r="F140" s="67" t="n"/>
      <c r="G140" s="67" t="n"/>
      <c r="H140" s="67" t="n"/>
      <c r="I140" s="67" t="n"/>
      <c r="L140" s="67" t="n"/>
      <c r="M140" s="67" t="n"/>
      <c r="N140" s="67" t="n"/>
      <c r="O140" s="67" t="n"/>
      <c r="P140" s="67" t="n"/>
      <c r="Q140" s="67" t="n"/>
      <c r="R140" s="67" t="n"/>
      <c r="S140" s="67" t="n"/>
      <c r="T140" s="67" t="n"/>
      <c r="U140" s="67" t="n"/>
      <c r="V140" s="67" t="n"/>
    </row>
    <row r="141">
      <c r="B141" s="67" t="n"/>
      <c r="C141" s="67" t="n"/>
      <c r="D141" s="67" t="n"/>
      <c r="E141" s="67" t="n"/>
      <c r="F141" s="67" t="n"/>
      <c r="G141" s="67" t="n"/>
      <c r="H141" s="67" t="n"/>
      <c r="I141" s="67" t="n"/>
      <c r="L141" s="67" t="n"/>
      <c r="M141" s="67" t="n"/>
      <c r="N141" s="67" t="n"/>
      <c r="O141" s="67" t="n"/>
      <c r="P141" s="67" t="n"/>
      <c r="Q141" s="67" t="n"/>
      <c r="R141" s="67" t="n"/>
      <c r="S141" s="67" t="n"/>
      <c r="T141" s="67" t="n"/>
      <c r="U141" s="67" t="n"/>
      <c r="V141" s="67" t="n"/>
    </row>
    <row r="142">
      <c r="B142" s="67" t="n"/>
      <c r="C142" s="67" t="n"/>
      <c r="D142" s="67" t="n"/>
      <c r="E142" s="67" t="n"/>
      <c r="F142" s="67" t="n"/>
      <c r="G142" s="67" t="n"/>
      <c r="H142" s="67" t="n"/>
      <c r="I142" s="67" t="n"/>
      <c r="L142" s="67" t="n"/>
      <c r="M142" s="67" t="n"/>
      <c r="N142" s="67" t="n"/>
      <c r="O142" s="67" t="n"/>
      <c r="P142" s="67" t="n"/>
      <c r="Q142" s="67" t="n"/>
      <c r="R142" s="67" t="n"/>
      <c r="S142" s="67" t="n"/>
      <c r="T142" s="67" t="n"/>
      <c r="U142" s="67" t="n"/>
      <c r="V142" s="67" t="n"/>
    </row>
    <row r="143">
      <c r="B143" s="67" t="n"/>
      <c r="C143" s="67" t="n"/>
      <c r="D143" s="67" t="n"/>
      <c r="E143" s="67" t="n"/>
      <c r="F143" s="67" t="n"/>
      <c r="G143" s="67" t="n"/>
      <c r="H143" s="67" t="n"/>
      <c r="I143" s="67" t="n"/>
      <c r="L143" s="67" t="n"/>
      <c r="M143" s="67" t="n"/>
      <c r="N143" s="67" t="n"/>
      <c r="O143" s="67" t="n"/>
      <c r="P143" s="67" t="n"/>
      <c r="Q143" s="67" t="n"/>
      <c r="R143" s="67" t="n"/>
      <c r="S143" s="67" t="n"/>
      <c r="T143" s="67" t="n"/>
      <c r="U143" s="67" t="n"/>
      <c r="V143" s="67" t="n"/>
    </row>
    <row r="144">
      <c r="B144" s="67" t="n"/>
      <c r="C144" s="67" t="n"/>
      <c r="D144" s="67" t="n"/>
      <c r="E144" s="67" t="n"/>
      <c r="F144" s="67" t="n"/>
      <c r="G144" s="67" t="n"/>
      <c r="H144" s="67" t="n"/>
      <c r="I144" s="67" t="n"/>
      <c r="L144" s="67" t="n"/>
      <c r="M144" s="67" t="n"/>
      <c r="N144" s="67" t="n"/>
      <c r="O144" s="67" t="n"/>
      <c r="P144" s="67" t="n"/>
      <c r="Q144" s="67" t="n"/>
      <c r="R144" s="67" t="n"/>
      <c r="S144" s="67" t="n"/>
      <c r="T144" s="67" t="n"/>
      <c r="U144" s="67" t="n"/>
      <c r="V144" s="67" t="n"/>
    </row>
    <row r="145">
      <c r="B145" s="67" t="n"/>
      <c r="C145" s="67" t="n"/>
      <c r="D145" s="67" t="n"/>
      <c r="E145" s="67" t="n"/>
      <c r="F145" s="67" t="n"/>
      <c r="G145" s="67" t="n"/>
      <c r="H145" s="67" t="n"/>
      <c r="I145" s="67" t="n"/>
      <c r="L145" s="67" t="n"/>
      <c r="M145" s="67" t="n"/>
      <c r="N145" s="67" t="n"/>
      <c r="O145" s="67" t="n"/>
      <c r="P145" s="67" t="n"/>
      <c r="Q145" s="67" t="n"/>
      <c r="R145" s="67" t="n"/>
      <c r="S145" s="67" t="n"/>
      <c r="T145" s="67" t="n"/>
      <c r="U145" s="67" t="n"/>
      <c r="V145" s="67" t="n"/>
    </row>
    <row r="146">
      <c r="B146" s="67" t="n"/>
      <c r="C146" s="67" t="n"/>
      <c r="D146" s="67" t="n"/>
      <c r="E146" s="67" t="n"/>
      <c r="F146" s="67" t="n"/>
      <c r="G146" s="67" t="n"/>
      <c r="H146" s="67" t="n"/>
      <c r="I146" s="67" t="n"/>
      <c r="L146" s="67" t="n"/>
      <c r="M146" s="67" t="n"/>
      <c r="N146" s="67" t="n"/>
      <c r="O146" s="67" t="n"/>
      <c r="P146" s="67" t="n"/>
      <c r="Q146" s="67" t="n"/>
      <c r="R146" s="67" t="n"/>
      <c r="S146" s="67" t="n"/>
      <c r="T146" s="67" t="n"/>
      <c r="U146" s="67" t="n"/>
      <c r="V146" s="67" t="n"/>
    </row>
    <row r="147">
      <c r="B147" s="67" t="n"/>
      <c r="C147" s="67" t="n"/>
      <c r="D147" s="67" t="n"/>
      <c r="E147" s="67" t="n"/>
      <c r="F147" s="67" t="n"/>
      <c r="G147" s="67" t="n"/>
      <c r="H147" s="67" t="n"/>
      <c r="I147" s="67" t="n"/>
      <c r="L147" s="67" t="n"/>
      <c r="M147" s="67" t="n"/>
      <c r="N147" s="67" t="n"/>
      <c r="O147" s="67" t="n"/>
      <c r="P147" s="67" t="n"/>
      <c r="Q147" s="67" t="n"/>
      <c r="R147" s="67" t="n"/>
      <c r="S147" s="67" t="n"/>
      <c r="T147" s="67" t="n"/>
      <c r="U147" s="67" t="n"/>
      <c r="V147" s="67" t="n"/>
    </row>
    <row r="148">
      <c r="B148" s="67" t="n"/>
      <c r="C148" s="67" t="n"/>
      <c r="D148" s="67" t="n"/>
      <c r="E148" s="67" t="n"/>
      <c r="F148" s="67" t="n"/>
      <c r="G148" s="67" t="n"/>
      <c r="H148" s="67" t="n"/>
      <c r="I148" s="67" t="n"/>
      <c r="L148" s="67" t="n"/>
      <c r="M148" s="67" t="n"/>
      <c r="N148" s="67" t="n"/>
      <c r="O148" s="67" t="n"/>
      <c r="P148" s="67" t="n"/>
      <c r="Q148" s="67" t="n"/>
      <c r="R148" s="67" t="n"/>
      <c r="S148" s="67" t="n"/>
      <c r="T148" s="67" t="n"/>
      <c r="U148" s="67" t="n"/>
      <c r="V148" s="67" t="n"/>
    </row>
    <row r="149">
      <c r="B149" s="67" t="n"/>
      <c r="C149" s="67" t="n"/>
      <c r="D149" s="67" t="n"/>
      <c r="E149" s="67" t="n"/>
      <c r="F149" s="67" t="n"/>
      <c r="G149" s="67" t="n"/>
      <c r="H149" s="67" t="n"/>
      <c r="I149" s="67" t="n"/>
      <c r="L149" s="67" t="n"/>
      <c r="M149" s="67" t="n"/>
      <c r="N149" s="67" t="n"/>
      <c r="O149" s="67" t="n"/>
      <c r="P149" s="67" t="n"/>
      <c r="Q149" s="67" t="n"/>
      <c r="R149" s="67" t="n"/>
      <c r="S149" s="67" t="n"/>
      <c r="T149" s="67" t="n"/>
      <c r="U149" s="67" t="n"/>
      <c r="V149" s="67" t="n"/>
    </row>
    <row r="150">
      <c r="B150" s="67" t="n"/>
      <c r="C150" s="67" t="n"/>
      <c r="D150" s="67" t="n"/>
      <c r="E150" s="67" t="n"/>
      <c r="F150" s="67" t="n"/>
      <c r="G150" s="67" t="n"/>
      <c r="H150" s="67" t="n"/>
      <c r="I150" s="67" t="n"/>
      <c r="L150" s="67" t="n"/>
      <c r="M150" s="67" t="n"/>
      <c r="N150" s="67" t="n"/>
      <c r="O150" s="67" t="n"/>
      <c r="P150" s="67" t="n"/>
      <c r="Q150" s="67" t="n"/>
      <c r="R150" s="67" t="n"/>
      <c r="S150" s="67" t="n"/>
      <c r="T150" s="67" t="n"/>
      <c r="U150" s="67" t="n"/>
      <c r="V150" s="67" t="n"/>
    </row>
    <row r="151">
      <c r="B151" s="67" t="n"/>
      <c r="C151" s="67" t="n"/>
      <c r="D151" s="67" t="n"/>
      <c r="E151" s="67" t="n"/>
      <c r="F151" s="67" t="n"/>
      <c r="G151" s="67" t="n"/>
      <c r="H151" s="67" t="n"/>
      <c r="I151" s="67" t="n"/>
      <c r="L151" s="67" t="n"/>
      <c r="M151" s="67" t="n"/>
      <c r="N151" s="67" t="n"/>
      <c r="O151" s="67" t="n"/>
      <c r="P151" s="67" t="n"/>
      <c r="Q151" s="67" t="n"/>
      <c r="R151" s="67" t="n"/>
      <c r="S151" s="67" t="n"/>
      <c r="T151" s="67" t="n"/>
      <c r="U151" s="67" t="n"/>
      <c r="V151" s="67" t="n"/>
    </row>
    <row r="152">
      <c r="B152" s="67" t="n"/>
      <c r="C152" s="67" t="n"/>
      <c r="D152" s="67" t="n"/>
      <c r="E152" s="67" t="n"/>
      <c r="F152" s="67" t="n"/>
      <c r="G152" s="67" t="n"/>
      <c r="H152" s="67" t="n"/>
      <c r="I152" s="67" t="n"/>
      <c r="L152" s="67" t="n"/>
      <c r="M152" s="67" t="n"/>
      <c r="N152" s="67" t="n"/>
      <c r="O152" s="67" t="n"/>
      <c r="P152" s="67" t="n"/>
      <c r="Q152" s="67" t="n"/>
      <c r="R152" s="67" t="n"/>
      <c r="S152" s="67" t="n"/>
      <c r="T152" s="67" t="n"/>
      <c r="U152" s="67" t="n"/>
      <c r="V152" s="67" t="n"/>
    </row>
    <row r="153">
      <c r="B153" s="67" t="n"/>
      <c r="C153" s="67" t="n"/>
      <c r="D153" s="67" t="n"/>
      <c r="E153" s="67" t="n"/>
      <c r="F153" s="67" t="n"/>
      <c r="G153" s="67" t="n"/>
      <c r="H153" s="67" t="n"/>
      <c r="I153" s="67" t="n"/>
      <c r="L153" s="67" t="n"/>
      <c r="M153" s="67" t="n"/>
      <c r="N153" s="67" t="n"/>
      <c r="O153" s="67" t="n"/>
      <c r="P153" s="67" t="n"/>
      <c r="Q153" s="67" t="n"/>
      <c r="R153" s="67" t="n"/>
      <c r="S153" s="67" t="n"/>
      <c r="T153" s="67" t="n"/>
      <c r="U153" s="67" t="n"/>
      <c r="V153" s="67" t="n"/>
    </row>
    <row r="154">
      <c r="B154" s="67" t="n"/>
      <c r="C154" s="67" t="n"/>
      <c r="D154" s="67" t="n"/>
      <c r="E154" s="67" t="n"/>
      <c r="F154" s="67" t="n"/>
      <c r="G154" s="67" t="n"/>
      <c r="H154" s="67" t="n"/>
      <c r="I154" s="67" t="n"/>
      <c r="L154" s="67" t="n"/>
      <c r="M154" s="67" t="n"/>
      <c r="N154" s="67" t="n"/>
      <c r="O154" s="67" t="n"/>
      <c r="P154" s="67" t="n"/>
      <c r="Q154" s="67" t="n"/>
      <c r="R154" s="67" t="n"/>
      <c r="S154" s="67" t="n"/>
      <c r="T154" s="67" t="n"/>
      <c r="U154" s="67" t="n"/>
      <c r="V154" s="67" t="n"/>
    </row>
    <row r="155">
      <c r="B155" s="67" t="n"/>
      <c r="C155" s="67" t="n"/>
      <c r="D155" s="67" t="n"/>
      <c r="E155" s="67" t="n"/>
      <c r="F155" s="67" t="n"/>
      <c r="G155" s="67" t="n"/>
      <c r="H155" s="67" t="n"/>
      <c r="I155" s="67" t="n"/>
      <c r="L155" s="67" t="n"/>
      <c r="M155" s="67" t="n"/>
      <c r="N155" s="67" t="n"/>
      <c r="O155" s="67" t="n"/>
      <c r="P155" s="67" t="n"/>
      <c r="Q155" s="67" t="n"/>
      <c r="R155" s="67" t="n"/>
      <c r="S155" s="67" t="n"/>
      <c r="T155" s="67" t="n"/>
      <c r="U155" s="67" t="n"/>
      <c r="V155" s="67" t="n"/>
    </row>
    <row r="156">
      <c r="B156" s="67" t="n"/>
      <c r="C156" s="67" t="n"/>
      <c r="D156" s="67" t="n"/>
      <c r="E156" s="67" t="n"/>
      <c r="F156" s="67" t="n"/>
      <c r="G156" s="67" t="n"/>
      <c r="H156" s="67" t="n"/>
      <c r="I156" s="67" t="n"/>
      <c r="L156" s="67" t="n"/>
      <c r="M156" s="67" t="n"/>
      <c r="N156" s="67" t="n"/>
      <c r="O156" s="67" t="n"/>
      <c r="P156" s="67" t="n"/>
      <c r="Q156" s="67" t="n"/>
      <c r="R156" s="67" t="n"/>
      <c r="S156" s="67" t="n"/>
      <c r="T156" s="67" t="n"/>
      <c r="U156" s="67" t="n"/>
      <c r="V156" s="67" t="n"/>
    </row>
    <row r="157">
      <c r="B157" s="67" t="n"/>
      <c r="C157" s="67" t="n"/>
      <c r="D157" s="67" t="n"/>
      <c r="E157" s="67" t="n"/>
      <c r="F157" s="67" t="n"/>
      <c r="G157" s="67" t="n"/>
      <c r="H157" s="67" t="n"/>
      <c r="I157" s="67" t="n"/>
      <c r="L157" s="67" t="n"/>
      <c r="M157" s="67" t="n"/>
      <c r="N157" s="67" t="n"/>
      <c r="O157" s="67" t="n"/>
      <c r="P157" s="67" t="n"/>
      <c r="Q157" s="67" t="n"/>
      <c r="R157" s="67" t="n"/>
      <c r="S157" s="67" t="n"/>
      <c r="T157" s="67" t="n"/>
      <c r="U157" s="67" t="n"/>
      <c r="V157" s="67" t="n"/>
    </row>
    <row r="158">
      <c r="B158" s="67" t="n"/>
      <c r="C158" s="67" t="n"/>
      <c r="D158" s="67" t="n"/>
      <c r="E158" s="67" t="n"/>
      <c r="F158" s="67" t="n"/>
      <c r="G158" s="67" t="n"/>
      <c r="H158" s="67" t="n"/>
      <c r="I158" s="67" t="n"/>
      <c r="L158" s="67" t="n"/>
      <c r="M158" s="67" t="n"/>
      <c r="N158" s="67" t="n"/>
      <c r="O158" s="67" t="n"/>
      <c r="P158" s="67" t="n"/>
      <c r="Q158" s="67" t="n"/>
      <c r="R158" s="67" t="n"/>
      <c r="S158" s="67" t="n"/>
      <c r="T158" s="67" t="n"/>
      <c r="U158" s="67" t="n"/>
      <c r="V158" s="67" t="n"/>
    </row>
    <row r="159">
      <c r="B159" s="67" t="n"/>
      <c r="C159" s="67" t="n"/>
      <c r="D159" s="67" t="n"/>
      <c r="E159" s="67" t="n"/>
      <c r="F159" s="67" t="n"/>
      <c r="G159" s="67" t="n"/>
      <c r="H159" s="67" t="n"/>
      <c r="I159" s="67" t="n"/>
      <c r="L159" s="67" t="n"/>
      <c r="M159" s="67" t="n"/>
      <c r="N159" s="67" t="n"/>
      <c r="O159" s="67" t="n"/>
      <c r="P159" s="67" t="n"/>
      <c r="Q159" s="67" t="n"/>
      <c r="R159" s="67" t="n"/>
      <c r="S159" s="67" t="n"/>
      <c r="T159" s="67" t="n"/>
      <c r="U159" s="67" t="n"/>
      <c r="V159" s="67" t="n"/>
    </row>
    <row r="160">
      <c r="B160" s="67" t="n"/>
      <c r="C160" s="67" t="n"/>
      <c r="D160" s="67" t="n"/>
      <c r="E160" s="67" t="n"/>
      <c r="F160" s="67" t="n"/>
      <c r="G160" s="67" t="n"/>
      <c r="H160" s="67" t="n"/>
      <c r="I160" s="67" t="n"/>
      <c r="L160" s="67" t="n"/>
      <c r="M160" s="67" t="n"/>
      <c r="N160" s="67" t="n"/>
      <c r="O160" s="67" t="n"/>
      <c r="P160" s="67" t="n"/>
      <c r="Q160" s="67" t="n"/>
      <c r="R160" s="67" t="n"/>
      <c r="S160" s="67" t="n"/>
      <c r="T160" s="67" t="n"/>
      <c r="U160" s="67" t="n"/>
      <c r="V160" s="67" t="n"/>
    </row>
    <row r="161">
      <c r="B161" s="67" t="n"/>
      <c r="C161" s="67" t="n"/>
      <c r="D161" s="67" t="n"/>
      <c r="E161" s="67" t="n"/>
      <c r="F161" s="67" t="n"/>
      <c r="G161" s="67" t="n"/>
      <c r="H161" s="67" t="n"/>
      <c r="I161" s="67" t="n"/>
      <c r="L161" s="67" t="n"/>
      <c r="M161" s="67" t="n"/>
      <c r="N161" s="67" t="n"/>
      <c r="O161" s="67" t="n"/>
      <c r="P161" s="67" t="n"/>
      <c r="Q161" s="67" t="n"/>
      <c r="R161" s="67" t="n"/>
      <c r="S161" s="67" t="n"/>
      <c r="T161" s="67" t="n"/>
      <c r="U161" s="67" t="n"/>
      <c r="V161" s="67" t="n"/>
    </row>
    <row r="162">
      <c r="B162" s="67" t="n"/>
      <c r="C162" s="67" t="n"/>
      <c r="D162" s="67" t="n"/>
      <c r="E162" s="67" t="n"/>
      <c r="F162" s="67" t="n"/>
      <c r="G162" s="67" t="n"/>
      <c r="H162" s="67" t="n"/>
      <c r="I162" s="67" t="n"/>
      <c r="L162" s="67" t="n"/>
      <c r="M162" s="67" t="n"/>
      <c r="N162" s="67" t="n"/>
      <c r="O162" s="67" t="n"/>
      <c r="P162" s="67" t="n"/>
      <c r="Q162" s="67" t="n"/>
      <c r="R162" s="67" t="n"/>
      <c r="S162" s="67" t="n"/>
      <c r="T162" s="67" t="n"/>
      <c r="U162" s="67" t="n"/>
      <c r="V162" s="67" t="n"/>
    </row>
    <row r="163">
      <c r="B163" s="67" t="n"/>
      <c r="C163" s="67" t="n"/>
      <c r="D163" s="67" t="n"/>
      <c r="E163" s="67" t="n"/>
      <c r="F163" s="67" t="n"/>
      <c r="G163" s="67" t="n"/>
      <c r="H163" s="67" t="n"/>
      <c r="I163" s="67" t="n"/>
      <c r="L163" s="67" t="n"/>
      <c r="M163" s="67" t="n"/>
      <c r="N163" s="67" t="n"/>
      <c r="O163" s="67" t="n"/>
      <c r="P163" s="67" t="n"/>
      <c r="Q163" s="67" t="n"/>
      <c r="R163" s="67" t="n"/>
      <c r="S163" s="67" t="n"/>
      <c r="T163" s="67" t="n"/>
      <c r="U163" s="67" t="n"/>
      <c r="V163" s="67" t="n"/>
    </row>
    <row r="164">
      <c r="B164" s="67" t="n"/>
      <c r="C164" s="67" t="n"/>
      <c r="D164" s="67" t="n"/>
      <c r="E164" s="67" t="n"/>
      <c r="F164" s="67" t="n"/>
      <c r="G164" s="67" t="n"/>
      <c r="H164" s="67" t="n"/>
      <c r="I164" s="67" t="n"/>
      <c r="L164" s="67" t="n"/>
      <c r="M164" s="67" t="n"/>
      <c r="N164" s="67" t="n"/>
      <c r="O164" s="67" t="n"/>
      <c r="P164" s="67" t="n"/>
      <c r="Q164" s="67" t="n"/>
      <c r="R164" s="67" t="n"/>
      <c r="S164" s="67" t="n"/>
      <c r="T164" s="67" t="n"/>
      <c r="U164" s="67" t="n"/>
      <c r="V164" s="67" t="n"/>
    </row>
    <row r="165">
      <c r="B165" s="67" t="n"/>
      <c r="C165" s="67" t="n"/>
      <c r="D165" s="67" t="n"/>
      <c r="E165" s="67" t="n"/>
      <c r="F165" s="67" t="n"/>
      <c r="G165" s="67" t="n"/>
      <c r="H165" s="67" t="n"/>
      <c r="I165" s="67" t="n"/>
      <c r="L165" s="67" t="n"/>
      <c r="M165" s="67" t="n"/>
      <c r="N165" s="67" t="n"/>
      <c r="O165" s="67" t="n"/>
      <c r="P165" s="67" t="n"/>
      <c r="Q165" s="67" t="n"/>
      <c r="R165" s="67" t="n"/>
      <c r="S165" s="67" t="n"/>
      <c r="T165" s="67" t="n"/>
      <c r="U165" s="67" t="n"/>
      <c r="V165" s="67" t="n"/>
    </row>
    <row r="166">
      <c r="B166" s="67" t="n"/>
      <c r="C166" s="67" t="n"/>
      <c r="D166" s="67" t="n"/>
      <c r="E166" s="67" t="n"/>
      <c r="F166" s="67" t="n"/>
      <c r="G166" s="67" t="n"/>
      <c r="H166" s="67" t="n"/>
      <c r="I166" s="67" t="n"/>
      <c r="L166" s="67" t="n"/>
      <c r="M166" s="67" t="n"/>
      <c r="N166" s="67" t="n"/>
      <c r="O166" s="67" t="n"/>
      <c r="P166" s="67" t="n"/>
      <c r="Q166" s="67" t="n"/>
      <c r="R166" s="67" t="n"/>
      <c r="S166" s="67" t="n"/>
      <c r="T166" s="67" t="n"/>
      <c r="U166" s="67" t="n"/>
      <c r="V166" s="67" t="n"/>
    </row>
    <row r="167">
      <c r="B167" s="67" t="n"/>
      <c r="C167" s="67" t="n"/>
      <c r="D167" s="67" t="n"/>
      <c r="E167" s="67" t="n"/>
      <c r="F167" s="67" t="n"/>
      <c r="G167" s="67" t="n"/>
      <c r="H167" s="67" t="n"/>
      <c r="I167" s="67" t="n"/>
      <c r="L167" s="67" t="n"/>
      <c r="M167" s="67" t="n"/>
      <c r="N167" s="67" t="n"/>
      <c r="O167" s="67" t="n"/>
      <c r="P167" s="67" t="n"/>
      <c r="Q167" s="67" t="n"/>
      <c r="R167" s="67" t="n"/>
      <c r="S167" s="67" t="n"/>
      <c r="T167" s="67" t="n"/>
      <c r="U167" s="67" t="n"/>
      <c r="V167" s="67" t="n"/>
    </row>
    <row r="168">
      <c r="B168" s="67" t="n"/>
      <c r="C168" s="67" t="n"/>
      <c r="D168" s="67" t="n"/>
      <c r="E168" s="67" t="n"/>
      <c r="F168" s="67" t="n"/>
      <c r="G168" s="67" t="n"/>
      <c r="H168" s="67" t="n"/>
      <c r="I168" s="67" t="n"/>
      <c r="L168" s="67" t="n"/>
      <c r="M168" s="67" t="n"/>
      <c r="N168" s="67" t="n"/>
      <c r="O168" s="67" t="n"/>
      <c r="P168" s="67" t="n"/>
      <c r="Q168" s="67" t="n"/>
      <c r="R168" s="67" t="n"/>
      <c r="S168" s="67" t="n"/>
      <c r="T168" s="67" t="n"/>
      <c r="U168" s="67" t="n"/>
      <c r="V168" s="67" t="n"/>
    </row>
    <row r="169">
      <c r="B169" s="67" t="n"/>
      <c r="C169" s="67" t="n"/>
      <c r="D169" s="67" t="n"/>
      <c r="E169" s="67" t="n"/>
      <c r="F169" s="67" t="n"/>
      <c r="G169" s="67" t="n"/>
      <c r="H169" s="67" t="n"/>
      <c r="I169" s="67" t="n"/>
      <c r="L169" s="67" t="n"/>
      <c r="M169" s="67" t="n"/>
      <c r="N169" s="67" t="n"/>
      <c r="O169" s="67" t="n"/>
      <c r="P169" s="67" t="n"/>
      <c r="Q169" s="67" t="n"/>
      <c r="R169" s="67" t="n"/>
      <c r="S169" s="67" t="n"/>
      <c r="T169" s="67" t="n"/>
      <c r="U169" s="67" t="n"/>
      <c r="V169" s="67" t="n"/>
    </row>
    <row r="170">
      <c r="B170" s="67" t="n"/>
      <c r="C170" s="67" t="n"/>
      <c r="D170" s="67" t="n"/>
      <c r="E170" s="67" t="n"/>
      <c r="F170" s="67" t="n"/>
      <c r="G170" s="67" t="n"/>
      <c r="H170" s="67" t="n"/>
      <c r="I170" s="67" t="n"/>
      <c r="L170" s="67" t="n"/>
      <c r="M170" s="67" t="n"/>
      <c r="N170" s="67" t="n"/>
      <c r="O170" s="67" t="n"/>
      <c r="P170" s="67" t="n"/>
      <c r="Q170" s="67" t="n"/>
      <c r="R170" s="67" t="n"/>
      <c r="S170" s="67" t="n"/>
      <c r="T170" s="67" t="n"/>
      <c r="U170" s="67" t="n"/>
      <c r="V170" s="67" t="n"/>
    </row>
    <row r="171">
      <c r="B171" s="67" t="n"/>
      <c r="C171" s="67" t="n"/>
      <c r="D171" s="67" t="n"/>
      <c r="E171" s="67" t="n"/>
      <c r="F171" s="67" t="n"/>
      <c r="G171" s="67" t="n"/>
      <c r="H171" s="67" t="n"/>
      <c r="I171" s="67" t="n"/>
      <c r="L171" s="67" t="n"/>
      <c r="M171" s="67" t="n"/>
      <c r="N171" s="67" t="n"/>
      <c r="O171" s="67" t="n"/>
      <c r="P171" s="67" t="n"/>
      <c r="Q171" s="67" t="n"/>
      <c r="R171" s="67" t="n"/>
      <c r="S171" s="67" t="n"/>
      <c r="T171" s="67" t="n"/>
      <c r="U171" s="67" t="n"/>
      <c r="V171" s="67" t="n"/>
    </row>
    <row r="172">
      <c r="B172" s="67" t="n"/>
      <c r="C172" s="67" t="n"/>
      <c r="D172" s="67" t="n"/>
      <c r="E172" s="67" t="n"/>
      <c r="F172" s="67" t="n"/>
      <c r="G172" s="67" t="n"/>
      <c r="H172" s="67" t="n"/>
      <c r="I172" s="67" t="n"/>
      <c r="L172" s="67" t="n"/>
      <c r="M172" s="67" t="n"/>
      <c r="N172" s="67" t="n"/>
      <c r="O172" s="67" t="n"/>
      <c r="P172" s="67" t="n"/>
      <c r="Q172" s="67" t="n"/>
      <c r="R172" s="67" t="n"/>
      <c r="S172" s="67" t="n"/>
      <c r="T172" s="67" t="n"/>
      <c r="U172" s="67" t="n"/>
      <c r="V172" s="67" t="n"/>
    </row>
    <row r="173">
      <c r="B173" s="67" t="n"/>
      <c r="C173" s="67" t="n"/>
      <c r="D173" s="67" t="n"/>
      <c r="E173" s="67" t="n"/>
      <c r="F173" s="67" t="n"/>
      <c r="G173" s="67" t="n"/>
      <c r="H173" s="67" t="n"/>
      <c r="I173" s="67" t="n"/>
      <c r="L173" s="67" t="n"/>
      <c r="M173" s="67" t="n"/>
      <c r="N173" s="67" t="n"/>
      <c r="O173" s="67" t="n"/>
      <c r="P173" s="67" t="n"/>
      <c r="Q173" s="67" t="n"/>
      <c r="R173" s="67" t="n"/>
      <c r="S173" s="67" t="n"/>
      <c r="T173" s="67" t="n"/>
      <c r="U173" s="67" t="n"/>
      <c r="V173" s="67" t="n"/>
    </row>
    <row r="174">
      <c r="B174" s="67" t="n"/>
      <c r="C174" s="67" t="n"/>
      <c r="D174" s="67" t="n"/>
      <c r="E174" s="67" t="n"/>
      <c r="F174" s="67" t="n"/>
      <c r="G174" s="67" t="n"/>
      <c r="H174" s="67" t="n"/>
      <c r="I174" s="67" t="n"/>
      <c r="L174" s="67" t="n"/>
      <c r="M174" s="67" t="n"/>
      <c r="N174" s="67" t="n"/>
      <c r="O174" s="67" t="n"/>
      <c r="P174" s="67" t="n"/>
      <c r="Q174" s="67" t="n"/>
      <c r="R174" s="67" t="n"/>
      <c r="S174" s="67" t="n"/>
      <c r="T174" s="67" t="n"/>
      <c r="U174" s="67" t="n"/>
      <c r="V174" s="67" t="n"/>
    </row>
    <row r="175">
      <c r="B175" s="67" t="n"/>
      <c r="C175" s="67" t="n"/>
      <c r="D175" s="67" t="n"/>
      <c r="E175" s="67" t="n"/>
      <c r="F175" s="67" t="n"/>
      <c r="G175" s="67" t="n"/>
      <c r="H175" s="67" t="n"/>
      <c r="I175" s="67" t="n"/>
      <c r="L175" s="67" t="n"/>
      <c r="M175" s="67" t="n"/>
      <c r="N175" s="67" t="n"/>
      <c r="O175" s="67" t="n"/>
      <c r="P175" s="67" t="n"/>
      <c r="Q175" s="67" t="n"/>
      <c r="R175" s="67" t="n"/>
      <c r="S175" s="67" t="n"/>
      <c r="T175" s="67" t="n"/>
      <c r="U175" s="67" t="n"/>
      <c r="V175" s="67" t="n"/>
    </row>
    <row r="176">
      <c r="B176" s="67" t="n"/>
      <c r="C176" s="67" t="n"/>
      <c r="D176" s="67" t="n"/>
      <c r="E176" s="67" t="n"/>
      <c r="F176" s="67" t="n"/>
      <c r="G176" s="67" t="n"/>
      <c r="H176" s="67" t="n"/>
      <c r="I176" s="67" t="n"/>
      <c r="L176" s="67" t="n"/>
      <c r="M176" s="67" t="n"/>
      <c r="N176" s="67" t="n"/>
      <c r="O176" s="67" t="n"/>
      <c r="P176" s="67" t="n"/>
      <c r="Q176" s="67" t="n"/>
      <c r="R176" s="67" t="n"/>
      <c r="S176" s="67" t="n"/>
      <c r="T176" s="67" t="n"/>
      <c r="U176" s="67" t="n"/>
      <c r="V176" s="67" t="n"/>
    </row>
    <row r="177">
      <c r="B177" s="67" t="n"/>
      <c r="C177" s="67" t="n"/>
      <c r="D177" s="67" t="n"/>
      <c r="E177" s="67" t="n"/>
      <c r="F177" s="67" t="n"/>
      <c r="G177" s="67" t="n"/>
      <c r="H177" s="67" t="n"/>
      <c r="I177" s="67" t="n"/>
      <c r="L177" s="67" t="n"/>
      <c r="M177" s="67" t="n"/>
      <c r="N177" s="67" t="n"/>
      <c r="O177" s="67" t="n"/>
      <c r="P177" s="67" t="n"/>
      <c r="Q177" s="67" t="n"/>
      <c r="R177" s="67" t="n"/>
      <c r="S177" s="67" t="n"/>
      <c r="T177" s="67" t="n"/>
      <c r="U177" s="67" t="n"/>
      <c r="V177" s="67" t="n"/>
    </row>
    <row r="178">
      <c r="B178" s="67" t="n"/>
      <c r="C178" s="67" t="n"/>
      <c r="D178" s="67" t="n"/>
      <c r="E178" s="67" t="n"/>
      <c r="F178" s="67" t="n"/>
      <c r="G178" s="67" t="n"/>
      <c r="H178" s="67" t="n"/>
      <c r="I178" s="67" t="n"/>
      <c r="L178" s="67" t="n"/>
      <c r="M178" s="67" t="n"/>
      <c r="N178" s="67" t="n"/>
      <c r="O178" s="67" t="n"/>
      <c r="P178" s="67" t="n"/>
      <c r="Q178" s="67" t="n"/>
      <c r="R178" s="67" t="n"/>
      <c r="S178" s="67" t="n"/>
      <c r="T178" s="67" t="n"/>
      <c r="U178" s="67" t="n"/>
      <c r="V178" s="67" t="n"/>
    </row>
    <row r="179">
      <c r="B179" s="67" t="n"/>
      <c r="C179" s="67" t="n"/>
      <c r="D179" s="67" t="n"/>
      <c r="E179" s="67" t="n"/>
      <c r="F179" s="67" t="n"/>
      <c r="G179" s="67" t="n"/>
      <c r="H179" s="67" t="n"/>
      <c r="I179" s="67" t="n"/>
      <c r="L179" s="67" t="n"/>
      <c r="M179" s="67" t="n"/>
      <c r="N179" s="67" t="n"/>
      <c r="O179" s="67" t="n"/>
      <c r="P179" s="67" t="n"/>
      <c r="Q179" s="67" t="n"/>
      <c r="R179" s="67" t="n"/>
      <c r="S179" s="67" t="n"/>
      <c r="T179" s="67" t="n"/>
      <c r="U179" s="67" t="n"/>
      <c r="V179" s="67" t="n"/>
    </row>
    <row r="180">
      <c r="B180" s="67" t="n"/>
      <c r="C180" s="67" t="n"/>
      <c r="D180" s="67" t="n"/>
      <c r="E180" s="67" t="n"/>
      <c r="F180" s="67" t="n"/>
      <c r="G180" s="67" t="n"/>
      <c r="H180" s="67" t="n"/>
      <c r="I180" s="67" t="n"/>
      <c r="L180" s="67" t="n"/>
      <c r="M180" s="67" t="n"/>
      <c r="N180" s="67" t="n"/>
      <c r="O180" s="67" t="n"/>
      <c r="P180" s="67" t="n"/>
      <c r="Q180" s="67" t="n"/>
      <c r="R180" s="67" t="n"/>
      <c r="S180" s="67" t="n"/>
      <c r="T180" s="67" t="n"/>
      <c r="U180" s="67" t="n"/>
      <c r="V180" s="67" t="n"/>
    </row>
    <row r="181">
      <c r="B181" s="67" t="n"/>
      <c r="C181" s="67" t="n"/>
      <c r="D181" s="67" t="n"/>
      <c r="E181" s="67" t="n"/>
      <c r="F181" s="67" t="n"/>
      <c r="G181" s="67" t="n"/>
      <c r="H181" s="67" t="n"/>
      <c r="I181" s="67" t="n"/>
      <c r="L181" s="67" t="n"/>
      <c r="M181" s="67" t="n"/>
      <c r="N181" s="67" t="n"/>
      <c r="O181" s="67" t="n"/>
      <c r="P181" s="67" t="n"/>
      <c r="Q181" s="67" t="n"/>
      <c r="R181" s="67" t="n"/>
      <c r="S181" s="67" t="n"/>
      <c r="T181" s="67" t="n"/>
      <c r="U181" s="67" t="n"/>
      <c r="V181" s="67" t="n"/>
    </row>
    <row r="182">
      <c r="B182" s="67" t="n"/>
      <c r="C182" s="67" t="n"/>
      <c r="D182" s="67" t="n"/>
      <c r="E182" s="67" t="n"/>
      <c r="F182" s="67" t="n"/>
      <c r="G182" s="67" t="n"/>
      <c r="H182" s="67" t="n"/>
      <c r="I182" s="67" t="n"/>
      <c r="L182" s="67" t="n"/>
      <c r="M182" s="67" t="n"/>
      <c r="N182" s="67" t="n"/>
      <c r="O182" s="67" t="n"/>
      <c r="P182" s="67" t="n"/>
      <c r="Q182" s="67" t="n"/>
      <c r="R182" s="67" t="n"/>
      <c r="S182" s="67" t="n"/>
      <c r="T182" s="67" t="n"/>
      <c r="U182" s="67" t="n"/>
      <c r="V182" s="67" t="n"/>
    </row>
    <row r="183">
      <c r="B183" s="67" t="n"/>
      <c r="C183" s="67" t="n"/>
      <c r="D183" s="67" t="n"/>
      <c r="E183" s="67" t="n"/>
      <c r="F183" s="67" t="n"/>
      <c r="G183" s="67" t="n"/>
      <c r="H183" s="67" t="n"/>
      <c r="I183" s="67" t="n"/>
      <c r="L183" s="67" t="n"/>
      <c r="M183" s="67" t="n"/>
      <c r="N183" s="67" t="n"/>
      <c r="O183" s="67" t="n"/>
      <c r="P183" s="67" t="n"/>
      <c r="Q183" s="67" t="n"/>
      <c r="R183" s="67" t="n"/>
      <c r="S183" s="67" t="n"/>
      <c r="T183" s="67" t="n"/>
      <c r="U183" s="67" t="n"/>
      <c r="V183" s="67" t="n"/>
    </row>
    <row r="184">
      <c r="B184" s="67" t="n"/>
      <c r="C184" s="67" t="n"/>
      <c r="D184" s="67" t="n"/>
      <c r="E184" s="67" t="n"/>
      <c r="F184" s="67" t="n"/>
      <c r="G184" s="67" t="n"/>
      <c r="H184" s="67" t="n"/>
      <c r="I184" s="67" t="n"/>
      <c r="L184" s="67" t="n"/>
      <c r="M184" s="67" t="n"/>
      <c r="N184" s="67" t="n"/>
      <c r="O184" s="67" t="n"/>
      <c r="P184" s="67" t="n"/>
      <c r="Q184" s="67" t="n"/>
      <c r="R184" s="67" t="n"/>
      <c r="S184" s="67" t="n"/>
      <c r="T184" s="67" t="n"/>
      <c r="U184" s="67" t="n"/>
      <c r="V184" s="67" t="n"/>
    </row>
    <row r="185">
      <c r="B185" s="67" t="n"/>
      <c r="C185" s="67" t="n"/>
      <c r="D185" s="67" t="n"/>
      <c r="E185" s="67" t="n"/>
      <c r="F185" s="67" t="n"/>
      <c r="G185" s="67" t="n"/>
      <c r="H185" s="67" t="n"/>
      <c r="I185" s="67" t="n"/>
      <c r="L185" s="67" t="n"/>
      <c r="M185" s="67" t="n"/>
      <c r="N185" s="67" t="n"/>
      <c r="O185" s="67" t="n"/>
      <c r="P185" s="67" t="n"/>
      <c r="Q185" s="67" t="n"/>
      <c r="R185" s="67" t="n"/>
      <c r="S185" s="67" t="n"/>
      <c r="T185" s="67" t="n"/>
      <c r="U185" s="67" t="n"/>
      <c r="V185" s="67" t="n"/>
    </row>
    <row r="186">
      <c r="B186" s="67" t="n"/>
      <c r="C186" s="67" t="n"/>
      <c r="D186" s="67" t="n"/>
      <c r="E186" s="67" t="n"/>
      <c r="F186" s="67" t="n"/>
      <c r="G186" s="67" t="n"/>
      <c r="H186" s="67" t="n"/>
      <c r="I186" s="67" t="n"/>
      <c r="L186" s="67" t="n"/>
      <c r="M186" s="67" t="n"/>
      <c r="N186" s="67" t="n"/>
      <c r="O186" s="67" t="n"/>
      <c r="P186" s="67" t="n"/>
      <c r="Q186" s="67" t="n"/>
      <c r="R186" s="67" t="n"/>
      <c r="S186" s="67" t="n"/>
      <c r="T186" s="67" t="n"/>
      <c r="U186" s="67" t="n"/>
      <c r="V186" s="67" t="n"/>
    </row>
    <row r="187">
      <c r="B187" s="67" t="n"/>
      <c r="C187" s="67" t="n"/>
      <c r="D187" s="67" t="n"/>
      <c r="E187" s="67" t="n"/>
      <c r="F187" s="67" t="n"/>
      <c r="G187" s="67" t="n"/>
      <c r="H187" s="67" t="n"/>
      <c r="I187" s="67" t="n"/>
      <c r="L187" s="67" t="n"/>
      <c r="M187" s="67" t="n"/>
      <c r="N187" s="67" t="n"/>
      <c r="O187" s="67" t="n"/>
      <c r="P187" s="67" t="n"/>
      <c r="Q187" s="67" t="n"/>
      <c r="R187" s="67" t="n"/>
      <c r="S187" s="67" t="n"/>
      <c r="T187" s="67" t="n"/>
      <c r="U187" s="67" t="n"/>
      <c r="V187" s="67" t="n"/>
    </row>
    <row r="188">
      <c r="B188" s="67" t="n"/>
      <c r="C188" s="67" t="n"/>
      <c r="D188" s="67" t="n"/>
      <c r="E188" s="67" t="n"/>
      <c r="F188" s="67" t="n"/>
      <c r="G188" s="67" t="n"/>
      <c r="H188" s="67" t="n"/>
      <c r="I188" s="67" t="n"/>
      <c r="L188" s="67" t="n"/>
      <c r="M188" s="67" t="n"/>
      <c r="N188" s="67" t="n"/>
      <c r="O188" s="67" t="n"/>
      <c r="P188" s="67" t="n"/>
      <c r="Q188" s="67" t="n"/>
      <c r="R188" s="67" t="n"/>
      <c r="S188" s="67" t="n"/>
      <c r="T188" s="67" t="n"/>
      <c r="U188" s="67" t="n"/>
      <c r="V188" s="67" t="n"/>
    </row>
    <row r="189">
      <c r="B189" s="67" t="n"/>
      <c r="C189" s="67" t="n"/>
      <c r="D189" s="67" t="n"/>
      <c r="E189" s="67" t="n"/>
      <c r="F189" s="67" t="n"/>
      <c r="G189" s="67" t="n"/>
      <c r="H189" s="67" t="n"/>
      <c r="I189" s="67" t="n"/>
      <c r="L189" s="67" t="n"/>
      <c r="M189" s="67" t="n"/>
      <c r="N189" s="67" t="n"/>
      <c r="O189" s="67" t="n"/>
      <c r="P189" s="67" t="n"/>
      <c r="Q189" s="67" t="n"/>
      <c r="R189" s="67" t="n"/>
      <c r="S189" s="67" t="n"/>
      <c r="T189" s="67" t="n"/>
      <c r="U189" s="67" t="n"/>
      <c r="V189" s="67" t="n"/>
    </row>
    <row r="190">
      <c r="B190" s="67" t="n"/>
      <c r="C190" s="67" t="n"/>
      <c r="D190" s="67" t="n"/>
      <c r="E190" s="67" t="n"/>
      <c r="F190" s="67" t="n"/>
      <c r="G190" s="67" t="n"/>
      <c r="H190" s="67" t="n"/>
      <c r="I190" s="67" t="n"/>
      <c r="L190" s="67" t="n"/>
      <c r="M190" s="67" t="n"/>
      <c r="N190" s="67" t="n"/>
      <c r="O190" s="67" t="n"/>
      <c r="P190" s="67" t="n"/>
      <c r="Q190" s="67" t="n"/>
      <c r="R190" s="67" t="n"/>
      <c r="S190" s="67" t="n"/>
      <c r="T190" s="67" t="n"/>
      <c r="U190" s="67" t="n"/>
      <c r="V190" s="67" t="n"/>
    </row>
    <row r="191">
      <c r="B191" s="67" t="n"/>
      <c r="C191" s="67" t="n"/>
      <c r="D191" s="67" t="n"/>
      <c r="E191" s="67" t="n"/>
      <c r="F191" s="67" t="n"/>
      <c r="G191" s="67" t="n"/>
      <c r="H191" s="67" t="n"/>
      <c r="I191" s="67" t="n"/>
      <c r="L191" s="67" t="n"/>
      <c r="M191" s="67" t="n"/>
      <c r="N191" s="67" t="n"/>
      <c r="O191" s="67" t="n"/>
      <c r="P191" s="67" t="n"/>
      <c r="Q191" s="67" t="n"/>
      <c r="R191" s="67" t="n"/>
      <c r="S191" s="67" t="n"/>
      <c r="T191" s="67" t="n"/>
      <c r="U191" s="67" t="n"/>
      <c r="V191" s="67" t="n"/>
    </row>
    <row r="192">
      <c r="B192" s="67" t="n"/>
      <c r="C192" s="67" t="n"/>
      <c r="D192" s="67" t="n"/>
      <c r="E192" s="67" t="n"/>
      <c r="F192" s="67" t="n"/>
      <c r="G192" s="67" t="n"/>
      <c r="H192" s="67" t="n"/>
      <c r="I192" s="67" t="n"/>
      <c r="L192" s="67" t="n"/>
      <c r="M192" s="67" t="n"/>
      <c r="N192" s="67" t="n"/>
      <c r="O192" s="67" t="n"/>
      <c r="P192" s="67" t="n"/>
      <c r="Q192" s="67" t="n"/>
      <c r="R192" s="67" t="n"/>
      <c r="S192" s="67" t="n"/>
      <c r="T192" s="67" t="n"/>
      <c r="U192" s="67" t="n"/>
      <c r="V192" s="67" t="n"/>
    </row>
    <row r="193">
      <c r="B193" s="67" t="n"/>
      <c r="C193" s="67" t="n"/>
      <c r="D193" s="67" t="n"/>
      <c r="E193" s="67" t="n"/>
      <c r="F193" s="67" t="n"/>
      <c r="G193" s="67" t="n"/>
      <c r="H193" s="67" t="n"/>
      <c r="I193" s="67" t="n"/>
      <c r="L193" s="67" t="n"/>
      <c r="M193" s="67" t="n"/>
      <c r="N193" s="67" t="n"/>
      <c r="O193" s="67" t="n"/>
      <c r="P193" s="67" t="n"/>
      <c r="Q193" s="67" t="n"/>
      <c r="R193" s="67" t="n"/>
      <c r="S193" s="67" t="n"/>
      <c r="T193" s="67" t="n"/>
      <c r="U193" s="67" t="n"/>
      <c r="V193" s="67" t="n"/>
    </row>
    <row r="194">
      <c r="B194" s="67" t="n"/>
      <c r="C194" s="67" t="n"/>
      <c r="D194" s="67" t="n"/>
      <c r="E194" s="67" t="n"/>
      <c r="F194" s="67" t="n"/>
      <c r="G194" s="67" t="n"/>
      <c r="H194" s="67" t="n"/>
      <c r="I194" s="67" t="n"/>
      <c r="L194" s="67" t="n"/>
      <c r="M194" s="67" t="n"/>
      <c r="N194" s="67" t="n"/>
      <c r="O194" s="67" t="n"/>
      <c r="P194" s="67" t="n"/>
      <c r="Q194" s="67" t="n"/>
      <c r="R194" s="67" t="n"/>
      <c r="S194" s="67" t="n"/>
      <c r="T194" s="67" t="n"/>
      <c r="U194" s="67" t="n"/>
      <c r="V194" s="67" t="n"/>
    </row>
    <row r="195">
      <c r="B195" s="67" t="n"/>
      <c r="C195" s="67" t="n"/>
      <c r="D195" s="67" t="n"/>
      <c r="E195" s="67" t="n"/>
      <c r="F195" s="67" t="n"/>
      <c r="G195" s="67" t="n"/>
      <c r="H195" s="67" t="n"/>
      <c r="I195" s="67" t="n"/>
      <c r="L195" s="67" t="n"/>
      <c r="M195" s="67" t="n"/>
      <c r="N195" s="67" t="n"/>
      <c r="O195" s="67" t="n"/>
      <c r="P195" s="67" t="n"/>
      <c r="Q195" s="67" t="n"/>
      <c r="R195" s="67" t="n"/>
      <c r="S195" s="67" t="n"/>
      <c r="T195" s="67" t="n"/>
      <c r="U195" s="67" t="n"/>
      <c r="V195" s="67" t="n"/>
    </row>
    <row r="196">
      <c r="B196" s="67" t="n"/>
      <c r="C196" s="67" t="n"/>
      <c r="D196" s="67" t="n"/>
      <c r="E196" s="67" t="n"/>
      <c r="F196" s="67" t="n"/>
      <c r="G196" s="67" t="n"/>
      <c r="H196" s="67" t="n"/>
      <c r="I196" s="67" t="n"/>
      <c r="L196" s="67" t="n"/>
      <c r="M196" s="67" t="n"/>
      <c r="N196" s="67" t="n"/>
      <c r="O196" s="67" t="n"/>
      <c r="P196" s="67" t="n"/>
      <c r="Q196" s="67" t="n"/>
      <c r="R196" s="67" t="n"/>
      <c r="S196" s="67" t="n"/>
      <c r="T196" s="67" t="n"/>
      <c r="U196" s="67" t="n"/>
      <c r="V196" s="67" t="n"/>
    </row>
    <row r="197">
      <c r="B197" s="67" t="n"/>
      <c r="C197" s="67" t="n"/>
      <c r="D197" s="67" t="n"/>
      <c r="E197" s="67" t="n"/>
      <c r="F197" s="67" t="n"/>
      <c r="G197" s="67" t="n"/>
      <c r="H197" s="67" t="n"/>
      <c r="I197" s="67" t="n"/>
      <c r="L197" s="67" t="n"/>
      <c r="M197" s="67" t="n"/>
      <c r="N197" s="67" t="n"/>
      <c r="O197" s="67" t="n"/>
      <c r="P197" s="67" t="n"/>
      <c r="Q197" s="67" t="n"/>
      <c r="R197" s="67" t="n"/>
      <c r="S197" s="67" t="n"/>
      <c r="T197" s="67" t="n"/>
      <c r="U197" s="67" t="n"/>
      <c r="V197" s="67" t="n"/>
    </row>
    <row r="198">
      <c r="B198" s="67" t="n"/>
      <c r="C198" s="67" t="n"/>
      <c r="D198" s="67" t="n"/>
      <c r="E198" s="67" t="n"/>
      <c r="F198" s="67" t="n"/>
      <c r="G198" s="67" t="n"/>
      <c r="H198" s="67" t="n"/>
      <c r="I198" s="67" t="n"/>
      <c r="L198" s="67" t="n"/>
      <c r="M198" s="67" t="n"/>
      <c r="N198" s="67" t="n"/>
      <c r="O198" s="67" t="n"/>
      <c r="P198" s="67" t="n"/>
      <c r="Q198" s="67" t="n"/>
      <c r="R198" s="67" t="n"/>
      <c r="S198" s="67" t="n"/>
      <c r="T198" s="67" t="n"/>
      <c r="U198" s="67" t="n"/>
      <c r="V198" s="67" t="n"/>
    </row>
    <row r="199">
      <c r="B199" s="67" t="n"/>
      <c r="C199" s="67" t="n"/>
      <c r="D199" s="67" t="n"/>
      <c r="E199" s="67" t="n"/>
      <c r="F199" s="67" t="n"/>
      <c r="G199" s="67" t="n"/>
      <c r="H199" s="67" t="n"/>
      <c r="I199" s="67" t="n"/>
      <c r="L199" s="67" t="n"/>
      <c r="M199" s="67" t="n"/>
      <c r="N199" s="67" t="n"/>
      <c r="O199" s="67" t="n"/>
      <c r="P199" s="67" t="n"/>
      <c r="Q199" s="67" t="n"/>
      <c r="R199" s="67" t="n"/>
      <c r="S199" s="67" t="n"/>
      <c r="T199" s="67" t="n"/>
      <c r="U199" s="67" t="n"/>
      <c r="V199" s="67" t="n"/>
    </row>
    <row r="200">
      <c r="B200" s="67" t="n"/>
      <c r="C200" s="67" t="n"/>
      <c r="D200" s="67" t="n"/>
      <c r="E200" s="67" t="n"/>
      <c r="F200" s="67" t="n"/>
      <c r="G200" s="67" t="n"/>
      <c r="H200" s="67" t="n"/>
      <c r="I200" s="67" t="n"/>
      <c r="L200" s="67" t="n"/>
      <c r="M200" s="67" t="n"/>
      <c r="N200" s="67" t="n"/>
      <c r="O200" s="67" t="n"/>
      <c r="P200" s="67" t="n"/>
      <c r="Q200" s="67" t="n"/>
      <c r="R200" s="67" t="n"/>
      <c r="S200" s="67" t="n"/>
      <c r="T200" s="67" t="n"/>
      <c r="U200" s="67" t="n"/>
      <c r="V200" s="67" t="n"/>
    </row>
    <row r="201">
      <c r="B201" s="67" t="n"/>
      <c r="C201" s="67" t="n"/>
      <c r="D201" s="67" t="n"/>
      <c r="E201" s="67" t="n"/>
      <c r="F201" s="67" t="n"/>
      <c r="G201" s="67" t="n"/>
      <c r="H201" s="67" t="n"/>
      <c r="I201" s="67" t="n"/>
      <c r="L201" s="67" t="n"/>
      <c r="M201" s="67" t="n"/>
      <c r="N201" s="67" t="n"/>
      <c r="O201" s="67" t="n"/>
      <c r="P201" s="67" t="n"/>
      <c r="Q201" s="67" t="n"/>
      <c r="R201" s="67" t="n"/>
      <c r="S201" s="67" t="n"/>
      <c r="T201" s="67" t="n"/>
      <c r="U201" s="67" t="n"/>
      <c r="V201" s="67" t="n"/>
    </row>
    <row r="202">
      <c r="B202" s="67" t="n"/>
      <c r="C202" s="67" t="n"/>
      <c r="D202" s="67" t="n"/>
      <c r="E202" s="67" t="n"/>
      <c r="F202" s="67" t="n"/>
      <c r="G202" s="67" t="n"/>
      <c r="H202" s="67" t="n"/>
      <c r="I202" s="67" t="n"/>
      <c r="L202" s="67" t="n"/>
      <c r="M202" s="67" t="n"/>
      <c r="N202" s="67" t="n"/>
      <c r="O202" s="67" t="n"/>
      <c r="P202" s="67" t="n"/>
      <c r="Q202" s="67" t="n"/>
      <c r="R202" s="67" t="n"/>
      <c r="S202" s="67" t="n"/>
      <c r="T202" s="67" t="n"/>
      <c r="U202" s="67" t="n"/>
      <c r="V202" s="67" t="n"/>
    </row>
    <row r="203">
      <c r="B203" s="67" t="n"/>
      <c r="C203" s="67" t="n"/>
      <c r="D203" s="67" t="n"/>
      <c r="E203" s="67" t="n"/>
      <c r="F203" s="67" t="n"/>
      <c r="G203" s="67" t="n"/>
      <c r="H203" s="67" t="n"/>
      <c r="I203" s="67" t="n"/>
      <c r="L203" s="67" t="n"/>
      <c r="M203" s="67" t="n"/>
      <c r="N203" s="67" t="n"/>
      <c r="O203" s="67" t="n"/>
      <c r="P203" s="67" t="n"/>
      <c r="Q203" s="67" t="n"/>
      <c r="R203" s="67" t="n"/>
      <c r="S203" s="67" t="n"/>
      <c r="T203" s="67" t="n"/>
      <c r="U203" s="67" t="n"/>
      <c r="V203" s="67" t="n"/>
    </row>
    <row r="204">
      <c r="B204" s="67" t="n"/>
      <c r="C204" s="67" t="n"/>
      <c r="D204" s="67" t="n"/>
      <c r="E204" s="67" t="n"/>
      <c r="F204" s="67" t="n"/>
      <c r="G204" s="67" t="n"/>
      <c r="H204" s="67" t="n"/>
      <c r="I204" s="67" t="n"/>
      <c r="L204" s="67" t="n"/>
      <c r="M204" s="67" t="n"/>
      <c r="N204" s="67" t="n"/>
      <c r="O204" s="67" t="n"/>
      <c r="P204" s="67" t="n"/>
      <c r="Q204" s="67" t="n"/>
      <c r="R204" s="67" t="n"/>
      <c r="S204" s="67" t="n"/>
      <c r="T204" s="67" t="n"/>
      <c r="U204" s="67" t="n"/>
      <c r="V204" s="67" t="n"/>
    </row>
    <row r="205">
      <c r="B205" s="67" t="n"/>
      <c r="C205" s="67" t="n"/>
      <c r="D205" s="67" t="n"/>
      <c r="E205" s="67" t="n"/>
      <c r="F205" s="67" t="n"/>
      <c r="G205" s="67" t="n"/>
      <c r="H205" s="67" t="n"/>
      <c r="I205" s="67" t="n"/>
      <c r="L205" s="67" t="n"/>
      <c r="M205" s="67" t="n"/>
      <c r="N205" s="67" t="n"/>
      <c r="O205" s="67" t="n"/>
      <c r="P205" s="67" t="n"/>
      <c r="Q205" s="67" t="n"/>
      <c r="R205" s="67" t="n"/>
      <c r="S205" s="67" t="n"/>
      <c r="T205" s="67" t="n"/>
      <c r="U205" s="67" t="n"/>
      <c r="V205" s="67" t="n"/>
    </row>
    <row r="206">
      <c r="B206" s="67" t="n"/>
      <c r="C206" s="67" t="n"/>
      <c r="D206" s="67" t="n"/>
      <c r="E206" s="67" t="n"/>
      <c r="F206" s="67" t="n"/>
      <c r="G206" s="67" t="n"/>
      <c r="H206" s="67" t="n"/>
      <c r="I206" s="67" t="n"/>
      <c r="L206" s="67" t="n"/>
      <c r="M206" s="67" t="n"/>
      <c r="N206" s="67" t="n"/>
      <c r="O206" s="67" t="n"/>
      <c r="P206" s="67" t="n"/>
      <c r="Q206" s="67" t="n"/>
      <c r="R206" s="67" t="n"/>
      <c r="S206" s="67" t="n"/>
      <c r="T206" s="67" t="n"/>
      <c r="U206" s="67" t="n"/>
      <c r="V206" s="67" t="n"/>
    </row>
    <row r="207">
      <c r="B207" s="67" t="n"/>
      <c r="C207" s="67" t="n"/>
      <c r="D207" s="67" t="n"/>
      <c r="E207" s="67" t="n"/>
      <c r="F207" s="67" t="n"/>
      <c r="G207" s="67" t="n"/>
      <c r="H207" s="67" t="n"/>
      <c r="I207" s="67" t="n"/>
      <c r="L207" s="67" t="n"/>
      <c r="M207" s="67" t="n"/>
      <c r="N207" s="67" t="n"/>
      <c r="O207" s="67" t="n"/>
      <c r="P207" s="67" t="n"/>
      <c r="Q207" s="67" t="n"/>
      <c r="R207" s="67" t="n"/>
      <c r="S207" s="67" t="n"/>
      <c r="T207" s="67" t="n"/>
      <c r="U207" s="67" t="n"/>
      <c r="V207" s="67" t="n"/>
    </row>
    <row r="208">
      <c r="B208" s="67" t="n"/>
      <c r="C208" s="67" t="n"/>
      <c r="D208" s="67" t="n"/>
      <c r="E208" s="67" t="n"/>
      <c r="F208" s="67" t="n"/>
      <c r="G208" s="67" t="n"/>
      <c r="H208" s="67" t="n"/>
      <c r="I208" s="67" t="n"/>
      <c r="L208" s="67" t="n"/>
      <c r="M208" s="67" t="n"/>
      <c r="N208" s="67" t="n"/>
      <c r="O208" s="67" t="n"/>
      <c r="P208" s="67" t="n"/>
      <c r="Q208" s="67" t="n"/>
      <c r="R208" s="67" t="n"/>
      <c r="S208" s="67" t="n"/>
      <c r="T208" s="67" t="n"/>
      <c r="U208" s="67" t="n"/>
      <c r="V208" s="67" t="n"/>
    </row>
    <row r="209">
      <c r="B209" s="67" t="n"/>
      <c r="C209" s="67" t="n"/>
      <c r="D209" s="67" t="n"/>
      <c r="E209" s="67" t="n"/>
      <c r="F209" s="67" t="n"/>
      <c r="G209" s="67" t="n"/>
      <c r="H209" s="67" t="n"/>
      <c r="I209" s="67" t="n"/>
      <c r="L209" s="67" t="n"/>
      <c r="M209" s="67" t="n"/>
      <c r="N209" s="67" t="n"/>
      <c r="O209" s="67" t="n"/>
      <c r="P209" s="67" t="n"/>
      <c r="Q209" s="67" t="n"/>
      <c r="R209" s="67" t="n"/>
      <c r="S209" s="67" t="n"/>
      <c r="T209" s="67" t="n"/>
      <c r="U209" s="67" t="n"/>
      <c r="V209" s="67" t="n"/>
    </row>
    <row r="210">
      <c r="B210" s="67" t="n"/>
      <c r="C210" s="67" t="n"/>
      <c r="D210" s="67" t="n"/>
      <c r="E210" s="67" t="n"/>
      <c r="F210" s="67" t="n"/>
      <c r="G210" s="67" t="n"/>
      <c r="H210" s="67" t="n"/>
      <c r="I210" s="67" t="n"/>
      <c r="L210" s="67" t="n"/>
      <c r="M210" s="67" t="n"/>
      <c r="N210" s="67" t="n"/>
      <c r="O210" s="67" t="n"/>
      <c r="P210" s="67" t="n"/>
      <c r="Q210" s="67" t="n"/>
      <c r="R210" s="67" t="n"/>
      <c r="S210" s="67" t="n"/>
      <c r="T210" s="67" t="n"/>
      <c r="U210" s="67" t="n"/>
      <c r="V210" s="67" t="n"/>
    </row>
    <row r="211">
      <c r="B211" s="67" t="n"/>
      <c r="C211" s="67" t="n"/>
      <c r="D211" s="67" t="n"/>
      <c r="E211" s="67" t="n"/>
      <c r="F211" s="67" t="n"/>
      <c r="G211" s="67" t="n"/>
      <c r="H211" s="67" t="n"/>
      <c r="I211" s="67" t="n"/>
      <c r="L211" s="67" t="n"/>
      <c r="M211" s="67" t="n"/>
      <c r="N211" s="67" t="n"/>
      <c r="O211" s="67" t="n"/>
      <c r="P211" s="67" t="n"/>
      <c r="Q211" s="67" t="n"/>
      <c r="R211" s="67" t="n"/>
      <c r="S211" s="67" t="n"/>
      <c r="T211" s="67" t="n"/>
      <c r="U211" s="67" t="n"/>
      <c r="V211" s="67" t="n"/>
    </row>
    <row r="212">
      <c r="B212" s="67" t="n"/>
      <c r="C212" s="67" t="n"/>
      <c r="D212" s="67" t="n"/>
      <c r="E212" s="67" t="n"/>
      <c r="F212" s="67" t="n"/>
      <c r="G212" s="67" t="n"/>
      <c r="H212" s="67" t="n"/>
      <c r="I212" s="67" t="n"/>
      <c r="L212" s="67" t="n"/>
      <c r="M212" s="67" t="n"/>
      <c r="N212" s="67" t="n"/>
      <c r="O212" s="67" t="n"/>
      <c r="P212" s="67" t="n"/>
      <c r="Q212" s="67" t="n"/>
      <c r="R212" s="67" t="n"/>
      <c r="S212" s="67" t="n"/>
      <c r="T212" s="67" t="n"/>
      <c r="U212" s="67" t="n"/>
      <c r="V212" s="67" t="n"/>
    </row>
    <row r="213">
      <c r="B213" s="67" t="n"/>
      <c r="C213" s="67" t="n"/>
      <c r="D213" s="67" t="n"/>
      <c r="E213" s="67" t="n"/>
      <c r="F213" s="67" t="n"/>
      <c r="G213" s="67" t="n"/>
      <c r="H213" s="67" t="n"/>
      <c r="I213" s="67" t="n"/>
      <c r="L213" s="67" t="n"/>
      <c r="M213" s="67" t="n"/>
      <c r="N213" s="67" t="n"/>
      <c r="O213" s="67" t="n"/>
      <c r="P213" s="67" t="n"/>
      <c r="Q213" s="67" t="n"/>
      <c r="R213" s="67" t="n"/>
      <c r="S213" s="67" t="n"/>
      <c r="T213" s="67" t="n"/>
      <c r="U213" s="67" t="n"/>
      <c r="V213" s="67" t="n"/>
    </row>
    <row r="214">
      <c r="B214" s="67" t="n"/>
      <c r="C214" s="67" t="n"/>
      <c r="D214" s="67" t="n"/>
      <c r="E214" s="67" t="n"/>
      <c r="F214" s="67" t="n"/>
      <c r="G214" s="67" t="n"/>
      <c r="H214" s="67" t="n"/>
      <c r="I214" s="67" t="n"/>
      <c r="L214" s="67" t="n"/>
      <c r="M214" s="67" t="n"/>
      <c r="N214" s="67" t="n"/>
      <c r="O214" s="67" t="n"/>
      <c r="P214" s="67" t="n"/>
      <c r="Q214" s="67" t="n"/>
      <c r="R214" s="67" t="n"/>
      <c r="S214" s="67" t="n"/>
      <c r="T214" s="67" t="n"/>
      <c r="U214" s="67" t="n"/>
      <c r="V214" s="67" t="n"/>
    </row>
    <row r="215">
      <c r="B215" s="67" t="n"/>
      <c r="C215" s="67" t="n"/>
      <c r="D215" s="67" t="n"/>
      <c r="E215" s="67" t="n"/>
      <c r="F215" s="67" t="n"/>
      <c r="G215" s="67" t="n"/>
      <c r="H215" s="67" t="n"/>
      <c r="I215" s="67" t="n"/>
      <c r="L215" s="67" t="n"/>
      <c r="M215" s="67" t="n"/>
      <c r="N215" s="67" t="n"/>
      <c r="O215" s="67" t="n"/>
      <c r="P215" s="67" t="n"/>
      <c r="Q215" s="67" t="n"/>
      <c r="R215" s="67" t="n"/>
      <c r="S215" s="67" t="n"/>
      <c r="T215" s="67" t="n"/>
      <c r="U215" s="67" t="n"/>
      <c r="V215" s="67" t="n"/>
    </row>
    <row r="216">
      <c r="B216" s="67" t="n"/>
      <c r="C216" s="67" t="n"/>
      <c r="D216" s="67" t="n"/>
      <c r="E216" s="67" t="n"/>
      <c r="F216" s="67" t="n"/>
      <c r="G216" s="67" t="n"/>
      <c r="H216" s="67" t="n"/>
      <c r="I216" s="67" t="n"/>
      <c r="L216" s="67" t="n"/>
      <c r="M216" s="67" t="n"/>
      <c r="N216" s="67" t="n"/>
      <c r="O216" s="67" t="n"/>
      <c r="P216" s="67" t="n"/>
      <c r="Q216" s="67" t="n"/>
      <c r="R216" s="67" t="n"/>
      <c r="S216" s="67" t="n"/>
      <c r="T216" s="67" t="n"/>
      <c r="U216" s="67" t="n"/>
      <c r="V216" s="67" t="n"/>
    </row>
    <row r="217">
      <c r="B217" s="67" t="n"/>
      <c r="C217" s="67" t="n"/>
      <c r="D217" s="67" t="n"/>
      <c r="E217" s="67" t="n"/>
      <c r="F217" s="67" t="n"/>
      <c r="G217" s="67" t="n"/>
      <c r="H217" s="67" t="n"/>
      <c r="I217" s="67" t="n"/>
      <c r="L217" s="67" t="n"/>
      <c r="M217" s="67" t="n"/>
      <c r="N217" s="67" t="n"/>
      <c r="O217" s="67" t="n"/>
      <c r="P217" s="67" t="n"/>
      <c r="Q217" s="67" t="n"/>
      <c r="R217" s="67" t="n"/>
      <c r="S217" s="67" t="n"/>
      <c r="T217" s="67" t="n"/>
      <c r="U217" s="67" t="n"/>
      <c r="V217" s="67" t="n"/>
    </row>
    <row r="218">
      <c r="B218" s="67" t="n"/>
      <c r="C218" s="67" t="n"/>
      <c r="D218" s="67" t="n"/>
      <c r="E218" s="67" t="n"/>
      <c r="F218" s="67" t="n"/>
      <c r="G218" s="67" t="n"/>
      <c r="H218" s="67" t="n"/>
      <c r="I218" s="67" t="n"/>
      <c r="L218" s="67" t="n"/>
      <c r="M218" s="67" t="n"/>
      <c r="N218" s="67" t="n"/>
      <c r="O218" s="67" t="n"/>
      <c r="P218" s="67" t="n"/>
      <c r="Q218" s="67" t="n"/>
      <c r="R218" s="67" t="n"/>
      <c r="S218" s="67" t="n"/>
      <c r="T218" s="67" t="n"/>
      <c r="U218" s="67" t="n"/>
      <c r="V218" s="67" t="n"/>
    </row>
    <row r="219">
      <c r="B219" s="67" t="n"/>
      <c r="C219" s="67" t="n"/>
      <c r="D219" s="67" t="n"/>
      <c r="E219" s="67" t="n"/>
      <c r="F219" s="67" t="n"/>
      <c r="G219" s="67" t="n"/>
      <c r="H219" s="67" t="n"/>
      <c r="I219" s="67" t="n"/>
      <c r="L219" s="67" t="n"/>
      <c r="M219" s="67" t="n"/>
      <c r="N219" s="67" t="n"/>
      <c r="O219" s="67" t="n"/>
      <c r="P219" s="67" t="n"/>
      <c r="Q219" s="67" t="n"/>
      <c r="R219" s="67" t="n"/>
      <c r="S219" s="67" t="n"/>
      <c r="T219" s="67" t="n"/>
      <c r="U219" s="67" t="n"/>
      <c r="V219" s="67" t="n"/>
    </row>
    <row r="220">
      <c r="B220" s="67" t="n"/>
      <c r="C220" s="67" t="n"/>
      <c r="D220" s="67" t="n"/>
      <c r="E220" s="67" t="n"/>
      <c r="F220" s="67" t="n"/>
      <c r="G220" s="67" t="n"/>
      <c r="H220" s="67" t="n"/>
      <c r="I220" s="67" t="n"/>
      <c r="L220" s="67" t="n"/>
      <c r="M220" s="67" t="n"/>
      <c r="N220" s="67" t="n"/>
      <c r="O220" s="67" t="n"/>
      <c r="P220" s="67" t="n"/>
      <c r="Q220" s="67" t="n"/>
      <c r="R220" s="67" t="n"/>
      <c r="S220" s="67" t="n"/>
      <c r="T220" s="67" t="n"/>
      <c r="U220" s="67" t="n"/>
      <c r="V220" s="67" t="n"/>
    </row>
  </sheetData>
  <mergeCells count="8">
    <mergeCell ref="B6:V6"/>
    <mergeCell ref="B7:V7"/>
    <mergeCell ref="B3:V3"/>
    <mergeCell ref="B5:V5"/>
    <mergeCell ref="B10:C10"/>
    <mergeCell ref="D8:V8"/>
    <mergeCell ref="B8:C8"/>
    <mergeCell ref="B4:V4"/>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AND(LEN($B20&amp;$C20&amp;$D20&amp;$E20&amp;$F20&amp;$G20&amp;$H20&amp;$I20&amp;$J20&amp;$K20&amp;$L20&amp;$M20&amp;$N20&amp;$O20&amp;$P20&amp;$Q20&amp;$R20&amp;$S20&amp;$T20&amp;$U20&amp;$V20)&gt;0,B20="")</formula>
    </cfRule>
  </conditionalFormatting>
  <conditionalFormatting sqref="C20:C220">
    <cfRule type="expression" priority="3" dxfId="6">
      <formula>AND(LEN($B20&amp;$C20&amp;$D20&amp;$E20&amp;$F20&amp;$G20&amp;$H20&amp;$I20&amp;$J20&amp;$K20&amp;$L20&amp;$M20&amp;$N20&amp;$O20&amp;$P20&amp;$Q20&amp;$R20&amp;$S20&amp;$T20&amp;$U20&amp;$V20)&gt;0,C20="")</formula>
    </cfRule>
  </conditionalFormatting>
  <conditionalFormatting sqref="D20:D220">
    <cfRule type="expression" priority="4" dxfId="6">
      <formula>AND(LEN($B20&amp;$C20&amp;$D20&amp;$E20&amp;$F20&amp;$G20&amp;$H20&amp;$I20&amp;$J20&amp;$K20&amp;$L20&amp;$M20&amp;$N20&amp;$O20&amp;$P20&amp;$Q20&amp;$R20&amp;$S20&amp;$T20&amp;$U20&amp;$V20)&gt;0,D20="")</formula>
    </cfRule>
  </conditionalFormatting>
  <conditionalFormatting sqref="E20:E220">
    <cfRule type="expression" priority="5" dxfId="6">
      <formula>AND(LEN($B20&amp;$C20&amp;$D20&amp;$E20&amp;$F20&amp;$G20&amp;$H20&amp;$I20&amp;$J20&amp;$K20&amp;$L20&amp;$M20&amp;$N20&amp;$O20&amp;$P20&amp;$Q20&amp;$R20&amp;$S20&amp;$T20&amp;$U20&amp;$V20)&gt;0,E20="")</formula>
    </cfRule>
  </conditionalFormatting>
  <conditionalFormatting sqref="F20:F220">
    <cfRule type="expression" priority="6" dxfId="6">
      <formula>AND(LEN($B20&amp;$C20&amp;$D20&amp;$E20&amp;$F20&amp;$G20&amp;$H20&amp;$I20&amp;$J20&amp;$K20&amp;$L20&amp;$M20&amp;$N20&amp;$O20&amp;$P20&amp;$Q20&amp;$R20&amp;$S20&amp;$T20&amp;$U20&amp;$V20)&gt;0,F20="")</formula>
    </cfRule>
  </conditionalFormatting>
  <conditionalFormatting sqref="G20:G220">
    <cfRule type="expression" priority="7" dxfId="6">
      <formula>AND(LEN($B20&amp;$C20&amp;$D20&amp;$E20&amp;$F20&amp;$G20&amp;$H20&amp;$I20&amp;$J20&amp;$K20&amp;$L20&amp;$M20&amp;$N20&amp;$O20&amp;$P20&amp;$Q20&amp;$R20&amp;$S20&amp;$T20&amp;$U20&amp;$V20)&gt;0,G20="")</formula>
    </cfRule>
  </conditionalFormatting>
  <conditionalFormatting sqref="I20:I220">
    <cfRule type="expression" priority="8" dxfId="6">
      <formula>AND(LEN($B20&amp;$C20&amp;$D20&amp;$E20&amp;$F20&amp;$G20&amp;$H20&amp;$I20&amp;$J20&amp;$K20&amp;$L20&amp;$M20&amp;$N20&amp;$O20&amp;$P20&amp;$Q20&amp;$R20&amp;$S20&amp;$T20&amp;$U20&amp;$V20)&gt;0,I20="")</formula>
    </cfRule>
  </conditionalFormatting>
  <conditionalFormatting sqref="J20:J220">
    <cfRule type="expression" priority="9" dxfId="6">
      <formula>AND(LEN($B20&amp;$C20&amp;$D20&amp;$E20&amp;$F20&amp;$G20&amp;$H20&amp;$I20&amp;$J20&amp;$K20&amp;$L20&amp;$M20&amp;$N20&amp;$O20&amp;$P20&amp;$Q20&amp;$R20&amp;$S20&amp;$T20&amp;$U20&amp;$V20)&gt;0,J20="")</formula>
    </cfRule>
  </conditionalFormatting>
  <conditionalFormatting sqref="K20:K220">
    <cfRule type="expression" priority="10" dxfId="6">
      <formula>AND(LEN($B20&amp;$C20&amp;$D20&amp;$E20&amp;$F20&amp;$G20&amp;$H20&amp;$I20&amp;$J20&amp;$K20&amp;$L20&amp;$M20&amp;$N20&amp;$O20&amp;$P20&amp;$Q20&amp;$R20&amp;$S20&amp;$T20&amp;$U20&amp;$V20)&gt;0,K20="")</formula>
    </cfRule>
  </conditionalFormatting>
  <conditionalFormatting sqref="M20:M220">
    <cfRule type="expression" priority="11" dxfId="6">
      <formula>AND(LEN($B20&amp;$C20&amp;$D20&amp;$E20&amp;$F20&amp;$G20&amp;$H20&amp;$I20&amp;$J20&amp;$K20&amp;$L20&amp;$M20&amp;$N20&amp;$O20&amp;$P20&amp;$Q20&amp;$R20&amp;$S20&amp;$T20&amp;$U20&amp;$V20)&gt;0,M20="")</formula>
    </cfRule>
  </conditionalFormatting>
  <conditionalFormatting sqref="R20:R220">
    <cfRule type="expression" priority="12" dxfId="6">
      <formula>AND(LEN($B20&amp;$C20&amp;$D20&amp;$E20&amp;$F20&amp;$G20&amp;$H20&amp;$I20&amp;$J20&amp;$K20&amp;$L20&amp;$M20&amp;$N20&amp;$O20&amp;$P20&amp;$Q20&amp;$R20&amp;$S20&amp;$T20&amp;$U20&amp;$V20)&gt;0,R20="")</formula>
    </cfRule>
  </conditionalFormatting>
  <dataValidations count="23">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V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upp_ref" error="At most 40 characters." promptTitle="legacy_upp_ref" prompt="Yes. UPP reference in the source system Allowed: Free entry, up to 40 characters" type="textLength" operator="lessThanOrEqual">
      <formula1>40</formula1>
    </dataValidation>
    <dataValidation sqref="C20:C220" showDropDown="0" showInputMessage="1" showErrorMessage="1" allowBlank="1" errorTitle="legacy_ar_no" error="At most 40 characters." promptTitle="legacy_ar_no" prompt="Yes. Acknowledgment receipt issued in legacy Allowed: Free entry, up to 40 characters" type="textLength" operator="lessThanOrEqual">
      <formula1>40</formula1>
    </dataValidation>
    <dataValidation sqref="D20:D220" showDropDown="0" showInputMessage="1" showErrorMessage="0" allowBlank="1" promptTitle="legacy_ar_date" prompt="Yes. AR date"/>
    <dataValidation sqref="E20:E220" showDropDown="0" showInputMessage="1" showErrorMessage="0" allowBlank="1" promptTitle="value_date" prompt="Yes. Value date of the cash"/>
    <dataValidation sqref="F20:F220" showDropDown="0" showInputMessage="1" showErrorMessage="1" allowBlank="1" errorTitle="channel" error="Choose a value of the list F02 channel (sheet Reference lists)." promptTitle="channel" prompt="Yes. Channel of the payment Allowed: List F02 channel: 7 values, see Reference lists" type="list" errorStyle="stop">
      <formula1>=LIST_F02_CHANNEL</formula1>
    </dataValidation>
    <dataValidation sqref="G20:G220" showDropDown="0" showInputMessage="1" showErrorMessage="1" allowBlank="1" errorTitle="payor_name" error="At most 250 characters." promptTitle="payor_name" prompt="Yes. Payor Allowed: Free entry, up to 250 characters" type="textLength" operator="lessThanOrEqual">
      <formula1>250</formula1>
    </dataValidation>
    <dataValidation sqref="H20:H220" showDropDown="0" showInputMessage="1" showErrorMessage="1" allowBlank="1" errorTitle="legacy_client_no" error="At most 30 characters." promptTitle="legacy_client_no" prompt="No. Client if identified Allowed: legacy_client_no of C01" type="textLength" operator="lessThanOrEqual">
      <formula1>30</formula1>
    </dataValidation>
    <dataValidation sqref="I20:I220" showDropDown="0" showInputMessage="1" showErrorMessage="1" allowBlank="1" errorTitle="currency" error="At most 3 characters." promptTitle="currency" prompt="Yes. Currency Allowed: ISO 4217" type="textLength" operator="lessThanOrEqual">
      <formula1>3</formula1>
    </dataValidation>
    <dataValidation sqref="J20:J220" showDropDown="0" showInputMessage="1" showErrorMessage="1" allowBlank="1" errorTitle="amount" error="Enter a number." promptTitle="amount" prompt="Yes. Amount received Allowed: A number" type="decimal" operator="greaterThanOrEqual">
      <formula1>-1E+15</formula1>
    </dataValidation>
    <dataValidation sqref="K20:K220" showDropDown="0" showInputMessage="1" showErrorMessage="1" allowBlank="1" errorTitle="balance" error="Enter a number." promptTitle="balance" prompt="Yes. Unapplied balance at the freeze Allowed: A number" type="decimal" operator="greaterThanOrEqual">
      <formula1>-1E+15</formula1>
    </dataValidation>
    <dataValidation sqref="L20:L220" showDropDown="0" showInputMessage="1" showErrorMessage="1" allowBlank="1" errorTitle="sales_unit_code" error="At most 20 characters." promptTitle="sales_unit_code" prompt="No. Sales unit Allowed: The legacy code; mapped by the code map SALES_UNIT (sheet Code maps)" type="textLength" operator="lessThanOrEqual">
      <formula1>20</formula1>
    </dataValidation>
    <dataValidation sqref="M20:M220" showDropDown="0" showInputMessage="1" showErrorMessage="1" allowBlank="1" errorTitle="branch_code" error="At most 20 characters." promptTitle="branch_code" prompt="Yes. Branch that received the cash Allowed: The legacy code; mapped by the code map BRANCH (sheet Code maps)" type="textLength" operator="lessThanOrEqual">
      <formula1>20</formula1>
    </dataValidation>
    <dataValidation sqref="N20:N220" showDropDown="0" showInputMessage="1" showErrorMessage="1" allowBlank="1" errorTitle="ref_invoice_nos" error="At most 400 characters." promptTitle="ref_invoice_nos" prompt="No. Invoice numbers the payor quoted, separated by semicolons Allowed: Free entry, up to 400 characters" type="textLength" operator="lessThanOrEqual">
      <formula1>400</formula1>
    </dataValidation>
    <dataValidation sqref="O20:O220" showDropDown="0" showInputMessage="1" showErrorMessage="1" allowBlank="1" errorTitle="ref_cover_nos" error="At most 400 characters." promptTitle="ref_cover_nos" prompt="No. Cover or policy numbers quoted Allowed: Free entry, up to 400 characters" type="textLength" operator="lessThanOrEqual">
      <formula1>400</formula1>
    </dataValidation>
    <dataValidation sqref="P20:P220" showDropDown="0" showInputMessage="1" showErrorMessage="1" allowBlank="1" errorTitle="ref_pn_nos" error="At most 400 characters." promptTitle="ref_pn_nos" prompt="No. PN numbers quoted Allowed: Free entry, up to 400 characters" type="textLength" operator="lessThanOrEqual">
      <formula1>400</formula1>
    </dataValidation>
    <dataValidation sqref="Q20:Q220" showDropDown="0" showInputMessage="1" showErrorMessage="1" allowBlank="1" errorTitle="ref_bank_reference" error="At most 80 characters." promptTitle="ref_bank_reference" prompt="No. Bank or payment file reference Allowed: Free entry, up to 80 characters" type="textLength" operator="lessThanOrEqual">
      <formula1>80</formula1>
    </dataValidation>
    <dataValidation sqref="R20:R220" showDropDown="0" showInputMessage="1" showErrorMessage="1" allowBlank="1" errorTitle="legacy_status" error="At most 30 characters." promptTitle="legacy_status" prompt="Yes. UPP status in legacy Allowed: The legacy code; mapped by the code map STATUS:UPP (sheet Code maps)" type="textLength" operator="lessThanOrEqual">
      <formula1>30</formula1>
    </dataValidation>
    <dataValidation sqref="S20:S220" showDropDown="0" showInputMessage="1" showErrorMessage="1" allowBlank="1" errorTitle="disposition_type" error="At most 40 characters." promptTitle="disposition_type" prompt="No. Disposition in progress in legacy Allowed: The legacy code; mapped by the code map DISPOSITION_TYPE (sheet Code maps)" type="textLength" operator="lessThanOrEqual">
      <formula1>40</formula1>
    </dataValidation>
    <dataValidation sqref="T20:T220" showDropDown="0" showInputMessage="1" showErrorMessage="1" allowBlank="1" errorTitle="disposition_status" error="Choose a value of the list F02 disposition_status (sheet Reference lists)." promptTitle="disposition_status" prompt="Conditional: Mandatory when disposition_type is given. Status of the disposition Allowed: MONITORING, FOR_APPROVAL, IN_PROCESS (list F02 disposition_status)" type="list" errorStyle="stop">
      <formula1>=LIST_F02_DISPOSITION_STATUS</formula1>
    </dataValidation>
    <dataValidation sqref="U20:U220" showDropDown="0" showInputMessage="1" showErrorMessage="1" allowBlank="1" errorTitle="disposition_details" error="At most 500 characters." promptTitle="disposition_details" prompt="No. Details (target invoice, refund payee, amount) Allowed: Free entry, up to 500 characters" type="textLength" operator="lessThanOrEqual">
      <formula1>500</formula1>
    </dataValidation>
    <dataValidation sqref="V20:V220" showDropDown="0" showInputMessage="1" showErrorMessage="1" allowBlank="1" errorTitle="remarks" error="At most 250 characters." promptTitle="remarks" prompt="No. Legacy remarks Allowed: Free entry, up to 250 characters" type="textLength" operator="lessThanOrEqual">
      <formula1>250</formula1>
    </dataValidation>
  </dataValidations>
  <hyperlinks>
    <hyperlink ref="A2" location="'Load templates'!A1"/>
    <hyperlink ref="V2" location="'Comments log'!A1"/>
    <hyperlink ref="B8" location="'C01 Client master'!A1"/>
    <hyperlink ref="D8" location="'C02 Client addresses and contac'!A1"/>
    <hyperlink ref="F17" location="'Reference lists'!A76"/>
    <hyperlink ref="L17" location="'Code maps'!A1"/>
    <hyperlink ref="M17" location="'Code maps'!A1"/>
    <hyperlink ref="R17" location="'Code maps'!A1"/>
    <hyperlink ref="S17" location="'Code maps'!A1"/>
    <hyperlink ref="T17" location="'Reference lists'!A83"/>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0.xml><?xml version="1.0" encoding="utf-8"?>
<worksheet xmlns="http://schemas.openxmlformats.org/spreadsheetml/2006/main">
  <sheetPr>
    <tabColor rgb="00004EA8"/>
    <outlinePr summaryBelow="0" summaryRight="1"/>
    <pageSetUpPr fitToPage="1"/>
  </sheetPr>
  <dimension ref="A1:M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6" customWidth="1" min="3" max="3"/>
    <col width="12" customWidth="1" min="4" max="4"/>
    <col width="21" customWidth="1" min="5" max="5"/>
    <col width="21" customWidth="1" min="6" max="6"/>
    <col width="17" customWidth="1" min="7" max="7"/>
    <col width="19.54545454545454" customWidth="1" min="8" max="8"/>
    <col width="19" customWidth="1" min="9" max="9"/>
    <col width="20" customWidth="1" min="10" max="10"/>
    <col width="23" customWidth="1" min="11" max="11"/>
    <col width="22" customWidth="1" min="12" max="12"/>
    <col width="30" customWidth="1" min="13" max="13"/>
  </cols>
  <sheetData>
    <row r="1" ht="26" customHeight="1">
      <c r="A1" s="44" t="inlineStr">
        <is>
          <t>F03 Open collection state</t>
        </is>
      </c>
      <c r="M1" s="45" t="inlineStr">
        <is>
          <t>Step 21 of 29</t>
        </is>
      </c>
    </row>
    <row r="2">
      <c r="A2" s="46" t="inlineStr">
        <is>
          <t>← Back to Load templates</t>
        </is>
      </c>
      <c r="B2" s="47" t="inlineStr">
        <is>
          <t>Step 21 of 29. Fill in one row per record below the column headers; the guide above each column says what to enter.</t>
        </is>
      </c>
      <c r="M2" s="48" t="inlineStr">
        <is>
          <t>Ask a question →</t>
        </is>
      </c>
    </row>
    <row r="3" outlineLevel="1" ht="28" customHeight="1">
      <c r="A3" s="49" t="inlineStr">
        <is>
          <t>Purpose</t>
        </is>
      </c>
      <c r="B3" s="50" t="inlineStr">
        <is>
          <t>One row per record of Open collection state (dispositions, promises to pay, installment plans, collector assignments) as extracted from CMS. Key legacy_invoice_no, record_type, seq_no. Sent as the file F03_template.csv (CSV, header row as below) with its control file (row count, row count; amount totals per currency: promise_amount, installment_amount).</t>
        </is>
      </c>
    </row>
    <row r="4" outlineLevel="1" ht="15.5" customHeight="1">
      <c r="A4" s="49" t="inlineStr">
        <is>
          <t>Provided by</t>
        </is>
      </c>
      <c r="B4" s="50" t="inlineStr">
        <is>
          <t>Collections data steward (to name); approved by Head, Operations (Collections); extracted by BDOI IT</t>
        </is>
      </c>
    </row>
    <row r="5" outlineLevel="1" ht="15.5" customHeight="1">
      <c r="A5" s="49" t="inlineStr">
        <is>
          <t>Due</t>
        </is>
      </c>
      <c r="B5" s="51" t="inlineStr">
        <is>
          <t>M3 (29 Jan 2027); final at T-2</t>
        </is>
      </c>
    </row>
    <row r="6" outlineLevel="1" ht="15.5" customHeight="1">
      <c r="A6" s="49" t="inlineStr">
        <is>
          <t>How it is loaded</t>
        </is>
      </c>
      <c r="B6" s="50" t="inlineStr">
        <is>
          <t>Data migration object F03 (Carry forward), layout F03 version 1, through the Migration Console; lands in: Legacy follow-up of the Collections worklist items</t>
        </is>
      </c>
    </row>
    <row r="7" outlineLevel="1" ht="15.5" customHeight="1">
      <c r="A7" s="49" t="inlineStr">
        <is>
          <t>Source</t>
        </is>
      </c>
      <c r="B7" s="50" t="inlineStr">
        <is>
          <t>CMS</t>
        </is>
      </c>
    </row>
    <row r="8" outlineLevel="1" ht="26" customHeight="1">
      <c r="A8" s="49" t="inlineStr">
        <is>
          <t>Depends on</t>
        </is>
      </c>
      <c r="B8" s="68" t="inlineStr">
        <is>
          <t>F01 Open legacy invoices - header →</t>
        </is>
      </c>
      <c r="D8" s="68" t="inlineStr">
        <is>
          <t>F01S Open legacy invoices - insurer shares →</t>
        </is>
      </c>
      <c r="F8" s="68" t="inlineStr">
        <is>
          <t>F01C Open legacy invoices - components and positions →</t>
        </is>
      </c>
    </row>
    <row r="9" ht="26" customHeight="1">
      <c r="A9" s="53" t="inlineStr">
        <is>
          <t>Progress</t>
        </is>
      </c>
      <c r="B9" s="54" t="inlineStr">
        <is>
          <t>Rows entered</t>
        </is>
      </c>
      <c r="C9" s="55">
        <f>SUMPRODUCT(((ROW($B$20:$B$220)&gt;20)+($B$20&lt;&gt;"I00123456")&gt;0)*(LEN($B$20:$B$220&amp;$C$20:$C$220&amp;$D$20:$D$220&amp;$E$20:$E$220&amp;$F$20:$F$220&amp;$G$20:$G$220&amp;$H$20:$H$220&amp;$I$20:$I$220&amp;$J$20:$J$220&amp;$K$20:$K$220&amp;$L$20:$L$220&amp;$M$20:$M$220)&gt;0))</f>
        <v/>
      </c>
      <c r="D9" s="54" t="inlineStr">
        <is>
          <t>Mandatory cells missing</t>
        </is>
      </c>
      <c r="E9" s="55">
        <f>SUMPRODUCT(((ROW($B$20:$B$220)&gt;20)+($B$20&lt;&gt;"I00123456")&gt;0)*(LEN($B$20:$B$220&amp;$C$20:$C$220&amp;$D$20:$D$220&amp;$E$20:$E$220&amp;$F$20:$F$220&amp;$G$20:$G$220&amp;$H$20:$H$220&amp;$I$20:$I$220&amp;$J$20:$J$220&amp;$K$20:$K$220&amp;$L$20:$L$220&amp;$M$20:$M$220)&gt;0)*(($B$20:$B$220="")+($C$20:$C$220="")+($D$20:$D$220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row>
    <row r="12" ht="30" customHeight="1">
      <c r="A12" s="59" t="inlineStr">
        <is>
          <t>BU review</t>
        </is>
      </c>
      <c r="B12" s="60" t="n"/>
      <c r="C12" s="60" t="n"/>
      <c r="D12" s="60" t="n"/>
      <c r="E12" s="60" t="n"/>
      <c r="F12" s="60" t="n"/>
      <c r="G12" s="60" t="n"/>
      <c r="H12" s="60" t="n"/>
      <c r="I12" s="60" t="n"/>
      <c r="J12" s="60" t="n"/>
      <c r="K12" s="60" t="n"/>
      <c r="L12" s="60" t="n"/>
      <c r="M12" s="60" t="n"/>
    </row>
    <row r="13" ht="30" customHeight="1">
      <c r="A13" s="59" t="inlineStr">
        <is>
          <t>BU comment</t>
        </is>
      </c>
      <c r="B13" s="60" t="n"/>
      <c r="C13" s="60" t="n"/>
      <c r="D13" s="60" t="n"/>
      <c r="E13" s="60" t="n"/>
      <c r="F13" s="60" t="n"/>
      <c r="G13" s="60" t="n"/>
      <c r="H13" s="60" t="n"/>
      <c r="I13" s="60" t="n"/>
      <c r="J13" s="60" t="n"/>
      <c r="K13" s="60" t="n"/>
      <c r="L13" s="60" t="n"/>
      <c r="M13" s="60" t="n"/>
    </row>
    <row r="14" ht="43" customHeight="1">
      <c r="A14" s="59" t="inlineStr">
        <is>
          <t>Check when loaded</t>
        </is>
      </c>
      <c r="B14" s="61" t="inlineStr">
        <is>
          <t>Exists in F01</t>
        </is>
      </c>
      <c r="C14" s="61" t="inlineStr">
        <is>
          <t>In the list</t>
        </is>
      </c>
      <c r="D14" s="61" t="inlineStr">
        <is>
          <t>Unique per invoice and record type</t>
        </is>
      </c>
      <c r="E14" s="61" t="inlineStr">
        <is>
          <t>Mandatory for DISPOSITION; mapped</t>
        </is>
      </c>
      <c r="F14" s="61" t="inlineStr">
        <is>
          <t>Mandatory for DISPOSITION</t>
        </is>
      </c>
      <c r="G14" s="61" t="inlineStr">
        <is>
          <t>Mandatory for PROMISE</t>
        </is>
      </c>
      <c r="H14" s="61" t="inlineStr">
        <is>
          <t>Mandatory for PROMISE; at most the open PR</t>
        </is>
      </c>
      <c r="I14" s="61" t="inlineStr">
        <is>
          <t>Mandatory for INSTALLMENT</t>
        </is>
      </c>
      <c r="J14" s="61" t="inlineStr">
        <is>
          <t>Mandatory for INSTALLMENT</t>
        </is>
      </c>
      <c r="K14" s="61" t="inlineStr">
        <is>
          <t>Mandatory for INSTALLMENT</t>
        </is>
      </c>
      <c r="L14" s="61" t="inlineStr">
        <is>
          <t>Mandatory for ASSIGNMENT; mapped</t>
        </is>
      </c>
      <c r="M14" s="61" t="inlineStr">
        <is>
          <t>-</t>
        </is>
      </c>
    </row>
    <row r="15" ht="43" customHeight="1">
      <c r="A15" s="59" t="inlineStr">
        <is>
          <t>Mandatory</t>
        </is>
      </c>
      <c r="B15" s="62" t="inlineStr">
        <is>
          <t>Yes</t>
        </is>
      </c>
      <c r="C15" s="62" t="inlineStr">
        <is>
          <t>Yes</t>
        </is>
      </c>
      <c r="D15" s="62" t="inlineStr">
        <is>
          <t>Yes</t>
        </is>
      </c>
      <c r="E15" s="61" t="inlineStr">
        <is>
          <t>Conditional: Mandatory for DISPOSITION; mapped</t>
        </is>
      </c>
      <c r="F15" s="61" t="inlineStr">
        <is>
          <t>Conditional: Mandatory for DISPOSITION</t>
        </is>
      </c>
      <c r="G15" s="61" t="inlineStr">
        <is>
          <t>Conditional: Mandatory for PROMISE</t>
        </is>
      </c>
      <c r="H15" s="61" t="inlineStr">
        <is>
          <t>Conditional: Mandatory for PROMISE; at most the open PR</t>
        </is>
      </c>
      <c r="I15" s="61" t="inlineStr">
        <is>
          <t>Conditional: Mandatory for INSTALLMENT</t>
        </is>
      </c>
      <c r="J15" s="61" t="inlineStr">
        <is>
          <t>Conditional: Mandatory for INSTALLMENT</t>
        </is>
      </c>
      <c r="K15" s="61" t="inlineStr">
        <is>
          <t>Conditional: Mandatory for INSTALLMENT</t>
        </is>
      </c>
      <c r="L15" s="61" t="inlineStr">
        <is>
          <t>Conditional: Mandatory for ASSIGNMENT; mapped</t>
        </is>
      </c>
      <c r="M15" s="61" t="inlineStr">
        <is>
          <t>No</t>
        </is>
      </c>
    </row>
    <row r="16" ht="30" customHeight="1">
      <c r="A16" s="59" t="inlineStr">
        <is>
          <t>Format</t>
        </is>
      </c>
      <c r="B16" s="61" t="inlineStr">
        <is>
          <t>Code, up to 40; As in F01</t>
        </is>
      </c>
      <c r="C16" s="61" t="inlineStr">
        <is>
          <t>Code, up to 12; Upper case</t>
        </is>
      </c>
      <c r="D16" s="61" t="inlineStr">
        <is>
          <t>Integer, up to 3; Digits</t>
        </is>
      </c>
      <c r="E16" s="61" t="inlineStr">
        <is>
          <t>Code, up to 40; As stored in legacy</t>
        </is>
      </c>
      <c r="F16" s="61" t="inlineStr">
        <is>
          <t>Date, up to 10; yyyy-MM-dd</t>
        </is>
      </c>
      <c r="G16" s="61" t="inlineStr">
        <is>
          <t>Date, up to 10; yyyy-MM-dd</t>
        </is>
      </c>
      <c r="H16" s="61" t="inlineStr">
        <is>
          <t>Amount, up to 19,2; Dot decimal, 2 decimals</t>
        </is>
      </c>
      <c r="I16" s="61" t="inlineStr">
        <is>
          <t>Integer, up to 3; Digits</t>
        </is>
      </c>
      <c r="J16" s="61" t="inlineStr">
        <is>
          <t>Date, up to 10; yyyy-MM-dd</t>
        </is>
      </c>
      <c r="K16" s="61" t="inlineStr">
        <is>
          <t>Amount, up to 19,2; Dot decimal, 2 decimals</t>
        </is>
      </c>
      <c r="L16" s="61" t="inlineStr">
        <is>
          <t>Code, up to 50; As stored in legacy</t>
        </is>
      </c>
      <c r="M16" s="61" t="inlineStr">
        <is>
          <t>Text, up to 500; Free text</t>
        </is>
      </c>
    </row>
    <row r="17" ht="56" customHeight="1">
      <c r="A17" s="59" t="inlineStr">
        <is>
          <t>Allowed values</t>
        </is>
      </c>
      <c r="B17" s="61" t="inlineStr">
        <is>
          <t>legacy_invoice_no of F01</t>
        </is>
      </c>
      <c r="C17" s="69" t="inlineStr">
        <is>
          <t>DISPOSITION, PROMISE, INSTALLMENT, ASSIGNMENT (list F03 record_type)</t>
        </is>
      </c>
      <c r="D17" s="61" t="inlineStr">
        <is>
          <t>A whole number</t>
        </is>
      </c>
      <c r="E17" s="69" t="inlineStr">
        <is>
          <t>The legacy code; mapped by the code map DISPOSITION_CLX (sheet Code maps)</t>
        </is>
      </c>
      <c r="F17" s="61" t="inlineStr">
        <is>
          <t>Free entry</t>
        </is>
      </c>
      <c r="G17" s="61" t="inlineStr">
        <is>
          <t>Free entry</t>
        </is>
      </c>
      <c r="H17" s="61" t="inlineStr">
        <is>
          <t>A number</t>
        </is>
      </c>
      <c r="I17" s="61" t="inlineStr">
        <is>
          <t>A whole number</t>
        </is>
      </c>
      <c r="J17" s="61" t="inlineStr">
        <is>
          <t>Free entry</t>
        </is>
      </c>
      <c r="K17" s="61" t="inlineStr">
        <is>
          <t>A number</t>
        </is>
      </c>
      <c r="L17" s="69" t="inlineStr">
        <is>
          <t>The legacy code; mapped by the code map USER (sheet Code maps)</t>
        </is>
      </c>
      <c r="M17" s="61" t="inlineStr">
        <is>
          <t>Free entry, up to 500 characters</t>
        </is>
      </c>
    </row>
    <row r="18" ht="56" customHeight="1">
      <c r="A18" s="59" t="inlineStr">
        <is>
          <t>What to enter</t>
        </is>
      </c>
      <c r="B18" s="61" t="inlineStr">
        <is>
          <t>Invoice the follow-up belongs to</t>
        </is>
      </c>
      <c r="C18" s="61" t="inlineStr">
        <is>
          <t>Kind of row</t>
        </is>
      </c>
      <c r="D18" s="61" t="inlineStr">
        <is>
          <t>Sequence within the invoice and record type</t>
        </is>
      </c>
      <c r="E18" s="61" t="inlineStr">
        <is>
          <t>Latest disposition</t>
        </is>
      </c>
      <c r="F18" s="61" t="inlineStr">
        <is>
          <t>Date of the disposition</t>
        </is>
      </c>
      <c r="G18" s="61" t="inlineStr">
        <is>
          <t>Promised payment date</t>
        </is>
      </c>
      <c r="H18" s="61" t="inlineStr">
        <is>
          <t>Promised amount</t>
        </is>
      </c>
      <c r="I18" s="61" t="inlineStr">
        <is>
          <t>Installment number</t>
        </is>
      </c>
      <c r="J18" s="61" t="inlineStr">
        <is>
          <t>Installment due date</t>
        </is>
      </c>
      <c r="K18" s="61" t="inlineStr">
        <is>
          <t>Installment amount</t>
        </is>
      </c>
      <c r="L18" s="61" t="inlineStr">
        <is>
          <t>Assigned collector</t>
        </is>
      </c>
      <c r="M18" s="61" t="inlineStr">
        <is>
          <t>Collector remarks</t>
        </is>
      </c>
    </row>
    <row r="19" ht="30" customHeight="1">
      <c r="A19" s="63" t="inlineStr">
        <is>
          <t>Row</t>
        </is>
      </c>
      <c r="B19" s="24" t="inlineStr">
        <is>
          <t>legacy_invoice_no *</t>
        </is>
      </c>
      <c r="C19" s="24" t="inlineStr">
        <is>
          <t>record_type *</t>
        </is>
      </c>
      <c r="D19" s="24" t="inlineStr">
        <is>
          <t>seq_no *</t>
        </is>
      </c>
      <c r="E19" s="24" t="inlineStr">
        <is>
          <t>disposition_code</t>
        </is>
      </c>
      <c r="F19" s="24" t="inlineStr">
        <is>
          <t>disposition_date</t>
        </is>
      </c>
      <c r="G19" s="24" t="inlineStr">
        <is>
          <t>promise_date</t>
        </is>
      </c>
      <c r="H19" s="24" t="inlineStr">
        <is>
          <t>promise_amount</t>
        </is>
      </c>
      <c r="I19" s="24" t="inlineStr">
        <is>
          <t>installment_no</t>
        </is>
      </c>
      <c r="J19" s="24" t="inlineStr">
        <is>
          <t>installment_due</t>
        </is>
      </c>
      <c r="K19" s="24" t="inlineStr">
        <is>
          <t>installment_amount</t>
        </is>
      </c>
      <c r="L19" s="24" t="inlineStr">
        <is>
          <t>collector_user_id</t>
        </is>
      </c>
      <c r="M19" s="24" t="inlineStr">
        <is>
          <t>remarks</t>
        </is>
      </c>
    </row>
    <row r="20" ht="18" customHeight="1">
      <c r="A20" s="64" t="inlineStr">
        <is>
          <t>Example – overwrite or delete</t>
        </is>
      </c>
      <c r="B20" s="65" t="inlineStr">
        <is>
          <t>I00123456</t>
        </is>
      </c>
      <c r="C20" s="65" t="inlineStr">
        <is>
          <t>PROMISE</t>
        </is>
      </c>
      <c r="D20" s="66" t="n">
        <v>1</v>
      </c>
      <c r="E20" s="65" t="inlineStr">
        <is>
          <t>PTP</t>
        </is>
      </c>
      <c r="F20" s="65" t="inlineStr">
        <is>
          <t>2027-12-20</t>
        </is>
      </c>
      <c r="G20" s="65" t="inlineStr">
        <is>
          <t>2028-01-14</t>
        </is>
      </c>
      <c r="H20" s="66" t="n">
        <v>6000</v>
      </c>
      <c r="I20" s="66" t="n">
        <v>2</v>
      </c>
      <c r="J20" s="65" t="inlineStr">
        <is>
          <t>2028-01-15</t>
        </is>
      </c>
      <c r="K20" s="66" t="n">
        <v>3000</v>
      </c>
      <c r="L20" s="65" t="inlineStr">
        <is>
          <t>jgarcia</t>
        </is>
      </c>
      <c r="M20" s="65" t="inlineStr">
        <is>
          <t>Client will pay after salary</t>
        </is>
      </c>
    </row>
    <row r="21">
      <c r="B21" s="67" t="n"/>
      <c r="C21" s="67" t="n"/>
      <c r="E21" s="67" t="n"/>
      <c r="F21" s="67" t="n"/>
      <c r="G21" s="67" t="n"/>
      <c r="J21" s="67" t="n"/>
      <c r="L21" s="67" t="n"/>
      <c r="M21" s="67" t="n"/>
    </row>
    <row r="22">
      <c r="B22" s="67" t="n"/>
      <c r="C22" s="67" t="n"/>
      <c r="E22" s="67" t="n"/>
      <c r="F22" s="67" t="n"/>
      <c r="G22" s="67" t="n"/>
      <c r="J22" s="67" t="n"/>
      <c r="L22" s="67" t="n"/>
      <c r="M22" s="67" t="n"/>
    </row>
    <row r="23">
      <c r="B23" s="67" t="n"/>
      <c r="C23" s="67" t="n"/>
      <c r="E23" s="67" t="n"/>
      <c r="F23" s="67" t="n"/>
      <c r="G23" s="67" t="n"/>
      <c r="J23" s="67" t="n"/>
      <c r="L23" s="67" t="n"/>
      <c r="M23" s="67" t="n"/>
    </row>
    <row r="24">
      <c r="B24" s="67" t="n"/>
      <c r="C24" s="67" t="n"/>
      <c r="E24" s="67" t="n"/>
      <c r="F24" s="67" t="n"/>
      <c r="G24" s="67" t="n"/>
      <c r="J24" s="67" t="n"/>
      <c r="L24" s="67" t="n"/>
      <c r="M24" s="67" t="n"/>
    </row>
    <row r="25">
      <c r="B25" s="67" t="n"/>
      <c r="C25" s="67" t="n"/>
      <c r="E25" s="67" t="n"/>
      <c r="F25" s="67" t="n"/>
      <c r="G25" s="67" t="n"/>
      <c r="J25" s="67" t="n"/>
      <c r="L25" s="67" t="n"/>
      <c r="M25" s="67" t="n"/>
    </row>
    <row r="26">
      <c r="B26" s="67" t="n"/>
      <c r="C26" s="67" t="n"/>
      <c r="E26" s="67" t="n"/>
      <c r="F26" s="67" t="n"/>
      <c r="G26" s="67" t="n"/>
      <c r="J26" s="67" t="n"/>
      <c r="L26" s="67" t="n"/>
      <c r="M26" s="67" t="n"/>
    </row>
    <row r="27">
      <c r="B27" s="67" t="n"/>
      <c r="C27" s="67" t="n"/>
      <c r="E27" s="67" t="n"/>
      <c r="F27" s="67" t="n"/>
      <c r="G27" s="67" t="n"/>
      <c r="J27" s="67" t="n"/>
      <c r="L27" s="67" t="n"/>
      <c r="M27" s="67" t="n"/>
    </row>
    <row r="28">
      <c r="B28" s="67" t="n"/>
      <c r="C28" s="67" t="n"/>
      <c r="E28" s="67" t="n"/>
      <c r="F28" s="67" t="n"/>
      <c r="G28" s="67" t="n"/>
      <c r="J28" s="67" t="n"/>
      <c r="L28" s="67" t="n"/>
      <c r="M28" s="67" t="n"/>
    </row>
    <row r="29">
      <c r="B29" s="67" t="n"/>
      <c r="C29" s="67" t="n"/>
      <c r="E29" s="67" t="n"/>
      <c r="F29" s="67" t="n"/>
      <c r="G29" s="67" t="n"/>
      <c r="J29" s="67" t="n"/>
      <c r="L29" s="67" t="n"/>
      <c r="M29" s="67" t="n"/>
    </row>
    <row r="30">
      <c r="B30" s="67" t="n"/>
      <c r="C30" s="67" t="n"/>
      <c r="E30" s="67" t="n"/>
      <c r="F30" s="67" t="n"/>
      <c r="G30" s="67" t="n"/>
      <c r="J30" s="67" t="n"/>
      <c r="L30" s="67" t="n"/>
      <c r="M30" s="67" t="n"/>
    </row>
    <row r="31">
      <c r="B31" s="67" t="n"/>
      <c r="C31" s="67" t="n"/>
      <c r="E31" s="67" t="n"/>
      <c r="F31" s="67" t="n"/>
      <c r="G31" s="67" t="n"/>
      <c r="J31" s="67" t="n"/>
      <c r="L31" s="67" t="n"/>
      <c r="M31" s="67" t="n"/>
    </row>
    <row r="32">
      <c r="B32" s="67" t="n"/>
      <c r="C32" s="67" t="n"/>
      <c r="E32" s="67" t="n"/>
      <c r="F32" s="67" t="n"/>
      <c r="G32" s="67" t="n"/>
      <c r="J32" s="67" t="n"/>
      <c r="L32" s="67" t="n"/>
      <c r="M32" s="67" t="n"/>
    </row>
    <row r="33">
      <c r="B33" s="67" t="n"/>
      <c r="C33" s="67" t="n"/>
      <c r="E33" s="67" t="n"/>
      <c r="F33" s="67" t="n"/>
      <c r="G33" s="67" t="n"/>
      <c r="J33" s="67" t="n"/>
      <c r="L33" s="67" t="n"/>
      <c r="M33" s="67" t="n"/>
    </row>
    <row r="34">
      <c r="B34" s="67" t="n"/>
      <c r="C34" s="67" t="n"/>
      <c r="E34" s="67" t="n"/>
      <c r="F34" s="67" t="n"/>
      <c r="G34" s="67" t="n"/>
      <c r="J34" s="67" t="n"/>
      <c r="L34" s="67" t="n"/>
      <c r="M34" s="67" t="n"/>
    </row>
    <row r="35">
      <c r="B35" s="67" t="n"/>
      <c r="C35" s="67" t="n"/>
      <c r="E35" s="67" t="n"/>
      <c r="F35" s="67" t="n"/>
      <c r="G35" s="67" t="n"/>
      <c r="J35" s="67" t="n"/>
      <c r="L35" s="67" t="n"/>
      <c r="M35" s="67" t="n"/>
    </row>
    <row r="36">
      <c r="B36" s="67" t="n"/>
      <c r="C36" s="67" t="n"/>
      <c r="E36" s="67" t="n"/>
      <c r="F36" s="67" t="n"/>
      <c r="G36" s="67" t="n"/>
      <c r="J36" s="67" t="n"/>
      <c r="L36" s="67" t="n"/>
      <c r="M36" s="67" t="n"/>
    </row>
    <row r="37">
      <c r="B37" s="67" t="n"/>
      <c r="C37" s="67" t="n"/>
      <c r="E37" s="67" t="n"/>
      <c r="F37" s="67" t="n"/>
      <c r="G37" s="67" t="n"/>
      <c r="J37" s="67" t="n"/>
      <c r="L37" s="67" t="n"/>
      <c r="M37" s="67" t="n"/>
    </row>
    <row r="38">
      <c r="B38" s="67" t="n"/>
      <c r="C38" s="67" t="n"/>
      <c r="E38" s="67" t="n"/>
      <c r="F38" s="67" t="n"/>
      <c r="G38" s="67" t="n"/>
      <c r="J38" s="67" t="n"/>
      <c r="L38" s="67" t="n"/>
      <c r="M38" s="67" t="n"/>
    </row>
    <row r="39">
      <c r="B39" s="67" t="n"/>
      <c r="C39" s="67" t="n"/>
      <c r="E39" s="67" t="n"/>
      <c r="F39" s="67" t="n"/>
      <c r="G39" s="67" t="n"/>
      <c r="J39" s="67" t="n"/>
      <c r="L39" s="67" t="n"/>
      <c r="M39" s="67" t="n"/>
    </row>
    <row r="40">
      <c r="B40" s="67" t="n"/>
      <c r="C40" s="67" t="n"/>
      <c r="E40" s="67" t="n"/>
      <c r="F40" s="67" t="n"/>
      <c r="G40" s="67" t="n"/>
      <c r="J40" s="67" t="n"/>
      <c r="L40" s="67" t="n"/>
      <c r="M40" s="67" t="n"/>
    </row>
    <row r="41">
      <c r="B41" s="67" t="n"/>
      <c r="C41" s="67" t="n"/>
      <c r="E41" s="67" t="n"/>
      <c r="F41" s="67" t="n"/>
      <c r="G41" s="67" t="n"/>
      <c r="J41" s="67" t="n"/>
      <c r="L41" s="67" t="n"/>
      <c r="M41" s="67" t="n"/>
    </row>
    <row r="42">
      <c r="B42" s="67" t="n"/>
      <c r="C42" s="67" t="n"/>
      <c r="E42" s="67" t="n"/>
      <c r="F42" s="67" t="n"/>
      <c r="G42" s="67" t="n"/>
      <c r="J42" s="67" t="n"/>
      <c r="L42" s="67" t="n"/>
      <c r="M42" s="67" t="n"/>
    </row>
    <row r="43">
      <c r="B43" s="67" t="n"/>
      <c r="C43" s="67" t="n"/>
      <c r="E43" s="67" t="n"/>
      <c r="F43" s="67" t="n"/>
      <c r="G43" s="67" t="n"/>
      <c r="J43" s="67" t="n"/>
      <c r="L43" s="67" t="n"/>
      <c r="M43" s="67" t="n"/>
    </row>
    <row r="44">
      <c r="B44" s="67" t="n"/>
      <c r="C44" s="67" t="n"/>
      <c r="E44" s="67" t="n"/>
      <c r="F44" s="67" t="n"/>
      <c r="G44" s="67" t="n"/>
      <c r="J44" s="67" t="n"/>
      <c r="L44" s="67" t="n"/>
      <c r="M44" s="67" t="n"/>
    </row>
    <row r="45">
      <c r="B45" s="67" t="n"/>
      <c r="C45" s="67" t="n"/>
      <c r="E45" s="67" t="n"/>
      <c r="F45" s="67" t="n"/>
      <c r="G45" s="67" t="n"/>
      <c r="J45" s="67" t="n"/>
      <c r="L45" s="67" t="n"/>
      <c r="M45" s="67" t="n"/>
    </row>
    <row r="46">
      <c r="B46" s="67" t="n"/>
      <c r="C46" s="67" t="n"/>
      <c r="E46" s="67" t="n"/>
      <c r="F46" s="67" t="n"/>
      <c r="G46" s="67" t="n"/>
      <c r="J46" s="67" t="n"/>
      <c r="L46" s="67" t="n"/>
      <c r="M46" s="67" t="n"/>
    </row>
    <row r="47">
      <c r="B47" s="67" t="n"/>
      <c r="C47" s="67" t="n"/>
      <c r="E47" s="67" t="n"/>
      <c r="F47" s="67" t="n"/>
      <c r="G47" s="67" t="n"/>
      <c r="J47" s="67" t="n"/>
      <c r="L47" s="67" t="n"/>
      <c r="M47" s="67" t="n"/>
    </row>
    <row r="48">
      <c r="B48" s="67" t="n"/>
      <c r="C48" s="67" t="n"/>
      <c r="E48" s="67" t="n"/>
      <c r="F48" s="67" t="n"/>
      <c r="G48" s="67" t="n"/>
      <c r="J48" s="67" t="n"/>
      <c r="L48" s="67" t="n"/>
      <c r="M48" s="67" t="n"/>
    </row>
    <row r="49">
      <c r="B49" s="67" t="n"/>
      <c r="C49" s="67" t="n"/>
      <c r="E49" s="67" t="n"/>
      <c r="F49" s="67" t="n"/>
      <c r="G49" s="67" t="n"/>
      <c r="J49" s="67" t="n"/>
      <c r="L49" s="67" t="n"/>
      <c r="M49" s="67" t="n"/>
    </row>
    <row r="50">
      <c r="B50" s="67" t="n"/>
      <c r="C50" s="67" t="n"/>
      <c r="E50" s="67" t="n"/>
      <c r="F50" s="67" t="n"/>
      <c r="G50" s="67" t="n"/>
      <c r="J50" s="67" t="n"/>
      <c r="L50" s="67" t="n"/>
      <c r="M50" s="67" t="n"/>
    </row>
    <row r="51">
      <c r="B51" s="67" t="n"/>
      <c r="C51" s="67" t="n"/>
      <c r="E51" s="67" t="n"/>
      <c r="F51" s="67" t="n"/>
      <c r="G51" s="67" t="n"/>
      <c r="J51" s="67" t="n"/>
      <c r="L51" s="67" t="n"/>
      <c r="M51" s="67" t="n"/>
    </row>
    <row r="52">
      <c r="B52" s="67" t="n"/>
      <c r="C52" s="67" t="n"/>
      <c r="E52" s="67" t="n"/>
      <c r="F52" s="67" t="n"/>
      <c r="G52" s="67" t="n"/>
      <c r="J52" s="67" t="n"/>
      <c r="L52" s="67" t="n"/>
      <c r="M52" s="67" t="n"/>
    </row>
    <row r="53">
      <c r="B53" s="67" t="n"/>
      <c r="C53" s="67" t="n"/>
      <c r="E53" s="67" t="n"/>
      <c r="F53" s="67" t="n"/>
      <c r="G53" s="67" t="n"/>
      <c r="J53" s="67" t="n"/>
      <c r="L53" s="67" t="n"/>
      <c r="M53" s="67" t="n"/>
    </row>
    <row r="54">
      <c r="B54" s="67" t="n"/>
      <c r="C54" s="67" t="n"/>
      <c r="E54" s="67" t="n"/>
      <c r="F54" s="67" t="n"/>
      <c r="G54" s="67" t="n"/>
      <c r="J54" s="67" t="n"/>
      <c r="L54" s="67" t="n"/>
      <c r="M54" s="67" t="n"/>
    </row>
    <row r="55">
      <c r="B55" s="67" t="n"/>
      <c r="C55" s="67" t="n"/>
      <c r="E55" s="67" t="n"/>
      <c r="F55" s="67" t="n"/>
      <c r="G55" s="67" t="n"/>
      <c r="J55" s="67" t="n"/>
      <c r="L55" s="67" t="n"/>
      <c r="M55" s="67" t="n"/>
    </row>
    <row r="56">
      <c r="B56" s="67" t="n"/>
      <c r="C56" s="67" t="n"/>
      <c r="E56" s="67" t="n"/>
      <c r="F56" s="67" t="n"/>
      <c r="G56" s="67" t="n"/>
      <c r="J56" s="67" t="n"/>
      <c r="L56" s="67" t="n"/>
      <c r="M56" s="67" t="n"/>
    </row>
    <row r="57">
      <c r="B57" s="67" t="n"/>
      <c r="C57" s="67" t="n"/>
      <c r="E57" s="67" t="n"/>
      <c r="F57" s="67" t="n"/>
      <c r="G57" s="67" t="n"/>
      <c r="J57" s="67" t="n"/>
      <c r="L57" s="67" t="n"/>
      <c r="M57" s="67" t="n"/>
    </row>
    <row r="58">
      <c r="B58" s="67" t="n"/>
      <c r="C58" s="67" t="n"/>
      <c r="E58" s="67" t="n"/>
      <c r="F58" s="67" t="n"/>
      <c r="G58" s="67" t="n"/>
      <c r="J58" s="67" t="n"/>
      <c r="L58" s="67" t="n"/>
      <c r="M58" s="67" t="n"/>
    </row>
    <row r="59">
      <c r="B59" s="67" t="n"/>
      <c r="C59" s="67" t="n"/>
      <c r="E59" s="67" t="n"/>
      <c r="F59" s="67" t="n"/>
      <c r="G59" s="67" t="n"/>
      <c r="J59" s="67" t="n"/>
      <c r="L59" s="67" t="n"/>
      <c r="M59" s="67" t="n"/>
    </row>
    <row r="60">
      <c r="B60" s="67" t="n"/>
      <c r="C60" s="67" t="n"/>
      <c r="E60" s="67" t="n"/>
      <c r="F60" s="67" t="n"/>
      <c r="G60" s="67" t="n"/>
      <c r="J60" s="67" t="n"/>
      <c r="L60" s="67" t="n"/>
      <c r="M60" s="67" t="n"/>
    </row>
    <row r="61">
      <c r="B61" s="67" t="n"/>
      <c r="C61" s="67" t="n"/>
      <c r="E61" s="67" t="n"/>
      <c r="F61" s="67" t="n"/>
      <c r="G61" s="67" t="n"/>
      <c r="J61" s="67" t="n"/>
      <c r="L61" s="67" t="n"/>
      <c r="M61" s="67" t="n"/>
    </row>
    <row r="62">
      <c r="B62" s="67" t="n"/>
      <c r="C62" s="67" t="n"/>
      <c r="E62" s="67" t="n"/>
      <c r="F62" s="67" t="n"/>
      <c r="G62" s="67" t="n"/>
      <c r="J62" s="67" t="n"/>
      <c r="L62" s="67" t="n"/>
      <c r="M62" s="67" t="n"/>
    </row>
    <row r="63">
      <c r="B63" s="67" t="n"/>
      <c r="C63" s="67" t="n"/>
      <c r="E63" s="67" t="n"/>
      <c r="F63" s="67" t="n"/>
      <c r="G63" s="67" t="n"/>
      <c r="J63" s="67" t="n"/>
      <c r="L63" s="67" t="n"/>
      <c r="M63" s="67" t="n"/>
    </row>
    <row r="64">
      <c r="B64" s="67" t="n"/>
      <c r="C64" s="67" t="n"/>
      <c r="E64" s="67" t="n"/>
      <c r="F64" s="67" t="n"/>
      <c r="G64" s="67" t="n"/>
      <c r="J64" s="67" t="n"/>
      <c r="L64" s="67" t="n"/>
      <c r="M64" s="67" t="n"/>
    </row>
    <row r="65">
      <c r="B65" s="67" t="n"/>
      <c r="C65" s="67" t="n"/>
      <c r="E65" s="67" t="n"/>
      <c r="F65" s="67" t="n"/>
      <c r="G65" s="67" t="n"/>
      <c r="J65" s="67" t="n"/>
      <c r="L65" s="67" t="n"/>
      <c r="M65" s="67" t="n"/>
    </row>
    <row r="66">
      <c r="B66" s="67" t="n"/>
      <c r="C66" s="67" t="n"/>
      <c r="E66" s="67" t="n"/>
      <c r="F66" s="67" t="n"/>
      <c r="G66" s="67" t="n"/>
      <c r="J66" s="67" t="n"/>
      <c r="L66" s="67" t="n"/>
      <c r="M66" s="67" t="n"/>
    </row>
    <row r="67">
      <c r="B67" s="67" t="n"/>
      <c r="C67" s="67" t="n"/>
      <c r="E67" s="67" t="n"/>
      <c r="F67" s="67" t="n"/>
      <c r="G67" s="67" t="n"/>
      <c r="J67" s="67" t="n"/>
      <c r="L67" s="67" t="n"/>
      <c r="M67" s="67" t="n"/>
    </row>
    <row r="68">
      <c r="B68" s="67" t="n"/>
      <c r="C68" s="67" t="n"/>
      <c r="E68" s="67" t="n"/>
      <c r="F68" s="67" t="n"/>
      <c r="G68" s="67" t="n"/>
      <c r="J68" s="67" t="n"/>
      <c r="L68" s="67" t="n"/>
      <c r="M68" s="67" t="n"/>
    </row>
    <row r="69">
      <c r="B69" s="67" t="n"/>
      <c r="C69" s="67" t="n"/>
      <c r="E69" s="67" t="n"/>
      <c r="F69" s="67" t="n"/>
      <c r="G69" s="67" t="n"/>
      <c r="J69" s="67" t="n"/>
      <c r="L69" s="67" t="n"/>
      <c r="M69" s="67" t="n"/>
    </row>
    <row r="70">
      <c r="B70" s="67" t="n"/>
      <c r="C70" s="67" t="n"/>
      <c r="E70" s="67" t="n"/>
      <c r="F70" s="67" t="n"/>
      <c r="G70" s="67" t="n"/>
      <c r="J70" s="67" t="n"/>
      <c r="L70" s="67" t="n"/>
      <c r="M70" s="67" t="n"/>
    </row>
    <row r="71">
      <c r="B71" s="67" t="n"/>
      <c r="C71" s="67" t="n"/>
      <c r="E71" s="67" t="n"/>
      <c r="F71" s="67" t="n"/>
      <c r="G71" s="67" t="n"/>
      <c r="J71" s="67" t="n"/>
      <c r="L71" s="67" t="n"/>
      <c r="M71" s="67" t="n"/>
    </row>
    <row r="72">
      <c r="B72" s="67" t="n"/>
      <c r="C72" s="67" t="n"/>
      <c r="E72" s="67" t="n"/>
      <c r="F72" s="67" t="n"/>
      <c r="G72" s="67" t="n"/>
      <c r="J72" s="67" t="n"/>
      <c r="L72" s="67" t="n"/>
      <c r="M72" s="67" t="n"/>
    </row>
    <row r="73">
      <c r="B73" s="67" t="n"/>
      <c r="C73" s="67" t="n"/>
      <c r="E73" s="67" t="n"/>
      <c r="F73" s="67" t="n"/>
      <c r="G73" s="67" t="n"/>
      <c r="J73" s="67" t="n"/>
      <c r="L73" s="67" t="n"/>
      <c r="M73" s="67" t="n"/>
    </row>
    <row r="74">
      <c r="B74" s="67" t="n"/>
      <c r="C74" s="67" t="n"/>
      <c r="E74" s="67" t="n"/>
      <c r="F74" s="67" t="n"/>
      <c r="G74" s="67" t="n"/>
      <c r="J74" s="67" t="n"/>
      <c r="L74" s="67" t="n"/>
      <c r="M74" s="67" t="n"/>
    </row>
    <row r="75">
      <c r="B75" s="67" t="n"/>
      <c r="C75" s="67" t="n"/>
      <c r="E75" s="67" t="n"/>
      <c r="F75" s="67" t="n"/>
      <c r="G75" s="67" t="n"/>
      <c r="J75" s="67" t="n"/>
      <c r="L75" s="67" t="n"/>
      <c r="M75" s="67" t="n"/>
    </row>
    <row r="76">
      <c r="B76" s="67" t="n"/>
      <c r="C76" s="67" t="n"/>
      <c r="E76" s="67" t="n"/>
      <c r="F76" s="67" t="n"/>
      <c r="G76" s="67" t="n"/>
      <c r="J76" s="67" t="n"/>
      <c r="L76" s="67" t="n"/>
      <c r="M76" s="67" t="n"/>
    </row>
    <row r="77">
      <c r="B77" s="67" t="n"/>
      <c r="C77" s="67" t="n"/>
      <c r="E77" s="67" t="n"/>
      <c r="F77" s="67" t="n"/>
      <c r="G77" s="67" t="n"/>
      <c r="J77" s="67" t="n"/>
      <c r="L77" s="67" t="n"/>
      <c r="M77" s="67" t="n"/>
    </row>
    <row r="78">
      <c r="B78" s="67" t="n"/>
      <c r="C78" s="67" t="n"/>
      <c r="E78" s="67" t="n"/>
      <c r="F78" s="67" t="n"/>
      <c r="G78" s="67" t="n"/>
      <c r="J78" s="67" t="n"/>
      <c r="L78" s="67" t="n"/>
      <c r="M78" s="67" t="n"/>
    </row>
    <row r="79">
      <c r="B79" s="67" t="n"/>
      <c r="C79" s="67" t="n"/>
      <c r="E79" s="67" t="n"/>
      <c r="F79" s="67" t="n"/>
      <c r="G79" s="67" t="n"/>
      <c r="J79" s="67" t="n"/>
      <c r="L79" s="67" t="n"/>
      <c r="M79" s="67" t="n"/>
    </row>
    <row r="80">
      <c r="B80" s="67" t="n"/>
      <c r="C80" s="67" t="n"/>
      <c r="E80" s="67" t="n"/>
      <c r="F80" s="67" t="n"/>
      <c r="G80" s="67" t="n"/>
      <c r="J80" s="67" t="n"/>
      <c r="L80" s="67" t="n"/>
      <c r="M80" s="67" t="n"/>
    </row>
    <row r="81">
      <c r="B81" s="67" t="n"/>
      <c r="C81" s="67" t="n"/>
      <c r="E81" s="67" t="n"/>
      <c r="F81" s="67" t="n"/>
      <c r="G81" s="67" t="n"/>
      <c r="J81" s="67" t="n"/>
      <c r="L81" s="67" t="n"/>
      <c r="M81" s="67" t="n"/>
    </row>
    <row r="82">
      <c r="B82" s="67" t="n"/>
      <c r="C82" s="67" t="n"/>
      <c r="E82" s="67" t="n"/>
      <c r="F82" s="67" t="n"/>
      <c r="G82" s="67" t="n"/>
      <c r="J82" s="67" t="n"/>
      <c r="L82" s="67" t="n"/>
      <c r="M82" s="67" t="n"/>
    </row>
    <row r="83">
      <c r="B83" s="67" t="n"/>
      <c r="C83" s="67" t="n"/>
      <c r="E83" s="67" t="n"/>
      <c r="F83" s="67" t="n"/>
      <c r="G83" s="67" t="n"/>
      <c r="J83" s="67" t="n"/>
      <c r="L83" s="67" t="n"/>
      <c r="M83" s="67" t="n"/>
    </row>
    <row r="84">
      <c r="B84" s="67" t="n"/>
      <c r="C84" s="67" t="n"/>
      <c r="E84" s="67" t="n"/>
      <c r="F84" s="67" t="n"/>
      <c r="G84" s="67" t="n"/>
      <c r="J84" s="67" t="n"/>
      <c r="L84" s="67" t="n"/>
      <c r="M84" s="67" t="n"/>
    </row>
    <row r="85">
      <c r="B85" s="67" t="n"/>
      <c r="C85" s="67" t="n"/>
      <c r="E85" s="67" t="n"/>
      <c r="F85" s="67" t="n"/>
      <c r="G85" s="67" t="n"/>
      <c r="J85" s="67" t="n"/>
      <c r="L85" s="67" t="n"/>
      <c r="M85" s="67" t="n"/>
    </row>
    <row r="86">
      <c r="B86" s="67" t="n"/>
      <c r="C86" s="67" t="n"/>
      <c r="E86" s="67" t="n"/>
      <c r="F86" s="67" t="n"/>
      <c r="G86" s="67" t="n"/>
      <c r="J86" s="67" t="n"/>
      <c r="L86" s="67" t="n"/>
      <c r="M86" s="67" t="n"/>
    </row>
    <row r="87">
      <c r="B87" s="67" t="n"/>
      <c r="C87" s="67" t="n"/>
      <c r="E87" s="67" t="n"/>
      <c r="F87" s="67" t="n"/>
      <c r="G87" s="67" t="n"/>
      <c r="J87" s="67" t="n"/>
      <c r="L87" s="67" t="n"/>
      <c r="M87" s="67" t="n"/>
    </row>
    <row r="88">
      <c r="B88" s="67" t="n"/>
      <c r="C88" s="67" t="n"/>
      <c r="E88" s="67" t="n"/>
      <c r="F88" s="67" t="n"/>
      <c r="G88" s="67" t="n"/>
      <c r="J88" s="67" t="n"/>
      <c r="L88" s="67" t="n"/>
      <c r="M88" s="67" t="n"/>
    </row>
    <row r="89">
      <c r="B89" s="67" t="n"/>
      <c r="C89" s="67" t="n"/>
      <c r="E89" s="67" t="n"/>
      <c r="F89" s="67" t="n"/>
      <c r="G89" s="67" t="n"/>
      <c r="J89" s="67" t="n"/>
      <c r="L89" s="67" t="n"/>
      <c r="M89" s="67" t="n"/>
    </row>
    <row r="90">
      <c r="B90" s="67" t="n"/>
      <c r="C90" s="67" t="n"/>
      <c r="E90" s="67" t="n"/>
      <c r="F90" s="67" t="n"/>
      <c r="G90" s="67" t="n"/>
      <c r="J90" s="67" t="n"/>
      <c r="L90" s="67" t="n"/>
      <c r="M90" s="67" t="n"/>
    </row>
    <row r="91">
      <c r="B91" s="67" t="n"/>
      <c r="C91" s="67" t="n"/>
      <c r="E91" s="67" t="n"/>
      <c r="F91" s="67" t="n"/>
      <c r="G91" s="67" t="n"/>
      <c r="J91" s="67" t="n"/>
      <c r="L91" s="67" t="n"/>
      <c r="M91" s="67" t="n"/>
    </row>
    <row r="92">
      <c r="B92" s="67" t="n"/>
      <c r="C92" s="67" t="n"/>
      <c r="E92" s="67" t="n"/>
      <c r="F92" s="67" t="n"/>
      <c r="G92" s="67" t="n"/>
      <c r="J92" s="67" t="n"/>
      <c r="L92" s="67" t="n"/>
      <c r="M92" s="67" t="n"/>
    </row>
    <row r="93">
      <c r="B93" s="67" t="n"/>
      <c r="C93" s="67" t="n"/>
      <c r="E93" s="67" t="n"/>
      <c r="F93" s="67" t="n"/>
      <c r="G93" s="67" t="n"/>
      <c r="J93" s="67" t="n"/>
      <c r="L93" s="67" t="n"/>
      <c r="M93" s="67" t="n"/>
    </row>
    <row r="94">
      <c r="B94" s="67" t="n"/>
      <c r="C94" s="67" t="n"/>
      <c r="E94" s="67" t="n"/>
      <c r="F94" s="67" t="n"/>
      <c r="G94" s="67" t="n"/>
      <c r="J94" s="67" t="n"/>
      <c r="L94" s="67" t="n"/>
      <c r="M94" s="67" t="n"/>
    </row>
    <row r="95">
      <c r="B95" s="67" t="n"/>
      <c r="C95" s="67" t="n"/>
      <c r="E95" s="67" t="n"/>
      <c r="F95" s="67" t="n"/>
      <c r="G95" s="67" t="n"/>
      <c r="J95" s="67" t="n"/>
      <c r="L95" s="67" t="n"/>
      <c r="M95" s="67" t="n"/>
    </row>
    <row r="96">
      <c r="B96" s="67" t="n"/>
      <c r="C96" s="67" t="n"/>
      <c r="E96" s="67" t="n"/>
      <c r="F96" s="67" t="n"/>
      <c r="G96" s="67" t="n"/>
      <c r="J96" s="67" t="n"/>
      <c r="L96" s="67" t="n"/>
      <c r="M96" s="67" t="n"/>
    </row>
    <row r="97">
      <c r="B97" s="67" t="n"/>
      <c r="C97" s="67" t="n"/>
      <c r="E97" s="67" t="n"/>
      <c r="F97" s="67" t="n"/>
      <c r="G97" s="67" t="n"/>
      <c r="J97" s="67" t="n"/>
      <c r="L97" s="67" t="n"/>
      <c r="M97" s="67" t="n"/>
    </row>
    <row r="98">
      <c r="B98" s="67" t="n"/>
      <c r="C98" s="67" t="n"/>
      <c r="E98" s="67" t="n"/>
      <c r="F98" s="67" t="n"/>
      <c r="G98" s="67" t="n"/>
      <c r="J98" s="67" t="n"/>
      <c r="L98" s="67" t="n"/>
      <c r="M98" s="67" t="n"/>
    </row>
    <row r="99">
      <c r="B99" s="67" t="n"/>
      <c r="C99" s="67" t="n"/>
      <c r="E99" s="67" t="n"/>
      <c r="F99" s="67" t="n"/>
      <c r="G99" s="67" t="n"/>
      <c r="J99" s="67" t="n"/>
      <c r="L99" s="67" t="n"/>
      <c r="M99" s="67" t="n"/>
    </row>
    <row r="100">
      <c r="B100" s="67" t="n"/>
      <c r="C100" s="67" t="n"/>
      <c r="E100" s="67" t="n"/>
      <c r="F100" s="67" t="n"/>
      <c r="G100" s="67" t="n"/>
      <c r="J100" s="67" t="n"/>
      <c r="L100" s="67" t="n"/>
      <c r="M100" s="67" t="n"/>
    </row>
    <row r="101">
      <c r="B101" s="67" t="n"/>
      <c r="C101" s="67" t="n"/>
      <c r="E101" s="67" t="n"/>
      <c r="F101" s="67" t="n"/>
      <c r="G101" s="67" t="n"/>
      <c r="J101" s="67" t="n"/>
      <c r="L101" s="67" t="n"/>
      <c r="M101" s="67" t="n"/>
    </row>
    <row r="102">
      <c r="B102" s="67" t="n"/>
      <c r="C102" s="67" t="n"/>
      <c r="E102" s="67" t="n"/>
      <c r="F102" s="67" t="n"/>
      <c r="G102" s="67" t="n"/>
      <c r="J102" s="67" t="n"/>
      <c r="L102" s="67" t="n"/>
      <c r="M102" s="67" t="n"/>
    </row>
    <row r="103">
      <c r="B103" s="67" t="n"/>
      <c r="C103" s="67" t="n"/>
      <c r="E103" s="67" t="n"/>
      <c r="F103" s="67" t="n"/>
      <c r="G103" s="67" t="n"/>
      <c r="J103" s="67" t="n"/>
      <c r="L103" s="67" t="n"/>
      <c r="M103" s="67" t="n"/>
    </row>
    <row r="104">
      <c r="B104" s="67" t="n"/>
      <c r="C104" s="67" t="n"/>
      <c r="E104" s="67" t="n"/>
      <c r="F104" s="67" t="n"/>
      <c r="G104" s="67" t="n"/>
      <c r="J104" s="67" t="n"/>
      <c r="L104" s="67" t="n"/>
      <c r="M104" s="67" t="n"/>
    </row>
    <row r="105">
      <c r="B105" s="67" t="n"/>
      <c r="C105" s="67" t="n"/>
      <c r="E105" s="67" t="n"/>
      <c r="F105" s="67" t="n"/>
      <c r="G105" s="67" t="n"/>
      <c r="J105" s="67" t="n"/>
      <c r="L105" s="67" t="n"/>
      <c r="M105" s="67" t="n"/>
    </row>
    <row r="106">
      <c r="B106" s="67" t="n"/>
      <c r="C106" s="67" t="n"/>
      <c r="E106" s="67" t="n"/>
      <c r="F106" s="67" t="n"/>
      <c r="G106" s="67" t="n"/>
      <c r="J106" s="67" t="n"/>
      <c r="L106" s="67" t="n"/>
      <c r="M106" s="67" t="n"/>
    </row>
    <row r="107">
      <c r="B107" s="67" t="n"/>
      <c r="C107" s="67" t="n"/>
      <c r="E107" s="67" t="n"/>
      <c r="F107" s="67" t="n"/>
      <c r="G107" s="67" t="n"/>
      <c r="J107" s="67" t="n"/>
      <c r="L107" s="67" t="n"/>
      <c r="M107" s="67" t="n"/>
    </row>
    <row r="108">
      <c r="B108" s="67" t="n"/>
      <c r="C108" s="67" t="n"/>
      <c r="E108" s="67" t="n"/>
      <c r="F108" s="67" t="n"/>
      <c r="G108" s="67" t="n"/>
      <c r="J108" s="67" t="n"/>
      <c r="L108" s="67" t="n"/>
      <c r="M108" s="67" t="n"/>
    </row>
    <row r="109">
      <c r="B109" s="67" t="n"/>
      <c r="C109" s="67" t="n"/>
      <c r="E109" s="67" t="n"/>
      <c r="F109" s="67" t="n"/>
      <c r="G109" s="67" t="n"/>
      <c r="J109" s="67" t="n"/>
      <c r="L109" s="67" t="n"/>
      <c r="M109" s="67" t="n"/>
    </row>
    <row r="110">
      <c r="B110" s="67" t="n"/>
      <c r="C110" s="67" t="n"/>
      <c r="E110" s="67" t="n"/>
      <c r="F110" s="67" t="n"/>
      <c r="G110" s="67" t="n"/>
      <c r="J110" s="67" t="n"/>
      <c r="L110" s="67" t="n"/>
      <c r="M110" s="67" t="n"/>
    </row>
    <row r="111">
      <c r="B111" s="67" t="n"/>
      <c r="C111" s="67" t="n"/>
      <c r="E111" s="67" t="n"/>
      <c r="F111" s="67" t="n"/>
      <c r="G111" s="67" t="n"/>
      <c r="J111" s="67" t="n"/>
      <c r="L111" s="67" t="n"/>
      <c r="M111" s="67" t="n"/>
    </row>
    <row r="112">
      <c r="B112" s="67" t="n"/>
      <c r="C112" s="67" t="n"/>
      <c r="E112" s="67" t="n"/>
      <c r="F112" s="67" t="n"/>
      <c r="G112" s="67" t="n"/>
      <c r="J112" s="67" t="n"/>
      <c r="L112" s="67" t="n"/>
      <c r="M112" s="67" t="n"/>
    </row>
    <row r="113">
      <c r="B113" s="67" t="n"/>
      <c r="C113" s="67" t="n"/>
      <c r="E113" s="67" t="n"/>
      <c r="F113" s="67" t="n"/>
      <c r="G113" s="67" t="n"/>
      <c r="J113" s="67" t="n"/>
      <c r="L113" s="67" t="n"/>
      <c r="M113" s="67" t="n"/>
    </row>
    <row r="114">
      <c r="B114" s="67" t="n"/>
      <c r="C114" s="67" t="n"/>
      <c r="E114" s="67" t="n"/>
      <c r="F114" s="67" t="n"/>
      <c r="G114" s="67" t="n"/>
      <c r="J114" s="67" t="n"/>
      <c r="L114" s="67" t="n"/>
      <c r="M114" s="67" t="n"/>
    </row>
    <row r="115">
      <c r="B115" s="67" t="n"/>
      <c r="C115" s="67" t="n"/>
      <c r="E115" s="67" t="n"/>
      <c r="F115" s="67" t="n"/>
      <c r="G115" s="67" t="n"/>
      <c r="J115" s="67" t="n"/>
      <c r="L115" s="67" t="n"/>
      <c r="M115" s="67" t="n"/>
    </row>
    <row r="116">
      <c r="B116" s="67" t="n"/>
      <c r="C116" s="67" t="n"/>
      <c r="E116" s="67" t="n"/>
      <c r="F116" s="67" t="n"/>
      <c r="G116" s="67" t="n"/>
      <c r="J116" s="67" t="n"/>
      <c r="L116" s="67" t="n"/>
      <c r="M116" s="67" t="n"/>
    </row>
    <row r="117">
      <c r="B117" s="67" t="n"/>
      <c r="C117" s="67" t="n"/>
      <c r="E117" s="67" t="n"/>
      <c r="F117" s="67" t="n"/>
      <c r="G117" s="67" t="n"/>
      <c r="J117" s="67" t="n"/>
      <c r="L117" s="67" t="n"/>
      <c r="M117" s="67" t="n"/>
    </row>
    <row r="118">
      <c r="B118" s="67" t="n"/>
      <c r="C118" s="67" t="n"/>
      <c r="E118" s="67" t="n"/>
      <c r="F118" s="67" t="n"/>
      <c r="G118" s="67" t="n"/>
      <c r="J118" s="67" t="n"/>
      <c r="L118" s="67" t="n"/>
      <c r="M118" s="67" t="n"/>
    </row>
    <row r="119">
      <c r="B119" s="67" t="n"/>
      <c r="C119" s="67" t="n"/>
      <c r="E119" s="67" t="n"/>
      <c r="F119" s="67" t="n"/>
      <c r="G119" s="67" t="n"/>
      <c r="J119" s="67" t="n"/>
      <c r="L119" s="67" t="n"/>
      <c r="M119" s="67" t="n"/>
    </row>
    <row r="120">
      <c r="B120" s="67" t="n"/>
      <c r="C120" s="67" t="n"/>
      <c r="E120" s="67" t="n"/>
      <c r="F120" s="67" t="n"/>
      <c r="G120" s="67" t="n"/>
      <c r="J120" s="67" t="n"/>
      <c r="L120" s="67" t="n"/>
      <c r="M120" s="67" t="n"/>
    </row>
    <row r="121">
      <c r="B121" s="67" t="n"/>
      <c r="C121" s="67" t="n"/>
      <c r="E121" s="67" t="n"/>
      <c r="F121" s="67" t="n"/>
      <c r="G121" s="67" t="n"/>
      <c r="J121" s="67" t="n"/>
      <c r="L121" s="67" t="n"/>
      <c r="M121" s="67" t="n"/>
    </row>
    <row r="122">
      <c r="B122" s="67" t="n"/>
      <c r="C122" s="67" t="n"/>
      <c r="E122" s="67" t="n"/>
      <c r="F122" s="67" t="n"/>
      <c r="G122" s="67" t="n"/>
      <c r="J122" s="67" t="n"/>
      <c r="L122" s="67" t="n"/>
      <c r="M122" s="67" t="n"/>
    </row>
    <row r="123">
      <c r="B123" s="67" t="n"/>
      <c r="C123" s="67" t="n"/>
      <c r="E123" s="67" t="n"/>
      <c r="F123" s="67" t="n"/>
      <c r="G123" s="67" t="n"/>
      <c r="J123" s="67" t="n"/>
      <c r="L123" s="67" t="n"/>
      <c r="M123" s="67" t="n"/>
    </row>
    <row r="124">
      <c r="B124" s="67" t="n"/>
      <c r="C124" s="67" t="n"/>
      <c r="E124" s="67" t="n"/>
      <c r="F124" s="67" t="n"/>
      <c r="G124" s="67" t="n"/>
      <c r="J124" s="67" t="n"/>
      <c r="L124" s="67" t="n"/>
      <c r="M124" s="67" t="n"/>
    </row>
    <row r="125">
      <c r="B125" s="67" t="n"/>
      <c r="C125" s="67" t="n"/>
      <c r="E125" s="67" t="n"/>
      <c r="F125" s="67" t="n"/>
      <c r="G125" s="67" t="n"/>
      <c r="J125" s="67" t="n"/>
      <c r="L125" s="67" t="n"/>
      <c r="M125" s="67" t="n"/>
    </row>
    <row r="126">
      <c r="B126" s="67" t="n"/>
      <c r="C126" s="67" t="n"/>
      <c r="E126" s="67" t="n"/>
      <c r="F126" s="67" t="n"/>
      <c r="G126" s="67" t="n"/>
      <c r="J126" s="67" t="n"/>
      <c r="L126" s="67" t="n"/>
      <c r="M126" s="67" t="n"/>
    </row>
    <row r="127">
      <c r="B127" s="67" t="n"/>
      <c r="C127" s="67" t="n"/>
      <c r="E127" s="67" t="n"/>
      <c r="F127" s="67" t="n"/>
      <c r="G127" s="67" t="n"/>
      <c r="J127" s="67" t="n"/>
      <c r="L127" s="67" t="n"/>
      <c r="M127" s="67" t="n"/>
    </row>
    <row r="128">
      <c r="B128" s="67" t="n"/>
      <c r="C128" s="67" t="n"/>
      <c r="E128" s="67" t="n"/>
      <c r="F128" s="67" t="n"/>
      <c r="G128" s="67" t="n"/>
      <c r="J128" s="67" t="n"/>
      <c r="L128" s="67" t="n"/>
      <c r="M128" s="67" t="n"/>
    </row>
    <row r="129">
      <c r="B129" s="67" t="n"/>
      <c r="C129" s="67" t="n"/>
      <c r="E129" s="67" t="n"/>
      <c r="F129" s="67" t="n"/>
      <c r="G129" s="67" t="n"/>
      <c r="J129" s="67" t="n"/>
      <c r="L129" s="67" t="n"/>
      <c r="M129" s="67" t="n"/>
    </row>
    <row r="130">
      <c r="B130" s="67" t="n"/>
      <c r="C130" s="67" t="n"/>
      <c r="E130" s="67" t="n"/>
      <c r="F130" s="67" t="n"/>
      <c r="G130" s="67" t="n"/>
      <c r="J130" s="67" t="n"/>
      <c r="L130" s="67" t="n"/>
      <c r="M130" s="67" t="n"/>
    </row>
    <row r="131">
      <c r="B131" s="67" t="n"/>
      <c r="C131" s="67" t="n"/>
      <c r="E131" s="67" t="n"/>
      <c r="F131" s="67" t="n"/>
      <c r="G131" s="67" t="n"/>
      <c r="J131" s="67" t="n"/>
      <c r="L131" s="67" t="n"/>
      <c r="M131" s="67" t="n"/>
    </row>
    <row r="132">
      <c r="B132" s="67" t="n"/>
      <c r="C132" s="67" t="n"/>
      <c r="E132" s="67" t="n"/>
      <c r="F132" s="67" t="n"/>
      <c r="G132" s="67" t="n"/>
      <c r="J132" s="67" t="n"/>
      <c r="L132" s="67" t="n"/>
      <c r="M132" s="67" t="n"/>
    </row>
    <row r="133">
      <c r="B133" s="67" t="n"/>
      <c r="C133" s="67" t="n"/>
      <c r="E133" s="67" t="n"/>
      <c r="F133" s="67" t="n"/>
      <c r="G133" s="67" t="n"/>
      <c r="J133" s="67" t="n"/>
      <c r="L133" s="67" t="n"/>
      <c r="M133" s="67" t="n"/>
    </row>
    <row r="134">
      <c r="B134" s="67" t="n"/>
      <c r="C134" s="67" t="n"/>
      <c r="E134" s="67" t="n"/>
      <c r="F134" s="67" t="n"/>
      <c r="G134" s="67" t="n"/>
      <c r="J134" s="67" t="n"/>
      <c r="L134" s="67" t="n"/>
      <c r="M134" s="67" t="n"/>
    </row>
    <row r="135">
      <c r="B135" s="67" t="n"/>
      <c r="C135" s="67" t="n"/>
      <c r="E135" s="67" t="n"/>
      <c r="F135" s="67" t="n"/>
      <c r="G135" s="67" t="n"/>
      <c r="J135" s="67" t="n"/>
      <c r="L135" s="67" t="n"/>
      <c r="M135" s="67" t="n"/>
    </row>
    <row r="136">
      <c r="B136" s="67" t="n"/>
      <c r="C136" s="67" t="n"/>
      <c r="E136" s="67" t="n"/>
      <c r="F136" s="67" t="n"/>
      <c r="G136" s="67" t="n"/>
      <c r="J136" s="67" t="n"/>
      <c r="L136" s="67" t="n"/>
      <c r="M136" s="67" t="n"/>
    </row>
    <row r="137">
      <c r="B137" s="67" t="n"/>
      <c r="C137" s="67" t="n"/>
      <c r="E137" s="67" t="n"/>
      <c r="F137" s="67" t="n"/>
      <c r="G137" s="67" t="n"/>
      <c r="J137" s="67" t="n"/>
      <c r="L137" s="67" t="n"/>
      <c r="M137" s="67" t="n"/>
    </row>
    <row r="138">
      <c r="B138" s="67" t="n"/>
      <c r="C138" s="67" t="n"/>
      <c r="E138" s="67" t="n"/>
      <c r="F138" s="67" t="n"/>
      <c r="G138" s="67" t="n"/>
      <c r="J138" s="67" t="n"/>
      <c r="L138" s="67" t="n"/>
      <c r="M138" s="67" t="n"/>
    </row>
    <row r="139">
      <c r="B139" s="67" t="n"/>
      <c r="C139" s="67" t="n"/>
      <c r="E139" s="67" t="n"/>
      <c r="F139" s="67" t="n"/>
      <c r="G139" s="67" t="n"/>
      <c r="J139" s="67" t="n"/>
      <c r="L139" s="67" t="n"/>
      <c r="M139" s="67" t="n"/>
    </row>
    <row r="140">
      <c r="B140" s="67" t="n"/>
      <c r="C140" s="67" t="n"/>
      <c r="E140" s="67" t="n"/>
      <c r="F140" s="67" t="n"/>
      <c r="G140" s="67" t="n"/>
      <c r="J140" s="67" t="n"/>
      <c r="L140" s="67" t="n"/>
      <c r="M140" s="67" t="n"/>
    </row>
    <row r="141">
      <c r="B141" s="67" t="n"/>
      <c r="C141" s="67" t="n"/>
      <c r="E141" s="67" t="n"/>
      <c r="F141" s="67" t="n"/>
      <c r="G141" s="67" t="n"/>
      <c r="J141" s="67" t="n"/>
      <c r="L141" s="67" t="n"/>
      <c r="M141" s="67" t="n"/>
    </row>
    <row r="142">
      <c r="B142" s="67" t="n"/>
      <c r="C142" s="67" t="n"/>
      <c r="E142" s="67" t="n"/>
      <c r="F142" s="67" t="n"/>
      <c r="G142" s="67" t="n"/>
      <c r="J142" s="67" t="n"/>
      <c r="L142" s="67" t="n"/>
      <c r="M142" s="67" t="n"/>
    </row>
    <row r="143">
      <c r="B143" s="67" t="n"/>
      <c r="C143" s="67" t="n"/>
      <c r="E143" s="67" t="n"/>
      <c r="F143" s="67" t="n"/>
      <c r="G143" s="67" t="n"/>
      <c r="J143" s="67" t="n"/>
      <c r="L143" s="67" t="n"/>
      <c r="M143" s="67" t="n"/>
    </row>
    <row r="144">
      <c r="B144" s="67" t="n"/>
      <c r="C144" s="67" t="n"/>
      <c r="E144" s="67" t="n"/>
      <c r="F144" s="67" t="n"/>
      <c r="G144" s="67" t="n"/>
      <c r="J144" s="67" t="n"/>
      <c r="L144" s="67" t="n"/>
      <c r="M144" s="67" t="n"/>
    </row>
    <row r="145">
      <c r="B145" s="67" t="n"/>
      <c r="C145" s="67" t="n"/>
      <c r="E145" s="67" t="n"/>
      <c r="F145" s="67" t="n"/>
      <c r="G145" s="67" t="n"/>
      <c r="J145" s="67" t="n"/>
      <c r="L145" s="67" t="n"/>
      <c r="M145" s="67" t="n"/>
    </row>
    <row r="146">
      <c r="B146" s="67" t="n"/>
      <c r="C146" s="67" t="n"/>
      <c r="E146" s="67" t="n"/>
      <c r="F146" s="67" t="n"/>
      <c r="G146" s="67" t="n"/>
      <c r="J146" s="67" t="n"/>
      <c r="L146" s="67" t="n"/>
      <c r="M146" s="67" t="n"/>
    </row>
    <row r="147">
      <c r="B147" s="67" t="n"/>
      <c r="C147" s="67" t="n"/>
      <c r="E147" s="67" t="n"/>
      <c r="F147" s="67" t="n"/>
      <c r="G147" s="67" t="n"/>
      <c r="J147" s="67" t="n"/>
      <c r="L147" s="67" t="n"/>
      <c r="M147" s="67" t="n"/>
    </row>
    <row r="148">
      <c r="B148" s="67" t="n"/>
      <c r="C148" s="67" t="n"/>
      <c r="E148" s="67" t="n"/>
      <c r="F148" s="67" t="n"/>
      <c r="G148" s="67" t="n"/>
      <c r="J148" s="67" t="n"/>
      <c r="L148" s="67" t="n"/>
      <c r="M148" s="67" t="n"/>
    </row>
    <row r="149">
      <c r="B149" s="67" t="n"/>
      <c r="C149" s="67" t="n"/>
      <c r="E149" s="67" t="n"/>
      <c r="F149" s="67" t="n"/>
      <c r="G149" s="67" t="n"/>
      <c r="J149" s="67" t="n"/>
      <c r="L149" s="67" t="n"/>
      <c r="M149" s="67" t="n"/>
    </row>
    <row r="150">
      <c r="B150" s="67" t="n"/>
      <c r="C150" s="67" t="n"/>
      <c r="E150" s="67" t="n"/>
      <c r="F150" s="67" t="n"/>
      <c r="G150" s="67" t="n"/>
      <c r="J150" s="67" t="n"/>
      <c r="L150" s="67" t="n"/>
      <c r="M150" s="67" t="n"/>
    </row>
    <row r="151">
      <c r="B151" s="67" t="n"/>
      <c r="C151" s="67" t="n"/>
      <c r="E151" s="67" t="n"/>
      <c r="F151" s="67" t="n"/>
      <c r="G151" s="67" t="n"/>
      <c r="J151" s="67" t="n"/>
      <c r="L151" s="67" t="n"/>
      <c r="M151" s="67" t="n"/>
    </row>
    <row r="152">
      <c r="B152" s="67" t="n"/>
      <c r="C152" s="67" t="n"/>
      <c r="E152" s="67" t="n"/>
      <c r="F152" s="67" t="n"/>
      <c r="G152" s="67" t="n"/>
      <c r="J152" s="67" t="n"/>
      <c r="L152" s="67" t="n"/>
      <c r="M152" s="67" t="n"/>
    </row>
    <row r="153">
      <c r="B153" s="67" t="n"/>
      <c r="C153" s="67" t="n"/>
      <c r="E153" s="67" t="n"/>
      <c r="F153" s="67" t="n"/>
      <c r="G153" s="67" t="n"/>
      <c r="J153" s="67" t="n"/>
      <c r="L153" s="67" t="n"/>
      <c r="M153" s="67" t="n"/>
    </row>
    <row r="154">
      <c r="B154" s="67" t="n"/>
      <c r="C154" s="67" t="n"/>
      <c r="E154" s="67" t="n"/>
      <c r="F154" s="67" t="n"/>
      <c r="G154" s="67" t="n"/>
      <c r="J154" s="67" t="n"/>
      <c r="L154" s="67" t="n"/>
      <c r="M154" s="67" t="n"/>
    </row>
    <row r="155">
      <c r="B155" s="67" t="n"/>
      <c r="C155" s="67" t="n"/>
      <c r="E155" s="67" t="n"/>
      <c r="F155" s="67" t="n"/>
      <c r="G155" s="67" t="n"/>
      <c r="J155" s="67" t="n"/>
      <c r="L155" s="67" t="n"/>
      <c r="M155" s="67" t="n"/>
    </row>
    <row r="156">
      <c r="B156" s="67" t="n"/>
      <c r="C156" s="67" t="n"/>
      <c r="E156" s="67" t="n"/>
      <c r="F156" s="67" t="n"/>
      <c r="G156" s="67" t="n"/>
      <c r="J156" s="67" t="n"/>
      <c r="L156" s="67" t="n"/>
      <c r="M156" s="67" t="n"/>
    </row>
    <row r="157">
      <c r="B157" s="67" t="n"/>
      <c r="C157" s="67" t="n"/>
      <c r="E157" s="67" t="n"/>
      <c r="F157" s="67" t="n"/>
      <c r="G157" s="67" t="n"/>
      <c r="J157" s="67" t="n"/>
      <c r="L157" s="67" t="n"/>
      <c r="M157" s="67" t="n"/>
    </row>
    <row r="158">
      <c r="B158" s="67" t="n"/>
      <c r="C158" s="67" t="n"/>
      <c r="E158" s="67" t="n"/>
      <c r="F158" s="67" t="n"/>
      <c r="G158" s="67" t="n"/>
      <c r="J158" s="67" t="n"/>
      <c r="L158" s="67" t="n"/>
      <c r="M158" s="67" t="n"/>
    </row>
    <row r="159">
      <c r="B159" s="67" t="n"/>
      <c r="C159" s="67" t="n"/>
      <c r="E159" s="67" t="n"/>
      <c r="F159" s="67" t="n"/>
      <c r="G159" s="67" t="n"/>
      <c r="J159" s="67" t="n"/>
      <c r="L159" s="67" t="n"/>
      <c r="M159" s="67" t="n"/>
    </row>
    <row r="160">
      <c r="B160" s="67" t="n"/>
      <c r="C160" s="67" t="n"/>
      <c r="E160" s="67" t="n"/>
      <c r="F160" s="67" t="n"/>
      <c r="G160" s="67" t="n"/>
      <c r="J160" s="67" t="n"/>
      <c r="L160" s="67" t="n"/>
      <c r="M160" s="67" t="n"/>
    </row>
    <row r="161">
      <c r="B161" s="67" t="n"/>
      <c r="C161" s="67" t="n"/>
      <c r="E161" s="67" t="n"/>
      <c r="F161" s="67" t="n"/>
      <c r="G161" s="67" t="n"/>
      <c r="J161" s="67" t="n"/>
      <c r="L161" s="67" t="n"/>
      <c r="M161" s="67" t="n"/>
    </row>
    <row r="162">
      <c r="B162" s="67" t="n"/>
      <c r="C162" s="67" t="n"/>
      <c r="E162" s="67" t="n"/>
      <c r="F162" s="67" t="n"/>
      <c r="G162" s="67" t="n"/>
      <c r="J162" s="67" t="n"/>
      <c r="L162" s="67" t="n"/>
      <c r="M162" s="67" t="n"/>
    </row>
    <row r="163">
      <c r="B163" s="67" t="n"/>
      <c r="C163" s="67" t="n"/>
      <c r="E163" s="67" t="n"/>
      <c r="F163" s="67" t="n"/>
      <c r="G163" s="67" t="n"/>
      <c r="J163" s="67" t="n"/>
      <c r="L163" s="67" t="n"/>
      <c r="M163" s="67" t="n"/>
    </row>
    <row r="164">
      <c r="B164" s="67" t="n"/>
      <c r="C164" s="67" t="n"/>
      <c r="E164" s="67" t="n"/>
      <c r="F164" s="67" t="n"/>
      <c r="G164" s="67" t="n"/>
      <c r="J164" s="67" t="n"/>
      <c r="L164" s="67" t="n"/>
      <c r="M164" s="67" t="n"/>
    </row>
    <row r="165">
      <c r="B165" s="67" t="n"/>
      <c r="C165" s="67" t="n"/>
      <c r="E165" s="67" t="n"/>
      <c r="F165" s="67" t="n"/>
      <c r="G165" s="67" t="n"/>
      <c r="J165" s="67" t="n"/>
      <c r="L165" s="67" t="n"/>
      <c r="M165" s="67" t="n"/>
    </row>
    <row r="166">
      <c r="B166" s="67" t="n"/>
      <c r="C166" s="67" t="n"/>
      <c r="E166" s="67" t="n"/>
      <c r="F166" s="67" t="n"/>
      <c r="G166" s="67" t="n"/>
      <c r="J166" s="67" t="n"/>
      <c r="L166" s="67" t="n"/>
      <c r="M166" s="67" t="n"/>
    </row>
    <row r="167">
      <c r="B167" s="67" t="n"/>
      <c r="C167" s="67" t="n"/>
      <c r="E167" s="67" t="n"/>
      <c r="F167" s="67" t="n"/>
      <c r="G167" s="67" t="n"/>
      <c r="J167" s="67" t="n"/>
      <c r="L167" s="67" t="n"/>
      <c r="M167" s="67" t="n"/>
    </row>
    <row r="168">
      <c r="B168" s="67" t="n"/>
      <c r="C168" s="67" t="n"/>
      <c r="E168" s="67" t="n"/>
      <c r="F168" s="67" t="n"/>
      <c r="G168" s="67" t="n"/>
      <c r="J168" s="67" t="n"/>
      <c r="L168" s="67" t="n"/>
      <c r="M168" s="67" t="n"/>
    </row>
    <row r="169">
      <c r="B169" s="67" t="n"/>
      <c r="C169" s="67" t="n"/>
      <c r="E169" s="67" t="n"/>
      <c r="F169" s="67" t="n"/>
      <c r="G169" s="67" t="n"/>
      <c r="J169" s="67" t="n"/>
      <c r="L169" s="67" t="n"/>
      <c r="M169" s="67" t="n"/>
    </row>
    <row r="170">
      <c r="B170" s="67" t="n"/>
      <c r="C170" s="67" t="n"/>
      <c r="E170" s="67" t="n"/>
      <c r="F170" s="67" t="n"/>
      <c r="G170" s="67" t="n"/>
      <c r="J170" s="67" t="n"/>
      <c r="L170" s="67" t="n"/>
      <c r="M170" s="67" t="n"/>
    </row>
    <row r="171">
      <c r="B171" s="67" t="n"/>
      <c r="C171" s="67" t="n"/>
      <c r="E171" s="67" t="n"/>
      <c r="F171" s="67" t="n"/>
      <c r="G171" s="67" t="n"/>
      <c r="J171" s="67" t="n"/>
      <c r="L171" s="67" t="n"/>
      <c r="M171" s="67" t="n"/>
    </row>
    <row r="172">
      <c r="B172" s="67" t="n"/>
      <c r="C172" s="67" t="n"/>
      <c r="E172" s="67" t="n"/>
      <c r="F172" s="67" t="n"/>
      <c r="G172" s="67" t="n"/>
      <c r="J172" s="67" t="n"/>
      <c r="L172" s="67" t="n"/>
      <c r="M172" s="67" t="n"/>
    </row>
    <row r="173">
      <c r="B173" s="67" t="n"/>
      <c r="C173" s="67" t="n"/>
      <c r="E173" s="67" t="n"/>
      <c r="F173" s="67" t="n"/>
      <c r="G173" s="67" t="n"/>
      <c r="J173" s="67" t="n"/>
      <c r="L173" s="67" t="n"/>
      <c r="M173" s="67" t="n"/>
    </row>
    <row r="174">
      <c r="B174" s="67" t="n"/>
      <c r="C174" s="67" t="n"/>
      <c r="E174" s="67" t="n"/>
      <c r="F174" s="67" t="n"/>
      <c r="G174" s="67" t="n"/>
      <c r="J174" s="67" t="n"/>
      <c r="L174" s="67" t="n"/>
      <c r="M174" s="67" t="n"/>
    </row>
    <row r="175">
      <c r="B175" s="67" t="n"/>
      <c r="C175" s="67" t="n"/>
      <c r="E175" s="67" t="n"/>
      <c r="F175" s="67" t="n"/>
      <c r="G175" s="67" t="n"/>
      <c r="J175" s="67" t="n"/>
      <c r="L175" s="67" t="n"/>
      <c r="M175" s="67" t="n"/>
    </row>
    <row r="176">
      <c r="B176" s="67" t="n"/>
      <c r="C176" s="67" t="n"/>
      <c r="E176" s="67" t="n"/>
      <c r="F176" s="67" t="n"/>
      <c r="G176" s="67" t="n"/>
      <c r="J176" s="67" t="n"/>
      <c r="L176" s="67" t="n"/>
      <c r="M176" s="67" t="n"/>
    </row>
    <row r="177">
      <c r="B177" s="67" t="n"/>
      <c r="C177" s="67" t="n"/>
      <c r="E177" s="67" t="n"/>
      <c r="F177" s="67" t="n"/>
      <c r="G177" s="67" t="n"/>
      <c r="J177" s="67" t="n"/>
      <c r="L177" s="67" t="n"/>
      <c r="M177" s="67" t="n"/>
    </row>
    <row r="178">
      <c r="B178" s="67" t="n"/>
      <c r="C178" s="67" t="n"/>
      <c r="E178" s="67" t="n"/>
      <c r="F178" s="67" t="n"/>
      <c r="G178" s="67" t="n"/>
      <c r="J178" s="67" t="n"/>
      <c r="L178" s="67" t="n"/>
      <c r="M178" s="67" t="n"/>
    </row>
    <row r="179">
      <c r="B179" s="67" t="n"/>
      <c r="C179" s="67" t="n"/>
      <c r="E179" s="67" t="n"/>
      <c r="F179" s="67" t="n"/>
      <c r="G179" s="67" t="n"/>
      <c r="J179" s="67" t="n"/>
      <c r="L179" s="67" t="n"/>
      <c r="M179" s="67" t="n"/>
    </row>
    <row r="180">
      <c r="B180" s="67" t="n"/>
      <c r="C180" s="67" t="n"/>
      <c r="E180" s="67" t="n"/>
      <c r="F180" s="67" t="n"/>
      <c r="G180" s="67" t="n"/>
      <c r="J180" s="67" t="n"/>
      <c r="L180" s="67" t="n"/>
      <c r="M180" s="67" t="n"/>
    </row>
    <row r="181">
      <c r="B181" s="67" t="n"/>
      <c r="C181" s="67" t="n"/>
      <c r="E181" s="67" t="n"/>
      <c r="F181" s="67" t="n"/>
      <c r="G181" s="67" t="n"/>
      <c r="J181" s="67" t="n"/>
      <c r="L181" s="67" t="n"/>
      <c r="M181" s="67" t="n"/>
    </row>
    <row r="182">
      <c r="B182" s="67" t="n"/>
      <c r="C182" s="67" t="n"/>
      <c r="E182" s="67" t="n"/>
      <c r="F182" s="67" t="n"/>
      <c r="G182" s="67" t="n"/>
      <c r="J182" s="67" t="n"/>
      <c r="L182" s="67" t="n"/>
      <c r="M182" s="67" t="n"/>
    </row>
    <row r="183">
      <c r="B183" s="67" t="n"/>
      <c r="C183" s="67" t="n"/>
      <c r="E183" s="67" t="n"/>
      <c r="F183" s="67" t="n"/>
      <c r="G183" s="67" t="n"/>
      <c r="J183" s="67" t="n"/>
      <c r="L183" s="67" t="n"/>
      <c r="M183" s="67" t="n"/>
    </row>
    <row r="184">
      <c r="B184" s="67" t="n"/>
      <c r="C184" s="67" t="n"/>
      <c r="E184" s="67" t="n"/>
      <c r="F184" s="67" t="n"/>
      <c r="G184" s="67" t="n"/>
      <c r="J184" s="67" t="n"/>
      <c r="L184" s="67" t="n"/>
      <c r="M184" s="67" t="n"/>
    </row>
    <row r="185">
      <c r="B185" s="67" t="n"/>
      <c r="C185" s="67" t="n"/>
      <c r="E185" s="67" t="n"/>
      <c r="F185" s="67" t="n"/>
      <c r="G185" s="67" t="n"/>
      <c r="J185" s="67" t="n"/>
      <c r="L185" s="67" t="n"/>
      <c r="M185" s="67" t="n"/>
    </row>
    <row r="186">
      <c r="B186" s="67" t="n"/>
      <c r="C186" s="67" t="n"/>
      <c r="E186" s="67" t="n"/>
      <c r="F186" s="67" t="n"/>
      <c r="G186" s="67" t="n"/>
      <c r="J186" s="67" t="n"/>
      <c r="L186" s="67" t="n"/>
      <c r="M186" s="67" t="n"/>
    </row>
    <row r="187">
      <c r="B187" s="67" t="n"/>
      <c r="C187" s="67" t="n"/>
      <c r="E187" s="67" t="n"/>
      <c r="F187" s="67" t="n"/>
      <c r="G187" s="67" t="n"/>
      <c r="J187" s="67" t="n"/>
      <c r="L187" s="67" t="n"/>
      <c r="M187" s="67" t="n"/>
    </row>
    <row r="188">
      <c r="B188" s="67" t="n"/>
      <c r="C188" s="67" t="n"/>
      <c r="E188" s="67" t="n"/>
      <c r="F188" s="67" t="n"/>
      <c r="G188" s="67" t="n"/>
      <c r="J188" s="67" t="n"/>
      <c r="L188" s="67" t="n"/>
      <c r="M188" s="67" t="n"/>
    </row>
    <row r="189">
      <c r="B189" s="67" t="n"/>
      <c r="C189" s="67" t="n"/>
      <c r="E189" s="67" t="n"/>
      <c r="F189" s="67" t="n"/>
      <c r="G189" s="67" t="n"/>
      <c r="J189" s="67" t="n"/>
      <c r="L189" s="67" t="n"/>
      <c r="M189" s="67" t="n"/>
    </row>
    <row r="190">
      <c r="B190" s="67" t="n"/>
      <c r="C190" s="67" t="n"/>
      <c r="E190" s="67" t="n"/>
      <c r="F190" s="67" t="n"/>
      <c r="G190" s="67" t="n"/>
      <c r="J190" s="67" t="n"/>
      <c r="L190" s="67" t="n"/>
      <c r="M190" s="67" t="n"/>
    </row>
    <row r="191">
      <c r="B191" s="67" t="n"/>
      <c r="C191" s="67" t="n"/>
      <c r="E191" s="67" t="n"/>
      <c r="F191" s="67" t="n"/>
      <c r="G191" s="67" t="n"/>
      <c r="J191" s="67" t="n"/>
      <c r="L191" s="67" t="n"/>
      <c r="M191" s="67" t="n"/>
    </row>
    <row r="192">
      <c r="B192" s="67" t="n"/>
      <c r="C192" s="67" t="n"/>
      <c r="E192" s="67" t="n"/>
      <c r="F192" s="67" t="n"/>
      <c r="G192" s="67" t="n"/>
      <c r="J192" s="67" t="n"/>
      <c r="L192" s="67" t="n"/>
      <c r="M192" s="67" t="n"/>
    </row>
    <row r="193">
      <c r="B193" s="67" t="n"/>
      <c r="C193" s="67" t="n"/>
      <c r="E193" s="67" t="n"/>
      <c r="F193" s="67" t="n"/>
      <c r="G193" s="67" t="n"/>
      <c r="J193" s="67" t="n"/>
      <c r="L193" s="67" t="n"/>
      <c r="M193" s="67" t="n"/>
    </row>
    <row r="194">
      <c r="B194" s="67" t="n"/>
      <c r="C194" s="67" t="n"/>
      <c r="E194" s="67" t="n"/>
      <c r="F194" s="67" t="n"/>
      <c r="G194" s="67" t="n"/>
      <c r="J194" s="67" t="n"/>
      <c r="L194" s="67" t="n"/>
      <c r="M194" s="67" t="n"/>
    </row>
    <row r="195">
      <c r="B195" s="67" t="n"/>
      <c r="C195" s="67" t="n"/>
      <c r="E195" s="67" t="n"/>
      <c r="F195" s="67" t="n"/>
      <c r="G195" s="67" t="n"/>
      <c r="J195" s="67" t="n"/>
      <c r="L195" s="67" t="n"/>
      <c r="M195" s="67" t="n"/>
    </row>
    <row r="196">
      <c r="B196" s="67" t="n"/>
      <c r="C196" s="67" t="n"/>
      <c r="E196" s="67" t="n"/>
      <c r="F196" s="67" t="n"/>
      <c r="G196" s="67" t="n"/>
      <c r="J196" s="67" t="n"/>
      <c r="L196" s="67" t="n"/>
      <c r="M196" s="67" t="n"/>
    </row>
    <row r="197">
      <c r="B197" s="67" t="n"/>
      <c r="C197" s="67" t="n"/>
      <c r="E197" s="67" t="n"/>
      <c r="F197" s="67" t="n"/>
      <c r="G197" s="67" t="n"/>
      <c r="J197" s="67" t="n"/>
      <c r="L197" s="67" t="n"/>
      <c r="M197" s="67" t="n"/>
    </row>
    <row r="198">
      <c r="B198" s="67" t="n"/>
      <c r="C198" s="67" t="n"/>
      <c r="E198" s="67" t="n"/>
      <c r="F198" s="67" t="n"/>
      <c r="G198" s="67" t="n"/>
      <c r="J198" s="67" t="n"/>
      <c r="L198" s="67" t="n"/>
      <c r="M198" s="67" t="n"/>
    </row>
    <row r="199">
      <c r="B199" s="67" t="n"/>
      <c r="C199" s="67" t="n"/>
      <c r="E199" s="67" t="n"/>
      <c r="F199" s="67" t="n"/>
      <c r="G199" s="67" t="n"/>
      <c r="J199" s="67" t="n"/>
      <c r="L199" s="67" t="n"/>
      <c r="M199" s="67" t="n"/>
    </row>
    <row r="200">
      <c r="B200" s="67" t="n"/>
      <c r="C200" s="67" t="n"/>
      <c r="E200" s="67" t="n"/>
      <c r="F200" s="67" t="n"/>
      <c r="G200" s="67" t="n"/>
      <c r="J200" s="67" t="n"/>
      <c r="L200" s="67" t="n"/>
      <c r="M200" s="67" t="n"/>
    </row>
    <row r="201">
      <c r="B201" s="67" t="n"/>
      <c r="C201" s="67" t="n"/>
      <c r="E201" s="67" t="n"/>
      <c r="F201" s="67" t="n"/>
      <c r="G201" s="67" t="n"/>
      <c r="J201" s="67" t="n"/>
      <c r="L201" s="67" t="n"/>
      <c r="M201" s="67" t="n"/>
    </row>
    <row r="202">
      <c r="B202" s="67" t="n"/>
      <c r="C202" s="67" t="n"/>
      <c r="E202" s="67" t="n"/>
      <c r="F202" s="67" t="n"/>
      <c r="G202" s="67" t="n"/>
      <c r="J202" s="67" t="n"/>
      <c r="L202" s="67" t="n"/>
      <c r="M202" s="67" t="n"/>
    </row>
    <row r="203">
      <c r="B203" s="67" t="n"/>
      <c r="C203" s="67" t="n"/>
      <c r="E203" s="67" t="n"/>
      <c r="F203" s="67" t="n"/>
      <c r="G203" s="67" t="n"/>
      <c r="J203" s="67" t="n"/>
      <c r="L203" s="67" t="n"/>
      <c r="M203" s="67" t="n"/>
    </row>
    <row r="204">
      <c r="B204" s="67" t="n"/>
      <c r="C204" s="67" t="n"/>
      <c r="E204" s="67" t="n"/>
      <c r="F204" s="67" t="n"/>
      <c r="G204" s="67" t="n"/>
      <c r="J204" s="67" t="n"/>
      <c r="L204" s="67" t="n"/>
      <c r="M204" s="67" t="n"/>
    </row>
    <row r="205">
      <c r="B205" s="67" t="n"/>
      <c r="C205" s="67" t="n"/>
      <c r="E205" s="67" t="n"/>
      <c r="F205" s="67" t="n"/>
      <c r="G205" s="67" t="n"/>
      <c r="J205" s="67" t="n"/>
      <c r="L205" s="67" t="n"/>
      <c r="M205" s="67" t="n"/>
    </row>
    <row r="206">
      <c r="B206" s="67" t="n"/>
      <c r="C206" s="67" t="n"/>
      <c r="E206" s="67" t="n"/>
      <c r="F206" s="67" t="n"/>
      <c r="G206" s="67" t="n"/>
      <c r="J206" s="67" t="n"/>
      <c r="L206" s="67" t="n"/>
      <c r="M206" s="67" t="n"/>
    </row>
    <row r="207">
      <c r="B207" s="67" t="n"/>
      <c r="C207" s="67" t="n"/>
      <c r="E207" s="67" t="n"/>
      <c r="F207" s="67" t="n"/>
      <c r="G207" s="67" t="n"/>
      <c r="J207" s="67" t="n"/>
      <c r="L207" s="67" t="n"/>
      <c r="M207" s="67" t="n"/>
    </row>
    <row r="208">
      <c r="B208" s="67" t="n"/>
      <c r="C208" s="67" t="n"/>
      <c r="E208" s="67" t="n"/>
      <c r="F208" s="67" t="n"/>
      <c r="G208" s="67" t="n"/>
      <c r="J208" s="67" t="n"/>
      <c r="L208" s="67" t="n"/>
      <c r="M208" s="67" t="n"/>
    </row>
    <row r="209">
      <c r="B209" s="67" t="n"/>
      <c r="C209" s="67" t="n"/>
      <c r="E209" s="67" t="n"/>
      <c r="F209" s="67" t="n"/>
      <c r="G209" s="67" t="n"/>
      <c r="J209" s="67" t="n"/>
      <c r="L209" s="67" t="n"/>
      <c r="M209" s="67" t="n"/>
    </row>
    <row r="210">
      <c r="B210" s="67" t="n"/>
      <c r="C210" s="67" t="n"/>
      <c r="E210" s="67" t="n"/>
      <c r="F210" s="67" t="n"/>
      <c r="G210" s="67" t="n"/>
      <c r="J210" s="67" t="n"/>
      <c r="L210" s="67" t="n"/>
      <c r="M210" s="67" t="n"/>
    </row>
    <row r="211">
      <c r="B211" s="67" t="n"/>
      <c r="C211" s="67" t="n"/>
      <c r="E211" s="67" t="n"/>
      <c r="F211" s="67" t="n"/>
      <c r="G211" s="67" t="n"/>
      <c r="J211" s="67" t="n"/>
      <c r="L211" s="67" t="n"/>
      <c r="M211" s="67" t="n"/>
    </row>
    <row r="212">
      <c r="B212" s="67" t="n"/>
      <c r="C212" s="67" t="n"/>
      <c r="E212" s="67" t="n"/>
      <c r="F212" s="67" t="n"/>
      <c r="G212" s="67" t="n"/>
      <c r="J212" s="67" t="n"/>
      <c r="L212" s="67" t="n"/>
      <c r="M212" s="67" t="n"/>
    </row>
    <row r="213">
      <c r="B213" s="67" t="n"/>
      <c r="C213" s="67" t="n"/>
      <c r="E213" s="67" t="n"/>
      <c r="F213" s="67" t="n"/>
      <c r="G213" s="67" t="n"/>
      <c r="J213" s="67" t="n"/>
      <c r="L213" s="67" t="n"/>
      <c r="M213" s="67" t="n"/>
    </row>
    <row r="214">
      <c r="B214" s="67" t="n"/>
      <c r="C214" s="67" t="n"/>
      <c r="E214" s="67" t="n"/>
      <c r="F214" s="67" t="n"/>
      <c r="G214" s="67" t="n"/>
      <c r="J214" s="67" t="n"/>
      <c r="L214" s="67" t="n"/>
      <c r="M214" s="67" t="n"/>
    </row>
    <row r="215">
      <c r="B215" s="67" t="n"/>
      <c r="C215" s="67" t="n"/>
      <c r="E215" s="67" t="n"/>
      <c r="F215" s="67" t="n"/>
      <c r="G215" s="67" t="n"/>
      <c r="J215" s="67" t="n"/>
      <c r="L215" s="67" t="n"/>
      <c r="M215" s="67" t="n"/>
    </row>
    <row r="216">
      <c r="B216" s="67" t="n"/>
      <c r="C216" s="67" t="n"/>
      <c r="E216" s="67" t="n"/>
      <c r="F216" s="67" t="n"/>
      <c r="G216" s="67" t="n"/>
      <c r="J216" s="67" t="n"/>
      <c r="L216" s="67" t="n"/>
      <c r="M216" s="67" t="n"/>
    </row>
    <row r="217">
      <c r="B217" s="67" t="n"/>
      <c r="C217" s="67" t="n"/>
      <c r="E217" s="67" t="n"/>
      <c r="F217" s="67" t="n"/>
      <c r="G217" s="67" t="n"/>
      <c r="J217" s="67" t="n"/>
      <c r="L217" s="67" t="n"/>
      <c r="M217" s="67" t="n"/>
    </row>
    <row r="218">
      <c r="B218" s="67" t="n"/>
      <c r="C218" s="67" t="n"/>
      <c r="E218" s="67" t="n"/>
      <c r="F218" s="67" t="n"/>
      <c r="G218" s="67" t="n"/>
      <c r="J218" s="67" t="n"/>
      <c r="L218" s="67" t="n"/>
      <c r="M218" s="67" t="n"/>
    </row>
    <row r="219">
      <c r="B219" s="67" t="n"/>
      <c r="C219" s="67" t="n"/>
      <c r="E219" s="67" t="n"/>
      <c r="F219" s="67" t="n"/>
      <c r="G219" s="67" t="n"/>
      <c r="J219" s="67" t="n"/>
      <c r="L219" s="67" t="n"/>
      <c r="M219" s="67" t="n"/>
    </row>
    <row r="220">
      <c r="B220" s="67" t="n"/>
      <c r="C220" s="67" t="n"/>
      <c r="E220" s="67" t="n"/>
      <c r="F220" s="67" t="n"/>
      <c r="G220" s="67" t="n"/>
      <c r="J220" s="67" t="n"/>
      <c r="L220" s="67" t="n"/>
      <c r="M220" s="67" t="n"/>
    </row>
  </sheetData>
  <mergeCells count="9">
    <mergeCell ref="B6:M6"/>
    <mergeCell ref="B8:C8"/>
    <mergeCell ref="D8:E8"/>
    <mergeCell ref="F8:M8"/>
    <mergeCell ref="B7:M7"/>
    <mergeCell ref="B3:M3"/>
    <mergeCell ref="B5:M5"/>
    <mergeCell ref="B10:C10"/>
    <mergeCell ref="B4:M4"/>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AND(LEN($B20&amp;$C20&amp;$D20&amp;$E20&amp;$F20&amp;$G20&amp;$H20&amp;$I20&amp;$J20&amp;$K20&amp;$L20&amp;$M20)&gt;0,B20="")</formula>
    </cfRule>
  </conditionalFormatting>
  <conditionalFormatting sqref="C20:C220">
    <cfRule type="expression" priority="3" dxfId="6">
      <formula>AND(LEN($B20&amp;$C20&amp;$D20&amp;$E20&amp;$F20&amp;$G20&amp;$H20&amp;$I20&amp;$J20&amp;$K20&amp;$L20&amp;$M20)&gt;0,C20="")</formula>
    </cfRule>
  </conditionalFormatting>
  <conditionalFormatting sqref="D20:D220">
    <cfRule type="expression" priority="4" dxfId="6">
      <formula>AND(LEN($B20&amp;$C20&amp;$D20&amp;$E20&amp;$F20&amp;$G20&amp;$H20&amp;$I20&amp;$J20&amp;$K20&amp;$L20&amp;$M20)&gt;0,D20="")</formula>
    </cfRule>
  </conditionalFormatting>
  <dataValidations count="14">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M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invoice_no" error="At most 40 characters." promptTitle="legacy_invoice_no" prompt="Yes. Invoice the follow-up belongs to Allowed: legacy_invoice_no of F01" type="textLength" operator="lessThanOrEqual">
      <formula1>40</formula1>
    </dataValidation>
    <dataValidation sqref="C20:C220" showDropDown="0" showInputMessage="1" showErrorMessage="1" allowBlank="1" errorTitle="record_type" error="Choose a value of the list F03 record_type (sheet Reference lists)." promptTitle="record_type" prompt="Yes. Kind of row Allowed: DISPOSITION, PROMISE, INSTALLMENT, ASSIGNMENT (list F03 record_type)" type="list" errorStyle="stop">
      <formula1>=LIST_F03_RECORD_TYPE</formula1>
    </dataValidation>
    <dataValidation sqref="D20:D220" showDropDown="0" showInputMessage="1" showErrorMessage="1" allowBlank="1" errorTitle="seq_no" error="Enter a whole number." promptTitle="seq_no" prompt="Yes. Sequence within the invoice and record type Allowed: A whole number" type="whole" operator="greaterThanOrEqual">
      <formula1>-1E+15</formula1>
    </dataValidation>
    <dataValidation sqref="E20:E220" showDropDown="0" showInputMessage="1" showErrorMessage="1" allowBlank="1" errorTitle="disposition_code" error="At most 40 characters." promptTitle="disposition_code" prompt="Conditional: Mandatory for DISPOSITION; mapped. Latest disposition Allowed: The legacy code; mapped by the code map DISPOSITION_CLX (sheet Code maps)" type="textLength" operator="lessThanOrEqual">
      <formula1>40</formula1>
    </dataValidation>
    <dataValidation sqref="F20:F220" showDropDown="0" showInputMessage="1" showErrorMessage="0" allowBlank="1" promptTitle="disposition_date" prompt="Conditional: Mandatory for DISPOSITION. Date of the disposition"/>
    <dataValidation sqref="G20:G220" showDropDown="0" showInputMessage="1" showErrorMessage="0" allowBlank="1" promptTitle="promise_date" prompt="Conditional: Mandatory for PROMISE. Promised payment date"/>
    <dataValidation sqref="H20:H220" showDropDown="0" showInputMessage="1" showErrorMessage="1" allowBlank="1" errorTitle="promise_amount" error="Enter a number." promptTitle="promise_amount" prompt="Conditional: Mandatory for PROMISE; at most the open PR. Promised amount Allowed: A number" type="decimal" operator="greaterThanOrEqual">
      <formula1>-1E+15</formula1>
    </dataValidation>
    <dataValidation sqref="I20:I220" showDropDown="0" showInputMessage="1" showErrorMessage="1" allowBlank="1" errorTitle="installment_no" error="Enter a whole number." promptTitle="installment_no" prompt="Conditional: Mandatory for INSTALLMENT. Installment number Allowed: A whole number" type="whole" operator="greaterThanOrEqual">
      <formula1>-1E+15</formula1>
    </dataValidation>
    <dataValidation sqref="J20:J220" showDropDown="0" showInputMessage="1" showErrorMessage="0" allowBlank="1" promptTitle="installment_due" prompt="Conditional: Mandatory for INSTALLMENT. Installment due date"/>
    <dataValidation sqref="K20:K220" showDropDown="0" showInputMessage="1" showErrorMessage="1" allowBlank="1" errorTitle="installment_amount" error="Enter a number." promptTitle="installment_amount" prompt="Conditional: Mandatory for INSTALLMENT. Installment amount Allowed: A number" type="decimal" operator="greaterThanOrEqual">
      <formula1>-1E+15</formula1>
    </dataValidation>
    <dataValidation sqref="L20:L220" showDropDown="0" showInputMessage="1" showErrorMessage="1" allowBlank="1" errorTitle="collector_user_id" error="At most 50 characters." promptTitle="collector_user_id" prompt="Conditional: Mandatory for ASSIGNMENT; mapped. Assigned collector Allowed: The legacy code; mapped by the code map USER (sheet Code maps)" type="textLength" operator="lessThanOrEqual">
      <formula1>50</formula1>
    </dataValidation>
    <dataValidation sqref="M20:M220" showDropDown="0" showInputMessage="1" showErrorMessage="1" allowBlank="1" errorTitle="remarks" error="At most 500 characters." promptTitle="remarks" prompt="No. Collector remarks Allowed: Free entry, up to 500 characters" type="textLength" operator="lessThanOrEqual">
      <formula1>500</formula1>
    </dataValidation>
  </dataValidations>
  <hyperlinks>
    <hyperlink ref="A2" location="'Load templates'!A1"/>
    <hyperlink ref="M2" location="'Comments log'!A1"/>
    <hyperlink ref="B8" location="'F01 Open legacy invoices - head'!A1"/>
    <hyperlink ref="D8" location="'F01S Open legacy invoices - ins'!A1"/>
    <hyperlink ref="F8" location="'F01C Open legacy invoices - com'!A1"/>
    <hyperlink ref="C17" location="'Reference lists'!A86"/>
    <hyperlink ref="E17" location="'Code maps'!A1"/>
    <hyperlink ref="L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1.xml><?xml version="1.0" encoding="utf-8"?>
<worksheet xmlns="http://schemas.openxmlformats.org/spreadsheetml/2006/main">
  <sheetPr>
    <tabColor rgb="00004EA8"/>
    <outlinePr summaryBelow="0" summaryRight="1"/>
    <pageSetUpPr fitToPage="1"/>
  </sheetPr>
  <dimension ref="A1:K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0" customWidth="1" min="3" max="3"/>
    <col width="17" customWidth="1" min="4" max="4"/>
    <col width="22" customWidth="1" min="5" max="5"/>
    <col width="13" customWidth="1" min="6" max="6"/>
    <col width="19.54545454545454" customWidth="1" min="7" max="7"/>
    <col width="15.90909090909091" customWidth="1" min="8" max="8"/>
    <col width="30" customWidth="1" min="9" max="9"/>
    <col width="15" customWidth="1" min="10" max="10"/>
    <col width="25" customWidth="1" min="11" max="11"/>
  </cols>
  <sheetData>
    <row r="1" ht="26" customHeight="1">
      <c r="A1" s="44" t="inlineStr">
        <is>
          <t>F04 Remittance in flight</t>
        </is>
      </c>
      <c r="K1" s="45" t="inlineStr">
        <is>
          <t>Step 22 of 29</t>
        </is>
      </c>
    </row>
    <row r="2">
      <c r="A2" s="46" t="inlineStr">
        <is>
          <t>← Back to Load templates</t>
        </is>
      </c>
      <c r="B2" s="47" t="inlineStr">
        <is>
          <t>Step 22 of 29. Fill in one row per record below the column headers; the guide above each column says what to enter.</t>
        </is>
      </c>
      <c r="K2" s="48" t="inlineStr">
        <is>
          <t>Ask a question →</t>
        </is>
      </c>
    </row>
    <row r="3" outlineLevel="1" ht="28" customHeight="1">
      <c r="A3" s="49" t="inlineStr">
        <is>
          <t>Purpose</t>
        </is>
      </c>
      <c r="B3" s="50" t="inlineStr">
        <is>
          <t>One row per record of Remittance in flight (batches not yet paid, holds, special remittances) as extracted from EBIX. Key legacy_batch_no, legacy_invoice_no. Sent as the file F04_template.csv (CSV, header row as below) with its control file (row count, row count; amount totals per currency: amount).</t>
        </is>
      </c>
    </row>
    <row r="4" outlineLevel="1" ht="15.5" customHeight="1">
      <c r="A4" s="49" t="inlineStr">
        <is>
          <t>Provided by</t>
        </is>
      </c>
      <c r="B4" s="50" t="inlineStr">
        <is>
          <t>Remittance data steward (to name); approved by Operations - Remittance; extracted by BDOI IT</t>
        </is>
      </c>
    </row>
    <row r="5" outlineLevel="1" ht="15.5" customHeight="1">
      <c r="A5" s="49" t="inlineStr">
        <is>
          <t>Due</t>
        </is>
      </c>
      <c r="B5" s="51" t="inlineStr">
        <is>
          <t>M3 (29 Jan 2027); final at T-2</t>
        </is>
      </c>
    </row>
    <row r="6" outlineLevel="1" ht="15.5" customHeight="1">
      <c r="A6" s="49" t="inlineStr">
        <is>
          <t>How it is loaded</t>
        </is>
      </c>
      <c r="B6" s="50" t="inlineStr">
        <is>
          <t>Data migration object F04 (Conditional), layout F04 version 1, through the Migration Console; lands in: Remittance holds and special remittances</t>
        </is>
      </c>
    </row>
    <row r="7" outlineLevel="1" ht="15.5" customHeight="1">
      <c r="A7" s="49" t="inlineStr">
        <is>
          <t>Source</t>
        </is>
      </c>
      <c r="B7" s="50" t="inlineStr">
        <is>
          <t>EBIX</t>
        </is>
      </c>
    </row>
    <row r="8" outlineLevel="1" ht="26" customHeight="1">
      <c r="A8" s="49" t="inlineStr">
        <is>
          <t>Depends on</t>
        </is>
      </c>
      <c r="B8" s="68" t="inlineStr">
        <is>
          <t>F01 Open legacy invoices - header →</t>
        </is>
      </c>
      <c r="D8" s="68" t="inlineStr">
        <is>
          <t>F01S Open legacy invoices - insurer shares →</t>
        </is>
      </c>
      <c r="F8" s="68" t="inlineStr">
        <is>
          <t>F01C Open legacy invoices - components and positions →</t>
        </is>
      </c>
    </row>
    <row r="9" ht="26" customHeight="1">
      <c r="A9" s="53" t="inlineStr">
        <is>
          <t>Progress</t>
        </is>
      </c>
      <c r="B9" s="54" t="inlineStr">
        <is>
          <t>Rows entered</t>
        </is>
      </c>
      <c r="C9" s="55">
        <f>SUMPRODUCT(((ROW($B$20:$B$220)&gt;20)+($B$20&lt;&gt;"HOLD")&gt;0)*(LEN($B$20:$B$220&amp;$C$20:$C$220&amp;$D$20:$D$220&amp;$E$20:$E$220&amp;$F$20:$F$220&amp;$G$20:$G$220&amp;$H$20:$H$220&amp;$I$20:$I$220&amp;$J$20:$J$220&amp;$K$20:$K$220)&gt;0))</f>
        <v/>
      </c>
      <c r="D9" s="54" t="inlineStr">
        <is>
          <t>Mandatory cells missing</t>
        </is>
      </c>
      <c r="E9" s="55">
        <f>SUMPRODUCT(((ROW($B$20:$B$220)&gt;20)+($B$20&lt;&gt;"HOLD")&gt;0)*(LEN($B$20:$B$220&amp;$C$20:$C$220&amp;$D$20:$D$220&amp;$E$20:$E$220&amp;$F$20:$F$220&amp;$G$20:$G$220&amp;$H$20:$H$220&amp;$I$20:$I$220&amp;$J$20:$J$220&amp;$K$20:$K$220)&gt;0)*(($B$20:$B$220="")+($D$20:$D$220="")+($E$20:$E$220="")+($F$20:$F$220="")+($G$20:$G$220="")+($H$20:$H$220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row>
    <row r="12" ht="30" customHeight="1">
      <c r="A12" s="59" t="inlineStr">
        <is>
          <t>BU review</t>
        </is>
      </c>
      <c r="B12" s="60" t="n"/>
      <c r="C12" s="60" t="n"/>
      <c r="D12" s="60" t="n"/>
      <c r="E12" s="60" t="n"/>
      <c r="F12" s="60" t="n"/>
      <c r="G12" s="60" t="n"/>
      <c r="H12" s="60" t="n"/>
      <c r="I12" s="60" t="n"/>
      <c r="J12" s="60" t="n"/>
      <c r="K12" s="60" t="n"/>
    </row>
    <row r="13" ht="30" customHeight="1">
      <c r="A13" s="59" t="inlineStr">
        <is>
          <t>BU comment</t>
        </is>
      </c>
      <c r="B13" s="60" t="n"/>
      <c r="C13" s="60" t="n"/>
      <c r="D13" s="60" t="n"/>
      <c r="E13" s="60" t="n"/>
      <c r="F13" s="60" t="n"/>
      <c r="G13" s="60" t="n"/>
      <c r="H13" s="60" t="n"/>
      <c r="I13" s="60" t="n"/>
      <c r="J13" s="60" t="n"/>
      <c r="K13" s="60" t="n"/>
    </row>
    <row r="14" ht="30" customHeight="1">
      <c r="A14" s="59" t="inlineStr">
        <is>
          <t>Check when loaded</t>
        </is>
      </c>
      <c r="B14" s="61" t="inlineStr">
        <is>
          <t>In the list</t>
        </is>
      </c>
      <c r="C14" s="61" t="inlineStr">
        <is>
          <t>Mandatory for BATCH and SPECIAL</t>
        </is>
      </c>
      <c r="D14" s="61" t="inlineStr">
        <is>
          <t>Mapped</t>
        </is>
      </c>
      <c r="E14" s="61" t="inlineStr">
        <is>
          <t>Exists in F01</t>
        </is>
      </c>
      <c r="F14" s="61" t="inlineStr">
        <is>
          <t>Valid code</t>
        </is>
      </c>
      <c r="G14" s="61" t="inlineStr">
        <is>
          <t>At most the open DTIP</t>
        </is>
      </c>
      <c r="H14" s="61" t="inlineStr">
        <is>
          <t>Mapped</t>
        </is>
      </c>
      <c r="I14" s="61" t="inlineStr">
        <is>
          <t>Mandatory for HOLD</t>
        </is>
      </c>
      <c r="J14" s="61" t="inlineStr">
        <is>
          <t>Valid date</t>
        </is>
      </c>
      <c r="K14" s="61" t="inlineStr">
        <is>
          <t>Mapped</t>
        </is>
      </c>
    </row>
    <row r="15" ht="30" customHeight="1">
      <c r="A15" s="59" t="inlineStr">
        <is>
          <t>Mandatory</t>
        </is>
      </c>
      <c r="B15" s="62" t="inlineStr">
        <is>
          <t>Yes</t>
        </is>
      </c>
      <c r="C15" s="61" t="inlineStr">
        <is>
          <t>Conditional: Mandatory for BATCH and SPECIAL</t>
        </is>
      </c>
      <c r="D15" s="62" t="inlineStr">
        <is>
          <t>Yes</t>
        </is>
      </c>
      <c r="E15" s="62" t="inlineStr">
        <is>
          <t>Yes</t>
        </is>
      </c>
      <c r="F15" s="62" t="inlineStr">
        <is>
          <t>Yes</t>
        </is>
      </c>
      <c r="G15" s="62" t="inlineStr">
        <is>
          <t>Yes</t>
        </is>
      </c>
      <c r="H15" s="62" t="inlineStr">
        <is>
          <t>Yes</t>
        </is>
      </c>
      <c r="I15" s="61" t="inlineStr">
        <is>
          <t>Conditional: Mandatory for HOLD</t>
        </is>
      </c>
      <c r="J15" s="61" t="inlineStr">
        <is>
          <t>No</t>
        </is>
      </c>
      <c r="K15" s="61" t="inlineStr">
        <is>
          <t>No</t>
        </is>
      </c>
    </row>
    <row r="16" ht="30" customHeight="1">
      <c r="A16" s="59" t="inlineStr">
        <is>
          <t>Format</t>
        </is>
      </c>
      <c r="B16" s="61" t="inlineStr">
        <is>
          <t>Code, up to 10; Upper case</t>
        </is>
      </c>
      <c r="C16" s="61" t="inlineStr">
        <is>
          <t>Text, up to 40; As stored in legacy</t>
        </is>
      </c>
      <c r="D16" s="61" t="inlineStr">
        <is>
          <t>Code, up to 30; As stored in legacy</t>
        </is>
      </c>
      <c r="E16" s="61" t="inlineStr">
        <is>
          <t>Code, up to 40; As in F01</t>
        </is>
      </c>
      <c r="F16" s="61" t="inlineStr">
        <is>
          <t>Code, up to 3; Upper case</t>
        </is>
      </c>
      <c r="G16" s="61" t="inlineStr">
        <is>
          <t>Amount, up to 19,2; Dot decimal, 2 decimals</t>
        </is>
      </c>
      <c r="H16" s="61" t="inlineStr">
        <is>
          <t>Code, up to 30; As stored in legacy</t>
        </is>
      </c>
      <c r="I16" s="61" t="inlineStr">
        <is>
          <t>Text, up to 250; Free text</t>
        </is>
      </c>
      <c r="J16" s="61" t="inlineStr">
        <is>
          <t>Date, up to 10; yyyy-MM-dd</t>
        </is>
      </c>
      <c r="K16" s="61" t="inlineStr">
        <is>
          <t>Code, up to 50; As stored in legacy</t>
        </is>
      </c>
    </row>
    <row r="17" ht="69" customHeight="1">
      <c r="A17" s="59" t="inlineStr">
        <is>
          <t>Allowed values</t>
        </is>
      </c>
      <c r="B17" s="69" t="inlineStr">
        <is>
          <t>HOLD, SPECIAL, BATCH (list F04 record_type)</t>
        </is>
      </c>
      <c r="C17" s="61" t="inlineStr">
        <is>
          <t>Free entry, up to 40 characters</t>
        </is>
      </c>
      <c r="D17" s="69" t="inlineStr">
        <is>
          <t>The legacy code; mapped by the code map INSURER (sheet Code maps)</t>
        </is>
      </c>
      <c r="E17" s="61" t="inlineStr">
        <is>
          <t>legacy_invoice_no of F01</t>
        </is>
      </c>
      <c r="F17" s="61" t="inlineStr">
        <is>
          <t>ISO 4217</t>
        </is>
      </c>
      <c r="G17" s="61" t="inlineStr">
        <is>
          <t>A number</t>
        </is>
      </c>
      <c r="H17" s="69" t="inlineStr">
        <is>
          <t>The legacy code; mapped by the code map STATUS:REMITTANCE (sheet Code maps)</t>
        </is>
      </c>
      <c r="I17" s="61" t="inlineStr">
        <is>
          <t>Free entry, up to 250 characters</t>
        </is>
      </c>
      <c r="J17" s="61" t="inlineStr">
        <is>
          <t>Free entry</t>
        </is>
      </c>
      <c r="K17" s="69" t="inlineStr">
        <is>
          <t>The legacy code; mapped by the code map USER (sheet Code maps)</t>
        </is>
      </c>
    </row>
    <row r="18" ht="43" customHeight="1">
      <c r="A18" s="59" t="inlineStr">
        <is>
          <t>What to enter</t>
        </is>
      </c>
      <c r="B18" s="61" t="inlineStr">
        <is>
          <t>Kind of row</t>
        </is>
      </c>
      <c r="C18" s="61" t="inlineStr">
        <is>
          <t>Legacy remittance batch number (BATCH, SPECIAL)</t>
        </is>
      </c>
      <c r="D18" s="61" t="inlineStr">
        <is>
          <t>Insurer</t>
        </is>
      </c>
      <c r="E18" s="61" t="inlineStr">
        <is>
          <t>Invoice of the line</t>
        </is>
      </c>
      <c r="F18" s="61" t="inlineStr">
        <is>
          <t>Currency</t>
        </is>
      </c>
      <c r="G18" s="61" t="inlineStr">
        <is>
          <t>Amount held or to remit</t>
        </is>
      </c>
      <c r="H18" s="61" t="inlineStr">
        <is>
          <t>Status in legacy</t>
        </is>
      </c>
      <c r="I18" s="61" t="inlineStr">
        <is>
          <t>Reason of the hold</t>
        </is>
      </c>
      <c r="J18" s="61" t="inlineStr">
        <is>
          <t>End of the hold</t>
        </is>
      </c>
      <c r="K18" s="61" t="inlineStr">
        <is>
          <t>Requester</t>
        </is>
      </c>
    </row>
    <row r="19" ht="30" customHeight="1">
      <c r="A19" s="63" t="inlineStr">
        <is>
          <t>Row</t>
        </is>
      </c>
      <c r="B19" s="24" t="inlineStr">
        <is>
          <t>record_type *</t>
        </is>
      </c>
      <c r="C19" s="24" t="inlineStr">
        <is>
          <t>legacy_batch_no</t>
        </is>
      </c>
      <c r="D19" s="24" t="inlineStr">
        <is>
          <t>insurer_code *</t>
        </is>
      </c>
      <c r="E19" s="24" t="inlineStr">
        <is>
          <t>legacy_invoice_no *</t>
        </is>
      </c>
      <c r="F19" s="24" t="inlineStr">
        <is>
          <t>currency *</t>
        </is>
      </c>
      <c r="G19" s="24" t="inlineStr">
        <is>
          <t>amount *</t>
        </is>
      </c>
      <c r="H19" s="24" t="inlineStr">
        <is>
          <t>status *</t>
        </is>
      </c>
      <c r="I19" s="24" t="inlineStr">
        <is>
          <t>hold_reason</t>
        </is>
      </c>
      <c r="J19" s="24" t="inlineStr">
        <is>
          <t>hold_until</t>
        </is>
      </c>
      <c r="K19" s="24" t="inlineStr">
        <is>
          <t>requested_by_user_id</t>
        </is>
      </c>
    </row>
    <row r="20" ht="18" customHeight="1">
      <c r="A20" s="64" t="inlineStr">
        <is>
          <t>Example – overwrite or delete</t>
        </is>
      </c>
      <c r="B20" s="65" t="inlineStr">
        <is>
          <t>HOLD</t>
        </is>
      </c>
      <c r="C20" s="65" t="inlineStr">
        <is>
          <t>RB-2026-0877</t>
        </is>
      </c>
      <c r="D20" s="65" t="inlineStr">
        <is>
          <t>MAL</t>
        </is>
      </c>
      <c r="E20" s="65" t="inlineStr">
        <is>
          <t>I00123456</t>
        </is>
      </c>
      <c r="F20" s="65" t="inlineStr">
        <is>
          <t>PHP</t>
        </is>
      </c>
      <c r="G20" s="66" t="n">
        <v>21671.25</v>
      </c>
      <c r="H20" s="65" t="inlineStr">
        <is>
          <t>ON_HOLD</t>
        </is>
      </c>
      <c r="I20" s="65" t="inlineStr">
        <is>
          <t>Pending negative endorsement</t>
        </is>
      </c>
      <c r="J20" s="65" t="inlineStr">
        <is>
          <t>2028-01-31</t>
        </is>
      </c>
      <c r="K20" s="65" t="inlineStr">
        <is>
          <t>rtan</t>
        </is>
      </c>
    </row>
    <row r="21">
      <c r="B21" s="67" t="n"/>
      <c r="C21" s="67" t="n"/>
      <c r="D21" s="67" t="n"/>
      <c r="E21" s="67" t="n"/>
      <c r="F21" s="67" t="n"/>
      <c r="H21" s="67" t="n"/>
      <c r="I21" s="67" t="n"/>
      <c r="J21" s="67" t="n"/>
      <c r="K21" s="67" t="n"/>
    </row>
    <row r="22">
      <c r="B22" s="67" t="n"/>
      <c r="C22" s="67" t="n"/>
      <c r="D22" s="67" t="n"/>
      <c r="E22" s="67" t="n"/>
      <c r="F22" s="67" t="n"/>
      <c r="H22" s="67" t="n"/>
      <c r="I22" s="67" t="n"/>
      <c r="J22" s="67" t="n"/>
      <c r="K22" s="67" t="n"/>
    </row>
    <row r="23">
      <c r="B23" s="67" t="n"/>
      <c r="C23" s="67" t="n"/>
      <c r="D23" s="67" t="n"/>
      <c r="E23" s="67" t="n"/>
      <c r="F23" s="67" t="n"/>
      <c r="H23" s="67" t="n"/>
      <c r="I23" s="67" t="n"/>
      <c r="J23" s="67" t="n"/>
      <c r="K23" s="67" t="n"/>
    </row>
    <row r="24">
      <c r="B24" s="67" t="n"/>
      <c r="C24" s="67" t="n"/>
      <c r="D24" s="67" t="n"/>
      <c r="E24" s="67" t="n"/>
      <c r="F24" s="67" t="n"/>
      <c r="H24" s="67" t="n"/>
      <c r="I24" s="67" t="n"/>
      <c r="J24" s="67" t="n"/>
      <c r="K24" s="67" t="n"/>
    </row>
    <row r="25">
      <c r="B25" s="67" t="n"/>
      <c r="C25" s="67" t="n"/>
      <c r="D25" s="67" t="n"/>
      <c r="E25" s="67" t="n"/>
      <c r="F25" s="67" t="n"/>
      <c r="H25" s="67" t="n"/>
      <c r="I25" s="67" t="n"/>
      <c r="J25" s="67" t="n"/>
      <c r="K25" s="67" t="n"/>
    </row>
    <row r="26">
      <c r="B26" s="67" t="n"/>
      <c r="C26" s="67" t="n"/>
      <c r="D26" s="67" t="n"/>
      <c r="E26" s="67" t="n"/>
      <c r="F26" s="67" t="n"/>
      <c r="H26" s="67" t="n"/>
      <c r="I26" s="67" t="n"/>
      <c r="J26" s="67" t="n"/>
      <c r="K26" s="67" t="n"/>
    </row>
    <row r="27">
      <c r="B27" s="67" t="n"/>
      <c r="C27" s="67" t="n"/>
      <c r="D27" s="67" t="n"/>
      <c r="E27" s="67" t="n"/>
      <c r="F27" s="67" t="n"/>
      <c r="H27" s="67" t="n"/>
      <c r="I27" s="67" t="n"/>
      <c r="J27" s="67" t="n"/>
      <c r="K27" s="67" t="n"/>
    </row>
    <row r="28">
      <c r="B28" s="67" t="n"/>
      <c r="C28" s="67" t="n"/>
      <c r="D28" s="67" t="n"/>
      <c r="E28" s="67" t="n"/>
      <c r="F28" s="67" t="n"/>
      <c r="H28" s="67" t="n"/>
      <c r="I28" s="67" t="n"/>
      <c r="J28" s="67" t="n"/>
      <c r="K28" s="67" t="n"/>
    </row>
    <row r="29">
      <c r="B29" s="67" t="n"/>
      <c r="C29" s="67" t="n"/>
      <c r="D29" s="67" t="n"/>
      <c r="E29" s="67" t="n"/>
      <c r="F29" s="67" t="n"/>
      <c r="H29" s="67" t="n"/>
      <c r="I29" s="67" t="n"/>
      <c r="J29" s="67" t="n"/>
      <c r="K29" s="67" t="n"/>
    </row>
    <row r="30">
      <c r="B30" s="67" t="n"/>
      <c r="C30" s="67" t="n"/>
      <c r="D30" s="67" t="n"/>
      <c r="E30" s="67" t="n"/>
      <c r="F30" s="67" t="n"/>
      <c r="H30" s="67" t="n"/>
      <c r="I30" s="67" t="n"/>
      <c r="J30" s="67" t="n"/>
      <c r="K30" s="67" t="n"/>
    </row>
    <row r="31">
      <c r="B31" s="67" t="n"/>
      <c r="C31" s="67" t="n"/>
      <c r="D31" s="67" t="n"/>
      <c r="E31" s="67" t="n"/>
      <c r="F31" s="67" t="n"/>
      <c r="H31" s="67" t="n"/>
      <c r="I31" s="67" t="n"/>
      <c r="J31" s="67" t="n"/>
      <c r="K31" s="67" t="n"/>
    </row>
    <row r="32">
      <c r="B32" s="67" t="n"/>
      <c r="C32" s="67" t="n"/>
      <c r="D32" s="67" t="n"/>
      <c r="E32" s="67" t="n"/>
      <c r="F32" s="67" t="n"/>
      <c r="H32" s="67" t="n"/>
      <c r="I32" s="67" t="n"/>
      <c r="J32" s="67" t="n"/>
      <c r="K32" s="67" t="n"/>
    </row>
    <row r="33">
      <c r="B33" s="67" t="n"/>
      <c r="C33" s="67" t="n"/>
      <c r="D33" s="67" t="n"/>
      <c r="E33" s="67" t="n"/>
      <c r="F33" s="67" t="n"/>
      <c r="H33" s="67" t="n"/>
      <c r="I33" s="67" t="n"/>
      <c r="J33" s="67" t="n"/>
      <c r="K33" s="67" t="n"/>
    </row>
    <row r="34">
      <c r="B34" s="67" t="n"/>
      <c r="C34" s="67" t="n"/>
      <c r="D34" s="67" t="n"/>
      <c r="E34" s="67" t="n"/>
      <c r="F34" s="67" t="n"/>
      <c r="H34" s="67" t="n"/>
      <c r="I34" s="67" t="n"/>
      <c r="J34" s="67" t="n"/>
      <c r="K34" s="67" t="n"/>
    </row>
    <row r="35">
      <c r="B35" s="67" t="n"/>
      <c r="C35" s="67" t="n"/>
      <c r="D35" s="67" t="n"/>
      <c r="E35" s="67" t="n"/>
      <c r="F35" s="67" t="n"/>
      <c r="H35" s="67" t="n"/>
      <c r="I35" s="67" t="n"/>
      <c r="J35" s="67" t="n"/>
      <c r="K35" s="67" t="n"/>
    </row>
    <row r="36">
      <c r="B36" s="67" t="n"/>
      <c r="C36" s="67" t="n"/>
      <c r="D36" s="67" t="n"/>
      <c r="E36" s="67" t="n"/>
      <c r="F36" s="67" t="n"/>
      <c r="H36" s="67" t="n"/>
      <c r="I36" s="67" t="n"/>
      <c r="J36" s="67" t="n"/>
      <c r="K36" s="67" t="n"/>
    </row>
    <row r="37">
      <c r="B37" s="67" t="n"/>
      <c r="C37" s="67" t="n"/>
      <c r="D37" s="67" t="n"/>
      <c r="E37" s="67" t="n"/>
      <c r="F37" s="67" t="n"/>
      <c r="H37" s="67" t="n"/>
      <c r="I37" s="67" t="n"/>
      <c r="J37" s="67" t="n"/>
      <c r="K37" s="67" t="n"/>
    </row>
    <row r="38">
      <c r="B38" s="67" t="n"/>
      <c r="C38" s="67" t="n"/>
      <c r="D38" s="67" t="n"/>
      <c r="E38" s="67" t="n"/>
      <c r="F38" s="67" t="n"/>
      <c r="H38" s="67" t="n"/>
      <c r="I38" s="67" t="n"/>
      <c r="J38" s="67" t="n"/>
      <c r="K38" s="67" t="n"/>
    </row>
    <row r="39">
      <c r="B39" s="67" t="n"/>
      <c r="C39" s="67" t="n"/>
      <c r="D39" s="67" t="n"/>
      <c r="E39" s="67" t="n"/>
      <c r="F39" s="67" t="n"/>
      <c r="H39" s="67" t="n"/>
      <c r="I39" s="67" t="n"/>
      <c r="J39" s="67" t="n"/>
      <c r="K39" s="67" t="n"/>
    </row>
    <row r="40">
      <c r="B40" s="67" t="n"/>
      <c r="C40" s="67" t="n"/>
      <c r="D40" s="67" t="n"/>
      <c r="E40" s="67" t="n"/>
      <c r="F40" s="67" t="n"/>
      <c r="H40" s="67" t="n"/>
      <c r="I40" s="67" t="n"/>
      <c r="J40" s="67" t="n"/>
      <c r="K40" s="67" t="n"/>
    </row>
    <row r="41">
      <c r="B41" s="67" t="n"/>
      <c r="C41" s="67" t="n"/>
      <c r="D41" s="67" t="n"/>
      <c r="E41" s="67" t="n"/>
      <c r="F41" s="67" t="n"/>
      <c r="H41" s="67" t="n"/>
      <c r="I41" s="67" t="n"/>
      <c r="J41" s="67" t="n"/>
      <c r="K41" s="67" t="n"/>
    </row>
    <row r="42">
      <c r="B42" s="67" t="n"/>
      <c r="C42" s="67" t="n"/>
      <c r="D42" s="67" t="n"/>
      <c r="E42" s="67" t="n"/>
      <c r="F42" s="67" t="n"/>
      <c r="H42" s="67" t="n"/>
      <c r="I42" s="67" t="n"/>
      <c r="J42" s="67" t="n"/>
      <c r="K42" s="67" t="n"/>
    </row>
    <row r="43">
      <c r="B43" s="67" t="n"/>
      <c r="C43" s="67" t="n"/>
      <c r="D43" s="67" t="n"/>
      <c r="E43" s="67" t="n"/>
      <c r="F43" s="67" t="n"/>
      <c r="H43" s="67" t="n"/>
      <c r="I43" s="67" t="n"/>
      <c r="J43" s="67" t="n"/>
      <c r="K43" s="67" t="n"/>
    </row>
    <row r="44">
      <c r="B44" s="67" t="n"/>
      <c r="C44" s="67" t="n"/>
      <c r="D44" s="67" t="n"/>
      <c r="E44" s="67" t="n"/>
      <c r="F44" s="67" t="n"/>
      <c r="H44" s="67" t="n"/>
      <c r="I44" s="67" t="n"/>
      <c r="J44" s="67" t="n"/>
      <c r="K44" s="67" t="n"/>
    </row>
    <row r="45">
      <c r="B45" s="67" t="n"/>
      <c r="C45" s="67" t="n"/>
      <c r="D45" s="67" t="n"/>
      <c r="E45" s="67" t="n"/>
      <c r="F45" s="67" t="n"/>
      <c r="H45" s="67" t="n"/>
      <c r="I45" s="67" t="n"/>
      <c r="J45" s="67" t="n"/>
      <c r="K45" s="67" t="n"/>
    </row>
    <row r="46">
      <c r="B46" s="67" t="n"/>
      <c r="C46" s="67" t="n"/>
      <c r="D46" s="67" t="n"/>
      <c r="E46" s="67" t="n"/>
      <c r="F46" s="67" t="n"/>
      <c r="H46" s="67" t="n"/>
      <c r="I46" s="67" t="n"/>
      <c r="J46" s="67" t="n"/>
      <c r="K46" s="67" t="n"/>
    </row>
    <row r="47">
      <c r="B47" s="67" t="n"/>
      <c r="C47" s="67" t="n"/>
      <c r="D47" s="67" t="n"/>
      <c r="E47" s="67" t="n"/>
      <c r="F47" s="67" t="n"/>
      <c r="H47" s="67" t="n"/>
      <c r="I47" s="67" t="n"/>
      <c r="J47" s="67" t="n"/>
      <c r="K47" s="67" t="n"/>
    </row>
    <row r="48">
      <c r="B48" s="67" t="n"/>
      <c r="C48" s="67" t="n"/>
      <c r="D48" s="67" t="n"/>
      <c r="E48" s="67" t="n"/>
      <c r="F48" s="67" t="n"/>
      <c r="H48" s="67" t="n"/>
      <c r="I48" s="67" t="n"/>
      <c r="J48" s="67" t="n"/>
      <c r="K48" s="67" t="n"/>
    </row>
    <row r="49">
      <c r="B49" s="67" t="n"/>
      <c r="C49" s="67" t="n"/>
      <c r="D49" s="67" t="n"/>
      <c r="E49" s="67" t="n"/>
      <c r="F49" s="67" t="n"/>
      <c r="H49" s="67" t="n"/>
      <c r="I49" s="67" t="n"/>
      <c r="J49" s="67" t="n"/>
      <c r="K49" s="67" t="n"/>
    </row>
    <row r="50">
      <c r="B50" s="67" t="n"/>
      <c r="C50" s="67" t="n"/>
      <c r="D50" s="67" t="n"/>
      <c r="E50" s="67" t="n"/>
      <c r="F50" s="67" t="n"/>
      <c r="H50" s="67" t="n"/>
      <c r="I50" s="67" t="n"/>
      <c r="J50" s="67" t="n"/>
      <c r="K50" s="67" t="n"/>
    </row>
    <row r="51">
      <c r="B51" s="67" t="n"/>
      <c r="C51" s="67" t="n"/>
      <c r="D51" s="67" t="n"/>
      <c r="E51" s="67" t="n"/>
      <c r="F51" s="67" t="n"/>
      <c r="H51" s="67" t="n"/>
      <c r="I51" s="67" t="n"/>
      <c r="J51" s="67" t="n"/>
      <c r="K51" s="67" t="n"/>
    </row>
    <row r="52">
      <c r="B52" s="67" t="n"/>
      <c r="C52" s="67" t="n"/>
      <c r="D52" s="67" t="n"/>
      <c r="E52" s="67" t="n"/>
      <c r="F52" s="67" t="n"/>
      <c r="H52" s="67" t="n"/>
      <c r="I52" s="67" t="n"/>
      <c r="J52" s="67" t="n"/>
      <c r="K52" s="67" t="n"/>
    </row>
    <row r="53">
      <c r="B53" s="67" t="n"/>
      <c r="C53" s="67" t="n"/>
      <c r="D53" s="67" t="n"/>
      <c r="E53" s="67" t="n"/>
      <c r="F53" s="67" t="n"/>
      <c r="H53" s="67" t="n"/>
      <c r="I53" s="67" t="n"/>
      <c r="J53" s="67" t="n"/>
      <c r="K53" s="67" t="n"/>
    </row>
    <row r="54">
      <c r="B54" s="67" t="n"/>
      <c r="C54" s="67" t="n"/>
      <c r="D54" s="67" t="n"/>
      <c r="E54" s="67" t="n"/>
      <c r="F54" s="67" t="n"/>
      <c r="H54" s="67" t="n"/>
      <c r="I54" s="67" t="n"/>
      <c r="J54" s="67" t="n"/>
      <c r="K54" s="67" t="n"/>
    </row>
    <row r="55">
      <c r="B55" s="67" t="n"/>
      <c r="C55" s="67" t="n"/>
      <c r="D55" s="67" t="n"/>
      <c r="E55" s="67" t="n"/>
      <c r="F55" s="67" t="n"/>
      <c r="H55" s="67" t="n"/>
      <c r="I55" s="67" t="n"/>
      <c r="J55" s="67" t="n"/>
      <c r="K55" s="67" t="n"/>
    </row>
    <row r="56">
      <c r="B56" s="67" t="n"/>
      <c r="C56" s="67" t="n"/>
      <c r="D56" s="67" t="n"/>
      <c r="E56" s="67" t="n"/>
      <c r="F56" s="67" t="n"/>
      <c r="H56" s="67" t="n"/>
      <c r="I56" s="67" t="n"/>
      <c r="J56" s="67" t="n"/>
      <c r="K56" s="67" t="n"/>
    </row>
    <row r="57">
      <c r="B57" s="67" t="n"/>
      <c r="C57" s="67" t="n"/>
      <c r="D57" s="67" t="n"/>
      <c r="E57" s="67" t="n"/>
      <c r="F57" s="67" t="n"/>
      <c r="H57" s="67" t="n"/>
      <c r="I57" s="67" t="n"/>
      <c r="J57" s="67" t="n"/>
      <c r="K57" s="67" t="n"/>
    </row>
    <row r="58">
      <c r="B58" s="67" t="n"/>
      <c r="C58" s="67" t="n"/>
      <c r="D58" s="67" t="n"/>
      <c r="E58" s="67" t="n"/>
      <c r="F58" s="67" t="n"/>
      <c r="H58" s="67" t="n"/>
      <c r="I58" s="67" t="n"/>
      <c r="J58" s="67" t="n"/>
      <c r="K58" s="67" t="n"/>
    </row>
    <row r="59">
      <c r="B59" s="67" t="n"/>
      <c r="C59" s="67" t="n"/>
      <c r="D59" s="67" t="n"/>
      <c r="E59" s="67" t="n"/>
      <c r="F59" s="67" t="n"/>
      <c r="H59" s="67" t="n"/>
      <c r="I59" s="67" t="n"/>
      <c r="J59" s="67" t="n"/>
      <c r="K59" s="67" t="n"/>
    </row>
    <row r="60">
      <c r="B60" s="67" t="n"/>
      <c r="C60" s="67" t="n"/>
      <c r="D60" s="67" t="n"/>
      <c r="E60" s="67" t="n"/>
      <c r="F60" s="67" t="n"/>
      <c r="H60" s="67" t="n"/>
      <c r="I60" s="67" t="n"/>
      <c r="J60" s="67" t="n"/>
      <c r="K60" s="67" t="n"/>
    </row>
    <row r="61">
      <c r="B61" s="67" t="n"/>
      <c r="C61" s="67" t="n"/>
      <c r="D61" s="67" t="n"/>
      <c r="E61" s="67" t="n"/>
      <c r="F61" s="67" t="n"/>
      <c r="H61" s="67" t="n"/>
      <c r="I61" s="67" t="n"/>
      <c r="J61" s="67" t="n"/>
      <c r="K61" s="67" t="n"/>
    </row>
    <row r="62">
      <c r="B62" s="67" t="n"/>
      <c r="C62" s="67" t="n"/>
      <c r="D62" s="67" t="n"/>
      <c r="E62" s="67" t="n"/>
      <c r="F62" s="67" t="n"/>
      <c r="H62" s="67" t="n"/>
      <c r="I62" s="67" t="n"/>
      <c r="J62" s="67" t="n"/>
      <c r="K62" s="67" t="n"/>
    </row>
    <row r="63">
      <c r="B63" s="67" t="n"/>
      <c r="C63" s="67" t="n"/>
      <c r="D63" s="67" t="n"/>
      <c r="E63" s="67" t="n"/>
      <c r="F63" s="67" t="n"/>
      <c r="H63" s="67" t="n"/>
      <c r="I63" s="67" t="n"/>
      <c r="J63" s="67" t="n"/>
      <c r="K63" s="67" t="n"/>
    </row>
    <row r="64">
      <c r="B64" s="67" t="n"/>
      <c r="C64" s="67" t="n"/>
      <c r="D64" s="67" t="n"/>
      <c r="E64" s="67" t="n"/>
      <c r="F64" s="67" t="n"/>
      <c r="H64" s="67" t="n"/>
      <c r="I64" s="67" t="n"/>
      <c r="J64" s="67" t="n"/>
      <c r="K64" s="67" t="n"/>
    </row>
    <row r="65">
      <c r="B65" s="67" t="n"/>
      <c r="C65" s="67" t="n"/>
      <c r="D65" s="67" t="n"/>
      <c r="E65" s="67" t="n"/>
      <c r="F65" s="67" t="n"/>
      <c r="H65" s="67" t="n"/>
      <c r="I65" s="67" t="n"/>
      <c r="J65" s="67" t="n"/>
      <c r="K65" s="67" t="n"/>
    </row>
    <row r="66">
      <c r="B66" s="67" t="n"/>
      <c r="C66" s="67" t="n"/>
      <c r="D66" s="67" t="n"/>
      <c r="E66" s="67" t="n"/>
      <c r="F66" s="67" t="n"/>
      <c r="H66" s="67" t="n"/>
      <c r="I66" s="67" t="n"/>
      <c r="J66" s="67" t="n"/>
      <c r="K66" s="67" t="n"/>
    </row>
    <row r="67">
      <c r="B67" s="67" t="n"/>
      <c r="C67" s="67" t="n"/>
      <c r="D67" s="67" t="n"/>
      <c r="E67" s="67" t="n"/>
      <c r="F67" s="67" t="n"/>
      <c r="H67" s="67" t="n"/>
      <c r="I67" s="67" t="n"/>
      <c r="J67" s="67" t="n"/>
      <c r="K67" s="67" t="n"/>
    </row>
    <row r="68">
      <c r="B68" s="67" t="n"/>
      <c r="C68" s="67" t="n"/>
      <c r="D68" s="67" t="n"/>
      <c r="E68" s="67" t="n"/>
      <c r="F68" s="67" t="n"/>
      <c r="H68" s="67" t="n"/>
      <c r="I68" s="67" t="n"/>
      <c r="J68" s="67" t="n"/>
      <c r="K68" s="67" t="n"/>
    </row>
    <row r="69">
      <c r="B69" s="67" t="n"/>
      <c r="C69" s="67" t="n"/>
      <c r="D69" s="67" t="n"/>
      <c r="E69" s="67" t="n"/>
      <c r="F69" s="67" t="n"/>
      <c r="H69" s="67" t="n"/>
      <c r="I69" s="67" t="n"/>
      <c r="J69" s="67" t="n"/>
      <c r="K69" s="67" t="n"/>
    </row>
    <row r="70">
      <c r="B70" s="67" t="n"/>
      <c r="C70" s="67" t="n"/>
      <c r="D70" s="67" t="n"/>
      <c r="E70" s="67" t="n"/>
      <c r="F70" s="67" t="n"/>
      <c r="H70" s="67" t="n"/>
      <c r="I70" s="67" t="n"/>
      <c r="J70" s="67" t="n"/>
      <c r="K70" s="67" t="n"/>
    </row>
    <row r="71">
      <c r="B71" s="67" t="n"/>
      <c r="C71" s="67" t="n"/>
      <c r="D71" s="67" t="n"/>
      <c r="E71" s="67" t="n"/>
      <c r="F71" s="67" t="n"/>
      <c r="H71" s="67" t="n"/>
      <c r="I71" s="67" t="n"/>
      <c r="J71" s="67" t="n"/>
      <c r="K71" s="67" t="n"/>
    </row>
    <row r="72">
      <c r="B72" s="67" t="n"/>
      <c r="C72" s="67" t="n"/>
      <c r="D72" s="67" t="n"/>
      <c r="E72" s="67" t="n"/>
      <c r="F72" s="67" t="n"/>
      <c r="H72" s="67" t="n"/>
      <c r="I72" s="67" t="n"/>
      <c r="J72" s="67" t="n"/>
      <c r="K72" s="67" t="n"/>
    </row>
    <row r="73">
      <c r="B73" s="67" t="n"/>
      <c r="C73" s="67" t="n"/>
      <c r="D73" s="67" t="n"/>
      <c r="E73" s="67" t="n"/>
      <c r="F73" s="67" t="n"/>
      <c r="H73" s="67" t="n"/>
      <c r="I73" s="67" t="n"/>
      <c r="J73" s="67" t="n"/>
      <c r="K73" s="67" t="n"/>
    </row>
    <row r="74">
      <c r="B74" s="67" t="n"/>
      <c r="C74" s="67" t="n"/>
      <c r="D74" s="67" t="n"/>
      <c r="E74" s="67" t="n"/>
      <c r="F74" s="67" t="n"/>
      <c r="H74" s="67" t="n"/>
      <c r="I74" s="67" t="n"/>
      <c r="J74" s="67" t="n"/>
      <c r="K74" s="67" t="n"/>
    </row>
    <row r="75">
      <c r="B75" s="67" t="n"/>
      <c r="C75" s="67" t="n"/>
      <c r="D75" s="67" t="n"/>
      <c r="E75" s="67" t="n"/>
      <c r="F75" s="67" t="n"/>
      <c r="H75" s="67" t="n"/>
      <c r="I75" s="67" t="n"/>
      <c r="J75" s="67" t="n"/>
      <c r="K75" s="67" t="n"/>
    </row>
    <row r="76">
      <c r="B76" s="67" t="n"/>
      <c r="C76" s="67" t="n"/>
      <c r="D76" s="67" t="n"/>
      <c r="E76" s="67" t="n"/>
      <c r="F76" s="67" t="n"/>
      <c r="H76" s="67" t="n"/>
      <c r="I76" s="67" t="n"/>
      <c r="J76" s="67" t="n"/>
      <c r="K76" s="67" t="n"/>
    </row>
    <row r="77">
      <c r="B77" s="67" t="n"/>
      <c r="C77" s="67" t="n"/>
      <c r="D77" s="67" t="n"/>
      <c r="E77" s="67" t="n"/>
      <c r="F77" s="67" t="n"/>
      <c r="H77" s="67" t="n"/>
      <c r="I77" s="67" t="n"/>
      <c r="J77" s="67" t="n"/>
      <c r="K77" s="67" t="n"/>
    </row>
    <row r="78">
      <c r="B78" s="67" t="n"/>
      <c r="C78" s="67" t="n"/>
      <c r="D78" s="67" t="n"/>
      <c r="E78" s="67" t="n"/>
      <c r="F78" s="67" t="n"/>
      <c r="H78" s="67" t="n"/>
      <c r="I78" s="67" t="n"/>
      <c r="J78" s="67" t="n"/>
      <c r="K78" s="67" t="n"/>
    </row>
    <row r="79">
      <c r="B79" s="67" t="n"/>
      <c r="C79" s="67" t="n"/>
      <c r="D79" s="67" t="n"/>
      <c r="E79" s="67" t="n"/>
      <c r="F79" s="67" t="n"/>
      <c r="H79" s="67" t="n"/>
      <c r="I79" s="67" t="n"/>
      <c r="J79" s="67" t="n"/>
      <c r="K79" s="67" t="n"/>
    </row>
    <row r="80">
      <c r="B80" s="67" t="n"/>
      <c r="C80" s="67" t="n"/>
      <c r="D80" s="67" t="n"/>
      <c r="E80" s="67" t="n"/>
      <c r="F80" s="67" t="n"/>
      <c r="H80" s="67" t="n"/>
      <c r="I80" s="67" t="n"/>
      <c r="J80" s="67" t="n"/>
      <c r="K80" s="67" t="n"/>
    </row>
    <row r="81">
      <c r="B81" s="67" t="n"/>
      <c r="C81" s="67" t="n"/>
      <c r="D81" s="67" t="n"/>
      <c r="E81" s="67" t="n"/>
      <c r="F81" s="67" t="n"/>
      <c r="H81" s="67" t="n"/>
      <c r="I81" s="67" t="n"/>
      <c r="J81" s="67" t="n"/>
      <c r="K81" s="67" t="n"/>
    </row>
    <row r="82">
      <c r="B82" s="67" t="n"/>
      <c r="C82" s="67" t="n"/>
      <c r="D82" s="67" t="n"/>
      <c r="E82" s="67" t="n"/>
      <c r="F82" s="67" t="n"/>
      <c r="H82" s="67" t="n"/>
      <c r="I82" s="67" t="n"/>
      <c r="J82" s="67" t="n"/>
      <c r="K82" s="67" t="n"/>
    </row>
    <row r="83">
      <c r="B83" s="67" t="n"/>
      <c r="C83" s="67" t="n"/>
      <c r="D83" s="67" t="n"/>
      <c r="E83" s="67" t="n"/>
      <c r="F83" s="67" t="n"/>
      <c r="H83" s="67" t="n"/>
      <c r="I83" s="67" t="n"/>
      <c r="J83" s="67" t="n"/>
      <c r="K83" s="67" t="n"/>
    </row>
    <row r="84">
      <c r="B84" s="67" t="n"/>
      <c r="C84" s="67" t="n"/>
      <c r="D84" s="67" t="n"/>
      <c r="E84" s="67" t="n"/>
      <c r="F84" s="67" t="n"/>
      <c r="H84" s="67" t="n"/>
      <c r="I84" s="67" t="n"/>
      <c r="J84" s="67" t="n"/>
      <c r="K84" s="67" t="n"/>
    </row>
    <row r="85">
      <c r="B85" s="67" t="n"/>
      <c r="C85" s="67" t="n"/>
      <c r="D85" s="67" t="n"/>
      <c r="E85" s="67" t="n"/>
      <c r="F85" s="67" t="n"/>
      <c r="H85" s="67" t="n"/>
      <c r="I85" s="67" t="n"/>
      <c r="J85" s="67" t="n"/>
      <c r="K85" s="67" t="n"/>
    </row>
    <row r="86">
      <c r="B86" s="67" t="n"/>
      <c r="C86" s="67" t="n"/>
      <c r="D86" s="67" t="n"/>
      <c r="E86" s="67" t="n"/>
      <c r="F86" s="67" t="n"/>
      <c r="H86" s="67" t="n"/>
      <c r="I86" s="67" t="n"/>
      <c r="J86" s="67" t="n"/>
      <c r="K86" s="67" t="n"/>
    </row>
    <row r="87">
      <c r="B87" s="67" t="n"/>
      <c r="C87" s="67" t="n"/>
      <c r="D87" s="67" t="n"/>
      <c r="E87" s="67" t="n"/>
      <c r="F87" s="67" t="n"/>
      <c r="H87" s="67" t="n"/>
      <c r="I87" s="67" t="n"/>
      <c r="J87" s="67" t="n"/>
      <c r="K87" s="67" t="n"/>
    </row>
    <row r="88">
      <c r="B88" s="67" t="n"/>
      <c r="C88" s="67" t="n"/>
      <c r="D88" s="67" t="n"/>
      <c r="E88" s="67" t="n"/>
      <c r="F88" s="67" t="n"/>
      <c r="H88" s="67" t="n"/>
      <c r="I88" s="67" t="n"/>
      <c r="J88" s="67" t="n"/>
      <c r="K88" s="67" t="n"/>
    </row>
    <row r="89">
      <c r="B89" s="67" t="n"/>
      <c r="C89" s="67" t="n"/>
      <c r="D89" s="67" t="n"/>
      <c r="E89" s="67" t="n"/>
      <c r="F89" s="67" t="n"/>
      <c r="H89" s="67" t="n"/>
      <c r="I89" s="67" t="n"/>
      <c r="J89" s="67" t="n"/>
      <c r="K89" s="67" t="n"/>
    </row>
    <row r="90">
      <c r="B90" s="67" t="n"/>
      <c r="C90" s="67" t="n"/>
      <c r="D90" s="67" t="n"/>
      <c r="E90" s="67" t="n"/>
      <c r="F90" s="67" t="n"/>
      <c r="H90" s="67" t="n"/>
      <c r="I90" s="67" t="n"/>
      <c r="J90" s="67" t="n"/>
      <c r="K90" s="67" t="n"/>
    </row>
    <row r="91">
      <c r="B91" s="67" t="n"/>
      <c r="C91" s="67" t="n"/>
      <c r="D91" s="67" t="n"/>
      <c r="E91" s="67" t="n"/>
      <c r="F91" s="67" t="n"/>
      <c r="H91" s="67" t="n"/>
      <c r="I91" s="67" t="n"/>
      <c r="J91" s="67" t="n"/>
      <c r="K91" s="67" t="n"/>
    </row>
    <row r="92">
      <c r="B92" s="67" t="n"/>
      <c r="C92" s="67" t="n"/>
      <c r="D92" s="67" t="n"/>
      <c r="E92" s="67" t="n"/>
      <c r="F92" s="67" t="n"/>
      <c r="H92" s="67" t="n"/>
      <c r="I92" s="67" t="n"/>
      <c r="J92" s="67" t="n"/>
      <c r="K92" s="67" t="n"/>
    </row>
    <row r="93">
      <c r="B93" s="67" t="n"/>
      <c r="C93" s="67" t="n"/>
      <c r="D93" s="67" t="n"/>
      <c r="E93" s="67" t="n"/>
      <c r="F93" s="67" t="n"/>
      <c r="H93" s="67" t="n"/>
      <c r="I93" s="67" t="n"/>
      <c r="J93" s="67" t="n"/>
      <c r="K93" s="67" t="n"/>
    </row>
    <row r="94">
      <c r="B94" s="67" t="n"/>
      <c r="C94" s="67" t="n"/>
      <c r="D94" s="67" t="n"/>
      <c r="E94" s="67" t="n"/>
      <c r="F94" s="67" t="n"/>
      <c r="H94" s="67" t="n"/>
      <c r="I94" s="67" t="n"/>
      <c r="J94" s="67" t="n"/>
      <c r="K94" s="67" t="n"/>
    </row>
    <row r="95">
      <c r="B95" s="67" t="n"/>
      <c r="C95" s="67" t="n"/>
      <c r="D95" s="67" t="n"/>
      <c r="E95" s="67" t="n"/>
      <c r="F95" s="67" t="n"/>
      <c r="H95" s="67" t="n"/>
      <c r="I95" s="67" t="n"/>
      <c r="J95" s="67" t="n"/>
      <c r="K95" s="67" t="n"/>
    </row>
    <row r="96">
      <c r="B96" s="67" t="n"/>
      <c r="C96" s="67" t="n"/>
      <c r="D96" s="67" t="n"/>
      <c r="E96" s="67" t="n"/>
      <c r="F96" s="67" t="n"/>
      <c r="H96" s="67" t="n"/>
      <c r="I96" s="67" t="n"/>
      <c r="J96" s="67" t="n"/>
      <c r="K96" s="67" t="n"/>
    </row>
    <row r="97">
      <c r="B97" s="67" t="n"/>
      <c r="C97" s="67" t="n"/>
      <c r="D97" s="67" t="n"/>
      <c r="E97" s="67" t="n"/>
      <c r="F97" s="67" t="n"/>
      <c r="H97" s="67" t="n"/>
      <c r="I97" s="67" t="n"/>
      <c r="J97" s="67" t="n"/>
      <c r="K97" s="67" t="n"/>
    </row>
    <row r="98">
      <c r="B98" s="67" t="n"/>
      <c r="C98" s="67" t="n"/>
      <c r="D98" s="67" t="n"/>
      <c r="E98" s="67" t="n"/>
      <c r="F98" s="67" t="n"/>
      <c r="H98" s="67" t="n"/>
      <c r="I98" s="67" t="n"/>
      <c r="J98" s="67" t="n"/>
      <c r="K98" s="67" t="n"/>
    </row>
    <row r="99">
      <c r="B99" s="67" t="n"/>
      <c r="C99" s="67" t="n"/>
      <c r="D99" s="67" t="n"/>
      <c r="E99" s="67" t="n"/>
      <c r="F99" s="67" t="n"/>
      <c r="H99" s="67" t="n"/>
      <c r="I99" s="67" t="n"/>
      <c r="J99" s="67" t="n"/>
      <c r="K99" s="67" t="n"/>
    </row>
    <row r="100">
      <c r="B100" s="67" t="n"/>
      <c r="C100" s="67" t="n"/>
      <c r="D100" s="67" t="n"/>
      <c r="E100" s="67" t="n"/>
      <c r="F100" s="67" t="n"/>
      <c r="H100" s="67" t="n"/>
      <c r="I100" s="67" t="n"/>
      <c r="J100" s="67" t="n"/>
      <c r="K100" s="67" t="n"/>
    </row>
    <row r="101">
      <c r="B101" s="67" t="n"/>
      <c r="C101" s="67" t="n"/>
      <c r="D101" s="67" t="n"/>
      <c r="E101" s="67" t="n"/>
      <c r="F101" s="67" t="n"/>
      <c r="H101" s="67" t="n"/>
      <c r="I101" s="67" t="n"/>
      <c r="J101" s="67" t="n"/>
      <c r="K101" s="67" t="n"/>
    </row>
    <row r="102">
      <c r="B102" s="67" t="n"/>
      <c r="C102" s="67" t="n"/>
      <c r="D102" s="67" t="n"/>
      <c r="E102" s="67" t="n"/>
      <c r="F102" s="67" t="n"/>
      <c r="H102" s="67" t="n"/>
      <c r="I102" s="67" t="n"/>
      <c r="J102" s="67" t="n"/>
      <c r="K102" s="67" t="n"/>
    </row>
    <row r="103">
      <c r="B103" s="67" t="n"/>
      <c r="C103" s="67" t="n"/>
      <c r="D103" s="67" t="n"/>
      <c r="E103" s="67" t="n"/>
      <c r="F103" s="67" t="n"/>
      <c r="H103" s="67" t="n"/>
      <c r="I103" s="67" t="n"/>
      <c r="J103" s="67" t="n"/>
      <c r="K103" s="67" t="n"/>
    </row>
    <row r="104">
      <c r="B104" s="67" t="n"/>
      <c r="C104" s="67" t="n"/>
      <c r="D104" s="67" t="n"/>
      <c r="E104" s="67" t="n"/>
      <c r="F104" s="67" t="n"/>
      <c r="H104" s="67" t="n"/>
      <c r="I104" s="67" t="n"/>
      <c r="J104" s="67" t="n"/>
      <c r="K104" s="67" t="n"/>
    </row>
    <row r="105">
      <c r="B105" s="67" t="n"/>
      <c r="C105" s="67" t="n"/>
      <c r="D105" s="67" t="n"/>
      <c r="E105" s="67" t="n"/>
      <c r="F105" s="67" t="n"/>
      <c r="H105" s="67" t="n"/>
      <c r="I105" s="67" t="n"/>
      <c r="J105" s="67" t="n"/>
      <c r="K105" s="67" t="n"/>
    </row>
    <row r="106">
      <c r="B106" s="67" t="n"/>
      <c r="C106" s="67" t="n"/>
      <c r="D106" s="67" t="n"/>
      <c r="E106" s="67" t="n"/>
      <c r="F106" s="67" t="n"/>
      <c r="H106" s="67" t="n"/>
      <c r="I106" s="67" t="n"/>
      <c r="J106" s="67" t="n"/>
      <c r="K106" s="67" t="n"/>
    </row>
    <row r="107">
      <c r="B107" s="67" t="n"/>
      <c r="C107" s="67" t="n"/>
      <c r="D107" s="67" t="n"/>
      <c r="E107" s="67" t="n"/>
      <c r="F107" s="67" t="n"/>
      <c r="H107" s="67" t="n"/>
      <c r="I107" s="67" t="n"/>
      <c r="J107" s="67" t="n"/>
      <c r="K107" s="67" t="n"/>
    </row>
    <row r="108">
      <c r="B108" s="67" t="n"/>
      <c r="C108" s="67" t="n"/>
      <c r="D108" s="67" t="n"/>
      <c r="E108" s="67" t="n"/>
      <c r="F108" s="67" t="n"/>
      <c r="H108" s="67" t="n"/>
      <c r="I108" s="67" t="n"/>
      <c r="J108" s="67" t="n"/>
      <c r="K108" s="67" t="n"/>
    </row>
    <row r="109">
      <c r="B109" s="67" t="n"/>
      <c r="C109" s="67" t="n"/>
      <c r="D109" s="67" t="n"/>
      <c r="E109" s="67" t="n"/>
      <c r="F109" s="67" t="n"/>
      <c r="H109" s="67" t="n"/>
      <c r="I109" s="67" t="n"/>
      <c r="J109" s="67" t="n"/>
      <c r="K109" s="67" t="n"/>
    </row>
    <row r="110">
      <c r="B110" s="67" t="n"/>
      <c r="C110" s="67" t="n"/>
      <c r="D110" s="67" t="n"/>
      <c r="E110" s="67" t="n"/>
      <c r="F110" s="67" t="n"/>
      <c r="H110" s="67" t="n"/>
      <c r="I110" s="67" t="n"/>
      <c r="J110" s="67" t="n"/>
      <c r="K110" s="67" t="n"/>
    </row>
    <row r="111">
      <c r="B111" s="67" t="n"/>
      <c r="C111" s="67" t="n"/>
      <c r="D111" s="67" t="n"/>
      <c r="E111" s="67" t="n"/>
      <c r="F111" s="67" t="n"/>
      <c r="H111" s="67" t="n"/>
      <c r="I111" s="67" t="n"/>
      <c r="J111" s="67" t="n"/>
      <c r="K111" s="67" t="n"/>
    </row>
    <row r="112">
      <c r="B112" s="67" t="n"/>
      <c r="C112" s="67" t="n"/>
      <c r="D112" s="67" t="n"/>
      <c r="E112" s="67" t="n"/>
      <c r="F112" s="67" t="n"/>
      <c r="H112" s="67" t="n"/>
      <c r="I112" s="67" t="n"/>
      <c r="J112" s="67" t="n"/>
      <c r="K112" s="67" t="n"/>
    </row>
    <row r="113">
      <c r="B113" s="67" t="n"/>
      <c r="C113" s="67" t="n"/>
      <c r="D113" s="67" t="n"/>
      <c r="E113" s="67" t="n"/>
      <c r="F113" s="67" t="n"/>
      <c r="H113" s="67" t="n"/>
      <c r="I113" s="67" t="n"/>
      <c r="J113" s="67" t="n"/>
      <c r="K113" s="67" t="n"/>
    </row>
    <row r="114">
      <c r="B114" s="67" t="n"/>
      <c r="C114" s="67" t="n"/>
      <c r="D114" s="67" t="n"/>
      <c r="E114" s="67" t="n"/>
      <c r="F114" s="67" t="n"/>
      <c r="H114" s="67" t="n"/>
      <c r="I114" s="67" t="n"/>
      <c r="J114" s="67" t="n"/>
      <c r="K114" s="67" t="n"/>
    </row>
    <row r="115">
      <c r="B115" s="67" t="n"/>
      <c r="C115" s="67" t="n"/>
      <c r="D115" s="67" t="n"/>
      <c r="E115" s="67" t="n"/>
      <c r="F115" s="67" t="n"/>
      <c r="H115" s="67" t="n"/>
      <c r="I115" s="67" t="n"/>
      <c r="J115" s="67" t="n"/>
      <c r="K115" s="67" t="n"/>
    </row>
    <row r="116">
      <c r="B116" s="67" t="n"/>
      <c r="C116" s="67" t="n"/>
      <c r="D116" s="67" t="n"/>
      <c r="E116" s="67" t="n"/>
      <c r="F116" s="67" t="n"/>
      <c r="H116" s="67" t="n"/>
      <c r="I116" s="67" t="n"/>
      <c r="J116" s="67" t="n"/>
      <c r="K116" s="67" t="n"/>
    </row>
    <row r="117">
      <c r="B117" s="67" t="n"/>
      <c r="C117" s="67" t="n"/>
      <c r="D117" s="67" t="n"/>
      <c r="E117" s="67" t="n"/>
      <c r="F117" s="67" t="n"/>
      <c r="H117" s="67" t="n"/>
      <c r="I117" s="67" t="n"/>
      <c r="J117" s="67" t="n"/>
      <c r="K117" s="67" t="n"/>
    </row>
    <row r="118">
      <c r="B118" s="67" t="n"/>
      <c r="C118" s="67" t="n"/>
      <c r="D118" s="67" t="n"/>
      <c r="E118" s="67" t="n"/>
      <c r="F118" s="67" t="n"/>
      <c r="H118" s="67" t="n"/>
      <c r="I118" s="67" t="n"/>
      <c r="J118" s="67" t="n"/>
      <c r="K118" s="67" t="n"/>
    </row>
    <row r="119">
      <c r="B119" s="67" t="n"/>
      <c r="C119" s="67" t="n"/>
      <c r="D119" s="67" t="n"/>
      <c r="E119" s="67" t="n"/>
      <c r="F119" s="67" t="n"/>
      <c r="H119" s="67" t="n"/>
      <c r="I119" s="67" t="n"/>
      <c r="J119" s="67" t="n"/>
      <c r="K119" s="67" t="n"/>
    </row>
    <row r="120">
      <c r="B120" s="67" t="n"/>
      <c r="C120" s="67" t="n"/>
      <c r="D120" s="67" t="n"/>
      <c r="E120" s="67" t="n"/>
      <c r="F120" s="67" t="n"/>
      <c r="H120" s="67" t="n"/>
      <c r="I120" s="67" t="n"/>
      <c r="J120" s="67" t="n"/>
      <c r="K120" s="67" t="n"/>
    </row>
    <row r="121">
      <c r="B121" s="67" t="n"/>
      <c r="C121" s="67" t="n"/>
      <c r="D121" s="67" t="n"/>
      <c r="E121" s="67" t="n"/>
      <c r="F121" s="67" t="n"/>
      <c r="H121" s="67" t="n"/>
      <c r="I121" s="67" t="n"/>
      <c r="J121" s="67" t="n"/>
      <c r="K121" s="67" t="n"/>
    </row>
    <row r="122">
      <c r="B122" s="67" t="n"/>
      <c r="C122" s="67" t="n"/>
      <c r="D122" s="67" t="n"/>
      <c r="E122" s="67" t="n"/>
      <c r="F122" s="67" t="n"/>
      <c r="H122" s="67" t="n"/>
      <c r="I122" s="67" t="n"/>
      <c r="J122" s="67" t="n"/>
      <c r="K122" s="67" t="n"/>
    </row>
    <row r="123">
      <c r="B123" s="67" t="n"/>
      <c r="C123" s="67" t="n"/>
      <c r="D123" s="67" t="n"/>
      <c r="E123" s="67" t="n"/>
      <c r="F123" s="67" t="n"/>
      <c r="H123" s="67" t="n"/>
      <c r="I123" s="67" t="n"/>
      <c r="J123" s="67" t="n"/>
      <c r="K123" s="67" t="n"/>
    </row>
    <row r="124">
      <c r="B124" s="67" t="n"/>
      <c r="C124" s="67" t="n"/>
      <c r="D124" s="67" t="n"/>
      <c r="E124" s="67" t="n"/>
      <c r="F124" s="67" t="n"/>
      <c r="H124" s="67" t="n"/>
      <c r="I124" s="67" t="n"/>
      <c r="J124" s="67" t="n"/>
      <c r="K124" s="67" t="n"/>
    </row>
    <row r="125">
      <c r="B125" s="67" t="n"/>
      <c r="C125" s="67" t="n"/>
      <c r="D125" s="67" t="n"/>
      <c r="E125" s="67" t="n"/>
      <c r="F125" s="67" t="n"/>
      <c r="H125" s="67" t="n"/>
      <c r="I125" s="67" t="n"/>
      <c r="J125" s="67" t="n"/>
      <c r="K125" s="67" t="n"/>
    </row>
    <row r="126">
      <c r="B126" s="67" t="n"/>
      <c r="C126" s="67" t="n"/>
      <c r="D126" s="67" t="n"/>
      <c r="E126" s="67" t="n"/>
      <c r="F126" s="67" t="n"/>
      <c r="H126" s="67" t="n"/>
      <c r="I126" s="67" t="n"/>
      <c r="J126" s="67" t="n"/>
      <c r="K126" s="67" t="n"/>
    </row>
    <row r="127">
      <c r="B127" s="67" t="n"/>
      <c r="C127" s="67" t="n"/>
      <c r="D127" s="67" t="n"/>
      <c r="E127" s="67" t="n"/>
      <c r="F127" s="67" t="n"/>
      <c r="H127" s="67" t="n"/>
      <c r="I127" s="67" t="n"/>
      <c r="J127" s="67" t="n"/>
      <c r="K127" s="67" t="n"/>
    </row>
    <row r="128">
      <c r="B128" s="67" t="n"/>
      <c r="C128" s="67" t="n"/>
      <c r="D128" s="67" t="n"/>
      <c r="E128" s="67" t="n"/>
      <c r="F128" s="67" t="n"/>
      <c r="H128" s="67" t="n"/>
      <c r="I128" s="67" t="n"/>
      <c r="J128" s="67" t="n"/>
      <c r="K128" s="67" t="n"/>
    </row>
    <row r="129">
      <c r="B129" s="67" t="n"/>
      <c r="C129" s="67" t="n"/>
      <c r="D129" s="67" t="n"/>
      <c r="E129" s="67" t="n"/>
      <c r="F129" s="67" t="n"/>
      <c r="H129" s="67" t="n"/>
      <c r="I129" s="67" t="n"/>
      <c r="J129" s="67" t="n"/>
      <c r="K129" s="67" t="n"/>
    </row>
    <row r="130">
      <c r="B130" s="67" t="n"/>
      <c r="C130" s="67" t="n"/>
      <c r="D130" s="67" t="n"/>
      <c r="E130" s="67" t="n"/>
      <c r="F130" s="67" t="n"/>
      <c r="H130" s="67" t="n"/>
      <c r="I130" s="67" t="n"/>
      <c r="J130" s="67" t="n"/>
      <c r="K130" s="67" t="n"/>
    </row>
    <row r="131">
      <c r="B131" s="67" t="n"/>
      <c r="C131" s="67" t="n"/>
      <c r="D131" s="67" t="n"/>
      <c r="E131" s="67" t="n"/>
      <c r="F131" s="67" t="n"/>
      <c r="H131" s="67" t="n"/>
      <c r="I131" s="67" t="n"/>
      <c r="J131" s="67" t="n"/>
      <c r="K131" s="67" t="n"/>
    </row>
    <row r="132">
      <c r="B132" s="67" t="n"/>
      <c r="C132" s="67" t="n"/>
      <c r="D132" s="67" t="n"/>
      <c r="E132" s="67" t="n"/>
      <c r="F132" s="67" t="n"/>
      <c r="H132" s="67" t="n"/>
      <c r="I132" s="67" t="n"/>
      <c r="J132" s="67" t="n"/>
      <c r="K132" s="67" t="n"/>
    </row>
    <row r="133">
      <c r="B133" s="67" t="n"/>
      <c r="C133" s="67" t="n"/>
      <c r="D133" s="67" t="n"/>
      <c r="E133" s="67" t="n"/>
      <c r="F133" s="67" t="n"/>
      <c r="H133" s="67" t="n"/>
      <c r="I133" s="67" t="n"/>
      <c r="J133" s="67" t="n"/>
      <c r="K133" s="67" t="n"/>
    </row>
    <row r="134">
      <c r="B134" s="67" t="n"/>
      <c r="C134" s="67" t="n"/>
      <c r="D134" s="67" t="n"/>
      <c r="E134" s="67" t="n"/>
      <c r="F134" s="67" t="n"/>
      <c r="H134" s="67" t="n"/>
      <c r="I134" s="67" t="n"/>
      <c r="J134" s="67" t="n"/>
      <c r="K134" s="67" t="n"/>
    </row>
    <row r="135">
      <c r="B135" s="67" t="n"/>
      <c r="C135" s="67" t="n"/>
      <c r="D135" s="67" t="n"/>
      <c r="E135" s="67" t="n"/>
      <c r="F135" s="67" t="n"/>
      <c r="H135" s="67" t="n"/>
      <c r="I135" s="67" t="n"/>
      <c r="J135" s="67" t="n"/>
      <c r="K135" s="67" t="n"/>
    </row>
    <row r="136">
      <c r="B136" s="67" t="n"/>
      <c r="C136" s="67" t="n"/>
      <c r="D136" s="67" t="n"/>
      <c r="E136" s="67" t="n"/>
      <c r="F136" s="67" t="n"/>
      <c r="H136" s="67" t="n"/>
      <c r="I136" s="67" t="n"/>
      <c r="J136" s="67" t="n"/>
      <c r="K136" s="67" t="n"/>
    </row>
    <row r="137">
      <c r="B137" s="67" t="n"/>
      <c r="C137" s="67" t="n"/>
      <c r="D137" s="67" t="n"/>
      <c r="E137" s="67" t="n"/>
      <c r="F137" s="67" t="n"/>
      <c r="H137" s="67" t="n"/>
      <c r="I137" s="67" t="n"/>
      <c r="J137" s="67" t="n"/>
      <c r="K137" s="67" t="n"/>
    </row>
    <row r="138">
      <c r="B138" s="67" t="n"/>
      <c r="C138" s="67" t="n"/>
      <c r="D138" s="67" t="n"/>
      <c r="E138" s="67" t="n"/>
      <c r="F138" s="67" t="n"/>
      <c r="H138" s="67" t="n"/>
      <c r="I138" s="67" t="n"/>
      <c r="J138" s="67" t="n"/>
      <c r="K138" s="67" t="n"/>
    </row>
    <row r="139">
      <c r="B139" s="67" t="n"/>
      <c r="C139" s="67" t="n"/>
      <c r="D139" s="67" t="n"/>
      <c r="E139" s="67" t="n"/>
      <c r="F139" s="67" t="n"/>
      <c r="H139" s="67" t="n"/>
      <c r="I139" s="67" t="n"/>
      <c r="J139" s="67" t="n"/>
      <c r="K139" s="67" t="n"/>
    </row>
    <row r="140">
      <c r="B140" s="67" t="n"/>
      <c r="C140" s="67" t="n"/>
      <c r="D140" s="67" t="n"/>
      <c r="E140" s="67" t="n"/>
      <c r="F140" s="67" t="n"/>
      <c r="H140" s="67" t="n"/>
      <c r="I140" s="67" t="n"/>
      <c r="J140" s="67" t="n"/>
      <c r="K140" s="67" t="n"/>
    </row>
    <row r="141">
      <c r="B141" s="67" t="n"/>
      <c r="C141" s="67" t="n"/>
      <c r="D141" s="67" t="n"/>
      <c r="E141" s="67" t="n"/>
      <c r="F141" s="67" t="n"/>
      <c r="H141" s="67" t="n"/>
      <c r="I141" s="67" t="n"/>
      <c r="J141" s="67" t="n"/>
      <c r="K141" s="67" t="n"/>
    </row>
    <row r="142">
      <c r="B142" s="67" t="n"/>
      <c r="C142" s="67" t="n"/>
      <c r="D142" s="67" t="n"/>
      <c r="E142" s="67" t="n"/>
      <c r="F142" s="67" t="n"/>
      <c r="H142" s="67" t="n"/>
      <c r="I142" s="67" t="n"/>
      <c r="J142" s="67" t="n"/>
      <c r="K142" s="67" t="n"/>
    </row>
    <row r="143">
      <c r="B143" s="67" t="n"/>
      <c r="C143" s="67" t="n"/>
      <c r="D143" s="67" t="n"/>
      <c r="E143" s="67" t="n"/>
      <c r="F143" s="67" t="n"/>
      <c r="H143" s="67" t="n"/>
      <c r="I143" s="67" t="n"/>
      <c r="J143" s="67" t="n"/>
      <c r="K143" s="67" t="n"/>
    </row>
    <row r="144">
      <c r="B144" s="67" t="n"/>
      <c r="C144" s="67" t="n"/>
      <c r="D144" s="67" t="n"/>
      <c r="E144" s="67" t="n"/>
      <c r="F144" s="67" t="n"/>
      <c r="H144" s="67" t="n"/>
      <c r="I144" s="67" t="n"/>
      <c r="J144" s="67" t="n"/>
      <c r="K144" s="67" t="n"/>
    </row>
    <row r="145">
      <c r="B145" s="67" t="n"/>
      <c r="C145" s="67" t="n"/>
      <c r="D145" s="67" t="n"/>
      <c r="E145" s="67" t="n"/>
      <c r="F145" s="67" t="n"/>
      <c r="H145" s="67" t="n"/>
      <c r="I145" s="67" t="n"/>
      <c r="J145" s="67" t="n"/>
      <c r="K145" s="67" t="n"/>
    </row>
    <row r="146">
      <c r="B146" s="67" t="n"/>
      <c r="C146" s="67" t="n"/>
      <c r="D146" s="67" t="n"/>
      <c r="E146" s="67" t="n"/>
      <c r="F146" s="67" t="n"/>
      <c r="H146" s="67" t="n"/>
      <c r="I146" s="67" t="n"/>
      <c r="J146" s="67" t="n"/>
      <c r="K146" s="67" t="n"/>
    </row>
    <row r="147">
      <c r="B147" s="67" t="n"/>
      <c r="C147" s="67" t="n"/>
      <c r="D147" s="67" t="n"/>
      <c r="E147" s="67" t="n"/>
      <c r="F147" s="67" t="n"/>
      <c r="H147" s="67" t="n"/>
      <c r="I147" s="67" t="n"/>
      <c r="J147" s="67" t="n"/>
      <c r="K147" s="67" t="n"/>
    </row>
    <row r="148">
      <c r="B148" s="67" t="n"/>
      <c r="C148" s="67" t="n"/>
      <c r="D148" s="67" t="n"/>
      <c r="E148" s="67" t="n"/>
      <c r="F148" s="67" t="n"/>
      <c r="H148" s="67" t="n"/>
      <c r="I148" s="67" t="n"/>
      <c r="J148" s="67" t="n"/>
      <c r="K148" s="67" t="n"/>
    </row>
    <row r="149">
      <c r="B149" s="67" t="n"/>
      <c r="C149" s="67" t="n"/>
      <c r="D149" s="67" t="n"/>
      <c r="E149" s="67" t="n"/>
      <c r="F149" s="67" t="n"/>
      <c r="H149" s="67" t="n"/>
      <c r="I149" s="67" t="n"/>
      <c r="J149" s="67" t="n"/>
      <c r="K149" s="67" t="n"/>
    </row>
    <row r="150">
      <c r="B150" s="67" t="n"/>
      <c r="C150" s="67" t="n"/>
      <c r="D150" s="67" t="n"/>
      <c r="E150" s="67" t="n"/>
      <c r="F150" s="67" t="n"/>
      <c r="H150" s="67" t="n"/>
      <c r="I150" s="67" t="n"/>
      <c r="J150" s="67" t="n"/>
      <c r="K150" s="67" t="n"/>
    </row>
    <row r="151">
      <c r="B151" s="67" t="n"/>
      <c r="C151" s="67" t="n"/>
      <c r="D151" s="67" t="n"/>
      <c r="E151" s="67" t="n"/>
      <c r="F151" s="67" t="n"/>
      <c r="H151" s="67" t="n"/>
      <c r="I151" s="67" t="n"/>
      <c r="J151" s="67" t="n"/>
      <c r="K151" s="67" t="n"/>
    </row>
    <row r="152">
      <c r="B152" s="67" t="n"/>
      <c r="C152" s="67" t="n"/>
      <c r="D152" s="67" t="n"/>
      <c r="E152" s="67" t="n"/>
      <c r="F152" s="67" t="n"/>
      <c r="H152" s="67" t="n"/>
      <c r="I152" s="67" t="n"/>
      <c r="J152" s="67" t="n"/>
      <c r="K152" s="67" t="n"/>
    </row>
    <row r="153">
      <c r="B153" s="67" t="n"/>
      <c r="C153" s="67" t="n"/>
      <c r="D153" s="67" t="n"/>
      <c r="E153" s="67" t="n"/>
      <c r="F153" s="67" t="n"/>
      <c r="H153" s="67" t="n"/>
      <c r="I153" s="67" t="n"/>
      <c r="J153" s="67" t="n"/>
      <c r="K153" s="67" t="n"/>
    </row>
    <row r="154">
      <c r="B154" s="67" t="n"/>
      <c r="C154" s="67" t="n"/>
      <c r="D154" s="67" t="n"/>
      <c r="E154" s="67" t="n"/>
      <c r="F154" s="67" t="n"/>
      <c r="H154" s="67" t="n"/>
      <c r="I154" s="67" t="n"/>
      <c r="J154" s="67" t="n"/>
      <c r="K154" s="67" t="n"/>
    </row>
    <row r="155">
      <c r="B155" s="67" t="n"/>
      <c r="C155" s="67" t="n"/>
      <c r="D155" s="67" t="n"/>
      <c r="E155" s="67" t="n"/>
      <c r="F155" s="67" t="n"/>
      <c r="H155" s="67" t="n"/>
      <c r="I155" s="67" t="n"/>
      <c r="J155" s="67" t="n"/>
      <c r="K155" s="67" t="n"/>
    </row>
    <row r="156">
      <c r="B156" s="67" t="n"/>
      <c r="C156" s="67" t="n"/>
      <c r="D156" s="67" t="n"/>
      <c r="E156" s="67" t="n"/>
      <c r="F156" s="67" t="n"/>
      <c r="H156" s="67" t="n"/>
      <c r="I156" s="67" t="n"/>
      <c r="J156" s="67" t="n"/>
      <c r="K156" s="67" t="n"/>
    </row>
    <row r="157">
      <c r="B157" s="67" t="n"/>
      <c r="C157" s="67" t="n"/>
      <c r="D157" s="67" t="n"/>
      <c r="E157" s="67" t="n"/>
      <c r="F157" s="67" t="n"/>
      <c r="H157" s="67" t="n"/>
      <c r="I157" s="67" t="n"/>
      <c r="J157" s="67" t="n"/>
      <c r="K157" s="67" t="n"/>
    </row>
    <row r="158">
      <c r="B158" s="67" t="n"/>
      <c r="C158" s="67" t="n"/>
      <c r="D158" s="67" t="n"/>
      <c r="E158" s="67" t="n"/>
      <c r="F158" s="67" t="n"/>
      <c r="H158" s="67" t="n"/>
      <c r="I158" s="67" t="n"/>
      <c r="J158" s="67" t="n"/>
      <c r="K158" s="67" t="n"/>
    </row>
    <row r="159">
      <c r="B159" s="67" t="n"/>
      <c r="C159" s="67" t="n"/>
      <c r="D159" s="67" t="n"/>
      <c r="E159" s="67" t="n"/>
      <c r="F159" s="67" t="n"/>
      <c r="H159" s="67" t="n"/>
      <c r="I159" s="67" t="n"/>
      <c r="J159" s="67" t="n"/>
      <c r="K159" s="67" t="n"/>
    </row>
    <row r="160">
      <c r="B160" s="67" t="n"/>
      <c r="C160" s="67" t="n"/>
      <c r="D160" s="67" t="n"/>
      <c r="E160" s="67" t="n"/>
      <c r="F160" s="67" t="n"/>
      <c r="H160" s="67" t="n"/>
      <c r="I160" s="67" t="n"/>
      <c r="J160" s="67" t="n"/>
      <c r="K160" s="67" t="n"/>
    </row>
    <row r="161">
      <c r="B161" s="67" t="n"/>
      <c r="C161" s="67" t="n"/>
      <c r="D161" s="67" t="n"/>
      <c r="E161" s="67" t="n"/>
      <c r="F161" s="67" t="n"/>
      <c r="H161" s="67" t="n"/>
      <c r="I161" s="67" t="n"/>
      <c r="J161" s="67" t="n"/>
      <c r="K161" s="67" t="n"/>
    </row>
    <row r="162">
      <c r="B162" s="67" t="n"/>
      <c r="C162" s="67" t="n"/>
      <c r="D162" s="67" t="n"/>
      <c r="E162" s="67" t="n"/>
      <c r="F162" s="67" t="n"/>
      <c r="H162" s="67" t="n"/>
      <c r="I162" s="67" t="n"/>
      <c r="J162" s="67" t="n"/>
      <c r="K162" s="67" t="n"/>
    </row>
    <row r="163">
      <c r="B163" s="67" t="n"/>
      <c r="C163" s="67" t="n"/>
      <c r="D163" s="67" t="n"/>
      <c r="E163" s="67" t="n"/>
      <c r="F163" s="67" t="n"/>
      <c r="H163" s="67" t="n"/>
      <c r="I163" s="67" t="n"/>
      <c r="J163" s="67" t="n"/>
      <c r="K163" s="67" t="n"/>
    </row>
    <row r="164">
      <c r="B164" s="67" t="n"/>
      <c r="C164" s="67" t="n"/>
      <c r="D164" s="67" t="n"/>
      <c r="E164" s="67" t="n"/>
      <c r="F164" s="67" t="n"/>
      <c r="H164" s="67" t="n"/>
      <c r="I164" s="67" t="n"/>
      <c r="J164" s="67" t="n"/>
      <c r="K164" s="67" t="n"/>
    </row>
    <row r="165">
      <c r="B165" s="67" t="n"/>
      <c r="C165" s="67" t="n"/>
      <c r="D165" s="67" t="n"/>
      <c r="E165" s="67" t="n"/>
      <c r="F165" s="67" t="n"/>
      <c r="H165" s="67" t="n"/>
      <c r="I165" s="67" t="n"/>
      <c r="J165" s="67" t="n"/>
      <c r="K165" s="67" t="n"/>
    </row>
    <row r="166">
      <c r="B166" s="67" t="n"/>
      <c r="C166" s="67" t="n"/>
      <c r="D166" s="67" t="n"/>
      <c r="E166" s="67" t="n"/>
      <c r="F166" s="67" t="n"/>
      <c r="H166" s="67" t="n"/>
      <c r="I166" s="67" t="n"/>
      <c r="J166" s="67" t="n"/>
      <c r="K166" s="67" t="n"/>
    </row>
    <row r="167">
      <c r="B167" s="67" t="n"/>
      <c r="C167" s="67" t="n"/>
      <c r="D167" s="67" t="n"/>
      <c r="E167" s="67" t="n"/>
      <c r="F167" s="67" t="n"/>
      <c r="H167" s="67" t="n"/>
      <c r="I167" s="67" t="n"/>
      <c r="J167" s="67" t="n"/>
      <c r="K167" s="67" t="n"/>
    </row>
    <row r="168">
      <c r="B168" s="67" t="n"/>
      <c r="C168" s="67" t="n"/>
      <c r="D168" s="67" t="n"/>
      <c r="E168" s="67" t="n"/>
      <c r="F168" s="67" t="n"/>
      <c r="H168" s="67" t="n"/>
      <c r="I168" s="67" t="n"/>
      <c r="J168" s="67" t="n"/>
      <c r="K168" s="67" t="n"/>
    </row>
    <row r="169">
      <c r="B169" s="67" t="n"/>
      <c r="C169" s="67" t="n"/>
      <c r="D169" s="67" t="n"/>
      <c r="E169" s="67" t="n"/>
      <c r="F169" s="67" t="n"/>
      <c r="H169" s="67" t="n"/>
      <c r="I169" s="67" t="n"/>
      <c r="J169" s="67" t="n"/>
      <c r="K169" s="67" t="n"/>
    </row>
    <row r="170">
      <c r="B170" s="67" t="n"/>
      <c r="C170" s="67" t="n"/>
      <c r="D170" s="67" t="n"/>
      <c r="E170" s="67" t="n"/>
      <c r="F170" s="67" t="n"/>
      <c r="H170" s="67" t="n"/>
      <c r="I170" s="67" t="n"/>
      <c r="J170" s="67" t="n"/>
      <c r="K170" s="67" t="n"/>
    </row>
    <row r="171">
      <c r="B171" s="67" t="n"/>
      <c r="C171" s="67" t="n"/>
      <c r="D171" s="67" t="n"/>
      <c r="E171" s="67" t="n"/>
      <c r="F171" s="67" t="n"/>
      <c r="H171" s="67" t="n"/>
      <c r="I171" s="67" t="n"/>
      <c r="J171" s="67" t="n"/>
      <c r="K171" s="67" t="n"/>
    </row>
    <row r="172">
      <c r="B172" s="67" t="n"/>
      <c r="C172" s="67" t="n"/>
      <c r="D172" s="67" t="n"/>
      <c r="E172" s="67" t="n"/>
      <c r="F172" s="67" t="n"/>
      <c r="H172" s="67" t="n"/>
      <c r="I172" s="67" t="n"/>
      <c r="J172" s="67" t="n"/>
      <c r="K172" s="67" t="n"/>
    </row>
    <row r="173">
      <c r="B173" s="67" t="n"/>
      <c r="C173" s="67" t="n"/>
      <c r="D173" s="67" t="n"/>
      <c r="E173" s="67" t="n"/>
      <c r="F173" s="67" t="n"/>
      <c r="H173" s="67" t="n"/>
      <c r="I173" s="67" t="n"/>
      <c r="J173" s="67" t="n"/>
      <c r="K173" s="67" t="n"/>
    </row>
    <row r="174">
      <c r="B174" s="67" t="n"/>
      <c r="C174" s="67" t="n"/>
      <c r="D174" s="67" t="n"/>
      <c r="E174" s="67" t="n"/>
      <c r="F174" s="67" t="n"/>
      <c r="H174" s="67" t="n"/>
      <c r="I174" s="67" t="n"/>
      <c r="J174" s="67" t="n"/>
      <c r="K174" s="67" t="n"/>
    </row>
    <row r="175">
      <c r="B175" s="67" t="n"/>
      <c r="C175" s="67" t="n"/>
      <c r="D175" s="67" t="n"/>
      <c r="E175" s="67" t="n"/>
      <c r="F175" s="67" t="n"/>
      <c r="H175" s="67" t="n"/>
      <c r="I175" s="67" t="n"/>
      <c r="J175" s="67" t="n"/>
      <c r="K175" s="67" t="n"/>
    </row>
    <row r="176">
      <c r="B176" s="67" t="n"/>
      <c r="C176" s="67" t="n"/>
      <c r="D176" s="67" t="n"/>
      <c r="E176" s="67" t="n"/>
      <c r="F176" s="67" t="n"/>
      <c r="H176" s="67" t="n"/>
      <c r="I176" s="67" t="n"/>
      <c r="J176" s="67" t="n"/>
      <c r="K176" s="67" t="n"/>
    </row>
    <row r="177">
      <c r="B177" s="67" t="n"/>
      <c r="C177" s="67" t="n"/>
      <c r="D177" s="67" t="n"/>
      <c r="E177" s="67" t="n"/>
      <c r="F177" s="67" t="n"/>
      <c r="H177" s="67" t="n"/>
      <c r="I177" s="67" t="n"/>
      <c r="J177" s="67" t="n"/>
      <c r="K177" s="67" t="n"/>
    </row>
    <row r="178">
      <c r="B178" s="67" t="n"/>
      <c r="C178" s="67" t="n"/>
      <c r="D178" s="67" t="n"/>
      <c r="E178" s="67" t="n"/>
      <c r="F178" s="67" t="n"/>
      <c r="H178" s="67" t="n"/>
      <c r="I178" s="67" t="n"/>
      <c r="J178" s="67" t="n"/>
      <c r="K178" s="67" t="n"/>
    </row>
    <row r="179">
      <c r="B179" s="67" t="n"/>
      <c r="C179" s="67" t="n"/>
      <c r="D179" s="67" t="n"/>
      <c r="E179" s="67" t="n"/>
      <c r="F179" s="67" t="n"/>
      <c r="H179" s="67" t="n"/>
      <c r="I179" s="67" t="n"/>
      <c r="J179" s="67" t="n"/>
      <c r="K179" s="67" t="n"/>
    </row>
    <row r="180">
      <c r="B180" s="67" t="n"/>
      <c r="C180" s="67" t="n"/>
      <c r="D180" s="67" t="n"/>
      <c r="E180" s="67" t="n"/>
      <c r="F180" s="67" t="n"/>
      <c r="H180" s="67" t="n"/>
      <c r="I180" s="67" t="n"/>
      <c r="J180" s="67" t="n"/>
      <c r="K180" s="67" t="n"/>
    </row>
    <row r="181">
      <c r="B181" s="67" t="n"/>
      <c r="C181" s="67" t="n"/>
      <c r="D181" s="67" t="n"/>
      <c r="E181" s="67" t="n"/>
      <c r="F181" s="67" t="n"/>
      <c r="H181" s="67" t="n"/>
      <c r="I181" s="67" t="n"/>
      <c r="J181" s="67" t="n"/>
      <c r="K181" s="67" t="n"/>
    </row>
    <row r="182">
      <c r="B182" s="67" t="n"/>
      <c r="C182" s="67" t="n"/>
      <c r="D182" s="67" t="n"/>
      <c r="E182" s="67" t="n"/>
      <c r="F182" s="67" t="n"/>
      <c r="H182" s="67" t="n"/>
      <c r="I182" s="67" t="n"/>
      <c r="J182" s="67" t="n"/>
      <c r="K182" s="67" t="n"/>
    </row>
    <row r="183">
      <c r="B183" s="67" t="n"/>
      <c r="C183" s="67" t="n"/>
      <c r="D183" s="67" t="n"/>
      <c r="E183" s="67" t="n"/>
      <c r="F183" s="67" t="n"/>
      <c r="H183" s="67" t="n"/>
      <c r="I183" s="67" t="n"/>
      <c r="J183" s="67" t="n"/>
      <c r="K183" s="67" t="n"/>
    </row>
    <row r="184">
      <c r="B184" s="67" t="n"/>
      <c r="C184" s="67" t="n"/>
      <c r="D184" s="67" t="n"/>
      <c r="E184" s="67" t="n"/>
      <c r="F184" s="67" t="n"/>
      <c r="H184" s="67" t="n"/>
      <c r="I184" s="67" t="n"/>
      <c r="J184" s="67" t="n"/>
      <c r="K184" s="67" t="n"/>
    </row>
    <row r="185">
      <c r="B185" s="67" t="n"/>
      <c r="C185" s="67" t="n"/>
      <c r="D185" s="67" t="n"/>
      <c r="E185" s="67" t="n"/>
      <c r="F185" s="67" t="n"/>
      <c r="H185" s="67" t="n"/>
      <c r="I185" s="67" t="n"/>
      <c r="J185" s="67" t="n"/>
      <c r="K185" s="67" t="n"/>
    </row>
    <row r="186">
      <c r="B186" s="67" t="n"/>
      <c r="C186" s="67" t="n"/>
      <c r="D186" s="67" t="n"/>
      <c r="E186" s="67" t="n"/>
      <c r="F186" s="67" t="n"/>
      <c r="H186" s="67" t="n"/>
      <c r="I186" s="67" t="n"/>
      <c r="J186" s="67" t="n"/>
      <c r="K186" s="67" t="n"/>
    </row>
    <row r="187">
      <c r="B187" s="67" t="n"/>
      <c r="C187" s="67" t="n"/>
      <c r="D187" s="67" t="n"/>
      <c r="E187" s="67" t="n"/>
      <c r="F187" s="67" t="n"/>
      <c r="H187" s="67" t="n"/>
      <c r="I187" s="67" t="n"/>
      <c r="J187" s="67" t="n"/>
      <c r="K187" s="67" t="n"/>
    </row>
    <row r="188">
      <c r="B188" s="67" t="n"/>
      <c r="C188" s="67" t="n"/>
      <c r="D188" s="67" t="n"/>
      <c r="E188" s="67" t="n"/>
      <c r="F188" s="67" t="n"/>
      <c r="H188" s="67" t="n"/>
      <c r="I188" s="67" t="n"/>
      <c r="J188" s="67" t="n"/>
      <c r="K188" s="67" t="n"/>
    </row>
    <row r="189">
      <c r="B189" s="67" t="n"/>
      <c r="C189" s="67" t="n"/>
      <c r="D189" s="67" t="n"/>
      <c r="E189" s="67" t="n"/>
      <c r="F189" s="67" t="n"/>
      <c r="H189" s="67" t="n"/>
      <c r="I189" s="67" t="n"/>
      <c r="J189" s="67" t="n"/>
      <c r="K189" s="67" t="n"/>
    </row>
    <row r="190">
      <c r="B190" s="67" t="n"/>
      <c r="C190" s="67" t="n"/>
      <c r="D190" s="67" t="n"/>
      <c r="E190" s="67" t="n"/>
      <c r="F190" s="67" t="n"/>
      <c r="H190" s="67" t="n"/>
      <c r="I190" s="67" t="n"/>
      <c r="J190" s="67" t="n"/>
      <c r="K190" s="67" t="n"/>
    </row>
    <row r="191">
      <c r="B191" s="67" t="n"/>
      <c r="C191" s="67" t="n"/>
      <c r="D191" s="67" t="n"/>
      <c r="E191" s="67" t="n"/>
      <c r="F191" s="67" t="n"/>
      <c r="H191" s="67" t="n"/>
      <c r="I191" s="67" t="n"/>
      <c r="J191" s="67" t="n"/>
      <c r="K191" s="67" t="n"/>
    </row>
    <row r="192">
      <c r="B192" s="67" t="n"/>
      <c r="C192" s="67" t="n"/>
      <c r="D192" s="67" t="n"/>
      <c r="E192" s="67" t="n"/>
      <c r="F192" s="67" t="n"/>
      <c r="H192" s="67" t="n"/>
      <c r="I192" s="67" t="n"/>
      <c r="J192" s="67" t="n"/>
      <c r="K192" s="67" t="n"/>
    </row>
    <row r="193">
      <c r="B193" s="67" t="n"/>
      <c r="C193" s="67" t="n"/>
      <c r="D193" s="67" t="n"/>
      <c r="E193" s="67" t="n"/>
      <c r="F193" s="67" t="n"/>
      <c r="H193" s="67" t="n"/>
      <c r="I193" s="67" t="n"/>
      <c r="J193" s="67" t="n"/>
      <c r="K193" s="67" t="n"/>
    </row>
    <row r="194">
      <c r="B194" s="67" t="n"/>
      <c r="C194" s="67" t="n"/>
      <c r="D194" s="67" t="n"/>
      <c r="E194" s="67" t="n"/>
      <c r="F194" s="67" t="n"/>
      <c r="H194" s="67" t="n"/>
      <c r="I194" s="67" t="n"/>
      <c r="J194" s="67" t="n"/>
      <c r="K194" s="67" t="n"/>
    </row>
    <row r="195">
      <c r="B195" s="67" t="n"/>
      <c r="C195" s="67" t="n"/>
      <c r="D195" s="67" t="n"/>
      <c r="E195" s="67" t="n"/>
      <c r="F195" s="67" t="n"/>
      <c r="H195" s="67" t="n"/>
      <c r="I195" s="67" t="n"/>
      <c r="J195" s="67" t="n"/>
      <c r="K195" s="67" t="n"/>
    </row>
    <row r="196">
      <c r="B196" s="67" t="n"/>
      <c r="C196" s="67" t="n"/>
      <c r="D196" s="67" t="n"/>
      <c r="E196" s="67" t="n"/>
      <c r="F196" s="67" t="n"/>
      <c r="H196" s="67" t="n"/>
      <c r="I196" s="67" t="n"/>
      <c r="J196" s="67" t="n"/>
      <c r="K196" s="67" t="n"/>
    </row>
    <row r="197">
      <c r="B197" s="67" t="n"/>
      <c r="C197" s="67" t="n"/>
      <c r="D197" s="67" t="n"/>
      <c r="E197" s="67" t="n"/>
      <c r="F197" s="67" t="n"/>
      <c r="H197" s="67" t="n"/>
      <c r="I197" s="67" t="n"/>
      <c r="J197" s="67" t="n"/>
      <c r="K197" s="67" t="n"/>
    </row>
    <row r="198">
      <c r="B198" s="67" t="n"/>
      <c r="C198" s="67" t="n"/>
      <c r="D198" s="67" t="n"/>
      <c r="E198" s="67" t="n"/>
      <c r="F198" s="67" t="n"/>
      <c r="H198" s="67" t="n"/>
      <c r="I198" s="67" t="n"/>
      <c r="J198" s="67" t="n"/>
      <c r="K198" s="67" t="n"/>
    </row>
    <row r="199">
      <c r="B199" s="67" t="n"/>
      <c r="C199" s="67" t="n"/>
      <c r="D199" s="67" t="n"/>
      <c r="E199" s="67" t="n"/>
      <c r="F199" s="67" t="n"/>
      <c r="H199" s="67" t="n"/>
      <c r="I199" s="67" t="n"/>
      <c r="J199" s="67" t="n"/>
      <c r="K199" s="67" t="n"/>
    </row>
    <row r="200">
      <c r="B200" s="67" t="n"/>
      <c r="C200" s="67" t="n"/>
      <c r="D200" s="67" t="n"/>
      <c r="E200" s="67" t="n"/>
      <c r="F200" s="67" t="n"/>
      <c r="H200" s="67" t="n"/>
      <c r="I200" s="67" t="n"/>
      <c r="J200" s="67" t="n"/>
      <c r="K200" s="67" t="n"/>
    </row>
    <row r="201">
      <c r="B201" s="67" t="n"/>
      <c r="C201" s="67" t="n"/>
      <c r="D201" s="67" t="n"/>
      <c r="E201" s="67" t="n"/>
      <c r="F201" s="67" t="n"/>
      <c r="H201" s="67" t="n"/>
      <c r="I201" s="67" t="n"/>
      <c r="J201" s="67" t="n"/>
      <c r="K201" s="67" t="n"/>
    </row>
    <row r="202">
      <c r="B202" s="67" t="n"/>
      <c r="C202" s="67" t="n"/>
      <c r="D202" s="67" t="n"/>
      <c r="E202" s="67" t="n"/>
      <c r="F202" s="67" t="n"/>
      <c r="H202" s="67" t="n"/>
      <c r="I202" s="67" t="n"/>
      <c r="J202" s="67" t="n"/>
      <c r="K202" s="67" t="n"/>
    </row>
    <row r="203">
      <c r="B203" s="67" t="n"/>
      <c r="C203" s="67" t="n"/>
      <c r="D203" s="67" t="n"/>
      <c r="E203" s="67" t="n"/>
      <c r="F203" s="67" t="n"/>
      <c r="H203" s="67" t="n"/>
      <c r="I203" s="67" t="n"/>
      <c r="J203" s="67" t="n"/>
      <c r="K203" s="67" t="n"/>
    </row>
    <row r="204">
      <c r="B204" s="67" t="n"/>
      <c r="C204" s="67" t="n"/>
      <c r="D204" s="67" t="n"/>
      <c r="E204" s="67" t="n"/>
      <c r="F204" s="67" t="n"/>
      <c r="H204" s="67" t="n"/>
      <c r="I204" s="67" t="n"/>
      <c r="J204" s="67" t="n"/>
      <c r="K204" s="67" t="n"/>
    </row>
    <row r="205">
      <c r="B205" s="67" t="n"/>
      <c r="C205" s="67" t="n"/>
      <c r="D205" s="67" t="n"/>
      <c r="E205" s="67" t="n"/>
      <c r="F205" s="67" t="n"/>
      <c r="H205" s="67" t="n"/>
      <c r="I205" s="67" t="n"/>
      <c r="J205" s="67" t="n"/>
      <c r="K205" s="67" t="n"/>
    </row>
    <row r="206">
      <c r="B206" s="67" t="n"/>
      <c r="C206" s="67" t="n"/>
      <c r="D206" s="67" t="n"/>
      <c r="E206" s="67" t="n"/>
      <c r="F206" s="67" t="n"/>
      <c r="H206" s="67" t="n"/>
      <c r="I206" s="67" t="n"/>
      <c r="J206" s="67" t="n"/>
      <c r="K206" s="67" t="n"/>
    </row>
    <row r="207">
      <c r="B207" s="67" t="n"/>
      <c r="C207" s="67" t="n"/>
      <c r="D207" s="67" t="n"/>
      <c r="E207" s="67" t="n"/>
      <c r="F207" s="67" t="n"/>
      <c r="H207" s="67" t="n"/>
      <c r="I207" s="67" t="n"/>
      <c r="J207" s="67" t="n"/>
      <c r="K207" s="67" t="n"/>
    </row>
    <row r="208">
      <c r="B208" s="67" t="n"/>
      <c r="C208" s="67" t="n"/>
      <c r="D208" s="67" t="n"/>
      <c r="E208" s="67" t="n"/>
      <c r="F208" s="67" t="n"/>
      <c r="H208" s="67" t="n"/>
      <c r="I208" s="67" t="n"/>
      <c r="J208" s="67" t="n"/>
      <c r="K208" s="67" t="n"/>
    </row>
    <row r="209">
      <c r="B209" s="67" t="n"/>
      <c r="C209" s="67" t="n"/>
      <c r="D209" s="67" t="n"/>
      <c r="E209" s="67" t="n"/>
      <c r="F209" s="67" t="n"/>
      <c r="H209" s="67" t="n"/>
      <c r="I209" s="67" t="n"/>
      <c r="J209" s="67" t="n"/>
      <c r="K209" s="67" t="n"/>
    </row>
    <row r="210">
      <c r="B210" s="67" t="n"/>
      <c r="C210" s="67" t="n"/>
      <c r="D210" s="67" t="n"/>
      <c r="E210" s="67" t="n"/>
      <c r="F210" s="67" t="n"/>
      <c r="H210" s="67" t="n"/>
      <c r="I210" s="67" t="n"/>
      <c r="J210" s="67" t="n"/>
      <c r="K210" s="67" t="n"/>
    </row>
    <row r="211">
      <c r="B211" s="67" t="n"/>
      <c r="C211" s="67" t="n"/>
      <c r="D211" s="67" t="n"/>
      <c r="E211" s="67" t="n"/>
      <c r="F211" s="67" t="n"/>
      <c r="H211" s="67" t="n"/>
      <c r="I211" s="67" t="n"/>
      <c r="J211" s="67" t="n"/>
      <c r="K211" s="67" t="n"/>
    </row>
    <row r="212">
      <c r="B212" s="67" t="n"/>
      <c r="C212" s="67" t="n"/>
      <c r="D212" s="67" t="n"/>
      <c r="E212" s="67" t="n"/>
      <c r="F212" s="67" t="n"/>
      <c r="H212" s="67" t="n"/>
      <c r="I212" s="67" t="n"/>
      <c r="J212" s="67" t="n"/>
      <c r="K212" s="67" t="n"/>
    </row>
    <row r="213">
      <c r="B213" s="67" t="n"/>
      <c r="C213" s="67" t="n"/>
      <c r="D213" s="67" t="n"/>
      <c r="E213" s="67" t="n"/>
      <c r="F213" s="67" t="n"/>
      <c r="H213" s="67" t="n"/>
      <c r="I213" s="67" t="n"/>
      <c r="J213" s="67" t="n"/>
      <c r="K213" s="67" t="n"/>
    </row>
    <row r="214">
      <c r="B214" s="67" t="n"/>
      <c r="C214" s="67" t="n"/>
      <c r="D214" s="67" t="n"/>
      <c r="E214" s="67" t="n"/>
      <c r="F214" s="67" t="n"/>
      <c r="H214" s="67" t="n"/>
      <c r="I214" s="67" t="n"/>
      <c r="J214" s="67" t="n"/>
      <c r="K214" s="67" t="n"/>
    </row>
    <row r="215">
      <c r="B215" s="67" t="n"/>
      <c r="C215" s="67" t="n"/>
      <c r="D215" s="67" t="n"/>
      <c r="E215" s="67" t="n"/>
      <c r="F215" s="67" t="n"/>
      <c r="H215" s="67" t="n"/>
      <c r="I215" s="67" t="n"/>
      <c r="J215" s="67" t="n"/>
      <c r="K215" s="67" t="n"/>
    </row>
    <row r="216">
      <c r="B216" s="67" t="n"/>
      <c r="C216" s="67" t="n"/>
      <c r="D216" s="67" t="n"/>
      <c r="E216" s="67" t="n"/>
      <c r="F216" s="67" t="n"/>
      <c r="H216" s="67" t="n"/>
      <c r="I216" s="67" t="n"/>
      <c r="J216" s="67" t="n"/>
      <c r="K216" s="67" t="n"/>
    </row>
    <row r="217">
      <c r="B217" s="67" t="n"/>
      <c r="C217" s="67" t="n"/>
      <c r="D217" s="67" t="n"/>
      <c r="E217" s="67" t="n"/>
      <c r="F217" s="67" t="n"/>
      <c r="H217" s="67" t="n"/>
      <c r="I217" s="67" t="n"/>
      <c r="J217" s="67" t="n"/>
      <c r="K217" s="67" t="n"/>
    </row>
    <row r="218">
      <c r="B218" s="67" t="n"/>
      <c r="C218" s="67" t="n"/>
      <c r="D218" s="67" t="n"/>
      <c r="E218" s="67" t="n"/>
      <c r="F218" s="67" t="n"/>
      <c r="H218" s="67" t="n"/>
      <c r="I218" s="67" t="n"/>
      <c r="J218" s="67" t="n"/>
      <c r="K218" s="67" t="n"/>
    </row>
    <row r="219">
      <c r="B219" s="67" t="n"/>
      <c r="C219" s="67" t="n"/>
      <c r="D219" s="67" t="n"/>
      <c r="E219" s="67" t="n"/>
      <c r="F219" s="67" t="n"/>
      <c r="H219" s="67" t="n"/>
      <c r="I219" s="67" t="n"/>
      <c r="J219" s="67" t="n"/>
      <c r="K219" s="67" t="n"/>
    </row>
    <row r="220">
      <c r="B220" s="67" t="n"/>
      <c r="C220" s="67" t="n"/>
      <c r="D220" s="67" t="n"/>
      <c r="E220" s="67" t="n"/>
      <c r="F220" s="67" t="n"/>
      <c r="H220" s="67" t="n"/>
      <c r="I220" s="67" t="n"/>
      <c r="J220" s="67" t="n"/>
      <c r="K220" s="67" t="n"/>
    </row>
  </sheetData>
  <mergeCells count="9">
    <mergeCell ref="D8:E8"/>
    <mergeCell ref="B4:K4"/>
    <mergeCell ref="B10:C10"/>
    <mergeCell ref="B7:K7"/>
    <mergeCell ref="B6:K6"/>
    <mergeCell ref="F8:K8"/>
    <mergeCell ref="B8:C8"/>
    <mergeCell ref="B3:K3"/>
    <mergeCell ref="B5:K5"/>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AND(LEN($B20&amp;$C20&amp;$D20&amp;$E20&amp;$F20&amp;$G20&amp;$H20&amp;$I20&amp;$J20&amp;$K20)&gt;0,B20="")</formula>
    </cfRule>
  </conditionalFormatting>
  <conditionalFormatting sqref="D20:D220">
    <cfRule type="expression" priority="3" dxfId="6">
      <formula>AND(LEN($B20&amp;$C20&amp;$D20&amp;$E20&amp;$F20&amp;$G20&amp;$H20&amp;$I20&amp;$J20&amp;$K20)&gt;0,D20="")</formula>
    </cfRule>
  </conditionalFormatting>
  <conditionalFormatting sqref="E20:E220">
    <cfRule type="expression" priority="4" dxfId="6">
      <formula>AND(LEN($B20&amp;$C20&amp;$D20&amp;$E20&amp;$F20&amp;$G20&amp;$H20&amp;$I20&amp;$J20&amp;$K20)&gt;0,E20="")</formula>
    </cfRule>
  </conditionalFormatting>
  <conditionalFormatting sqref="F20:F220">
    <cfRule type="expression" priority="5" dxfId="6">
      <formula>AND(LEN($B20&amp;$C20&amp;$D20&amp;$E20&amp;$F20&amp;$G20&amp;$H20&amp;$I20&amp;$J20&amp;$K20)&gt;0,F20="")</formula>
    </cfRule>
  </conditionalFormatting>
  <conditionalFormatting sqref="G20:G220">
    <cfRule type="expression" priority="6" dxfId="6">
      <formula>AND(LEN($B20&amp;$C20&amp;$D20&amp;$E20&amp;$F20&amp;$G20&amp;$H20&amp;$I20&amp;$J20&amp;$K20)&gt;0,G20="")</formula>
    </cfRule>
  </conditionalFormatting>
  <conditionalFormatting sqref="H20:H220">
    <cfRule type="expression" priority="7" dxfId="6">
      <formula>AND(LEN($B20&amp;$C20&amp;$D20&amp;$E20&amp;$F20&amp;$G20&amp;$H20&amp;$I20&amp;$J20&amp;$K20)&gt;0,H20="")</formula>
    </cfRule>
  </conditionalFormatting>
  <dataValidations count="12">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K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record_type" error="Choose a value of the list F04 record_type (sheet Reference lists)." promptTitle="record_type" prompt="Yes. Kind of row Allowed: HOLD, SPECIAL, BATCH (list F04 record_type)" type="list" errorStyle="stop">
      <formula1>=LIST_F04_RECORD_TYPE</formula1>
    </dataValidation>
    <dataValidation sqref="C20:C220" showDropDown="0" showInputMessage="1" showErrorMessage="1" allowBlank="1" errorTitle="legacy_batch_no" error="At most 40 characters." promptTitle="legacy_batch_no" prompt="Conditional: Mandatory for BATCH and SPECIAL. Legacy remittance batch number (BATCH, SPECIAL) Allowed: Free entry, up to 40 characters" type="textLength" operator="lessThanOrEqual">
      <formula1>40</formula1>
    </dataValidation>
    <dataValidation sqref="D20:D220" showDropDown="0" showInputMessage="1" showErrorMessage="1" allowBlank="1" errorTitle="insurer_code" error="At most 30 characters." promptTitle="insurer_code" prompt="Yes. Insurer Allowed: The legacy code; mapped by the code map INSURER (sheet Code maps)" type="textLength" operator="lessThanOrEqual">
      <formula1>30</formula1>
    </dataValidation>
    <dataValidation sqref="E20:E220" showDropDown="0" showInputMessage="1" showErrorMessage="1" allowBlank="1" errorTitle="legacy_invoice_no" error="At most 40 characters." promptTitle="legacy_invoice_no" prompt="Yes. Invoice of the line Allowed: legacy_invoice_no of F01" type="textLength" operator="lessThanOrEqual">
      <formula1>40</formula1>
    </dataValidation>
    <dataValidation sqref="F20:F220" showDropDown="0" showInputMessage="1" showErrorMessage="1" allowBlank="1" errorTitle="currency" error="At most 3 characters." promptTitle="currency" prompt="Yes. Currency Allowed: ISO 4217" type="textLength" operator="lessThanOrEqual">
      <formula1>3</formula1>
    </dataValidation>
    <dataValidation sqref="G20:G220" showDropDown="0" showInputMessage="1" showErrorMessage="1" allowBlank="1" errorTitle="amount" error="Enter a number." promptTitle="amount" prompt="Yes. Amount held or to remit Allowed: A number" type="decimal" operator="greaterThanOrEqual">
      <formula1>-1E+15</formula1>
    </dataValidation>
    <dataValidation sqref="H20:H220" showDropDown="0" showInputMessage="1" showErrorMessage="1" allowBlank="1" errorTitle="status" error="At most 30 characters." promptTitle="status" prompt="Yes. Status in legacy Allowed: The legacy code; mapped by the code map STATUS:REMITTANCE (sheet Code maps)" type="textLength" operator="lessThanOrEqual">
      <formula1>30</formula1>
    </dataValidation>
    <dataValidation sqref="I20:I220" showDropDown="0" showInputMessage="1" showErrorMessage="1" allowBlank="1" errorTitle="hold_reason" error="At most 250 characters." promptTitle="hold_reason" prompt="Conditional: Mandatory for HOLD. Reason of the hold Allowed: Free entry, up to 250 characters" type="textLength" operator="lessThanOrEqual">
      <formula1>250</formula1>
    </dataValidation>
    <dataValidation sqref="J20:J220" showDropDown="0" showInputMessage="1" showErrorMessage="0" allowBlank="1" promptTitle="hold_until" prompt="No. End of the hold"/>
    <dataValidation sqref="K20:K220" showDropDown="0" showInputMessage="1" showErrorMessage="1" allowBlank="1" errorTitle="requested_by_user_id" error="At most 50 characters." promptTitle="requested_by_user_id" prompt="No. Requester Allowed: The legacy code; mapped by the code map USER (sheet Code maps)" type="textLength" operator="lessThanOrEqual">
      <formula1>50</formula1>
    </dataValidation>
  </dataValidations>
  <hyperlinks>
    <hyperlink ref="A2" location="'Load templates'!A1"/>
    <hyperlink ref="K2" location="'Comments log'!A1"/>
    <hyperlink ref="B8" location="'F01 Open legacy invoices - head'!A1"/>
    <hyperlink ref="D8" location="'F01S Open legacy invoices - ins'!A1"/>
    <hyperlink ref="F8" location="'F01C Open legacy invoices - com'!A1"/>
    <hyperlink ref="B17" location="'Reference lists'!A90"/>
    <hyperlink ref="D17" location="'Code maps'!A1"/>
    <hyperlink ref="H17" location="'Code maps'!A1"/>
    <hyperlink ref="K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2.xml><?xml version="1.0" encoding="utf-8"?>
<worksheet xmlns="http://schemas.openxmlformats.org/spreadsheetml/2006/main">
  <sheetPr>
    <tabColor rgb="00004EA8"/>
    <outlinePr summaryBelow="0" summaryRight="1"/>
    <pageSetUpPr fitToPage="1"/>
  </sheetPr>
  <dimension ref="A1:O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7" customWidth="1" min="3" max="3"/>
    <col width="17" customWidth="1" min="4" max="4"/>
    <col width="13" customWidth="1" min="5" max="5"/>
    <col width="15.90909090909091" customWidth="1" min="6" max="6"/>
    <col width="17" customWidth="1" min="7" max="7"/>
    <col width="15" customWidth="1" min="8" max="8"/>
    <col width="13" customWidth="1" min="9" max="9"/>
    <col width="19.54545454545454" customWidth="1" min="10" max="10"/>
    <col width="21" customWidth="1" min="11" max="11"/>
    <col width="15" customWidth="1" min="12" max="12"/>
    <col width="22" customWidth="1" min="13" max="13"/>
    <col width="15.90909090909091" customWidth="1" min="14" max="14"/>
    <col width="28" customWidth="1" min="15" max="15"/>
  </cols>
  <sheetData>
    <row r="1" ht="26" customHeight="1">
      <c r="A1" s="44" t="inlineStr">
        <is>
          <t>F06 PDCs, check pick-ups and refunds in process</t>
        </is>
      </c>
      <c r="O1" s="45" t="inlineStr">
        <is>
          <t>Step 23 of 29</t>
        </is>
      </c>
    </row>
    <row r="2">
      <c r="A2" s="46" t="inlineStr">
        <is>
          <t>← Back to Load templates</t>
        </is>
      </c>
      <c r="B2" s="47" t="inlineStr">
        <is>
          <t>Step 23 of 29. Fill in one row per record below the column headers; the guide above each column says what to enter.</t>
        </is>
      </c>
      <c r="O2" s="48" t="inlineStr">
        <is>
          <t>Ask a question →</t>
        </is>
      </c>
    </row>
    <row r="3" outlineLevel="1" ht="15.5" customHeight="1">
      <c r="A3" s="49" t="inlineStr">
        <is>
          <t>Purpose</t>
        </is>
      </c>
      <c r="B3" s="50" t="inlineStr">
        <is>
          <t>One row per record of PDCs in the warehouse, check pick-ups and refunds in process as extracted from EBIX. Key record_type, reference. Sent as the file F06_template.csv (CSV, header row as below) with its control file (row count, row count; amount totals per currency: amount).</t>
        </is>
      </c>
    </row>
    <row r="4" outlineLevel="1" ht="15.5" customHeight="1">
      <c r="A4" s="49" t="inlineStr">
        <is>
          <t>Provided by</t>
        </is>
      </c>
      <c r="B4" s="50" t="inlineStr">
        <is>
          <t>Cashiering data steward (to name); approved by Operations - Cashiering; extracted by BDOI IT</t>
        </is>
      </c>
    </row>
    <row r="5" outlineLevel="1" ht="15.5" customHeight="1">
      <c r="A5" s="49" t="inlineStr">
        <is>
          <t>Due</t>
        </is>
      </c>
      <c r="B5" s="51" t="inlineStr">
        <is>
          <t>M3 (29 Jan 2027); final at T-2</t>
        </is>
      </c>
    </row>
    <row r="6" outlineLevel="1" ht="15.5" customHeight="1">
      <c r="A6" s="49" t="inlineStr">
        <is>
          <t>How it is loaded</t>
        </is>
      </c>
      <c r="B6" s="50" t="inlineStr">
        <is>
          <t>Data migration object F06 (Conditional), layout F06 version 1, through the Migration Console; lands in: Cashiering PDC warehouse and check pick-up</t>
        </is>
      </c>
    </row>
    <row r="7" outlineLevel="1" ht="15.5" customHeight="1">
      <c r="A7" s="49" t="inlineStr">
        <is>
          <t>Source</t>
        </is>
      </c>
      <c r="B7" s="50" t="inlineStr">
        <is>
          <t>EBIX</t>
        </is>
      </c>
    </row>
    <row r="8" outlineLevel="1" ht="26" customHeight="1">
      <c r="A8" s="49" t="inlineStr">
        <is>
          <t>Depends on</t>
        </is>
      </c>
      <c r="B8" s="68" t="inlineStr">
        <is>
          <t>C01 Client master →</t>
        </is>
      </c>
      <c r="D8" s="68" t="inlineStr">
        <is>
          <t>C02 Client addresses and contacts →</t>
        </is>
      </c>
    </row>
    <row r="9" ht="26" customHeight="1">
      <c r="A9" s="53" t="inlineStr">
        <is>
          <t>Progress</t>
        </is>
      </c>
      <c r="B9" s="54" t="inlineStr">
        <is>
          <t>Rows entered</t>
        </is>
      </c>
      <c r="C9" s="55">
        <f>SUMPRODUCT(((ROW($B$20:$B$220)&gt;20)+($B$20&lt;&gt;"PDC")&gt;0)*(LEN($B$20:$B$220&amp;$C$20:$C$220&amp;$D$20:$D$220&amp;$E$20:$E$220&amp;$F$20:$F$220&amp;$G$20:$G$220&amp;$H$20:$H$220&amp;$I$20:$I$220&amp;$J$20:$J$220&amp;$K$20:$K$220&amp;$L$20:$L$220&amp;$M$20:$M$220&amp;$N$20:$N$220&amp;$O$20:$O$220)&gt;0))</f>
        <v/>
      </c>
      <c r="D9" s="54" t="inlineStr">
        <is>
          <t>Mandatory cells missing</t>
        </is>
      </c>
      <c r="E9" s="55">
        <f>SUMPRODUCT(((ROW($B$20:$B$220)&gt;20)+($B$20&lt;&gt;"PDC")&gt;0)*(LEN($B$20:$B$220&amp;$C$20:$C$220&amp;$D$20:$D$220&amp;$E$20:$E$220&amp;$F$20:$F$220&amp;$G$20:$G$220&amp;$H$20:$H$220&amp;$I$20:$I$220&amp;$J$20:$J$220&amp;$K$20:$K$220&amp;$L$20:$L$220&amp;$M$20:$M$220&amp;$N$20:$N$220&amp;$O$20:$O$220)&gt;0)*(($B$20:$B$220="")+($C$20:$C$220="")+($I$20:$I$220="")+($J$20:$J$220="")+($L$20:$L$220="")+($N$20:$N$220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row>
    <row r="12" ht="30" customHeight="1">
      <c r="A12" s="59" t="inlineStr">
        <is>
          <t>BU review</t>
        </is>
      </c>
      <c r="B12" s="60" t="n"/>
      <c r="C12" s="60" t="n"/>
      <c r="D12" s="60" t="n"/>
      <c r="E12" s="60" t="n"/>
      <c r="F12" s="60" t="n"/>
      <c r="G12" s="60" t="n"/>
      <c r="H12" s="60" t="n"/>
      <c r="I12" s="60" t="n"/>
      <c r="J12" s="60" t="n"/>
      <c r="K12" s="60" t="n"/>
      <c r="L12" s="60" t="n"/>
      <c r="M12" s="60" t="n"/>
      <c r="N12" s="60" t="n"/>
      <c r="O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row>
    <row r="14" ht="30" customHeight="1">
      <c r="A14" s="59" t="inlineStr">
        <is>
          <t>Check when loaded</t>
        </is>
      </c>
      <c r="B14" s="61" t="inlineStr">
        <is>
          <t>In the list</t>
        </is>
      </c>
      <c r="C14" s="61" t="inlineStr">
        <is>
          <t>Unique per record type</t>
        </is>
      </c>
      <c r="D14" s="61" t="inlineStr">
        <is>
          <t>Mandatory for PDC</t>
        </is>
      </c>
      <c r="E14" s="61" t="inlineStr">
        <is>
          <t>Mandatory for PDC and PICKUP</t>
        </is>
      </c>
      <c r="F14" s="61" t="inlineStr">
        <is>
          <t>Mandatory for PDC; mapped</t>
        </is>
      </c>
      <c r="G14" s="61" t="inlineStr">
        <is>
          <t>-</t>
        </is>
      </c>
      <c r="H14" s="61" t="inlineStr">
        <is>
          <t>Mandatory for PDC</t>
        </is>
      </c>
      <c r="I14" s="61" t="inlineStr">
        <is>
          <t>Valid code</t>
        </is>
      </c>
      <c r="J14" s="61" t="inlineStr">
        <is>
          <t>Above 0</t>
        </is>
      </c>
      <c r="K14" s="61" t="inlineStr">
        <is>
          <t>Client loaded when given</t>
        </is>
      </c>
      <c r="L14" s="61" t="inlineStr">
        <is>
          <t>Not blank</t>
        </is>
      </c>
      <c r="M14" s="61" t="inlineStr">
        <is>
          <t>Exists in F01 when given</t>
        </is>
      </c>
      <c r="N14" s="61" t="inlineStr">
        <is>
          <t>Mapped</t>
        </is>
      </c>
      <c r="O14" s="61" t="inlineStr">
        <is>
          <t>-</t>
        </is>
      </c>
    </row>
    <row r="15" ht="43" customHeight="1">
      <c r="A15" s="59" t="inlineStr">
        <is>
          <t>Mandatory</t>
        </is>
      </c>
      <c r="B15" s="62" t="inlineStr">
        <is>
          <t>Yes</t>
        </is>
      </c>
      <c r="C15" s="62" t="inlineStr">
        <is>
          <t>Yes</t>
        </is>
      </c>
      <c r="D15" s="61" t="inlineStr">
        <is>
          <t>Conditional: Mandatory for PDC</t>
        </is>
      </c>
      <c r="E15" s="61" t="inlineStr">
        <is>
          <t>Conditional: Mandatory for PDC and PICKUP</t>
        </is>
      </c>
      <c r="F15" s="61" t="inlineStr">
        <is>
          <t>Conditional: Mandatory for PDC; mapped</t>
        </is>
      </c>
      <c r="G15" s="61" t="inlineStr">
        <is>
          <t>No</t>
        </is>
      </c>
      <c r="H15" s="61" t="inlineStr">
        <is>
          <t>Conditional: Mandatory for PDC</t>
        </is>
      </c>
      <c r="I15" s="62" t="inlineStr">
        <is>
          <t>Yes</t>
        </is>
      </c>
      <c r="J15" s="62" t="inlineStr">
        <is>
          <t>Yes</t>
        </is>
      </c>
      <c r="K15" s="61" t="inlineStr">
        <is>
          <t>No</t>
        </is>
      </c>
      <c r="L15" s="62" t="inlineStr">
        <is>
          <t>Yes</t>
        </is>
      </c>
      <c r="M15" s="61" t="inlineStr">
        <is>
          <t>No</t>
        </is>
      </c>
      <c r="N15" s="62" t="inlineStr">
        <is>
          <t>Yes</t>
        </is>
      </c>
      <c r="O15" s="61" t="inlineStr">
        <is>
          <t>No</t>
        </is>
      </c>
    </row>
    <row r="16" ht="30" customHeight="1">
      <c r="A16" s="59" t="inlineStr">
        <is>
          <t>Format</t>
        </is>
      </c>
      <c r="B16" s="61" t="inlineStr">
        <is>
          <t>Code, up to 10; Upper case</t>
        </is>
      </c>
      <c r="C16" s="61" t="inlineStr">
        <is>
          <t>Text, up to 80; As stored in legacy</t>
        </is>
      </c>
      <c r="D16" s="61" t="inlineStr">
        <is>
          <t>Text, up to 30; As stored in legacy</t>
        </is>
      </c>
      <c r="E16" s="61" t="inlineStr">
        <is>
          <t>Text, up to 40; Digits</t>
        </is>
      </c>
      <c r="F16" s="61" t="inlineStr">
        <is>
          <t>Code, up to 30; As stored in legacy</t>
        </is>
      </c>
      <c r="G16" s="61" t="inlineStr">
        <is>
          <t>Text, up to 60; Free text</t>
        </is>
      </c>
      <c r="H16" s="61" t="inlineStr">
        <is>
          <t>Date, up to 10; yyyy-MM-dd</t>
        </is>
      </c>
      <c r="I16" s="61" t="inlineStr">
        <is>
          <t>Code, up to 3; Upper case</t>
        </is>
      </c>
      <c r="J16" s="61" t="inlineStr">
        <is>
          <t>Amount, up to 19,2; Dot decimal, 2 decimals</t>
        </is>
      </c>
      <c r="K16" s="61" t="inlineStr">
        <is>
          <t>Code, up to 30; As stored in legacy</t>
        </is>
      </c>
      <c r="L16" s="61" t="inlineStr">
        <is>
          <t>Text, up to 250; Free text</t>
        </is>
      </c>
      <c r="M16" s="61" t="inlineStr">
        <is>
          <t>Code, up to 40; As in F01</t>
        </is>
      </c>
      <c r="N16" s="61" t="inlineStr">
        <is>
          <t>Code, up to 20; As stored in legacy</t>
        </is>
      </c>
      <c r="O16" s="61" t="inlineStr">
        <is>
          <t>Text, up to 250; Free text</t>
        </is>
      </c>
    </row>
    <row r="17" ht="56" customHeight="1">
      <c r="A17" s="59" t="inlineStr">
        <is>
          <t>Allowed values</t>
        </is>
      </c>
      <c r="B17" s="69" t="inlineStr">
        <is>
          <t>PDC, PICKUP, REFUND (list F06 record_type)</t>
        </is>
      </c>
      <c r="C17" s="61" t="inlineStr">
        <is>
          <t>Free entry, up to 80 characters</t>
        </is>
      </c>
      <c r="D17" s="61" t="inlineStr">
        <is>
          <t>Free entry, up to 30 characters</t>
        </is>
      </c>
      <c r="E17" s="61" t="inlineStr">
        <is>
          <t>Free entry, up to 40 characters</t>
        </is>
      </c>
      <c r="F17" s="69" t="inlineStr">
        <is>
          <t>The legacy code; mapped by the code map BANK (sheet Code maps)</t>
        </is>
      </c>
      <c r="G17" s="61" t="inlineStr">
        <is>
          <t>Free entry, up to 60 characters</t>
        </is>
      </c>
      <c r="H17" s="61" t="inlineStr">
        <is>
          <t>Free entry</t>
        </is>
      </c>
      <c r="I17" s="61" t="inlineStr">
        <is>
          <t>ISO 4217</t>
        </is>
      </c>
      <c r="J17" s="61" t="inlineStr">
        <is>
          <t>A number</t>
        </is>
      </c>
      <c r="K17" s="61" t="inlineStr">
        <is>
          <t>legacy_client_no of C01</t>
        </is>
      </c>
      <c r="L17" s="61" t="inlineStr">
        <is>
          <t>Free entry, up to 250 characters</t>
        </is>
      </c>
      <c r="M17" s="61" t="inlineStr">
        <is>
          <t>legacy_invoice_no of F01</t>
        </is>
      </c>
      <c r="N17" s="69" t="inlineStr">
        <is>
          <t>The legacy code; mapped by the code map STATUS:PDC (sheet Code maps)</t>
        </is>
      </c>
      <c r="O17" s="61" t="inlineStr">
        <is>
          <t>Free entry, up to 250 characters</t>
        </is>
      </c>
    </row>
    <row r="18" ht="30" customHeight="1">
      <c r="A18" s="59" t="inlineStr">
        <is>
          <t>What to enter</t>
        </is>
      </c>
      <c r="B18" s="61" t="inlineStr">
        <is>
          <t>Kind of item</t>
        </is>
      </c>
      <c r="C18" s="61" t="inlineStr">
        <is>
          <t>Legacy reference of the item</t>
        </is>
      </c>
      <c r="D18" s="61" t="inlineStr">
        <is>
          <t>PDC warehouse number</t>
        </is>
      </c>
      <c r="E18" s="61" t="inlineStr">
        <is>
          <t>Check number</t>
        </is>
      </c>
      <c r="F18" s="61" t="inlineStr">
        <is>
          <t>Drawee bank</t>
        </is>
      </c>
      <c r="G18" s="61" t="inlineStr">
        <is>
          <t>Drawee branch</t>
        </is>
      </c>
      <c r="H18" s="61" t="inlineStr">
        <is>
          <t>Check date or maturity date</t>
        </is>
      </c>
      <c r="I18" s="61" t="inlineStr">
        <is>
          <t>Currency</t>
        </is>
      </c>
      <c r="J18" s="61" t="inlineStr">
        <is>
          <t>Amount</t>
        </is>
      </c>
      <c r="K18" s="61" t="inlineStr">
        <is>
          <t>Client</t>
        </is>
      </c>
      <c r="L18" s="61" t="inlineStr">
        <is>
          <t>Payor</t>
        </is>
      </c>
      <c r="M18" s="61" t="inlineStr">
        <is>
          <t>Invoice the item pays or refunds</t>
        </is>
      </c>
      <c r="N18" s="61" t="inlineStr">
        <is>
          <t>Status in legacy</t>
        </is>
      </c>
      <c r="O18" s="61" t="inlineStr">
        <is>
          <t>Remarks</t>
        </is>
      </c>
    </row>
    <row r="19" ht="30" customHeight="1">
      <c r="A19" s="63" t="inlineStr">
        <is>
          <t>Row</t>
        </is>
      </c>
      <c r="B19" s="24" t="inlineStr">
        <is>
          <t>record_type *</t>
        </is>
      </c>
      <c r="C19" s="24" t="inlineStr">
        <is>
          <t>reference *</t>
        </is>
      </c>
      <c r="D19" s="24" t="inlineStr">
        <is>
          <t>warehouse_no</t>
        </is>
      </c>
      <c r="E19" s="24" t="inlineStr">
        <is>
          <t>check_no</t>
        </is>
      </c>
      <c r="F19" s="24" t="inlineStr">
        <is>
          <t>bank_code</t>
        </is>
      </c>
      <c r="G19" s="24" t="inlineStr">
        <is>
          <t>check_branch</t>
        </is>
      </c>
      <c r="H19" s="24" t="inlineStr">
        <is>
          <t>check_date</t>
        </is>
      </c>
      <c r="I19" s="24" t="inlineStr">
        <is>
          <t>currency *</t>
        </is>
      </c>
      <c r="J19" s="24" t="inlineStr">
        <is>
          <t>amount *</t>
        </is>
      </c>
      <c r="K19" s="24" t="inlineStr">
        <is>
          <t>legacy_client_no</t>
        </is>
      </c>
      <c r="L19" s="24" t="inlineStr">
        <is>
          <t>payor_name *</t>
        </is>
      </c>
      <c r="M19" s="24" t="inlineStr">
        <is>
          <t>legacy_invoice_no</t>
        </is>
      </c>
      <c r="N19" s="24" t="inlineStr">
        <is>
          <t>status *</t>
        </is>
      </c>
      <c r="O19" s="24" t="inlineStr">
        <is>
          <t>remarks</t>
        </is>
      </c>
    </row>
    <row r="20" ht="18" customHeight="1">
      <c r="A20" s="64" t="inlineStr">
        <is>
          <t>Example – overwrite or delete</t>
        </is>
      </c>
      <c r="B20" s="65" t="inlineStr">
        <is>
          <t>PDC</t>
        </is>
      </c>
      <c r="C20" s="65" t="inlineStr">
        <is>
          <t>PDC-2026-000345</t>
        </is>
      </c>
      <c r="D20" s="65" t="inlineStr">
        <is>
          <t>WH-02</t>
        </is>
      </c>
      <c r="E20" s="65" t="inlineStr">
        <is>
          <t>0004567</t>
        </is>
      </c>
      <c r="F20" s="65" t="inlineStr">
        <is>
          <t>BPI</t>
        </is>
      </c>
      <c r="G20" s="65" t="inlineStr">
        <is>
          <t>BPI Ortigas</t>
        </is>
      </c>
      <c r="H20" s="65" t="inlineStr">
        <is>
          <t>2028-01-15</t>
        </is>
      </c>
      <c r="I20" s="65" t="inlineStr">
        <is>
          <t>PHP</t>
        </is>
      </c>
      <c r="J20" s="66" t="n">
        <v>6000</v>
      </c>
      <c r="K20" s="65" t="inlineStr">
        <is>
          <t>Q-0012345</t>
        </is>
      </c>
      <c r="L20" s="65" t="inlineStr">
        <is>
          <t>Ana C. Reyes</t>
        </is>
      </c>
      <c r="M20" s="65" t="inlineStr">
        <is>
          <t>I00123456</t>
        </is>
      </c>
      <c r="N20" s="65" t="inlineStr">
        <is>
          <t>WAREHOUSED</t>
        </is>
      </c>
      <c r="O20" s="65" t="inlineStr">
        <is>
          <t>Replacement check expected</t>
        </is>
      </c>
    </row>
    <row r="21">
      <c r="B21" s="67" t="n"/>
      <c r="C21" s="67" t="n"/>
      <c r="D21" s="67" t="n"/>
      <c r="E21" s="67" t="n"/>
      <c r="F21" s="67" t="n"/>
      <c r="G21" s="67" t="n"/>
      <c r="H21" s="67" t="n"/>
      <c r="I21" s="67" t="n"/>
      <c r="K21" s="67" t="n"/>
      <c r="L21" s="67" t="n"/>
      <c r="M21" s="67" t="n"/>
      <c r="N21" s="67" t="n"/>
      <c r="O21" s="67" t="n"/>
    </row>
    <row r="22">
      <c r="B22" s="67" t="n"/>
      <c r="C22" s="67" t="n"/>
      <c r="D22" s="67" t="n"/>
      <c r="E22" s="67" t="n"/>
      <c r="F22" s="67" t="n"/>
      <c r="G22" s="67" t="n"/>
      <c r="H22" s="67" t="n"/>
      <c r="I22" s="67" t="n"/>
      <c r="K22" s="67" t="n"/>
      <c r="L22" s="67" t="n"/>
      <c r="M22" s="67" t="n"/>
      <c r="N22" s="67" t="n"/>
      <c r="O22" s="67" t="n"/>
    </row>
    <row r="23">
      <c r="B23" s="67" t="n"/>
      <c r="C23" s="67" t="n"/>
      <c r="D23" s="67" t="n"/>
      <c r="E23" s="67" t="n"/>
      <c r="F23" s="67" t="n"/>
      <c r="G23" s="67" t="n"/>
      <c r="H23" s="67" t="n"/>
      <c r="I23" s="67" t="n"/>
      <c r="K23" s="67" t="n"/>
      <c r="L23" s="67" t="n"/>
      <c r="M23" s="67" t="n"/>
      <c r="N23" s="67" t="n"/>
      <c r="O23" s="67" t="n"/>
    </row>
    <row r="24">
      <c r="B24" s="67" t="n"/>
      <c r="C24" s="67" t="n"/>
      <c r="D24" s="67" t="n"/>
      <c r="E24" s="67" t="n"/>
      <c r="F24" s="67" t="n"/>
      <c r="G24" s="67" t="n"/>
      <c r="H24" s="67" t="n"/>
      <c r="I24" s="67" t="n"/>
      <c r="K24" s="67" t="n"/>
      <c r="L24" s="67" t="n"/>
      <c r="M24" s="67" t="n"/>
      <c r="N24" s="67" t="n"/>
      <c r="O24" s="67" t="n"/>
    </row>
    <row r="25">
      <c r="B25" s="67" t="n"/>
      <c r="C25" s="67" t="n"/>
      <c r="D25" s="67" t="n"/>
      <c r="E25" s="67" t="n"/>
      <c r="F25" s="67" t="n"/>
      <c r="G25" s="67" t="n"/>
      <c r="H25" s="67" t="n"/>
      <c r="I25" s="67" t="n"/>
      <c r="K25" s="67" t="n"/>
      <c r="L25" s="67" t="n"/>
      <c r="M25" s="67" t="n"/>
      <c r="N25" s="67" t="n"/>
      <c r="O25" s="67" t="n"/>
    </row>
    <row r="26">
      <c r="B26" s="67" t="n"/>
      <c r="C26" s="67" t="n"/>
      <c r="D26" s="67" t="n"/>
      <c r="E26" s="67" t="n"/>
      <c r="F26" s="67" t="n"/>
      <c r="G26" s="67" t="n"/>
      <c r="H26" s="67" t="n"/>
      <c r="I26" s="67" t="n"/>
      <c r="K26" s="67" t="n"/>
      <c r="L26" s="67" t="n"/>
      <c r="M26" s="67" t="n"/>
      <c r="N26" s="67" t="n"/>
      <c r="O26" s="67" t="n"/>
    </row>
    <row r="27">
      <c r="B27" s="67" t="n"/>
      <c r="C27" s="67" t="n"/>
      <c r="D27" s="67" t="n"/>
      <c r="E27" s="67" t="n"/>
      <c r="F27" s="67" t="n"/>
      <c r="G27" s="67" t="n"/>
      <c r="H27" s="67" t="n"/>
      <c r="I27" s="67" t="n"/>
      <c r="K27" s="67" t="n"/>
      <c r="L27" s="67" t="n"/>
      <c r="M27" s="67" t="n"/>
      <c r="N27" s="67" t="n"/>
      <c r="O27" s="67" t="n"/>
    </row>
    <row r="28">
      <c r="B28" s="67" t="n"/>
      <c r="C28" s="67" t="n"/>
      <c r="D28" s="67" t="n"/>
      <c r="E28" s="67" t="n"/>
      <c r="F28" s="67" t="n"/>
      <c r="G28" s="67" t="n"/>
      <c r="H28" s="67" t="n"/>
      <c r="I28" s="67" t="n"/>
      <c r="K28" s="67" t="n"/>
      <c r="L28" s="67" t="n"/>
      <c r="M28" s="67" t="n"/>
      <c r="N28" s="67" t="n"/>
      <c r="O28" s="67" t="n"/>
    </row>
    <row r="29">
      <c r="B29" s="67" t="n"/>
      <c r="C29" s="67" t="n"/>
      <c r="D29" s="67" t="n"/>
      <c r="E29" s="67" t="n"/>
      <c r="F29" s="67" t="n"/>
      <c r="G29" s="67" t="n"/>
      <c r="H29" s="67" t="n"/>
      <c r="I29" s="67" t="n"/>
      <c r="K29" s="67" t="n"/>
      <c r="L29" s="67" t="n"/>
      <c r="M29" s="67" t="n"/>
      <c r="N29" s="67" t="n"/>
      <c r="O29" s="67" t="n"/>
    </row>
    <row r="30">
      <c r="B30" s="67" t="n"/>
      <c r="C30" s="67" t="n"/>
      <c r="D30" s="67" t="n"/>
      <c r="E30" s="67" t="n"/>
      <c r="F30" s="67" t="n"/>
      <c r="G30" s="67" t="n"/>
      <c r="H30" s="67" t="n"/>
      <c r="I30" s="67" t="n"/>
      <c r="K30" s="67" t="n"/>
      <c r="L30" s="67" t="n"/>
      <c r="M30" s="67" t="n"/>
      <c r="N30" s="67" t="n"/>
      <c r="O30" s="67" t="n"/>
    </row>
    <row r="31">
      <c r="B31" s="67" t="n"/>
      <c r="C31" s="67" t="n"/>
      <c r="D31" s="67" t="n"/>
      <c r="E31" s="67" t="n"/>
      <c r="F31" s="67" t="n"/>
      <c r="G31" s="67" t="n"/>
      <c r="H31" s="67" t="n"/>
      <c r="I31" s="67" t="n"/>
      <c r="K31" s="67" t="n"/>
      <c r="L31" s="67" t="n"/>
      <c r="M31" s="67" t="n"/>
      <c r="N31" s="67" t="n"/>
      <c r="O31" s="67" t="n"/>
    </row>
    <row r="32">
      <c r="B32" s="67" t="n"/>
      <c r="C32" s="67" t="n"/>
      <c r="D32" s="67" t="n"/>
      <c r="E32" s="67" t="n"/>
      <c r="F32" s="67" t="n"/>
      <c r="G32" s="67" t="n"/>
      <c r="H32" s="67" t="n"/>
      <c r="I32" s="67" t="n"/>
      <c r="K32" s="67" t="n"/>
      <c r="L32" s="67" t="n"/>
      <c r="M32" s="67" t="n"/>
      <c r="N32" s="67" t="n"/>
      <c r="O32" s="67" t="n"/>
    </row>
    <row r="33">
      <c r="B33" s="67" t="n"/>
      <c r="C33" s="67" t="n"/>
      <c r="D33" s="67" t="n"/>
      <c r="E33" s="67" t="n"/>
      <c r="F33" s="67" t="n"/>
      <c r="G33" s="67" t="n"/>
      <c r="H33" s="67" t="n"/>
      <c r="I33" s="67" t="n"/>
      <c r="K33" s="67" t="n"/>
      <c r="L33" s="67" t="n"/>
      <c r="M33" s="67" t="n"/>
      <c r="N33" s="67" t="n"/>
      <c r="O33" s="67" t="n"/>
    </row>
    <row r="34">
      <c r="B34" s="67" t="n"/>
      <c r="C34" s="67" t="n"/>
      <c r="D34" s="67" t="n"/>
      <c r="E34" s="67" t="n"/>
      <c r="F34" s="67" t="n"/>
      <c r="G34" s="67" t="n"/>
      <c r="H34" s="67" t="n"/>
      <c r="I34" s="67" t="n"/>
      <c r="K34" s="67" t="n"/>
      <c r="L34" s="67" t="n"/>
      <c r="M34" s="67" t="n"/>
      <c r="N34" s="67" t="n"/>
      <c r="O34" s="67" t="n"/>
    </row>
    <row r="35">
      <c r="B35" s="67" t="n"/>
      <c r="C35" s="67" t="n"/>
      <c r="D35" s="67" t="n"/>
      <c r="E35" s="67" t="n"/>
      <c r="F35" s="67" t="n"/>
      <c r="G35" s="67" t="n"/>
      <c r="H35" s="67" t="n"/>
      <c r="I35" s="67" t="n"/>
      <c r="K35" s="67" t="n"/>
      <c r="L35" s="67" t="n"/>
      <c r="M35" s="67" t="n"/>
      <c r="N35" s="67" t="n"/>
      <c r="O35" s="67" t="n"/>
    </row>
    <row r="36">
      <c r="B36" s="67" t="n"/>
      <c r="C36" s="67" t="n"/>
      <c r="D36" s="67" t="n"/>
      <c r="E36" s="67" t="n"/>
      <c r="F36" s="67" t="n"/>
      <c r="G36" s="67" t="n"/>
      <c r="H36" s="67" t="n"/>
      <c r="I36" s="67" t="n"/>
      <c r="K36" s="67" t="n"/>
      <c r="L36" s="67" t="n"/>
      <c r="M36" s="67" t="n"/>
      <c r="N36" s="67" t="n"/>
      <c r="O36" s="67" t="n"/>
    </row>
    <row r="37">
      <c r="B37" s="67" t="n"/>
      <c r="C37" s="67" t="n"/>
      <c r="D37" s="67" t="n"/>
      <c r="E37" s="67" t="n"/>
      <c r="F37" s="67" t="n"/>
      <c r="G37" s="67" t="n"/>
      <c r="H37" s="67" t="n"/>
      <c r="I37" s="67" t="n"/>
      <c r="K37" s="67" t="n"/>
      <c r="L37" s="67" t="n"/>
      <c r="M37" s="67" t="n"/>
      <c r="N37" s="67" t="n"/>
      <c r="O37" s="67" t="n"/>
    </row>
    <row r="38">
      <c r="B38" s="67" t="n"/>
      <c r="C38" s="67" t="n"/>
      <c r="D38" s="67" t="n"/>
      <c r="E38" s="67" t="n"/>
      <c r="F38" s="67" t="n"/>
      <c r="G38" s="67" t="n"/>
      <c r="H38" s="67" t="n"/>
      <c r="I38" s="67" t="n"/>
      <c r="K38" s="67" t="n"/>
      <c r="L38" s="67" t="n"/>
      <c r="M38" s="67" t="n"/>
      <c r="N38" s="67" t="n"/>
      <c r="O38" s="67" t="n"/>
    </row>
    <row r="39">
      <c r="B39" s="67" t="n"/>
      <c r="C39" s="67" t="n"/>
      <c r="D39" s="67" t="n"/>
      <c r="E39" s="67" t="n"/>
      <c r="F39" s="67" t="n"/>
      <c r="G39" s="67" t="n"/>
      <c r="H39" s="67" t="n"/>
      <c r="I39" s="67" t="n"/>
      <c r="K39" s="67" t="n"/>
      <c r="L39" s="67" t="n"/>
      <c r="M39" s="67" t="n"/>
      <c r="N39" s="67" t="n"/>
      <c r="O39" s="67" t="n"/>
    </row>
    <row r="40">
      <c r="B40" s="67" t="n"/>
      <c r="C40" s="67" t="n"/>
      <c r="D40" s="67" t="n"/>
      <c r="E40" s="67" t="n"/>
      <c r="F40" s="67" t="n"/>
      <c r="G40" s="67" t="n"/>
      <c r="H40" s="67" t="n"/>
      <c r="I40" s="67" t="n"/>
      <c r="K40" s="67" t="n"/>
      <c r="L40" s="67" t="n"/>
      <c r="M40" s="67" t="n"/>
      <c r="N40" s="67" t="n"/>
      <c r="O40" s="67" t="n"/>
    </row>
    <row r="41">
      <c r="B41" s="67" t="n"/>
      <c r="C41" s="67" t="n"/>
      <c r="D41" s="67" t="n"/>
      <c r="E41" s="67" t="n"/>
      <c r="F41" s="67" t="n"/>
      <c r="G41" s="67" t="n"/>
      <c r="H41" s="67" t="n"/>
      <c r="I41" s="67" t="n"/>
      <c r="K41" s="67" t="n"/>
      <c r="L41" s="67" t="n"/>
      <c r="M41" s="67" t="n"/>
      <c r="N41" s="67" t="n"/>
      <c r="O41" s="67" t="n"/>
    </row>
    <row r="42">
      <c r="B42" s="67" t="n"/>
      <c r="C42" s="67" t="n"/>
      <c r="D42" s="67" t="n"/>
      <c r="E42" s="67" t="n"/>
      <c r="F42" s="67" t="n"/>
      <c r="G42" s="67" t="n"/>
      <c r="H42" s="67" t="n"/>
      <c r="I42" s="67" t="n"/>
      <c r="K42" s="67" t="n"/>
      <c r="L42" s="67" t="n"/>
      <c r="M42" s="67" t="n"/>
      <c r="N42" s="67" t="n"/>
      <c r="O42" s="67" t="n"/>
    </row>
    <row r="43">
      <c r="B43" s="67" t="n"/>
      <c r="C43" s="67" t="n"/>
      <c r="D43" s="67" t="n"/>
      <c r="E43" s="67" t="n"/>
      <c r="F43" s="67" t="n"/>
      <c r="G43" s="67" t="n"/>
      <c r="H43" s="67" t="n"/>
      <c r="I43" s="67" t="n"/>
      <c r="K43" s="67" t="n"/>
      <c r="L43" s="67" t="n"/>
      <c r="M43" s="67" t="n"/>
      <c r="N43" s="67" t="n"/>
      <c r="O43" s="67" t="n"/>
    </row>
    <row r="44">
      <c r="B44" s="67" t="n"/>
      <c r="C44" s="67" t="n"/>
      <c r="D44" s="67" t="n"/>
      <c r="E44" s="67" t="n"/>
      <c r="F44" s="67" t="n"/>
      <c r="G44" s="67" t="n"/>
      <c r="H44" s="67" t="n"/>
      <c r="I44" s="67" t="n"/>
      <c r="K44" s="67" t="n"/>
      <c r="L44" s="67" t="n"/>
      <c r="M44" s="67" t="n"/>
      <c r="N44" s="67" t="n"/>
      <c r="O44" s="67" t="n"/>
    </row>
    <row r="45">
      <c r="B45" s="67" t="n"/>
      <c r="C45" s="67" t="n"/>
      <c r="D45" s="67" t="n"/>
      <c r="E45" s="67" t="n"/>
      <c r="F45" s="67" t="n"/>
      <c r="G45" s="67" t="n"/>
      <c r="H45" s="67" t="n"/>
      <c r="I45" s="67" t="n"/>
      <c r="K45" s="67" t="n"/>
      <c r="L45" s="67" t="n"/>
      <c r="M45" s="67" t="n"/>
      <c r="N45" s="67" t="n"/>
      <c r="O45" s="67" t="n"/>
    </row>
    <row r="46">
      <c r="B46" s="67" t="n"/>
      <c r="C46" s="67" t="n"/>
      <c r="D46" s="67" t="n"/>
      <c r="E46" s="67" t="n"/>
      <c r="F46" s="67" t="n"/>
      <c r="G46" s="67" t="n"/>
      <c r="H46" s="67" t="n"/>
      <c r="I46" s="67" t="n"/>
      <c r="K46" s="67" t="n"/>
      <c r="L46" s="67" t="n"/>
      <c r="M46" s="67" t="n"/>
      <c r="N46" s="67" t="n"/>
      <c r="O46" s="67" t="n"/>
    </row>
    <row r="47">
      <c r="B47" s="67" t="n"/>
      <c r="C47" s="67" t="n"/>
      <c r="D47" s="67" t="n"/>
      <c r="E47" s="67" t="n"/>
      <c r="F47" s="67" t="n"/>
      <c r="G47" s="67" t="n"/>
      <c r="H47" s="67" t="n"/>
      <c r="I47" s="67" t="n"/>
      <c r="K47" s="67" t="n"/>
      <c r="L47" s="67" t="n"/>
      <c r="M47" s="67" t="n"/>
      <c r="N47" s="67" t="n"/>
      <c r="O47" s="67" t="n"/>
    </row>
    <row r="48">
      <c r="B48" s="67" t="n"/>
      <c r="C48" s="67" t="n"/>
      <c r="D48" s="67" t="n"/>
      <c r="E48" s="67" t="n"/>
      <c r="F48" s="67" t="n"/>
      <c r="G48" s="67" t="n"/>
      <c r="H48" s="67" t="n"/>
      <c r="I48" s="67" t="n"/>
      <c r="K48" s="67" t="n"/>
      <c r="L48" s="67" t="n"/>
      <c r="M48" s="67" t="n"/>
      <c r="N48" s="67" t="n"/>
      <c r="O48" s="67" t="n"/>
    </row>
    <row r="49">
      <c r="B49" s="67" t="n"/>
      <c r="C49" s="67" t="n"/>
      <c r="D49" s="67" t="n"/>
      <c r="E49" s="67" t="n"/>
      <c r="F49" s="67" t="n"/>
      <c r="G49" s="67" t="n"/>
      <c r="H49" s="67" t="n"/>
      <c r="I49" s="67" t="n"/>
      <c r="K49" s="67" t="n"/>
      <c r="L49" s="67" t="n"/>
      <c r="M49" s="67" t="n"/>
      <c r="N49" s="67" t="n"/>
      <c r="O49" s="67" t="n"/>
    </row>
    <row r="50">
      <c r="B50" s="67" t="n"/>
      <c r="C50" s="67" t="n"/>
      <c r="D50" s="67" t="n"/>
      <c r="E50" s="67" t="n"/>
      <c r="F50" s="67" t="n"/>
      <c r="G50" s="67" t="n"/>
      <c r="H50" s="67" t="n"/>
      <c r="I50" s="67" t="n"/>
      <c r="K50" s="67" t="n"/>
      <c r="L50" s="67" t="n"/>
      <c r="M50" s="67" t="n"/>
      <c r="N50" s="67" t="n"/>
      <c r="O50" s="67" t="n"/>
    </row>
    <row r="51">
      <c r="B51" s="67" t="n"/>
      <c r="C51" s="67" t="n"/>
      <c r="D51" s="67" t="n"/>
      <c r="E51" s="67" t="n"/>
      <c r="F51" s="67" t="n"/>
      <c r="G51" s="67" t="n"/>
      <c r="H51" s="67" t="n"/>
      <c r="I51" s="67" t="n"/>
      <c r="K51" s="67" t="n"/>
      <c r="L51" s="67" t="n"/>
      <c r="M51" s="67" t="n"/>
      <c r="N51" s="67" t="n"/>
      <c r="O51" s="67" t="n"/>
    </row>
    <row r="52">
      <c r="B52" s="67" t="n"/>
      <c r="C52" s="67" t="n"/>
      <c r="D52" s="67" t="n"/>
      <c r="E52" s="67" t="n"/>
      <c r="F52" s="67" t="n"/>
      <c r="G52" s="67" t="n"/>
      <c r="H52" s="67" t="n"/>
      <c r="I52" s="67" t="n"/>
      <c r="K52" s="67" t="n"/>
      <c r="L52" s="67" t="n"/>
      <c r="M52" s="67" t="n"/>
      <c r="N52" s="67" t="n"/>
      <c r="O52" s="67" t="n"/>
    </row>
    <row r="53">
      <c r="B53" s="67" t="n"/>
      <c r="C53" s="67" t="n"/>
      <c r="D53" s="67" t="n"/>
      <c r="E53" s="67" t="n"/>
      <c r="F53" s="67" t="n"/>
      <c r="G53" s="67" t="n"/>
      <c r="H53" s="67" t="n"/>
      <c r="I53" s="67" t="n"/>
      <c r="K53" s="67" t="n"/>
      <c r="L53" s="67" t="n"/>
      <c r="M53" s="67" t="n"/>
      <c r="N53" s="67" t="n"/>
      <c r="O53" s="67" t="n"/>
    </row>
    <row r="54">
      <c r="B54" s="67" t="n"/>
      <c r="C54" s="67" t="n"/>
      <c r="D54" s="67" t="n"/>
      <c r="E54" s="67" t="n"/>
      <c r="F54" s="67" t="n"/>
      <c r="G54" s="67" t="n"/>
      <c r="H54" s="67" t="n"/>
      <c r="I54" s="67" t="n"/>
      <c r="K54" s="67" t="n"/>
      <c r="L54" s="67" t="n"/>
      <c r="M54" s="67" t="n"/>
      <c r="N54" s="67" t="n"/>
      <c r="O54" s="67" t="n"/>
    </row>
    <row r="55">
      <c r="B55" s="67" t="n"/>
      <c r="C55" s="67" t="n"/>
      <c r="D55" s="67" t="n"/>
      <c r="E55" s="67" t="n"/>
      <c r="F55" s="67" t="n"/>
      <c r="G55" s="67" t="n"/>
      <c r="H55" s="67" t="n"/>
      <c r="I55" s="67" t="n"/>
      <c r="K55" s="67" t="n"/>
      <c r="L55" s="67" t="n"/>
      <c r="M55" s="67" t="n"/>
      <c r="N55" s="67" t="n"/>
      <c r="O55" s="67" t="n"/>
    </row>
    <row r="56">
      <c r="B56" s="67" t="n"/>
      <c r="C56" s="67" t="n"/>
      <c r="D56" s="67" t="n"/>
      <c r="E56" s="67" t="n"/>
      <c r="F56" s="67" t="n"/>
      <c r="G56" s="67" t="n"/>
      <c r="H56" s="67" t="n"/>
      <c r="I56" s="67" t="n"/>
      <c r="K56" s="67" t="n"/>
      <c r="L56" s="67" t="n"/>
      <c r="M56" s="67" t="n"/>
      <c r="N56" s="67" t="n"/>
      <c r="O56" s="67" t="n"/>
    </row>
    <row r="57">
      <c r="B57" s="67" t="n"/>
      <c r="C57" s="67" t="n"/>
      <c r="D57" s="67" t="n"/>
      <c r="E57" s="67" t="n"/>
      <c r="F57" s="67" t="n"/>
      <c r="G57" s="67" t="n"/>
      <c r="H57" s="67" t="n"/>
      <c r="I57" s="67" t="n"/>
      <c r="K57" s="67" t="n"/>
      <c r="L57" s="67" t="n"/>
      <c r="M57" s="67" t="n"/>
      <c r="N57" s="67" t="n"/>
      <c r="O57" s="67" t="n"/>
    </row>
    <row r="58">
      <c r="B58" s="67" t="n"/>
      <c r="C58" s="67" t="n"/>
      <c r="D58" s="67" t="n"/>
      <c r="E58" s="67" t="n"/>
      <c r="F58" s="67" t="n"/>
      <c r="G58" s="67" t="n"/>
      <c r="H58" s="67" t="n"/>
      <c r="I58" s="67" t="n"/>
      <c r="K58" s="67" t="n"/>
      <c r="L58" s="67" t="n"/>
      <c r="M58" s="67" t="n"/>
      <c r="N58" s="67" t="n"/>
      <c r="O58" s="67" t="n"/>
    </row>
    <row r="59">
      <c r="B59" s="67" t="n"/>
      <c r="C59" s="67" t="n"/>
      <c r="D59" s="67" t="n"/>
      <c r="E59" s="67" t="n"/>
      <c r="F59" s="67" t="n"/>
      <c r="G59" s="67" t="n"/>
      <c r="H59" s="67" t="n"/>
      <c r="I59" s="67" t="n"/>
      <c r="K59" s="67" t="n"/>
      <c r="L59" s="67" t="n"/>
      <c r="M59" s="67" t="n"/>
      <c r="N59" s="67" t="n"/>
      <c r="O59" s="67" t="n"/>
    </row>
    <row r="60">
      <c r="B60" s="67" t="n"/>
      <c r="C60" s="67" t="n"/>
      <c r="D60" s="67" t="n"/>
      <c r="E60" s="67" t="n"/>
      <c r="F60" s="67" t="n"/>
      <c r="G60" s="67" t="n"/>
      <c r="H60" s="67" t="n"/>
      <c r="I60" s="67" t="n"/>
      <c r="K60" s="67" t="n"/>
      <c r="L60" s="67" t="n"/>
      <c r="M60" s="67" t="n"/>
      <c r="N60" s="67" t="n"/>
      <c r="O60" s="67" t="n"/>
    </row>
    <row r="61">
      <c r="B61" s="67" t="n"/>
      <c r="C61" s="67" t="n"/>
      <c r="D61" s="67" t="n"/>
      <c r="E61" s="67" t="n"/>
      <c r="F61" s="67" t="n"/>
      <c r="G61" s="67" t="n"/>
      <c r="H61" s="67" t="n"/>
      <c r="I61" s="67" t="n"/>
      <c r="K61" s="67" t="n"/>
      <c r="L61" s="67" t="n"/>
      <c r="M61" s="67" t="n"/>
      <c r="N61" s="67" t="n"/>
      <c r="O61" s="67" t="n"/>
    </row>
    <row r="62">
      <c r="B62" s="67" t="n"/>
      <c r="C62" s="67" t="n"/>
      <c r="D62" s="67" t="n"/>
      <c r="E62" s="67" t="n"/>
      <c r="F62" s="67" t="n"/>
      <c r="G62" s="67" t="n"/>
      <c r="H62" s="67" t="n"/>
      <c r="I62" s="67" t="n"/>
      <c r="K62" s="67" t="n"/>
      <c r="L62" s="67" t="n"/>
      <c r="M62" s="67" t="n"/>
      <c r="N62" s="67" t="n"/>
      <c r="O62" s="67" t="n"/>
    </row>
    <row r="63">
      <c r="B63" s="67" t="n"/>
      <c r="C63" s="67" t="n"/>
      <c r="D63" s="67" t="n"/>
      <c r="E63" s="67" t="n"/>
      <c r="F63" s="67" t="n"/>
      <c r="G63" s="67" t="n"/>
      <c r="H63" s="67" t="n"/>
      <c r="I63" s="67" t="n"/>
      <c r="K63" s="67" t="n"/>
      <c r="L63" s="67" t="n"/>
      <c r="M63" s="67" t="n"/>
      <c r="N63" s="67" t="n"/>
      <c r="O63" s="67" t="n"/>
    </row>
    <row r="64">
      <c r="B64" s="67" t="n"/>
      <c r="C64" s="67" t="n"/>
      <c r="D64" s="67" t="n"/>
      <c r="E64" s="67" t="n"/>
      <c r="F64" s="67" t="n"/>
      <c r="G64" s="67" t="n"/>
      <c r="H64" s="67" t="n"/>
      <c r="I64" s="67" t="n"/>
      <c r="K64" s="67" t="n"/>
      <c r="L64" s="67" t="n"/>
      <c r="M64" s="67" t="n"/>
      <c r="N64" s="67" t="n"/>
      <c r="O64" s="67" t="n"/>
    </row>
    <row r="65">
      <c r="B65" s="67" t="n"/>
      <c r="C65" s="67" t="n"/>
      <c r="D65" s="67" t="n"/>
      <c r="E65" s="67" t="n"/>
      <c r="F65" s="67" t="n"/>
      <c r="G65" s="67" t="n"/>
      <c r="H65" s="67" t="n"/>
      <c r="I65" s="67" t="n"/>
      <c r="K65" s="67" t="n"/>
      <c r="L65" s="67" t="n"/>
      <c r="M65" s="67" t="n"/>
      <c r="N65" s="67" t="n"/>
      <c r="O65" s="67" t="n"/>
    </row>
    <row r="66">
      <c r="B66" s="67" t="n"/>
      <c r="C66" s="67" t="n"/>
      <c r="D66" s="67" t="n"/>
      <c r="E66" s="67" t="n"/>
      <c r="F66" s="67" t="n"/>
      <c r="G66" s="67" t="n"/>
      <c r="H66" s="67" t="n"/>
      <c r="I66" s="67" t="n"/>
      <c r="K66" s="67" t="n"/>
      <c r="L66" s="67" t="n"/>
      <c r="M66" s="67" t="n"/>
      <c r="N66" s="67" t="n"/>
      <c r="O66" s="67" t="n"/>
    </row>
    <row r="67">
      <c r="B67" s="67" t="n"/>
      <c r="C67" s="67" t="n"/>
      <c r="D67" s="67" t="n"/>
      <c r="E67" s="67" t="n"/>
      <c r="F67" s="67" t="n"/>
      <c r="G67" s="67" t="n"/>
      <c r="H67" s="67" t="n"/>
      <c r="I67" s="67" t="n"/>
      <c r="K67" s="67" t="n"/>
      <c r="L67" s="67" t="n"/>
      <c r="M67" s="67" t="n"/>
      <c r="N67" s="67" t="n"/>
      <c r="O67" s="67" t="n"/>
    </row>
    <row r="68">
      <c r="B68" s="67" t="n"/>
      <c r="C68" s="67" t="n"/>
      <c r="D68" s="67" t="n"/>
      <c r="E68" s="67" t="n"/>
      <c r="F68" s="67" t="n"/>
      <c r="G68" s="67" t="n"/>
      <c r="H68" s="67" t="n"/>
      <c r="I68" s="67" t="n"/>
      <c r="K68" s="67" t="n"/>
      <c r="L68" s="67" t="n"/>
      <c r="M68" s="67" t="n"/>
      <c r="N68" s="67" t="n"/>
      <c r="O68" s="67" t="n"/>
    </row>
    <row r="69">
      <c r="B69" s="67" t="n"/>
      <c r="C69" s="67" t="n"/>
      <c r="D69" s="67" t="n"/>
      <c r="E69" s="67" t="n"/>
      <c r="F69" s="67" t="n"/>
      <c r="G69" s="67" t="n"/>
      <c r="H69" s="67" t="n"/>
      <c r="I69" s="67" t="n"/>
      <c r="K69" s="67" t="n"/>
      <c r="L69" s="67" t="n"/>
      <c r="M69" s="67" t="n"/>
      <c r="N69" s="67" t="n"/>
      <c r="O69" s="67" t="n"/>
    </row>
    <row r="70">
      <c r="B70" s="67" t="n"/>
      <c r="C70" s="67" t="n"/>
      <c r="D70" s="67" t="n"/>
      <c r="E70" s="67" t="n"/>
      <c r="F70" s="67" t="n"/>
      <c r="G70" s="67" t="n"/>
      <c r="H70" s="67" t="n"/>
      <c r="I70" s="67" t="n"/>
      <c r="K70" s="67" t="n"/>
      <c r="L70" s="67" t="n"/>
      <c r="M70" s="67" t="n"/>
      <c r="N70" s="67" t="n"/>
      <c r="O70" s="67" t="n"/>
    </row>
    <row r="71">
      <c r="B71" s="67" t="n"/>
      <c r="C71" s="67" t="n"/>
      <c r="D71" s="67" t="n"/>
      <c r="E71" s="67" t="n"/>
      <c r="F71" s="67" t="n"/>
      <c r="G71" s="67" t="n"/>
      <c r="H71" s="67" t="n"/>
      <c r="I71" s="67" t="n"/>
      <c r="K71" s="67" t="n"/>
      <c r="L71" s="67" t="n"/>
      <c r="M71" s="67" t="n"/>
      <c r="N71" s="67" t="n"/>
      <c r="O71" s="67" t="n"/>
    </row>
    <row r="72">
      <c r="B72" s="67" t="n"/>
      <c r="C72" s="67" t="n"/>
      <c r="D72" s="67" t="n"/>
      <c r="E72" s="67" t="n"/>
      <c r="F72" s="67" t="n"/>
      <c r="G72" s="67" t="n"/>
      <c r="H72" s="67" t="n"/>
      <c r="I72" s="67" t="n"/>
      <c r="K72" s="67" t="n"/>
      <c r="L72" s="67" t="n"/>
      <c r="M72" s="67" t="n"/>
      <c r="N72" s="67" t="n"/>
      <c r="O72" s="67" t="n"/>
    </row>
    <row r="73">
      <c r="B73" s="67" t="n"/>
      <c r="C73" s="67" t="n"/>
      <c r="D73" s="67" t="n"/>
      <c r="E73" s="67" t="n"/>
      <c r="F73" s="67" t="n"/>
      <c r="G73" s="67" t="n"/>
      <c r="H73" s="67" t="n"/>
      <c r="I73" s="67" t="n"/>
      <c r="K73" s="67" t="n"/>
      <c r="L73" s="67" t="n"/>
      <c r="M73" s="67" t="n"/>
      <c r="N73" s="67" t="n"/>
      <c r="O73" s="67" t="n"/>
    </row>
    <row r="74">
      <c r="B74" s="67" t="n"/>
      <c r="C74" s="67" t="n"/>
      <c r="D74" s="67" t="n"/>
      <c r="E74" s="67" t="n"/>
      <c r="F74" s="67" t="n"/>
      <c r="G74" s="67" t="n"/>
      <c r="H74" s="67" t="n"/>
      <c r="I74" s="67" t="n"/>
      <c r="K74" s="67" t="n"/>
      <c r="L74" s="67" t="n"/>
      <c r="M74" s="67" t="n"/>
      <c r="N74" s="67" t="n"/>
      <c r="O74" s="67" t="n"/>
    </row>
    <row r="75">
      <c r="B75" s="67" t="n"/>
      <c r="C75" s="67" t="n"/>
      <c r="D75" s="67" t="n"/>
      <c r="E75" s="67" t="n"/>
      <c r="F75" s="67" t="n"/>
      <c r="G75" s="67" t="n"/>
      <c r="H75" s="67" t="n"/>
      <c r="I75" s="67" t="n"/>
      <c r="K75" s="67" t="n"/>
      <c r="L75" s="67" t="n"/>
      <c r="M75" s="67" t="n"/>
      <c r="N75" s="67" t="n"/>
      <c r="O75" s="67" t="n"/>
    </row>
    <row r="76">
      <c r="B76" s="67" t="n"/>
      <c r="C76" s="67" t="n"/>
      <c r="D76" s="67" t="n"/>
      <c r="E76" s="67" t="n"/>
      <c r="F76" s="67" t="n"/>
      <c r="G76" s="67" t="n"/>
      <c r="H76" s="67" t="n"/>
      <c r="I76" s="67" t="n"/>
      <c r="K76" s="67" t="n"/>
      <c r="L76" s="67" t="n"/>
      <c r="M76" s="67" t="n"/>
      <c r="N76" s="67" t="n"/>
      <c r="O76" s="67" t="n"/>
    </row>
    <row r="77">
      <c r="B77" s="67" t="n"/>
      <c r="C77" s="67" t="n"/>
      <c r="D77" s="67" t="n"/>
      <c r="E77" s="67" t="n"/>
      <c r="F77" s="67" t="n"/>
      <c r="G77" s="67" t="n"/>
      <c r="H77" s="67" t="n"/>
      <c r="I77" s="67" t="n"/>
      <c r="K77" s="67" t="n"/>
      <c r="L77" s="67" t="n"/>
      <c r="M77" s="67" t="n"/>
      <c r="N77" s="67" t="n"/>
      <c r="O77" s="67" t="n"/>
    </row>
    <row r="78">
      <c r="B78" s="67" t="n"/>
      <c r="C78" s="67" t="n"/>
      <c r="D78" s="67" t="n"/>
      <c r="E78" s="67" t="n"/>
      <c r="F78" s="67" t="n"/>
      <c r="G78" s="67" t="n"/>
      <c r="H78" s="67" t="n"/>
      <c r="I78" s="67" t="n"/>
      <c r="K78" s="67" t="n"/>
      <c r="L78" s="67" t="n"/>
      <c r="M78" s="67" t="n"/>
      <c r="N78" s="67" t="n"/>
      <c r="O78" s="67" t="n"/>
    </row>
    <row r="79">
      <c r="B79" s="67" t="n"/>
      <c r="C79" s="67" t="n"/>
      <c r="D79" s="67" t="n"/>
      <c r="E79" s="67" t="n"/>
      <c r="F79" s="67" t="n"/>
      <c r="G79" s="67" t="n"/>
      <c r="H79" s="67" t="n"/>
      <c r="I79" s="67" t="n"/>
      <c r="K79" s="67" t="n"/>
      <c r="L79" s="67" t="n"/>
      <c r="M79" s="67" t="n"/>
      <c r="N79" s="67" t="n"/>
      <c r="O79" s="67" t="n"/>
    </row>
    <row r="80">
      <c r="B80" s="67" t="n"/>
      <c r="C80" s="67" t="n"/>
      <c r="D80" s="67" t="n"/>
      <c r="E80" s="67" t="n"/>
      <c r="F80" s="67" t="n"/>
      <c r="G80" s="67" t="n"/>
      <c r="H80" s="67" t="n"/>
      <c r="I80" s="67" t="n"/>
      <c r="K80" s="67" t="n"/>
      <c r="L80" s="67" t="n"/>
      <c r="M80" s="67" t="n"/>
      <c r="N80" s="67" t="n"/>
      <c r="O80" s="67" t="n"/>
    </row>
    <row r="81">
      <c r="B81" s="67" t="n"/>
      <c r="C81" s="67" t="n"/>
      <c r="D81" s="67" t="n"/>
      <c r="E81" s="67" t="n"/>
      <c r="F81" s="67" t="n"/>
      <c r="G81" s="67" t="n"/>
      <c r="H81" s="67" t="n"/>
      <c r="I81" s="67" t="n"/>
      <c r="K81" s="67" t="n"/>
      <c r="L81" s="67" t="n"/>
      <c r="M81" s="67" t="n"/>
      <c r="N81" s="67" t="n"/>
      <c r="O81" s="67" t="n"/>
    </row>
    <row r="82">
      <c r="B82" s="67" t="n"/>
      <c r="C82" s="67" t="n"/>
      <c r="D82" s="67" t="n"/>
      <c r="E82" s="67" t="n"/>
      <c r="F82" s="67" t="n"/>
      <c r="G82" s="67" t="n"/>
      <c r="H82" s="67" t="n"/>
      <c r="I82" s="67" t="n"/>
      <c r="K82" s="67" t="n"/>
      <c r="L82" s="67" t="n"/>
      <c r="M82" s="67" t="n"/>
      <c r="N82" s="67" t="n"/>
      <c r="O82" s="67" t="n"/>
    </row>
    <row r="83">
      <c r="B83" s="67" t="n"/>
      <c r="C83" s="67" t="n"/>
      <c r="D83" s="67" t="n"/>
      <c r="E83" s="67" t="n"/>
      <c r="F83" s="67" t="n"/>
      <c r="G83" s="67" t="n"/>
      <c r="H83" s="67" t="n"/>
      <c r="I83" s="67" t="n"/>
      <c r="K83" s="67" t="n"/>
      <c r="L83" s="67" t="n"/>
      <c r="M83" s="67" t="n"/>
      <c r="N83" s="67" t="n"/>
      <c r="O83" s="67" t="n"/>
    </row>
    <row r="84">
      <c r="B84" s="67" t="n"/>
      <c r="C84" s="67" t="n"/>
      <c r="D84" s="67" t="n"/>
      <c r="E84" s="67" t="n"/>
      <c r="F84" s="67" t="n"/>
      <c r="G84" s="67" t="n"/>
      <c r="H84" s="67" t="n"/>
      <c r="I84" s="67" t="n"/>
      <c r="K84" s="67" t="n"/>
      <c r="L84" s="67" t="n"/>
      <c r="M84" s="67" t="n"/>
      <c r="N84" s="67" t="n"/>
      <c r="O84" s="67" t="n"/>
    </row>
    <row r="85">
      <c r="B85" s="67" t="n"/>
      <c r="C85" s="67" t="n"/>
      <c r="D85" s="67" t="n"/>
      <c r="E85" s="67" t="n"/>
      <c r="F85" s="67" t="n"/>
      <c r="G85" s="67" t="n"/>
      <c r="H85" s="67" t="n"/>
      <c r="I85" s="67" t="n"/>
      <c r="K85" s="67" t="n"/>
      <c r="L85" s="67" t="n"/>
      <c r="M85" s="67" t="n"/>
      <c r="N85" s="67" t="n"/>
      <c r="O85" s="67" t="n"/>
    </row>
    <row r="86">
      <c r="B86" s="67" t="n"/>
      <c r="C86" s="67" t="n"/>
      <c r="D86" s="67" t="n"/>
      <c r="E86" s="67" t="n"/>
      <c r="F86" s="67" t="n"/>
      <c r="G86" s="67" t="n"/>
      <c r="H86" s="67" t="n"/>
      <c r="I86" s="67" t="n"/>
      <c r="K86" s="67" t="n"/>
      <c r="L86" s="67" t="n"/>
      <c r="M86" s="67" t="n"/>
      <c r="N86" s="67" t="n"/>
      <c r="O86" s="67" t="n"/>
    </row>
    <row r="87">
      <c r="B87" s="67" t="n"/>
      <c r="C87" s="67" t="n"/>
      <c r="D87" s="67" t="n"/>
      <c r="E87" s="67" t="n"/>
      <c r="F87" s="67" t="n"/>
      <c r="G87" s="67" t="n"/>
      <c r="H87" s="67" t="n"/>
      <c r="I87" s="67" t="n"/>
      <c r="K87" s="67" t="n"/>
      <c r="L87" s="67" t="n"/>
      <c r="M87" s="67" t="n"/>
      <c r="N87" s="67" t="n"/>
      <c r="O87" s="67" t="n"/>
    </row>
    <row r="88">
      <c r="B88" s="67" t="n"/>
      <c r="C88" s="67" t="n"/>
      <c r="D88" s="67" t="n"/>
      <c r="E88" s="67" t="n"/>
      <c r="F88" s="67" t="n"/>
      <c r="G88" s="67" t="n"/>
      <c r="H88" s="67" t="n"/>
      <c r="I88" s="67" t="n"/>
      <c r="K88" s="67" t="n"/>
      <c r="L88" s="67" t="n"/>
      <c r="M88" s="67" t="n"/>
      <c r="N88" s="67" t="n"/>
      <c r="O88" s="67" t="n"/>
    </row>
    <row r="89">
      <c r="B89" s="67" t="n"/>
      <c r="C89" s="67" t="n"/>
      <c r="D89" s="67" t="n"/>
      <c r="E89" s="67" t="n"/>
      <c r="F89" s="67" t="n"/>
      <c r="G89" s="67" t="n"/>
      <c r="H89" s="67" t="n"/>
      <c r="I89" s="67" t="n"/>
      <c r="K89" s="67" t="n"/>
      <c r="L89" s="67" t="n"/>
      <c r="M89" s="67" t="n"/>
      <c r="N89" s="67" t="n"/>
      <c r="O89" s="67" t="n"/>
    </row>
    <row r="90">
      <c r="B90" s="67" t="n"/>
      <c r="C90" s="67" t="n"/>
      <c r="D90" s="67" t="n"/>
      <c r="E90" s="67" t="n"/>
      <c r="F90" s="67" t="n"/>
      <c r="G90" s="67" t="n"/>
      <c r="H90" s="67" t="n"/>
      <c r="I90" s="67" t="n"/>
      <c r="K90" s="67" t="n"/>
      <c r="L90" s="67" t="n"/>
      <c r="M90" s="67" t="n"/>
      <c r="N90" s="67" t="n"/>
      <c r="O90" s="67" t="n"/>
    </row>
    <row r="91">
      <c r="B91" s="67" t="n"/>
      <c r="C91" s="67" t="n"/>
      <c r="D91" s="67" t="n"/>
      <c r="E91" s="67" t="n"/>
      <c r="F91" s="67" t="n"/>
      <c r="G91" s="67" t="n"/>
      <c r="H91" s="67" t="n"/>
      <c r="I91" s="67" t="n"/>
      <c r="K91" s="67" t="n"/>
      <c r="L91" s="67" t="n"/>
      <c r="M91" s="67" t="n"/>
      <c r="N91" s="67" t="n"/>
      <c r="O91" s="67" t="n"/>
    </row>
    <row r="92">
      <c r="B92" s="67" t="n"/>
      <c r="C92" s="67" t="n"/>
      <c r="D92" s="67" t="n"/>
      <c r="E92" s="67" t="n"/>
      <c r="F92" s="67" t="n"/>
      <c r="G92" s="67" t="n"/>
      <c r="H92" s="67" t="n"/>
      <c r="I92" s="67" t="n"/>
      <c r="K92" s="67" t="n"/>
      <c r="L92" s="67" t="n"/>
      <c r="M92" s="67" t="n"/>
      <c r="N92" s="67" t="n"/>
      <c r="O92" s="67" t="n"/>
    </row>
    <row r="93">
      <c r="B93" s="67" t="n"/>
      <c r="C93" s="67" t="n"/>
      <c r="D93" s="67" t="n"/>
      <c r="E93" s="67" t="n"/>
      <c r="F93" s="67" t="n"/>
      <c r="G93" s="67" t="n"/>
      <c r="H93" s="67" t="n"/>
      <c r="I93" s="67" t="n"/>
      <c r="K93" s="67" t="n"/>
      <c r="L93" s="67" t="n"/>
      <c r="M93" s="67" t="n"/>
      <c r="N93" s="67" t="n"/>
      <c r="O93" s="67" t="n"/>
    </row>
    <row r="94">
      <c r="B94" s="67" t="n"/>
      <c r="C94" s="67" t="n"/>
      <c r="D94" s="67" t="n"/>
      <c r="E94" s="67" t="n"/>
      <c r="F94" s="67" t="n"/>
      <c r="G94" s="67" t="n"/>
      <c r="H94" s="67" t="n"/>
      <c r="I94" s="67" t="n"/>
      <c r="K94" s="67" t="n"/>
      <c r="L94" s="67" t="n"/>
      <c r="M94" s="67" t="n"/>
      <c r="N94" s="67" t="n"/>
      <c r="O94" s="67" t="n"/>
    </row>
    <row r="95">
      <c r="B95" s="67" t="n"/>
      <c r="C95" s="67" t="n"/>
      <c r="D95" s="67" t="n"/>
      <c r="E95" s="67" t="n"/>
      <c r="F95" s="67" t="n"/>
      <c r="G95" s="67" t="n"/>
      <c r="H95" s="67" t="n"/>
      <c r="I95" s="67" t="n"/>
      <c r="K95" s="67" t="n"/>
      <c r="L95" s="67" t="n"/>
      <c r="M95" s="67" t="n"/>
      <c r="N95" s="67" t="n"/>
      <c r="O95" s="67" t="n"/>
    </row>
    <row r="96">
      <c r="B96" s="67" t="n"/>
      <c r="C96" s="67" t="n"/>
      <c r="D96" s="67" t="n"/>
      <c r="E96" s="67" t="n"/>
      <c r="F96" s="67" t="n"/>
      <c r="G96" s="67" t="n"/>
      <c r="H96" s="67" t="n"/>
      <c r="I96" s="67" t="n"/>
      <c r="K96" s="67" t="n"/>
      <c r="L96" s="67" t="n"/>
      <c r="M96" s="67" t="n"/>
      <c r="N96" s="67" t="n"/>
      <c r="O96" s="67" t="n"/>
    </row>
    <row r="97">
      <c r="B97" s="67" t="n"/>
      <c r="C97" s="67" t="n"/>
      <c r="D97" s="67" t="n"/>
      <c r="E97" s="67" t="n"/>
      <c r="F97" s="67" t="n"/>
      <c r="G97" s="67" t="n"/>
      <c r="H97" s="67" t="n"/>
      <c r="I97" s="67" t="n"/>
      <c r="K97" s="67" t="n"/>
      <c r="L97" s="67" t="n"/>
      <c r="M97" s="67" t="n"/>
      <c r="N97" s="67" t="n"/>
      <c r="O97" s="67" t="n"/>
    </row>
    <row r="98">
      <c r="B98" s="67" t="n"/>
      <c r="C98" s="67" t="n"/>
      <c r="D98" s="67" t="n"/>
      <c r="E98" s="67" t="n"/>
      <c r="F98" s="67" t="n"/>
      <c r="G98" s="67" t="n"/>
      <c r="H98" s="67" t="n"/>
      <c r="I98" s="67" t="n"/>
      <c r="K98" s="67" t="n"/>
      <c r="L98" s="67" t="n"/>
      <c r="M98" s="67" t="n"/>
      <c r="N98" s="67" t="n"/>
      <c r="O98" s="67" t="n"/>
    </row>
    <row r="99">
      <c r="B99" s="67" t="n"/>
      <c r="C99" s="67" t="n"/>
      <c r="D99" s="67" t="n"/>
      <c r="E99" s="67" t="n"/>
      <c r="F99" s="67" t="n"/>
      <c r="G99" s="67" t="n"/>
      <c r="H99" s="67" t="n"/>
      <c r="I99" s="67" t="n"/>
      <c r="K99" s="67" t="n"/>
      <c r="L99" s="67" t="n"/>
      <c r="M99" s="67" t="n"/>
      <c r="N99" s="67" t="n"/>
      <c r="O99" s="67" t="n"/>
    </row>
    <row r="100">
      <c r="B100" s="67" t="n"/>
      <c r="C100" s="67" t="n"/>
      <c r="D100" s="67" t="n"/>
      <c r="E100" s="67" t="n"/>
      <c r="F100" s="67" t="n"/>
      <c r="G100" s="67" t="n"/>
      <c r="H100" s="67" t="n"/>
      <c r="I100" s="67" t="n"/>
      <c r="K100" s="67" t="n"/>
      <c r="L100" s="67" t="n"/>
      <c r="M100" s="67" t="n"/>
      <c r="N100" s="67" t="n"/>
      <c r="O100" s="67" t="n"/>
    </row>
    <row r="101">
      <c r="B101" s="67" t="n"/>
      <c r="C101" s="67" t="n"/>
      <c r="D101" s="67" t="n"/>
      <c r="E101" s="67" t="n"/>
      <c r="F101" s="67" t="n"/>
      <c r="G101" s="67" t="n"/>
      <c r="H101" s="67" t="n"/>
      <c r="I101" s="67" t="n"/>
      <c r="K101" s="67" t="n"/>
      <c r="L101" s="67" t="n"/>
      <c r="M101" s="67" t="n"/>
      <c r="N101" s="67" t="n"/>
      <c r="O101" s="67" t="n"/>
    </row>
    <row r="102">
      <c r="B102" s="67" t="n"/>
      <c r="C102" s="67" t="n"/>
      <c r="D102" s="67" t="n"/>
      <c r="E102" s="67" t="n"/>
      <c r="F102" s="67" t="n"/>
      <c r="G102" s="67" t="n"/>
      <c r="H102" s="67" t="n"/>
      <c r="I102" s="67" t="n"/>
      <c r="K102" s="67" t="n"/>
      <c r="L102" s="67" t="n"/>
      <c r="M102" s="67" t="n"/>
      <c r="N102" s="67" t="n"/>
      <c r="O102" s="67" t="n"/>
    </row>
    <row r="103">
      <c r="B103" s="67" t="n"/>
      <c r="C103" s="67" t="n"/>
      <c r="D103" s="67" t="n"/>
      <c r="E103" s="67" t="n"/>
      <c r="F103" s="67" t="n"/>
      <c r="G103" s="67" t="n"/>
      <c r="H103" s="67" t="n"/>
      <c r="I103" s="67" t="n"/>
      <c r="K103" s="67" t="n"/>
      <c r="L103" s="67" t="n"/>
      <c r="M103" s="67" t="n"/>
      <c r="N103" s="67" t="n"/>
      <c r="O103" s="67" t="n"/>
    </row>
    <row r="104">
      <c r="B104" s="67" t="n"/>
      <c r="C104" s="67" t="n"/>
      <c r="D104" s="67" t="n"/>
      <c r="E104" s="67" t="n"/>
      <c r="F104" s="67" t="n"/>
      <c r="G104" s="67" t="n"/>
      <c r="H104" s="67" t="n"/>
      <c r="I104" s="67" t="n"/>
      <c r="K104" s="67" t="n"/>
      <c r="L104" s="67" t="n"/>
      <c r="M104" s="67" t="n"/>
      <c r="N104" s="67" t="n"/>
      <c r="O104" s="67" t="n"/>
    </row>
    <row r="105">
      <c r="B105" s="67" t="n"/>
      <c r="C105" s="67" t="n"/>
      <c r="D105" s="67" t="n"/>
      <c r="E105" s="67" t="n"/>
      <c r="F105" s="67" t="n"/>
      <c r="G105" s="67" t="n"/>
      <c r="H105" s="67" t="n"/>
      <c r="I105" s="67" t="n"/>
      <c r="K105" s="67" t="n"/>
      <c r="L105" s="67" t="n"/>
      <c r="M105" s="67" t="n"/>
      <c r="N105" s="67" t="n"/>
      <c r="O105" s="67" t="n"/>
    </row>
    <row r="106">
      <c r="B106" s="67" t="n"/>
      <c r="C106" s="67" t="n"/>
      <c r="D106" s="67" t="n"/>
      <c r="E106" s="67" t="n"/>
      <c r="F106" s="67" t="n"/>
      <c r="G106" s="67" t="n"/>
      <c r="H106" s="67" t="n"/>
      <c r="I106" s="67" t="n"/>
      <c r="K106" s="67" t="n"/>
      <c r="L106" s="67" t="n"/>
      <c r="M106" s="67" t="n"/>
      <c r="N106" s="67" t="n"/>
      <c r="O106" s="67" t="n"/>
    </row>
    <row r="107">
      <c r="B107" s="67" t="n"/>
      <c r="C107" s="67" t="n"/>
      <c r="D107" s="67" t="n"/>
      <c r="E107" s="67" t="n"/>
      <c r="F107" s="67" t="n"/>
      <c r="G107" s="67" t="n"/>
      <c r="H107" s="67" t="n"/>
      <c r="I107" s="67" t="n"/>
      <c r="K107" s="67" t="n"/>
      <c r="L107" s="67" t="n"/>
      <c r="M107" s="67" t="n"/>
      <c r="N107" s="67" t="n"/>
      <c r="O107" s="67" t="n"/>
    </row>
    <row r="108">
      <c r="B108" s="67" t="n"/>
      <c r="C108" s="67" t="n"/>
      <c r="D108" s="67" t="n"/>
      <c r="E108" s="67" t="n"/>
      <c r="F108" s="67" t="n"/>
      <c r="G108" s="67" t="n"/>
      <c r="H108" s="67" t="n"/>
      <c r="I108" s="67" t="n"/>
      <c r="K108" s="67" t="n"/>
      <c r="L108" s="67" t="n"/>
      <c r="M108" s="67" t="n"/>
      <c r="N108" s="67" t="n"/>
      <c r="O108" s="67" t="n"/>
    </row>
    <row r="109">
      <c r="B109" s="67" t="n"/>
      <c r="C109" s="67" t="n"/>
      <c r="D109" s="67" t="n"/>
      <c r="E109" s="67" t="n"/>
      <c r="F109" s="67" t="n"/>
      <c r="G109" s="67" t="n"/>
      <c r="H109" s="67" t="n"/>
      <c r="I109" s="67" t="n"/>
      <c r="K109" s="67" t="n"/>
      <c r="L109" s="67" t="n"/>
      <c r="M109" s="67" t="n"/>
      <c r="N109" s="67" t="n"/>
      <c r="O109" s="67" t="n"/>
    </row>
    <row r="110">
      <c r="B110" s="67" t="n"/>
      <c r="C110" s="67" t="n"/>
      <c r="D110" s="67" t="n"/>
      <c r="E110" s="67" t="n"/>
      <c r="F110" s="67" t="n"/>
      <c r="G110" s="67" t="n"/>
      <c r="H110" s="67" t="n"/>
      <c r="I110" s="67" t="n"/>
      <c r="K110" s="67" t="n"/>
      <c r="L110" s="67" t="n"/>
      <c r="M110" s="67" t="n"/>
      <c r="N110" s="67" t="n"/>
      <c r="O110" s="67" t="n"/>
    </row>
    <row r="111">
      <c r="B111" s="67" t="n"/>
      <c r="C111" s="67" t="n"/>
      <c r="D111" s="67" t="n"/>
      <c r="E111" s="67" t="n"/>
      <c r="F111" s="67" t="n"/>
      <c r="G111" s="67" t="n"/>
      <c r="H111" s="67" t="n"/>
      <c r="I111" s="67" t="n"/>
      <c r="K111" s="67" t="n"/>
      <c r="L111" s="67" t="n"/>
      <c r="M111" s="67" t="n"/>
      <c r="N111" s="67" t="n"/>
      <c r="O111" s="67" t="n"/>
    </row>
    <row r="112">
      <c r="B112" s="67" t="n"/>
      <c r="C112" s="67" t="n"/>
      <c r="D112" s="67" t="n"/>
      <c r="E112" s="67" t="n"/>
      <c r="F112" s="67" t="n"/>
      <c r="G112" s="67" t="n"/>
      <c r="H112" s="67" t="n"/>
      <c r="I112" s="67" t="n"/>
      <c r="K112" s="67" t="n"/>
      <c r="L112" s="67" t="n"/>
      <c r="M112" s="67" t="n"/>
      <c r="N112" s="67" t="n"/>
      <c r="O112" s="67" t="n"/>
    </row>
    <row r="113">
      <c r="B113" s="67" t="n"/>
      <c r="C113" s="67" t="n"/>
      <c r="D113" s="67" t="n"/>
      <c r="E113" s="67" t="n"/>
      <c r="F113" s="67" t="n"/>
      <c r="G113" s="67" t="n"/>
      <c r="H113" s="67" t="n"/>
      <c r="I113" s="67" t="n"/>
      <c r="K113" s="67" t="n"/>
      <c r="L113" s="67" t="n"/>
      <c r="M113" s="67" t="n"/>
      <c r="N113" s="67" t="n"/>
      <c r="O113" s="67" t="n"/>
    </row>
    <row r="114">
      <c r="B114" s="67" t="n"/>
      <c r="C114" s="67" t="n"/>
      <c r="D114" s="67" t="n"/>
      <c r="E114" s="67" t="n"/>
      <c r="F114" s="67" t="n"/>
      <c r="G114" s="67" t="n"/>
      <c r="H114" s="67" t="n"/>
      <c r="I114" s="67" t="n"/>
      <c r="K114" s="67" t="n"/>
      <c r="L114" s="67" t="n"/>
      <c r="M114" s="67" t="n"/>
      <c r="N114" s="67" t="n"/>
      <c r="O114" s="67" t="n"/>
    </row>
    <row r="115">
      <c r="B115" s="67" t="n"/>
      <c r="C115" s="67" t="n"/>
      <c r="D115" s="67" t="n"/>
      <c r="E115" s="67" t="n"/>
      <c r="F115" s="67" t="n"/>
      <c r="G115" s="67" t="n"/>
      <c r="H115" s="67" t="n"/>
      <c r="I115" s="67" t="n"/>
      <c r="K115" s="67" t="n"/>
      <c r="L115" s="67" t="n"/>
      <c r="M115" s="67" t="n"/>
      <c r="N115" s="67" t="n"/>
      <c r="O115" s="67" t="n"/>
    </row>
    <row r="116">
      <c r="B116" s="67" t="n"/>
      <c r="C116" s="67" t="n"/>
      <c r="D116" s="67" t="n"/>
      <c r="E116" s="67" t="n"/>
      <c r="F116" s="67" t="n"/>
      <c r="G116" s="67" t="n"/>
      <c r="H116" s="67" t="n"/>
      <c r="I116" s="67" t="n"/>
      <c r="K116" s="67" t="n"/>
      <c r="L116" s="67" t="n"/>
      <c r="M116" s="67" t="n"/>
      <c r="N116" s="67" t="n"/>
      <c r="O116" s="67" t="n"/>
    </row>
    <row r="117">
      <c r="B117" s="67" t="n"/>
      <c r="C117" s="67" t="n"/>
      <c r="D117" s="67" t="n"/>
      <c r="E117" s="67" t="n"/>
      <c r="F117" s="67" t="n"/>
      <c r="G117" s="67" t="n"/>
      <c r="H117" s="67" t="n"/>
      <c r="I117" s="67" t="n"/>
      <c r="K117" s="67" t="n"/>
      <c r="L117" s="67" t="n"/>
      <c r="M117" s="67" t="n"/>
      <c r="N117" s="67" t="n"/>
      <c r="O117" s="67" t="n"/>
    </row>
    <row r="118">
      <c r="B118" s="67" t="n"/>
      <c r="C118" s="67" t="n"/>
      <c r="D118" s="67" t="n"/>
      <c r="E118" s="67" t="n"/>
      <c r="F118" s="67" t="n"/>
      <c r="G118" s="67" t="n"/>
      <c r="H118" s="67" t="n"/>
      <c r="I118" s="67" t="n"/>
      <c r="K118" s="67" t="n"/>
      <c r="L118" s="67" t="n"/>
      <c r="M118" s="67" t="n"/>
      <c r="N118" s="67" t="n"/>
      <c r="O118" s="67" t="n"/>
    </row>
    <row r="119">
      <c r="B119" s="67" t="n"/>
      <c r="C119" s="67" t="n"/>
      <c r="D119" s="67" t="n"/>
      <c r="E119" s="67" t="n"/>
      <c r="F119" s="67" t="n"/>
      <c r="G119" s="67" t="n"/>
      <c r="H119" s="67" t="n"/>
      <c r="I119" s="67" t="n"/>
      <c r="K119" s="67" t="n"/>
      <c r="L119" s="67" t="n"/>
      <c r="M119" s="67" t="n"/>
      <c r="N119" s="67" t="n"/>
      <c r="O119" s="67" t="n"/>
    </row>
    <row r="120">
      <c r="B120" s="67" t="n"/>
      <c r="C120" s="67" t="n"/>
      <c r="D120" s="67" t="n"/>
      <c r="E120" s="67" t="n"/>
      <c r="F120" s="67" t="n"/>
      <c r="G120" s="67" t="n"/>
      <c r="H120" s="67" t="n"/>
      <c r="I120" s="67" t="n"/>
      <c r="K120" s="67" t="n"/>
      <c r="L120" s="67" t="n"/>
      <c r="M120" s="67" t="n"/>
      <c r="N120" s="67" t="n"/>
      <c r="O120" s="67" t="n"/>
    </row>
    <row r="121">
      <c r="B121" s="67" t="n"/>
      <c r="C121" s="67" t="n"/>
      <c r="D121" s="67" t="n"/>
      <c r="E121" s="67" t="n"/>
      <c r="F121" s="67" t="n"/>
      <c r="G121" s="67" t="n"/>
      <c r="H121" s="67" t="n"/>
      <c r="I121" s="67" t="n"/>
      <c r="K121" s="67" t="n"/>
      <c r="L121" s="67" t="n"/>
      <c r="M121" s="67" t="n"/>
      <c r="N121" s="67" t="n"/>
      <c r="O121" s="67" t="n"/>
    </row>
    <row r="122">
      <c r="B122" s="67" t="n"/>
      <c r="C122" s="67" t="n"/>
      <c r="D122" s="67" t="n"/>
      <c r="E122" s="67" t="n"/>
      <c r="F122" s="67" t="n"/>
      <c r="G122" s="67" t="n"/>
      <c r="H122" s="67" t="n"/>
      <c r="I122" s="67" t="n"/>
      <c r="K122" s="67" t="n"/>
      <c r="L122" s="67" t="n"/>
      <c r="M122" s="67" t="n"/>
      <c r="N122" s="67" t="n"/>
      <c r="O122" s="67" t="n"/>
    </row>
    <row r="123">
      <c r="B123" s="67" t="n"/>
      <c r="C123" s="67" t="n"/>
      <c r="D123" s="67" t="n"/>
      <c r="E123" s="67" t="n"/>
      <c r="F123" s="67" t="n"/>
      <c r="G123" s="67" t="n"/>
      <c r="H123" s="67" t="n"/>
      <c r="I123" s="67" t="n"/>
      <c r="K123" s="67" t="n"/>
      <c r="L123" s="67" t="n"/>
      <c r="M123" s="67" t="n"/>
      <c r="N123" s="67" t="n"/>
      <c r="O123" s="67" t="n"/>
    </row>
    <row r="124">
      <c r="B124" s="67" t="n"/>
      <c r="C124" s="67" t="n"/>
      <c r="D124" s="67" t="n"/>
      <c r="E124" s="67" t="n"/>
      <c r="F124" s="67" t="n"/>
      <c r="G124" s="67" t="n"/>
      <c r="H124" s="67" t="n"/>
      <c r="I124" s="67" t="n"/>
      <c r="K124" s="67" t="n"/>
      <c r="L124" s="67" t="n"/>
      <c r="M124" s="67" t="n"/>
      <c r="N124" s="67" t="n"/>
      <c r="O124" s="67" t="n"/>
    </row>
    <row r="125">
      <c r="B125" s="67" t="n"/>
      <c r="C125" s="67" t="n"/>
      <c r="D125" s="67" t="n"/>
      <c r="E125" s="67" t="n"/>
      <c r="F125" s="67" t="n"/>
      <c r="G125" s="67" t="n"/>
      <c r="H125" s="67" t="n"/>
      <c r="I125" s="67" t="n"/>
      <c r="K125" s="67" t="n"/>
      <c r="L125" s="67" t="n"/>
      <c r="M125" s="67" t="n"/>
      <c r="N125" s="67" t="n"/>
      <c r="O125" s="67" t="n"/>
    </row>
    <row r="126">
      <c r="B126" s="67" t="n"/>
      <c r="C126" s="67" t="n"/>
      <c r="D126" s="67" t="n"/>
      <c r="E126" s="67" t="n"/>
      <c r="F126" s="67" t="n"/>
      <c r="G126" s="67" t="n"/>
      <c r="H126" s="67" t="n"/>
      <c r="I126" s="67" t="n"/>
      <c r="K126" s="67" t="n"/>
      <c r="L126" s="67" t="n"/>
      <c r="M126" s="67" t="n"/>
      <c r="N126" s="67" t="n"/>
      <c r="O126" s="67" t="n"/>
    </row>
    <row r="127">
      <c r="B127" s="67" t="n"/>
      <c r="C127" s="67" t="n"/>
      <c r="D127" s="67" t="n"/>
      <c r="E127" s="67" t="n"/>
      <c r="F127" s="67" t="n"/>
      <c r="G127" s="67" t="n"/>
      <c r="H127" s="67" t="n"/>
      <c r="I127" s="67" t="n"/>
      <c r="K127" s="67" t="n"/>
      <c r="L127" s="67" t="n"/>
      <c r="M127" s="67" t="n"/>
      <c r="N127" s="67" t="n"/>
      <c r="O127" s="67" t="n"/>
    </row>
    <row r="128">
      <c r="B128" s="67" t="n"/>
      <c r="C128" s="67" t="n"/>
      <c r="D128" s="67" t="n"/>
      <c r="E128" s="67" t="n"/>
      <c r="F128" s="67" t="n"/>
      <c r="G128" s="67" t="n"/>
      <c r="H128" s="67" t="n"/>
      <c r="I128" s="67" t="n"/>
      <c r="K128" s="67" t="n"/>
      <c r="L128" s="67" t="n"/>
      <c r="M128" s="67" t="n"/>
      <c r="N128" s="67" t="n"/>
      <c r="O128" s="67" t="n"/>
    </row>
    <row r="129">
      <c r="B129" s="67" t="n"/>
      <c r="C129" s="67" t="n"/>
      <c r="D129" s="67" t="n"/>
      <c r="E129" s="67" t="n"/>
      <c r="F129" s="67" t="n"/>
      <c r="G129" s="67" t="n"/>
      <c r="H129" s="67" t="n"/>
      <c r="I129" s="67" t="n"/>
      <c r="K129" s="67" t="n"/>
      <c r="L129" s="67" t="n"/>
      <c r="M129" s="67" t="n"/>
      <c r="N129" s="67" t="n"/>
      <c r="O129" s="67" t="n"/>
    </row>
    <row r="130">
      <c r="B130" s="67" t="n"/>
      <c r="C130" s="67" t="n"/>
      <c r="D130" s="67" t="n"/>
      <c r="E130" s="67" t="n"/>
      <c r="F130" s="67" t="n"/>
      <c r="G130" s="67" t="n"/>
      <c r="H130" s="67" t="n"/>
      <c r="I130" s="67" t="n"/>
      <c r="K130" s="67" t="n"/>
      <c r="L130" s="67" t="n"/>
      <c r="M130" s="67" t="n"/>
      <c r="N130" s="67" t="n"/>
      <c r="O130" s="67" t="n"/>
    </row>
    <row r="131">
      <c r="B131" s="67" t="n"/>
      <c r="C131" s="67" t="n"/>
      <c r="D131" s="67" t="n"/>
      <c r="E131" s="67" t="n"/>
      <c r="F131" s="67" t="n"/>
      <c r="G131" s="67" t="n"/>
      <c r="H131" s="67" t="n"/>
      <c r="I131" s="67" t="n"/>
      <c r="K131" s="67" t="n"/>
      <c r="L131" s="67" t="n"/>
      <c r="M131" s="67" t="n"/>
      <c r="N131" s="67" t="n"/>
      <c r="O131" s="67" t="n"/>
    </row>
    <row r="132">
      <c r="B132" s="67" t="n"/>
      <c r="C132" s="67" t="n"/>
      <c r="D132" s="67" t="n"/>
      <c r="E132" s="67" t="n"/>
      <c r="F132" s="67" t="n"/>
      <c r="G132" s="67" t="n"/>
      <c r="H132" s="67" t="n"/>
      <c r="I132" s="67" t="n"/>
      <c r="K132" s="67" t="n"/>
      <c r="L132" s="67" t="n"/>
      <c r="M132" s="67" t="n"/>
      <c r="N132" s="67" t="n"/>
      <c r="O132" s="67" t="n"/>
    </row>
    <row r="133">
      <c r="B133" s="67" t="n"/>
      <c r="C133" s="67" t="n"/>
      <c r="D133" s="67" t="n"/>
      <c r="E133" s="67" t="n"/>
      <c r="F133" s="67" t="n"/>
      <c r="G133" s="67" t="n"/>
      <c r="H133" s="67" t="n"/>
      <c r="I133" s="67" t="n"/>
      <c r="K133" s="67" t="n"/>
      <c r="L133" s="67" t="n"/>
      <c r="M133" s="67" t="n"/>
      <c r="N133" s="67" t="n"/>
      <c r="O133" s="67" t="n"/>
    </row>
    <row r="134">
      <c r="B134" s="67" t="n"/>
      <c r="C134" s="67" t="n"/>
      <c r="D134" s="67" t="n"/>
      <c r="E134" s="67" t="n"/>
      <c r="F134" s="67" t="n"/>
      <c r="G134" s="67" t="n"/>
      <c r="H134" s="67" t="n"/>
      <c r="I134" s="67" t="n"/>
      <c r="K134" s="67" t="n"/>
      <c r="L134" s="67" t="n"/>
      <c r="M134" s="67" t="n"/>
      <c r="N134" s="67" t="n"/>
      <c r="O134" s="67" t="n"/>
    </row>
    <row r="135">
      <c r="B135" s="67" t="n"/>
      <c r="C135" s="67" t="n"/>
      <c r="D135" s="67" t="n"/>
      <c r="E135" s="67" t="n"/>
      <c r="F135" s="67" t="n"/>
      <c r="G135" s="67" t="n"/>
      <c r="H135" s="67" t="n"/>
      <c r="I135" s="67" t="n"/>
      <c r="K135" s="67" t="n"/>
      <c r="L135" s="67" t="n"/>
      <c r="M135" s="67" t="n"/>
      <c r="N135" s="67" t="n"/>
      <c r="O135" s="67" t="n"/>
    </row>
    <row r="136">
      <c r="B136" s="67" t="n"/>
      <c r="C136" s="67" t="n"/>
      <c r="D136" s="67" t="n"/>
      <c r="E136" s="67" t="n"/>
      <c r="F136" s="67" t="n"/>
      <c r="G136" s="67" t="n"/>
      <c r="H136" s="67" t="n"/>
      <c r="I136" s="67" t="n"/>
      <c r="K136" s="67" t="n"/>
      <c r="L136" s="67" t="n"/>
      <c r="M136" s="67" t="n"/>
      <c r="N136" s="67" t="n"/>
      <c r="O136" s="67" t="n"/>
    </row>
    <row r="137">
      <c r="B137" s="67" t="n"/>
      <c r="C137" s="67" t="n"/>
      <c r="D137" s="67" t="n"/>
      <c r="E137" s="67" t="n"/>
      <c r="F137" s="67" t="n"/>
      <c r="G137" s="67" t="n"/>
      <c r="H137" s="67" t="n"/>
      <c r="I137" s="67" t="n"/>
      <c r="K137" s="67" t="n"/>
      <c r="L137" s="67" t="n"/>
      <c r="M137" s="67" t="n"/>
      <c r="N137" s="67" t="n"/>
      <c r="O137" s="67" t="n"/>
    </row>
    <row r="138">
      <c r="B138" s="67" t="n"/>
      <c r="C138" s="67" t="n"/>
      <c r="D138" s="67" t="n"/>
      <c r="E138" s="67" t="n"/>
      <c r="F138" s="67" t="n"/>
      <c r="G138" s="67" t="n"/>
      <c r="H138" s="67" t="n"/>
      <c r="I138" s="67" t="n"/>
      <c r="K138" s="67" t="n"/>
      <c r="L138" s="67" t="n"/>
      <c r="M138" s="67" t="n"/>
      <c r="N138" s="67" t="n"/>
      <c r="O138" s="67" t="n"/>
    </row>
    <row r="139">
      <c r="B139" s="67" t="n"/>
      <c r="C139" s="67" t="n"/>
      <c r="D139" s="67" t="n"/>
      <c r="E139" s="67" t="n"/>
      <c r="F139" s="67" t="n"/>
      <c r="G139" s="67" t="n"/>
      <c r="H139" s="67" t="n"/>
      <c r="I139" s="67" t="n"/>
      <c r="K139" s="67" t="n"/>
      <c r="L139" s="67" t="n"/>
      <c r="M139" s="67" t="n"/>
      <c r="N139" s="67" t="n"/>
      <c r="O139" s="67" t="n"/>
    </row>
    <row r="140">
      <c r="B140" s="67" t="n"/>
      <c r="C140" s="67" t="n"/>
      <c r="D140" s="67" t="n"/>
      <c r="E140" s="67" t="n"/>
      <c r="F140" s="67" t="n"/>
      <c r="G140" s="67" t="n"/>
      <c r="H140" s="67" t="n"/>
      <c r="I140" s="67" t="n"/>
      <c r="K140" s="67" t="n"/>
      <c r="L140" s="67" t="n"/>
      <c r="M140" s="67" t="n"/>
      <c r="N140" s="67" t="n"/>
      <c r="O140" s="67" t="n"/>
    </row>
    <row r="141">
      <c r="B141" s="67" t="n"/>
      <c r="C141" s="67" t="n"/>
      <c r="D141" s="67" t="n"/>
      <c r="E141" s="67" t="n"/>
      <c r="F141" s="67" t="n"/>
      <c r="G141" s="67" t="n"/>
      <c r="H141" s="67" t="n"/>
      <c r="I141" s="67" t="n"/>
      <c r="K141" s="67" t="n"/>
      <c r="L141" s="67" t="n"/>
      <c r="M141" s="67" t="n"/>
      <c r="N141" s="67" t="n"/>
      <c r="O141" s="67" t="n"/>
    </row>
    <row r="142">
      <c r="B142" s="67" t="n"/>
      <c r="C142" s="67" t="n"/>
      <c r="D142" s="67" t="n"/>
      <c r="E142" s="67" t="n"/>
      <c r="F142" s="67" t="n"/>
      <c r="G142" s="67" t="n"/>
      <c r="H142" s="67" t="n"/>
      <c r="I142" s="67" t="n"/>
      <c r="K142" s="67" t="n"/>
      <c r="L142" s="67" t="n"/>
      <c r="M142" s="67" t="n"/>
      <c r="N142" s="67" t="n"/>
      <c r="O142" s="67" t="n"/>
    </row>
    <row r="143">
      <c r="B143" s="67" t="n"/>
      <c r="C143" s="67" t="n"/>
      <c r="D143" s="67" t="n"/>
      <c r="E143" s="67" t="n"/>
      <c r="F143" s="67" t="n"/>
      <c r="G143" s="67" t="n"/>
      <c r="H143" s="67" t="n"/>
      <c r="I143" s="67" t="n"/>
      <c r="K143" s="67" t="n"/>
      <c r="L143" s="67" t="n"/>
      <c r="M143" s="67" t="n"/>
      <c r="N143" s="67" t="n"/>
      <c r="O143" s="67" t="n"/>
    </row>
    <row r="144">
      <c r="B144" s="67" t="n"/>
      <c r="C144" s="67" t="n"/>
      <c r="D144" s="67" t="n"/>
      <c r="E144" s="67" t="n"/>
      <c r="F144" s="67" t="n"/>
      <c r="G144" s="67" t="n"/>
      <c r="H144" s="67" t="n"/>
      <c r="I144" s="67" t="n"/>
      <c r="K144" s="67" t="n"/>
      <c r="L144" s="67" t="n"/>
      <c r="M144" s="67" t="n"/>
      <c r="N144" s="67" t="n"/>
      <c r="O144" s="67" t="n"/>
    </row>
    <row r="145">
      <c r="B145" s="67" t="n"/>
      <c r="C145" s="67" t="n"/>
      <c r="D145" s="67" t="n"/>
      <c r="E145" s="67" t="n"/>
      <c r="F145" s="67" t="n"/>
      <c r="G145" s="67" t="n"/>
      <c r="H145" s="67" t="n"/>
      <c r="I145" s="67" t="n"/>
      <c r="K145" s="67" t="n"/>
      <c r="L145" s="67" t="n"/>
      <c r="M145" s="67" t="n"/>
      <c r="N145" s="67" t="n"/>
      <c r="O145" s="67" t="n"/>
    </row>
    <row r="146">
      <c r="B146" s="67" t="n"/>
      <c r="C146" s="67" t="n"/>
      <c r="D146" s="67" t="n"/>
      <c r="E146" s="67" t="n"/>
      <c r="F146" s="67" t="n"/>
      <c r="G146" s="67" t="n"/>
      <c r="H146" s="67" t="n"/>
      <c r="I146" s="67" t="n"/>
      <c r="K146" s="67" t="n"/>
      <c r="L146" s="67" t="n"/>
      <c r="M146" s="67" t="n"/>
      <c r="N146" s="67" t="n"/>
      <c r="O146" s="67" t="n"/>
    </row>
    <row r="147">
      <c r="B147" s="67" t="n"/>
      <c r="C147" s="67" t="n"/>
      <c r="D147" s="67" t="n"/>
      <c r="E147" s="67" t="n"/>
      <c r="F147" s="67" t="n"/>
      <c r="G147" s="67" t="n"/>
      <c r="H147" s="67" t="n"/>
      <c r="I147" s="67" t="n"/>
      <c r="K147" s="67" t="n"/>
      <c r="L147" s="67" t="n"/>
      <c r="M147" s="67" t="n"/>
      <c r="N147" s="67" t="n"/>
      <c r="O147" s="67" t="n"/>
    </row>
    <row r="148">
      <c r="B148" s="67" t="n"/>
      <c r="C148" s="67" t="n"/>
      <c r="D148" s="67" t="n"/>
      <c r="E148" s="67" t="n"/>
      <c r="F148" s="67" t="n"/>
      <c r="G148" s="67" t="n"/>
      <c r="H148" s="67" t="n"/>
      <c r="I148" s="67" t="n"/>
      <c r="K148" s="67" t="n"/>
      <c r="L148" s="67" t="n"/>
      <c r="M148" s="67" t="n"/>
      <c r="N148" s="67" t="n"/>
      <c r="O148" s="67" t="n"/>
    </row>
    <row r="149">
      <c r="B149" s="67" t="n"/>
      <c r="C149" s="67" t="n"/>
      <c r="D149" s="67" t="n"/>
      <c r="E149" s="67" t="n"/>
      <c r="F149" s="67" t="n"/>
      <c r="G149" s="67" t="n"/>
      <c r="H149" s="67" t="n"/>
      <c r="I149" s="67" t="n"/>
      <c r="K149" s="67" t="n"/>
      <c r="L149" s="67" t="n"/>
      <c r="M149" s="67" t="n"/>
      <c r="N149" s="67" t="n"/>
      <c r="O149" s="67" t="n"/>
    </row>
    <row r="150">
      <c r="B150" s="67" t="n"/>
      <c r="C150" s="67" t="n"/>
      <c r="D150" s="67" t="n"/>
      <c r="E150" s="67" t="n"/>
      <c r="F150" s="67" t="n"/>
      <c r="G150" s="67" t="n"/>
      <c r="H150" s="67" t="n"/>
      <c r="I150" s="67" t="n"/>
      <c r="K150" s="67" t="n"/>
      <c r="L150" s="67" t="n"/>
      <c r="M150" s="67" t="n"/>
      <c r="N150" s="67" t="n"/>
      <c r="O150" s="67" t="n"/>
    </row>
    <row r="151">
      <c r="B151" s="67" t="n"/>
      <c r="C151" s="67" t="n"/>
      <c r="D151" s="67" t="n"/>
      <c r="E151" s="67" t="n"/>
      <c r="F151" s="67" t="n"/>
      <c r="G151" s="67" t="n"/>
      <c r="H151" s="67" t="n"/>
      <c r="I151" s="67" t="n"/>
      <c r="K151" s="67" t="n"/>
      <c r="L151" s="67" t="n"/>
      <c r="M151" s="67" t="n"/>
      <c r="N151" s="67" t="n"/>
      <c r="O151" s="67" t="n"/>
    </row>
    <row r="152">
      <c r="B152" s="67" t="n"/>
      <c r="C152" s="67" t="n"/>
      <c r="D152" s="67" t="n"/>
      <c r="E152" s="67" t="n"/>
      <c r="F152" s="67" t="n"/>
      <c r="G152" s="67" t="n"/>
      <c r="H152" s="67" t="n"/>
      <c r="I152" s="67" t="n"/>
      <c r="K152" s="67" t="n"/>
      <c r="L152" s="67" t="n"/>
      <c r="M152" s="67" t="n"/>
      <c r="N152" s="67" t="n"/>
      <c r="O152" s="67" t="n"/>
    </row>
    <row r="153">
      <c r="B153" s="67" t="n"/>
      <c r="C153" s="67" t="n"/>
      <c r="D153" s="67" t="n"/>
      <c r="E153" s="67" t="n"/>
      <c r="F153" s="67" t="n"/>
      <c r="G153" s="67" t="n"/>
      <c r="H153" s="67" t="n"/>
      <c r="I153" s="67" t="n"/>
      <c r="K153" s="67" t="n"/>
      <c r="L153" s="67" t="n"/>
      <c r="M153" s="67" t="n"/>
      <c r="N153" s="67" t="n"/>
      <c r="O153" s="67" t="n"/>
    </row>
    <row r="154">
      <c r="B154" s="67" t="n"/>
      <c r="C154" s="67" t="n"/>
      <c r="D154" s="67" t="n"/>
      <c r="E154" s="67" t="n"/>
      <c r="F154" s="67" t="n"/>
      <c r="G154" s="67" t="n"/>
      <c r="H154" s="67" t="n"/>
      <c r="I154" s="67" t="n"/>
      <c r="K154" s="67" t="n"/>
      <c r="L154" s="67" t="n"/>
      <c r="M154" s="67" t="n"/>
      <c r="N154" s="67" t="n"/>
      <c r="O154" s="67" t="n"/>
    </row>
    <row r="155">
      <c r="B155" s="67" t="n"/>
      <c r="C155" s="67" t="n"/>
      <c r="D155" s="67" t="n"/>
      <c r="E155" s="67" t="n"/>
      <c r="F155" s="67" t="n"/>
      <c r="G155" s="67" t="n"/>
      <c r="H155" s="67" t="n"/>
      <c r="I155" s="67" t="n"/>
      <c r="K155" s="67" t="n"/>
      <c r="L155" s="67" t="n"/>
      <c r="M155" s="67" t="n"/>
      <c r="N155" s="67" t="n"/>
      <c r="O155" s="67" t="n"/>
    </row>
    <row r="156">
      <c r="B156" s="67" t="n"/>
      <c r="C156" s="67" t="n"/>
      <c r="D156" s="67" t="n"/>
      <c r="E156" s="67" t="n"/>
      <c r="F156" s="67" t="n"/>
      <c r="G156" s="67" t="n"/>
      <c r="H156" s="67" t="n"/>
      <c r="I156" s="67" t="n"/>
      <c r="K156" s="67" t="n"/>
      <c r="L156" s="67" t="n"/>
      <c r="M156" s="67" t="n"/>
      <c r="N156" s="67" t="n"/>
      <c r="O156" s="67" t="n"/>
    </row>
    <row r="157">
      <c r="B157" s="67" t="n"/>
      <c r="C157" s="67" t="n"/>
      <c r="D157" s="67" t="n"/>
      <c r="E157" s="67" t="n"/>
      <c r="F157" s="67" t="n"/>
      <c r="G157" s="67" t="n"/>
      <c r="H157" s="67" t="n"/>
      <c r="I157" s="67" t="n"/>
      <c r="K157" s="67" t="n"/>
      <c r="L157" s="67" t="n"/>
      <c r="M157" s="67" t="n"/>
      <c r="N157" s="67" t="n"/>
      <c r="O157" s="67" t="n"/>
    </row>
    <row r="158">
      <c r="B158" s="67" t="n"/>
      <c r="C158" s="67" t="n"/>
      <c r="D158" s="67" t="n"/>
      <c r="E158" s="67" t="n"/>
      <c r="F158" s="67" t="n"/>
      <c r="G158" s="67" t="n"/>
      <c r="H158" s="67" t="n"/>
      <c r="I158" s="67" t="n"/>
      <c r="K158" s="67" t="n"/>
      <c r="L158" s="67" t="n"/>
      <c r="M158" s="67" t="n"/>
      <c r="N158" s="67" t="n"/>
      <c r="O158" s="67" t="n"/>
    </row>
    <row r="159">
      <c r="B159" s="67" t="n"/>
      <c r="C159" s="67" t="n"/>
      <c r="D159" s="67" t="n"/>
      <c r="E159" s="67" t="n"/>
      <c r="F159" s="67" t="n"/>
      <c r="G159" s="67" t="n"/>
      <c r="H159" s="67" t="n"/>
      <c r="I159" s="67" t="n"/>
      <c r="K159" s="67" t="n"/>
      <c r="L159" s="67" t="n"/>
      <c r="M159" s="67" t="n"/>
      <c r="N159" s="67" t="n"/>
      <c r="O159" s="67" t="n"/>
    </row>
    <row r="160">
      <c r="B160" s="67" t="n"/>
      <c r="C160" s="67" t="n"/>
      <c r="D160" s="67" t="n"/>
      <c r="E160" s="67" t="n"/>
      <c r="F160" s="67" t="n"/>
      <c r="G160" s="67" t="n"/>
      <c r="H160" s="67" t="n"/>
      <c r="I160" s="67" t="n"/>
      <c r="K160" s="67" t="n"/>
      <c r="L160" s="67" t="n"/>
      <c r="M160" s="67" t="n"/>
      <c r="N160" s="67" t="n"/>
      <c r="O160" s="67" t="n"/>
    </row>
    <row r="161">
      <c r="B161" s="67" t="n"/>
      <c r="C161" s="67" t="n"/>
      <c r="D161" s="67" t="n"/>
      <c r="E161" s="67" t="n"/>
      <c r="F161" s="67" t="n"/>
      <c r="G161" s="67" t="n"/>
      <c r="H161" s="67" t="n"/>
      <c r="I161" s="67" t="n"/>
      <c r="K161" s="67" t="n"/>
      <c r="L161" s="67" t="n"/>
      <c r="M161" s="67" t="n"/>
      <c r="N161" s="67" t="n"/>
      <c r="O161" s="67" t="n"/>
    </row>
    <row r="162">
      <c r="B162" s="67" t="n"/>
      <c r="C162" s="67" t="n"/>
      <c r="D162" s="67" t="n"/>
      <c r="E162" s="67" t="n"/>
      <c r="F162" s="67" t="n"/>
      <c r="G162" s="67" t="n"/>
      <c r="H162" s="67" t="n"/>
      <c r="I162" s="67" t="n"/>
      <c r="K162" s="67" t="n"/>
      <c r="L162" s="67" t="n"/>
      <c r="M162" s="67" t="n"/>
      <c r="N162" s="67" t="n"/>
      <c r="O162" s="67" t="n"/>
    </row>
    <row r="163">
      <c r="B163" s="67" t="n"/>
      <c r="C163" s="67" t="n"/>
      <c r="D163" s="67" t="n"/>
      <c r="E163" s="67" t="n"/>
      <c r="F163" s="67" t="n"/>
      <c r="G163" s="67" t="n"/>
      <c r="H163" s="67" t="n"/>
      <c r="I163" s="67" t="n"/>
      <c r="K163" s="67" t="n"/>
      <c r="L163" s="67" t="n"/>
      <c r="M163" s="67" t="n"/>
      <c r="N163" s="67" t="n"/>
      <c r="O163" s="67" t="n"/>
    </row>
    <row r="164">
      <c r="B164" s="67" t="n"/>
      <c r="C164" s="67" t="n"/>
      <c r="D164" s="67" t="n"/>
      <c r="E164" s="67" t="n"/>
      <c r="F164" s="67" t="n"/>
      <c r="G164" s="67" t="n"/>
      <c r="H164" s="67" t="n"/>
      <c r="I164" s="67" t="n"/>
      <c r="K164" s="67" t="n"/>
      <c r="L164" s="67" t="n"/>
      <c r="M164" s="67" t="n"/>
      <c r="N164" s="67" t="n"/>
      <c r="O164" s="67" t="n"/>
    </row>
    <row r="165">
      <c r="B165" s="67" t="n"/>
      <c r="C165" s="67" t="n"/>
      <c r="D165" s="67" t="n"/>
      <c r="E165" s="67" t="n"/>
      <c r="F165" s="67" t="n"/>
      <c r="G165" s="67" t="n"/>
      <c r="H165" s="67" t="n"/>
      <c r="I165" s="67" t="n"/>
      <c r="K165" s="67" t="n"/>
      <c r="L165" s="67" t="n"/>
      <c r="M165" s="67" t="n"/>
      <c r="N165" s="67" t="n"/>
      <c r="O165" s="67" t="n"/>
    </row>
    <row r="166">
      <c r="B166" s="67" t="n"/>
      <c r="C166" s="67" t="n"/>
      <c r="D166" s="67" t="n"/>
      <c r="E166" s="67" t="n"/>
      <c r="F166" s="67" t="n"/>
      <c r="G166" s="67" t="n"/>
      <c r="H166" s="67" t="n"/>
      <c r="I166" s="67" t="n"/>
      <c r="K166" s="67" t="n"/>
      <c r="L166" s="67" t="n"/>
      <c r="M166" s="67" t="n"/>
      <c r="N166" s="67" t="n"/>
      <c r="O166" s="67" t="n"/>
    </row>
    <row r="167">
      <c r="B167" s="67" t="n"/>
      <c r="C167" s="67" t="n"/>
      <c r="D167" s="67" t="n"/>
      <c r="E167" s="67" t="n"/>
      <c r="F167" s="67" t="n"/>
      <c r="G167" s="67" t="n"/>
      <c r="H167" s="67" t="n"/>
      <c r="I167" s="67" t="n"/>
      <c r="K167" s="67" t="n"/>
      <c r="L167" s="67" t="n"/>
      <c r="M167" s="67" t="n"/>
      <c r="N167" s="67" t="n"/>
      <c r="O167" s="67" t="n"/>
    </row>
    <row r="168">
      <c r="B168" s="67" t="n"/>
      <c r="C168" s="67" t="n"/>
      <c r="D168" s="67" t="n"/>
      <c r="E168" s="67" t="n"/>
      <c r="F168" s="67" t="n"/>
      <c r="G168" s="67" t="n"/>
      <c r="H168" s="67" t="n"/>
      <c r="I168" s="67" t="n"/>
      <c r="K168" s="67" t="n"/>
      <c r="L168" s="67" t="n"/>
      <c r="M168" s="67" t="n"/>
      <c r="N168" s="67" t="n"/>
      <c r="O168" s="67" t="n"/>
    </row>
    <row r="169">
      <c r="B169" s="67" t="n"/>
      <c r="C169" s="67" t="n"/>
      <c r="D169" s="67" t="n"/>
      <c r="E169" s="67" t="n"/>
      <c r="F169" s="67" t="n"/>
      <c r="G169" s="67" t="n"/>
      <c r="H169" s="67" t="n"/>
      <c r="I169" s="67" t="n"/>
      <c r="K169" s="67" t="n"/>
      <c r="L169" s="67" t="n"/>
      <c r="M169" s="67" t="n"/>
      <c r="N169" s="67" t="n"/>
      <c r="O169" s="67" t="n"/>
    </row>
    <row r="170">
      <c r="B170" s="67" t="n"/>
      <c r="C170" s="67" t="n"/>
      <c r="D170" s="67" t="n"/>
      <c r="E170" s="67" t="n"/>
      <c r="F170" s="67" t="n"/>
      <c r="G170" s="67" t="n"/>
      <c r="H170" s="67" t="n"/>
      <c r="I170" s="67" t="n"/>
      <c r="K170" s="67" t="n"/>
      <c r="L170" s="67" t="n"/>
      <c r="M170" s="67" t="n"/>
      <c r="N170" s="67" t="n"/>
      <c r="O170" s="67" t="n"/>
    </row>
    <row r="171">
      <c r="B171" s="67" t="n"/>
      <c r="C171" s="67" t="n"/>
      <c r="D171" s="67" t="n"/>
      <c r="E171" s="67" t="n"/>
      <c r="F171" s="67" t="n"/>
      <c r="G171" s="67" t="n"/>
      <c r="H171" s="67" t="n"/>
      <c r="I171" s="67" t="n"/>
      <c r="K171" s="67" t="n"/>
      <c r="L171" s="67" t="n"/>
      <c r="M171" s="67" t="n"/>
      <c r="N171" s="67" t="n"/>
      <c r="O171" s="67" t="n"/>
    </row>
    <row r="172">
      <c r="B172" s="67" t="n"/>
      <c r="C172" s="67" t="n"/>
      <c r="D172" s="67" t="n"/>
      <c r="E172" s="67" t="n"/>
      <c r="F172" s="67" t="n"/>
      <c r="G172" s="67" t="n"/>
      <c r="H172" s="67" t="n"/>
      <c r="I172" s="67" t="n"/>
      <c r="K172" s="67" t="n"/>
      <c r="L172" s="67" t="n"/>
      <c r="M172" s="67" t="n"/>
      <c r="N172" s="67" t="n"/>
      <c r="O172" s="67" t="n"/>
    </row>
    <row r="173">
      <c r="B173" s="67" t="n"/>
      <c r="C173" s="67" t="n"/>
      <c r="D173" s="67" t="n"/>
      <c r="E173" s="67" t="n"/>
      <c r="F173" s="67" t="n"/>
      <c r="G173" s="67" t="n"/>
      <c r="H173" s="67" t="n"/>
      <c r="I173" s="67" t="n"/>
      <c r="K173" s="67" t="n"/>
      <c r="L173" s="67" t="n"/>
      <c r="M173" s="67" t="n"/>
      <c r="N173" s="67" t="n"/>
      <c r="O173" s="67" t="n"/>
    </row>
    <row r="174">
      <c r="B174" s="67" t="n"/>
      <c r="C174" s="67" t="n"/>
      <c r="D174" s="67" t="n"/>
      <c r="E174" s="67" t="n"/>
      <c r="F174" s="67" t="n"/>
      <c r="G174" s="67" t="n"/>
      <c r="H174" s="67" t="n"/>
      <c r="I174" s="67" t="n"/>
      <c r="K174" s="67" t="n"/>
      <c r="L174" s="67" t="n"/>
      <c r="M174" s="67" t="n"/>
      <c r="N174" s="67" t="n"/>
      <c r="O174" s="67" t="n"/>
    </row>
    <row r="175">
      <c r="B175" s="67" t="n"/>
      <c r="C175" s="67" t="n"/>
      <c r="D175" s="67" t="n"/>
      <c r="E175" s="67" t="n"/>
      <c r="F175" s="67" t="n"/>
      <c r="G175" s="67" t="n"/>
      <c r="H175" s="67" t="n"/>
      <c r="I175" s="67" t="n"/>
      <c r="K175" s="67" t="n"/>
      <c r="L175" s="67" t="n"/>
      <c r="M175" s="67" t="n"/>
      <c r="N175" s="67" t="n"/>
      <c r="O175" s="67" t="n"/>
    </row>
    <row r="176">
      <c r="B176" s="67" t="n"/>
      <c r="C176" s="67" t="n"/>
      <c r="D176" s="67" t="n"/>
      <c r="E176" s="67" t="n"/>
      <c r="F176" s="67" t="n"/>
      <c r="G176" s="67" t="n"/>
      <c r="H176" s="67" t="n"/>
      <c r="I176" s="67" t="n"/>
      <c r="K176" s="67" t="n"/>
      <c r="L176" s="67" t="n"/>
      <c r="M176" s="67" t="n"/>
      <c r="N176" s="67" t="n"/>
      <c r="O176" s="67" t="n"/>
    </row>
    <row r="177">
      <c r="B177" s="67" t="n"/>
      <c r="C177" s="67" t="n"/>
      <c r="D177" s="67" t="n"/>
      <c r="E177" s="67" t="n"/>
      <c r="F177" s="67" t="n"/>
      <c r="G177" s="67" t="n"/>
      <c r="H177" s="67" t="n"/>
      <c r="I177" s="67" t="n"/>
      <c r="K177" s="67" t="n"/>
      <c r="L177" s="67" t="n"/>
      <c r="M177" s="67" t="n"/>
      <c r="N177" s="67" t="n"/>
      <c r="O177" s="67" t="n"/>
    </row>
    <row r="178">
      <c r="B178" s="67" t="n"/>
      <c r="C178" s="67" t="n"/>
      <c r="D178" s="67" t="n"/>
      <c r="E178" s="67" t="n"/>
      <c r="F178" s="67" t="n"/>
      <c r="G178" s="67" t="n"/>
      <c r="H178" s="67" t="n"/>
      <c r="I178" s="67" t="n"/>
      <c r="K178" s="67" t="n"/>
      <c r="L178" s="67" t="n"/>
      <c r="M178" s="67" t="n"/>
      <c r="N178" s="67" t="n"/>
      <c r="O178" s="67" t="n"/>
    </row>
    <row r="179">
      <c r="B179" s="67" t="n"/>
      <c r="C179" s="67" t="n"/>
      <c r="D179" s="67" t="n"/>
      <c r="E179" s="67" t="n"/>
      <c r="F179" s="67" t="n"/>
      <c r="G179" s="67" t="n"/>
      <c r="H179" s="67" t="n"/>
      <c r="I179" s="67" t="n"/>
      <c r="K179" s="67" t="n"/>
      <c r="L179" s="67" t="n"/>
      <c r="M179" s="67" t="n"/>
      <c r="N179" s="67" t="n"/>
      <c r="O179" s="67" t="n"/>
    </row>
    <row r="180">
      <c r="B180" s="67" t="n"/>
      <c r="C180" s="67" t="n"/>
      <c r="D180" s="67" t="n"/>
      <c r="E180" s="67" t="n"/>
      <c r="F180" s="67" t="n"/>
      <c r="G180" s="67" t="n"/>
      <c r="H180" s="67" t="n"/>
      <c r="I180" s="67" t="n"/>
      <c r="K180" s="67" t="n"/>
      <c r="L180" s="67" t="n"/>
      <c r="M180" s="67" t="n"/>
      <c r="N180" s="67" t="n"/>
      <c r="O180" s="67" t="n"/>
    </row>
    <row r="181">
      <c r="B181" s="67" t="n"/>
      <c r="C181" s="67" t="n"/>
      <c r="D181" s="67" t="n"/>
      <c r="E181" s="67" t="n"/>
      <c r="F181" s="67" t="n"/>
      <c r="G181" s="67" t="n"/>
      <c r="H181" s="67" t="n"/>
      <c r="I181" s="67" t="n"/>
      <c r="K181" s="67" t="n"/>
      <c r="L181" s="67" t="n"/>
      <c r="M181" s="67" t="n"/>
      <c r="N181" s="67" t="n"/>
      <c r="O181" s="67" t="n"/>
    </row>
    <row r="182">
      <c r="B182" s="67" t="n"/>
      <c r="C182" s="67" t="n"/>
      <c r="D182" s="67" t="n"/>
      <c r="E182" s="67" t="n"/>
      <c r="F182" s="67" t="n"/>
      <c r="G182" s="67" t="n"/>
      <c r="H182" s="67" t="n"/>
      <c r="I182" s="67" t="n"/>
      <c r="K182" s="67" t="n"/>
      <c r="L182" s="67" t="n"/>
      <c r="M182" s="67" t="n"/>
      <c r="N182" s="67" t="n"/>
      <c r="O182" s="67" t="n"/>
    </row>
    <row r="183">
      <c r="B183" s="67" t="n"/>
      <c r="C183" s="67" t="n"/>
      <c r="D183" s="67" t="n"/>
      <c r="E183" s="67" t="n"/>
      <c r="F183" s="67" t="n"/>
      <c r="G183" s="67" t="n"/>
      <c r="H183" s="67" t="n"/>
      <c r="I183" s="67" t="n"/>
      <c r="K183" s="67" t="n"/>
      <c r="L183" s="67" t="n"/>
      <c r="M183" s="67" t="n"/>
      <c r="N183" s="67" t="n"/>
      <c r="O183" s="67" t="n"/>
    </row>
    <row r="184">
      <c r="B184" s="67" t="n"/>
      <c r="C184" s="67" t="n"/>
      <c r="D184" s="67" t="n"/>
      <c r="E184" s="67" t="n"/>
      <c r="F184" s="67" t="n"/>
      <c r="G184" s="67" t="n"/>
      <c r="H184" s="67" t="n"/>
      <c r="I184" s="67" t="n"/>
      <c r="K184" s="67" t="n"/>
      <c r="L184" s="67" t="n"/>
      <c r="M184" s="67" t="n"/>
      <c r="N184" s="67" t="n"/>
      <c r="O184" s="67" t="n"/>
    </row>
    <row r="185">
      <c r="B185" s="67" t="n"/>
      <c r="C185" s="67" t="n"/>
      <c r="D185" s="67" t="n"/>
      <c r="E185" s="67" t="n"/>
      <c r="F185" s="67" t="n"/>
      <c r="G185" s="67" t="n"/>
      <c r="H185" s="67" t="n"/>
      <c r="I185" s="67" t="n"/>
      <c r="K185" s="67" t="n"/>
      <c r="L185" s="67" t="n"/>
      <c r="M185" s="67" t="n"/>
      <c r="N185" s="67" t="n"/>
      <c r="O185" s="67" t="n"/>
    </row>
    <row r="186">
      <c r="B186" s="67" t="n"/>
      <c r="C186" s="67" t="n"/>
      <c r="D186" s="67" t="n"/>
      <c r="E186" s="67" t="n"/>
      <c r="F186" s="67" t="n"/>
      <c r="G186" s="67" t="n"/>
      <c r="H186" s="67" t="n"/>
      <c r="I186" s="67" t="n"/>
      <c r="K186" s="67" t="n"/>
      <c r="L186" s="67" t="n"/>
      <c r="M186" s="67" t="n"/>
      <c r="N186" s="67" t="n"/>
      <c r="O186" s="67" t="n"/>
    </row>
    <row r="187">
      <c r="B187" s="67" t="n"/>
      <c r="C187" s="67" t="n"/>
      <c r="D187" s="67" t="n"/>
      <c r="E187" s="67" t="n"/>
      <c r="F187" s="67" t="n"/>
      <c r="G187" s="67" t="n"/>
      <c r="H187" s="67" t="n"/>
      <c r="I187" s="67" t="n"/>
      <c r="K187" s="67" t="n"/>
      <c r="L187" s="67" t="n"/>
      <c r="M187" s="67" t="n"/>
      <c r="N187" s="67" t="n"/>
      <c r="O187" s="67" t="n"/>
    </row>
    <row r="188">
      <c r="B188" s="67" t="n"/>
      <c r="C188" s="67" t="n"/>
      <c r="D188" s="67" t="n"/>
      <c r="E188" s="67" t="n"/>
      <c r="F188" s="67" t="n"/>
      <c r="G188" s="67" t="n"/>
      <c r="H188" s="67" t="n"/>
      <c r="I188" s="67" t="n"/>
      <c r="K188" s="67" t="n"/>
      <c r="L188" s="67" t="n"/>
      <c r="M188" s="67" t="n"/>
      <c r="N188" s="67" t="n"/>
      <c r="O188" s="67" t="n"/>
    </row>
    <row r="189">
      <c r="B189" s="67" t="n"/>
      <c r="C189" s="67" t="n"/>
      <c r="D189" s="67" t="n"/>
      <c r="E189" s="67" t="n"/>
      <c r="F189" s="67" t="n"/>
      <c r="G189" s="67" t="n"/>
      <c r="H189" s="67" t="n"/>
      <c r="I189" s="67" t="n"/>
      <c r="K189" s="67" t="n"/>
      <c r="L189" s="67" t="n"/>
      <c r="M189" s="67" t="n"/>
      <c r="N189" s="67" t="n"/>
      <c r="O189" s="67" t="n"/>
    </row>
    <row r="190">
      <c r="B190" s="67" t="n"/>
      <c r="C190" s="67" t="n"/>
      <c r="D190" s="67" t="n"/>
      <c r="E190" s="67" t="n"/>
      <c r="F190" s="67" t="n"/>
      <c r="G190" s="67" t="n"/>
      <c r="H190" s="67" t="n"/>
      <c r="I190" s="67" t="n"/>
      <c r="K190" s="67" t="n"/>
      <c r="L190" s="67" t="n"/>
      <c r="M190" s="67" t="n"/>
      <c r="N190" s="67" t="n"/>
      <c r="O190" s="67" t="n"/>
    </row>
    <row r="191">
      <c r="B191" s="67" t="n"/>
      <c r="C191" s="67" t="n"/>
      <c r="D191" s="67" t="n"/>
      <c r="E191" s="67" t="n"/>
      <c r="F191" s="67" t="n"/>
      <c r="G191" s="67" t="n"/>
      <c r="H191" s="67" t="n"/>
      <c r="I191" s="67" t="n"/>
      <c r="K191" s="67" t="n"/>
      <c r="L191" s="67" t="n"/>
      <c r="M191" s="67" t="n"/>
      <c r="N191" s="67" t="n"/>
      <c r="O191" s="67" t="n"/>
    </row>
    <row r="192">
      <c r="B192" s="67" t="n"/>
      <c r="C192" s="67" t="n"/>
      <c r="D192" s="67" t="n"/>
      <c r="E192" s="67" t="n"/>
      <c r="F192" s="67" t="n"/>
      <c r="G192" s="67" t="n"/>
      <c r="H192" s="67" t="n"/>
      <c r="I192" s="67" t="n"/>
      <c r="K192" s="67" t="n"/>
      <c r="L192" s="67" t="n"/>
      <c r="M192" s="67" t="n"/>
      <c r="N192" s="67" t="n"/>
      <c r="O192" s="67" t="n"/>
    </row>
    <row r="193">
      <c r="B193" s="67" t="n"/>
      <c r="C193" s="67" t="n"/>
      <c r="D193" s="67" t="n"/>
      <c r="E193" s="67" t="n"/>
      <c r="F193" s="67" t="n"/>
      <c r="G193" s="67" t="n"/>
      <c r="H193" s="67" t="n"/>
      <c r="I193" s="67" t="n"/>
      <c r="K193" s="67" t="n"/>
      <c r="L193" s="67" t="n"/>
      <c r="M193" s="67" t="n"/>
      <c r="N193" s="67" t="n"/>
      <c r="O193" s="67" t="n"/>
    </row>
    <row r="194">
      <c r="B194" s="67" t="n"/>
      <c r="C194" s="67" t="n"/>
      <c r="D194" s="67" t="n"/>
      <c r="E194" s="67" t="n"/>
      <c r="F194" s="67" t="n"/>
      <c r="G194" s="67" t="n"/>
      <c r="H194" s="67" t="n"/>
      <c r="I194" s="67" t="n"/>
      <c r="K194" s="67" t="n"/>
      <c r="L194" s="67" t="n"/>
      <c r="M194" s="67" t="n"/>
      <c r="N194" s="67" t="n"/>
      <c r="O194" s="67" t="n"/>
    </row>
    <row r="195">
      <c r="B195" s="67" t="n"/>
      <c r="C195" s="67" t="n"/>
      <c r="D195" s="67" t="n"/>
      <c r="E195" s="67" t="n"/>
      <c r="F195" s="67" t="n"/>
      <c r="G195" s="67" t="n"/>
      <c r="H195" s="67" t="n"/>
      <c r="I195" s="67" t="n"/>
      <c r="K195" s="67" t="n"/>
      <c r="L195" s="67" t="n"/>
      <c r="M195" s="67" t="n"/>
      <c r="N195" s="67" t="n"/>
      <c r="O195" s="67" t="n"/>
    </row>
    <row r="196">
      <c r="B196" s="67" t="n"/>
      <c r="C196" s="67" t="n"/>
      <c r="D196" s="67" t="n"/>
      <c r="E196" s="67" t="n"/>
      <c r="F196" s="67" t="n"/>
      <c r="G196" s="67" t="n"/>
      <c r="H196" s="67" t="n"/>
      <c r="I196" s="67" t="n"/>
      <c r="K196" s="67" t="n"/>
      <c r="L196" s="67" t="n"/>
      <c r="M196" s="67" t="n"/>
      <c r="N196" s="67" t="n"/>
      <c r="O196" s="67" t="n"/>
    </row>
    <row r="197">
      <c r="B197" s="67" t="n"/>
      <c r="C197" s="67" t="n"/>
      <c r="D197" s="67" t="n"/>
      <c r="E197" s="67" t="n"/>
      <c r="F197" s="67" t="n"/>
      <c r="G197" s="67" t="n"/>
      <c r="H197" s="67" t="n"/>
      <c r="I197" s="67" t="n"/>
      <c r="K197" s="67" t="n"/>
      <c r="L197" s="67" t="n"/>
      <c r="M197" s="67" t="n"/>
      <c r="N197" s="67" t="n"/>
      <c r="O197" s="67" t="n"/>
    </row>
    <row r="198">
      <c r="B198" s="67" t="n"/>
      <c r="C198" s="67" t="n"/>
      <c r="D198" s="67" t="n"/>
      <c r="E198" s="67" t="n"/>
      <c r="F198" s="67" t="n"/>
      <c r="G198" s="67" t="n"/>
      <c r="H198" s="67" t="n"/>
      <c r="I198" s="67" t="n"/>
      <c r="K198" s="67" t="n"/>
      <c r="L198" s="67" t="n"/>
      <c r="M198" s="67" t="n"/>
      <c r="N198" s="67" t="n"/>
      <c r="O198" s="67" t="n"/>
    </row>
    <row r="199">
      <c r="B199" s="67" t="n"/>
      <c r="C199" s="67" t="n"/>
      <c r="D199" s="67" t="n"/>
      <c r="E199" s="67" t="n"/>
      <c r="F199" s="67" t="n"/>
      <c r="G199" s="67" t="n"/>
      <c r="H199" s="67" t="n"/>
      <c r="I199" s="67" t="n"/>
      <c r="K199" s="67" t="n"/>
      <c r="L199" s="67" t="n"/>
      <c r="M199" s="67" t="n"/>
      <c r="N199" s="67" t="n"/>
      <c r="O199" s="67" t="n"/>
    </row>
    <row r="200">
      <c r="B200" s="67" t="n"/>
      <c r="C200" s="67" t="n"/>
      <c r="D200" s="67" t="n"/>
      <c r="E200" s="67" t="n"/>
      <c r="F200" s="67" t="n"/>
      <c r="G200" s="67" t="n"/>
      <c r="H200" s="67" t="n"/>
      <c r="I200" s="67" t="n"/>
      <c r="K200" s="67" t="n"/>
      <c r="L200" s="67" t="n"/>
      <c r="M200" s="67" t="n"/>
      <c r="N200" s="67" t="n"/>
      <c r="O200" s="67" t="n"/>
    </row>
    <row r="201">
      <c r="B201" s="67" t="n"/>
      <c r="C201" s="67" t="n"/>
      <c r="D201" s="67" t="n"/>
      <c r="E201" s="67" t="n"/>
      <c r="F201" s="67" t="n"/>
      <c r="G201" s="67" t="n"/>
      <c r="H201" s="67" t="n"/>
      <c r="I201" s="67" t="n"/>
      <c r="K201" s="67" t="n"/>
      <c r="L201" s="67" t="n"/>
      <c r="M201" s="67" t="n"/>
      <c r="N201" s="67" t="n"/>
      <c r="O201" s="67" t="n"/>
    </row>
    <row r="202">
      <c r="B202" s="67" t="n"/>
      <c r="C202" s="67" t="n"/>
      <c r="D202" s="67" t="n"/>
      <c r="E202" s="67" t="n"/>
      <c r="F202" s="67" t="n"/>
      <c r="G202" s="67" t="n"/>
      <c r="H202" s="67" t="n"/>
      <c r="I202" s="67" t="n"/>
      <c r="K202" s="67" t="n"/>
      <c r="L202" s="67" t="n"/>
      <c r="M202" s="67" t="n"/>
      <c r="N202" s="67" t="n"/>
      <c r="O202" s="67" t="n"/>
    </row>
    <row r="203">
      <c r="B203" s="67" t="n"/>
      <c r="C203" s="67" t="n"/>
      <c r="D203" s="67" t="n"/>
      <c r="E203" s="67" t="n"/>
      <c r="F203" s="67" t="n"/>
      <c r="G203" s="67" t="n"/>
      <c r="H203" s="67" t="n"/>
      <c r="I203" s="67" t="n"/>
      <c r="K203" s="67" t="n"/>
      <c r="L203" s="67" t="n"/>
      <c r="M203" s="67" t="n"/>
      <c r="N203" s="67" t="n"/>
      <c r="O203" s="67" t="n"/>
    </row>
    <row r="204">
      <c r="B204" s="67" t="n"/>
      <c r="C204" s="67" t="n"/>
      <c r="D204" s="67" t="n"/>
      <c r="E204" s="67" t="n"/>
      <c r="F204" s="67" t="n"/>
      <c r="G204" s="67" t="n"/>
      <c r="H204" s="67" t="n"/>
      <c r="I204" s="67" t="n"/>
      <c r="K204" s="67" t="n"/>
      <c r="L204" s="67" t="n"/>
      <c r="M204" s="67" t="n"/>
      <c r="N204" s="67" t="n"/>
      <c r="O204" s="67" t="n"/>
    </row>
    <row r="205">
      <c r="B205" s="67" t="n"/>
      <c r="C205" s="67" t="n"/>
      <c r="D205" s="67" t="n"/>
      <c r="E205" s="67" t="n"/>
      <c r="F205" s="67" t="n"/>
      <c r="G205" s="67" t="n"/>
      <c r="H205" s="67" t="n"/>
      <c r="I205" s="67" t="n"/>
      <c r="K205" s="67" t="n"/>
      <c r="L205" s="67" t="n"/>
      <c r="M205" s="67" t="n"/>
      <c r="N205" s="67" t="n"/>
      <c r="O205" s="67" t="n"/>
    </row>
    <row r="206">
      <c r="B206" s="67" t="n"/>
      <c r="C206" s="67" t="n"/>
      <c r="D206" s="67" t="n"/>
      <c r="E206" s="67" t="n"/>
      <c r="F206" s="67" t="n"/>
      <c r="G206" s="67" t="n"/>
      <c r="H206" s="67" t="n"/>
      <c r="I206" s="67" t="n"/>
      <c r="K206" s="67" t="n"/>
      <c r="L206" s="67" t="n"/>
      <c r="M206" s="67" t="n"/>
      <c r="N206" s="67" t="n"/>
      <c r="O206" s="67" t="n"/>
    </row>
    <row r="207">
      <c r="B207" s="67" t="n"/>
      <c r="C207" s="67" t="n"/>
      <c r="D207" s="67" t="n"/>
      <c r="E207" s="67" t="n"/>
      <c r="F207" s="67" t="n"/>
      <c r="G207" s="67" t="n"/>
      <c r="H207" s="67" t="n"/>
      <c r="I207" s="67" t="n"/>
      <c r="K207" s="67" t="n"/>
      <c r="L207" s="67" t="n"/>
      <c r="M207" s="67" t="n"/>
      <c r="N207" s="67" t="n"/>
      <c r="O207" s="67" t="n"/>
    </row>
    <row r="208">
      <c r="B208" s="67" t="n"/>
      <c r="C208" s="67" t="n"/>
      <c r="D208" s="67" t="n"/>
      <c r="E208" s="67" t="n"/>
      <c r="F208" s="67" t="n"/>
      <c r="G208" s="67" t="n"/>
      <c r="H208" s="67" t="n"/>
      <c r="I208" s="67" t="n"/>
      <c r="K208" s="67" t="n"/>
      <c r="L208" s="67" t="n"/>
      <c r="M208" s="67" t="n"/>
      <c r="N208" s="67" t="n"/>
      <c r="O208" s="67" t="n"/>
    </row>
    <row r="209">
      <c r="B209" s="67" t="n"/>
      <c r="C209" s="67" t="n"/>
      <c r="D209" s="67" t="n"/>
      <c r="E209" s="67" t="n"/>
      <c r="F209" s="67" t="n"/>
      <c r="G209" s="67" t="n"/>
      <c r="H209" s="67" t="n"/>
      <c r="I209" s="67" t="n"/>
      <c r="K209" s="67" t="n"/>
      <c r="L209" s="67" t="n"/>
      <c r="M209" s="67" t="n"/>
      <c r="N209" s="67" t="n"/>
      <c r="O209" s="67" t="n"/>
    </row>
    <row r="210">
      <c r="B210" s="67" t="n"/>
      <c r="C210" s="67" t="n"/>
      <c r="D210" s="67" t="n"/>
      <c r="E210" s="67" t="n"/>
      <c r="F210" s="67" t="n"/>
      <c r="G210" s="67" t="n"/>
      <c r="H210" s="67" t="n"/>
      <c r="I210" s="67" t="n"/>
      <c r="K210" s="67" t="n"/>
      <c r="L210" s="67" t="n"/>
      <c r="M210" s="67" t="n"/>
      <c r="N210" s="67" t="n"/>
      <c r="O210" s="67" t="n"/>
    </row>
    <row r="211">
      <c r="B211" s="67" t="n"/>
      <c r="C211" s="67" t="n"/>
      <c r="D211" s="67" t="n"/>
      <c r="E211" s="67" t="n"/>
      <c r="F211" s="67" t="n"/>
      <c r="G211" s="67" t="n"/>
      <c r="H211" s="67" t="n"/>
      <c r="I211" s="67" t="n"/>
      <c r="K211" s="67" t="n"/>
      <c r="L211" s="67" t="n"/>
      <c r="M211" s="67" t="n"/>
      <c r="N211" s="67" t="n"/>
      <c r="O211" s="67" t="n"/>
    </row>
    <row r="212">
      <c r="B212" s="67" t="n"/>
      <c r="C212" s="67" t="n"/>
      <c r="D212" s="67" t="n"/>
      <c r="E212" s="67" t="n"/>
      <c r="F212" s="67" t="n"/>
      <c r="G212" s="67" t="n"/>
      <c r="H212" s="67" t="n"/>
      <c r="I212" s="67" t="n"/>
      <c r="K212" s="67" t="n"/>
      <c r="L212" s="67" t="n"/>
      <c r="M212" s="67" t="n"/>
      <c r="N212" s="67" t="n"/>
      <c r="O212" s="67" t="n"/>
    </row>
    <row r="213">
      <c r="B213" s="67" t="n"/>
      <c r="C213" s="67" t="n"/>
      <c r="D213" s="67" t="n"/>
      <c r="E213" s="67" t="n"/>
      <c r="F213" s="67" t="n"/>
      <c r="G213" s="67" t="n"/>
      <c r="H213" s="67" t="n"/>
      <c r="I213" s="67" t="n"/>
      <c r="K213" s="67" t="n"/>
      <c r="L213" s="67" t="n"/>
      <c r="M213" s="67" t="n"/>
      <c r="N213" s="67" t="n"/>
      <c r="O213" s="67" t="n"/>
    </row>
    <row r="214">
      <c r="B214" s="67" t="n"/>
      <c r="C214" s="67" t="n"/>
      <c r="D214" s="67" t="n"/>
      <c r="E214" s="67" t="n"/>
      <c r="F214" s="67" t="n"/>
      <c r="G214" s="67" t="n"/>
      <c r="H214" s="67" t="n"/>
      <c r="I214" s="67" t="n"/>
      <c r="K214" s="67" t="n"/>
      <c r="L214" s="67" t="n"/>
      <c r="M214" s="67" t="n"/>
      <c r="N214" s="67" t="n"/>
      <c r="O214" s="67" t="n"/>
    </row>
    <row r="215">
      <c r="B215" s="67" t="n"/>
      <c r="C215" s="67" t="n"/>
      <c r="D215" s="67" t="n"/>
      <c r="E215" s="67" t="n"/>
      <c r="F215" s="67" t="n"/>
      <c r="G215" s="67" t="n"/>
      <c r="H215" s="67" t="n"/>
      <c r="I215" s="67" t="n"/>
      <c r="K215" s="67" t="n"/>
      <c r="L215" s="67" t="n"/>
      <c r="M215" s="67" t="n"/>
      <c r="N215" s="67" t="n"/>
      <c r="O215" s="67" t="n"/>
    </row>
    <row r="216">
      <c r="B216" s="67" t="n"/>
      <c r="C216" s="67" t="n"/>
      <c r="D216" s="67" t="n"/>
      <c r="E216" s="67" t="n"/>
      <c r="F216" s="67" t="n"/>
      <c r="G216" s="67" t="n"/>
      <c r="H216" s="67" t="n"/>
      <c r="I216" s="67" t="n"/>
      <c r="K216" s="67" t="n"/>
      <c r="L216" s="67" t="n"/>
      <c r="M216" s="67" t="n"/>
      <c r="N216" s="67" t="n"/>
      <c r="O216" s="67" t="n"/>
    </row>
    <row r="217">
      <c r="B217" s="67" t="n"/>
      <c r="C217" s="67" t="n"/>
      <c r="D217" s="67" t="n"/>
      <c r="E217" s="67" t="n"/>
      <c r="F217" s="67" t="n"/>
      <c r="G217" s="67" t="n"/>
      <c r="H217" s="67" t="n"/>
      <c r="I217" s="67" t="n"/>
      <c r="K217" s="67" t="n"/>
      <c r="L217" s="67" t="n"/>
      <c r="M217" s="67" t="n"/>
      <c r="N217" s="67" t="n"/>
      <c r="O217" s="67" t="n"/>
    </row>
    <row r="218">
      <c r="B218" s="67" t="n"/>
      <c r="C218" s="67" t="n"/>
      <c r="D218" s="67" t="n"/>
      <c r="E218" s="67" t="n"/>
      <c r="F218" s="67" t="n"/>
      <c r="G218" s="67" t="n"/>
      <c r="H218" s="67" t="n"/>
      <c r="I218" s="67" t="n"/>
      <c r="K218" s="67" t="n"/>
      <c r="L218" s="67" t="n"/>
      <c r="M218" s="67" t="n"/>
      <c r="N218" s="67" t="n"/>
      <c r="O218" s="67" t="n"/>
    </row>
    <row r="219">
      <c r="B219" s="67" t="n"/>
      <c r="C219" s="67" t="n"/>
      <c r="D219" s="67" t="n"/>
      <c r="E219" s="67" t="n"/>
      <c r="F219" s="67" t="n"/>
      <c r="G219" s="67" t="n"/>
      <c r="H219" s="67" t="n"/>
      <c r="I219" s="67" t="n"/>
      <c r="K219" s="67" t="n"/>
      <c r="L219" s="67" t="n"/>
      <c r="M219" s="67" t="n"/>
      <c r="N219" s="67" t="n"/>
      <c r="O219" s="67" t="n"/>
    </row>
    <row r="220">
      <c r="B220" s="67" t="n"/>
      <c r="C220" s="67" t="n"/>
      <c r="D220" s="67" t="n"/>
      <c r="E220" s="67" t="n"/>
      <c r="F220" s="67" t="n"/>
      <c r="G220" s="67" t="n"/>
      <c r="H220" s="67" t="n"/>
      <c r="I220" s="67" t="n"/>
      <c r="K220" s="67" t="n"/>
      <c r="L220" s="67" t="n"/>
      <c r="M220" s="67" t="n"/>
      <c r="N220" s="67" t="n"/>
      <c r="O220" s="67" t="n"/>
    </row>
  </sheetData>
  <mergeCells count="8">
    <mergeCell ref="B4:O4"/>
    <mergeCell ref="B6:O6"/>
    <mergeCell ref="B10:C10"/>
    <mergeCell ref="B7:O7"/>
    <mergeCell ref="B3:O3"/>
    <mergeCell ref="B5:O5"/>
    <mergeCell ref="B8:C8"/>
    <mergeCell ref="D8:O8"/>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AND(LEN($B20&amp;$C20&amp;$D20&amp;$E20&amp;$F20&amp;$G20&amp;$H20&amp;$I20&amp;$J20&amp;$K20&amp;$L20&amp;$M20&amp;$N20&amp;$O20)&gt;0,B20="")</formula>
    </cfRule>
  </conditionalFormatting>
  <conditionalFormatting sqref="C20:C220">
    <cfRule type="expression" priority="3" dxfId="6">
      <formula>AND(LEN($B20&amp;$C20&amp;$D20&amp;$E20&amp;$F20&amp;$G20&amp;$H20&amp;$I20&amp;$J20&amp;$K20&amp;$L20&amp;$M20&amp;$N20&amp;$O20)&gt;0,C20="")</formula>
    </cfRule>
  </conditionalFormatting>
  <conditionalFormatting sqref="I20:I220">
    <cfRule type="expression" priority="4" dxfId="6">
      <formula>AND(LEN($B20&amp;$C20&amp;$D20&amp;$E20&amp;$F20&amp;$G20&amp;$H20&amp;$I20&amp;$J20&amp;$K20&amp;$L20&amp;$M20&amp;$N20&amp;$O20)&gt;0,I20="")</formula>
    </cfRule>
  </conditionalFormatting>
  <conditionalFormatting sqref="J20:J220">
    <cfRule type="expression" priority="5" dxfId="6">
      <formula>AND(LEN($B20&amp;$C20&amp;$D20&amp;$E20&amp;$F20&amp;$G20&amp;$H20&amp;$I20&amp;$J20&amp;$K20&amp;$L20&amp;$M20&amp;$N20&amp;$O20)&gt;0,J20="")</formula>
    </cfRule>
  </conditionalFormatting>
  <conditionalFormatting sqref="L20:L220">
    <cfRule type="expression" priority="6" dxfId="6">
      <formula>AND(LEN($B20&amp;$C20&amp;$D20&amp;$E20&amp;$F20&amp;$G20&amp;$H20&amp;$I20&amp;$J20&amp;$K20&amp;$L20&amp;$M20&amp;$N20&amp;$O20)&gt;0,L20="")</formula>
    </cfRule>
  </conditionalFormatting>
  <conditionalFormatting sqref="N20:N220">
    <cfRule type="expression" priority="7" dxfId="6">
      <formula>AND(LEN($B20&amp;$C20&amp;$D20&amp;$E20&amp;$F20&amp;$G20&amp;$H20&amp;$I20&amp;$J20&amp;$K20&amp;$L20&amp;$M20&amp;$N20&amp;$O20)&gt;0,N20="")</formula>
    </cfRule>
  </conditionalFormatting>
  <dataValidations count="16">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O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record_type" error="Choose a value of the list F06 record_type (sheet Reference lists)." promptTitle="record_type" prompt="Yes. Kind of item Allowed: PDC, PICKUP, REFUND (list F06 record_type)" type="list" errorStyle="stop">
      <formula1>=LIST_F06_RECORD_TYPE</formula1>
    </dataValidation>
    <dataValidation sqref="C20:C220" showDropDown="0" showInputMessage="1" showErrorMessage="1" allowBlank="1" errorTitle="reference" error="At most 80 characters." promptTitle="reference" prompt="Yes. Legacy reference of the item Allowed: Free entry, up to 80 characters" type="textLength" operator="lessThanOrEqual">
      <formula1>80</formula1>
    </dataValidation>
    <dataValidation sqref="D20:D220" showDropDown="0" showInputMessage="1" showErrorMessage="1" allowBlank="1" errorTitle="warehouse_no" error="At most 30 characters." promptTitle="warehouse_no" prompt="Conditional: Mandatory for PDC. PDC warehouse number Allowed: Free entry, up to 30 characters" type="textLength" operator="lessThanOrEqual">
      <formula1>30</formula1>
    </dataValidation>
    <dataValidation sqref="E20:E220" showDropDown="0" showInputMessage="1" showErrorMessage="1" allowBlank="1" errorTitle="check_no" error="At most 40 characters." promptTitle="check_no" prompt="Conditional: Mandatory for PDC and PICKUP. Check number Allowed: Free entry, up to 40 characters" type="textLength" operator="lessThanOrEqual">
      <formula1>40</formula1>
    </dataValidation>
    <dataValidation sqref="F20:F220" showDropDown="0" showInputMessage="1" showErrorMessage="1" allowBlank="1" errorTitle="bank_code" error="At most 30 characters." promptTitle="bank_code" prompt="Conditional: Mandatory for PDC; mapped. Drawee bank Allowed: The legacy code; mapped by the code map BANK (sheet Code maps)" type="textLength" operator="lessThanOrEqual">
      <formula1>30</formula1>
    </dataValidation>
    <dataValidation sqref="G20:G220" showDropDown="0" showInputMessage="1" showErrorMessage="1" allowBlank="1" errorTitle="check_branch" error="At most 60 characters." promptTitle="check_branch" prompt="No. Drawee branch Allowed: Free entry, up to 60 characters" type="textLength" operator="lessThanOrEqual">
      <formula1>60</formula1>
    </dataValidation>
    <dataValidation sqref="H20:H220" showDropDown="0" showInputMessage="1" showErrorMessage="0" allowBlank="1" promptTitle="check_date" prompt="Conditional: Mandatory for PDC. Check date or maturity date"/>
    <dataValidation sqref="I20:I220" showDropDown="0" showInputMessage="1" showErrorMessage="1" allowBlank="1" errorTitle="currency" error="At most 3 characters." promptTitle="currency" prompt="Yes. Currency Allowed: ISO 4217" type="textLength" operator="lessThanOrEqual">
      <formula1>3</formula1>
    </dataValidation>
    <dataValidation sqref="J20:J220" showDropDown="0" showInputMessage="1" showErrorMessage="1" allowBlank="1" errorTitle="amount" error="Enter a number." promptTitle="amount" prompt="Yes. Amount Allowed: A number" type="decimal" operator="greaterThanOrEqual">
      <formula1>-1E+15</formula1>
    </dataValidation>
    <dataValidation sqref="K20:K220" showDropDown="0" showInputMessage="1" showErrorMessage="1" allowBlank="1" errorTitle="legacy_client_no" error="At most 30 characters." promptTitle="legacy_client_no" prompt="No. Client Allowed: legacy_client_no of C01" type="textLength" operator="lessThanOrEqual">
      <formula1>30</formula1>
    </dataValidation>
    <dataValidation sqref="L20:L220" showDropDown="0" showInputMessage="1" showErrorMessage="1" allowBlank="1" errorTitle="payor_name" error="At most 250 characters." promptTitle="payor_name" prompt="Yes. Payor Allowed: Free entry, up to 250 characters" type="textLength" operator="lessThanOrEqual">
      <formula1>250</formula1>
    </dataValidation>
    <dataValidation sqref="M20:M220" showDropDown="0" showInputMessage="1" showErrorMessage="1" allowBlank="1" errorTitle="legacy_invoice_no" error="At most 40 characters." promptTitle="legacy_invoice_no" prompt="No. Invoice the item pays or refunds Allowed: legacy_invoice_no of F01" type="textLength" operator="lessThanOrEqual">
      <formula1>40</formula1>
    </dataValidation>
    <dataValidation sqref="N20:N220" showDropDown="0" showInputMessage="1" showErrorMessage="1" allowBlank="1" errorTitle="status" error="At most 20 characters." promptTitle="status" prompt="Yes. Status in legacy Allowed: The legacy code; mapped by the code map STATUS:PDC (sheet Code maps)" type="textLength" operator="lessThanOrEqual">
      <formula1>20</formula1>
    </dataValidation>
    <dataValidation sqref="O20:O220" showDropDown="0" showInputMessage="1" showErrorMessage="1" allowBlank="1" errorTitle="remarks" error="At most 250 characters." promptTitle="remarks" prompt="No. Remarks Allowed: Free entry, up to 250 characters" type="textLength" operator="lessThanOrEqual">
      <formula1>250</formula1>
    </dataValidation>
  </dataValidations>
  <hyperlinks>
    <hyperlink ref="A2" location="'Load templates'!A1"/>
    <hyperlink ref="O2" location="'Comments log'!A1"/>
    <hyperlink ref="B8" location="'C01 Client master'!A1"/>
    <hyperlink ref="D8" location="'C02 Client addresses and contac'!A1"/>
    <hyperlink ref="B17" location="'Reference lists'!A93"/>
    <hyperlink ref="F17" location="'Code maps'!A1"/>
    <hyperlink ref="N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3.xml><?xml version="1.0" encoding="utf-8"?>
<worksheet xmlns="http://schemas.openxmlformats.org/spreadsheetml/2006/main">
  <sheetPr>
    <tabColor rgb="00004EA8"/>
    <outlinePr summaryBelow="0" summaryRight="1"/>
    <pageSetUpPr fitToPage="1"/>
  </sheetPr>
  <dimension ref="A1:L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16" customWidth="1" min="4" max="4"/>
    <col width="13" customWidth="1" min="5" max="5"/>
    <col width="24" customWidth="1" min="6" max="6"/>
    <col width="16" customWidth="1" min="7" max="7"/>
    <col width="19.54545454545454" customWidth="1" min="8" max="8"/>
    <col width="19.54545454545454" customWidth="1" min="9" max="9"/>
    <col width="19.54545454545454" customWidth="1" min="10" max="10"/>
    <col width="19.54545454545454" customWidth="1" min="11" max="11"/>
    <col width="14.54545454545454" customWidth="1" min="12" max="12"/>
  </cols>
  <sheetData>
    <row r="1" ht="26" customHeight="1">
      <c r="A1" s="44" t="inlineStr">
        <is>
          <t>G01 GL opening trial balance</t>
        </is>
      </c>
      <c r="L1" s="45" t="inlineStr">
        <is>
          <t>Step 24 of 29</t>
        </is>
      </c>
    </row>
    <row r="2">
      <c r="A2" s="46" t="inlineStr">
        <is>
          <t>← Back to Load templates</t>
        </is>
      </c>
      <c r="B2" s="47" t="inlineStr">
        <is>
          <t>Step 24 of 29. Fill in one row per record below the column headers; the guide above each column says what to enter.</t>
        </is>
      </c>
      <c r="L2" s="48" t="inlineStr">
        <is>
          <t>Ask a question →</t>
        </is>
      </c>
    </row>
    <row r="3" outlineLevel="1" ht="28" customHeight="1">
      <c r="A3" s="49" t="inlineStr">
        <is>
          <t>Purpose</t>
        </is>
      </c>
      <c r="B3" s="50" t="inlineStr">
        <is>
          <t>One row per record of GL trial balance per account, branch and currency (provisional opening; legacy TB at each true-up) as extracted from EBIX GL, ISYS GL. Key tb_version, branch_code, currency, legacy_account_code, cost_center. Sent as the file G01_template.csv (CSV, header row as below) with its control file (row count, row count; amount totals per currency: debit_fc, credit_fc, debit_php, credit_php).</t>
        </is>
      </c>
    </row>
    <row r="4" outlineLevel="1" ht="15.5" customHeight="1">
      <c r="A4" s="49" t="inlineStr">
        <is>
          <t>Provided by</t>
        </is>
      </c>
      <c r="B4" s="50" t="inlineStr">
        <is>
          <t>Comptrollership data steward (to name); approved by Head, Comptrollership; extracted by BDOI IT</t>
        </is>
      </c>
    </row>
    <row r="5" outlineLevel="1" ht="15.5" customHeight="1">
      <c r="A5" s="49" t="inlineStr">
        <is>
          <t>Due</t>
        </is>
      </c>
      <c r="B5" s="51" t="inlineStr">
        <is>
          <t>M3 (29 Jan 2027); final at T-2; at each true-up</t>
        </is>
      </c>
    </row>
    <row r="6" outlineLevel="1" ht="15.5" customHeight="1">
      <c r="A6" s="49" t="inlineStr">
        <is>
          <t>How it is loaded</t>
        </is>
      </c>
      <c r="B6" s="50" t="inlineStr">
        <is>
          <t>Data migration object G01 (Migrate), layout G01 version 1, through the Migration Console; lands in: General ledger journals of type OPENING (value date 1-Jan-2028); at a true-up, reconciliation input only</t>
        </is>
      </c>
    </row>
    <row r="7" outlineLevel="1" ht="15.5" customHeight="1">
      <c r="A7" s="49" t="inlineStr">
        <is>
          <t>Source</t>
        </is>
      </c>
      <c r="B7" s="50" t="inlineStr">
        <is>
          <t>EBIX GL, ISYS GL</t>
        </is>
      </c>
    </row>
    <row r="8" outlineLevel="1" ht="26" customHeight="1">
      <c r="A8" s="49" t="inlineStr">
        <is>
          <t>Depends on</t>
        </is>
      </c>
      <c r="B8" s="68" t="inlineStr">
        <is>
          <t>R08 Chart of accounts mapping →</t>
        </is>
      </c>
      <c r="D8" s="68" t="inlineStr">
        <is>
          <t>F01 Open legacy invoices - header →</t>
        </is>
      </c>
      <c r="F8" s="68" t="inlineStr">
        <is>
          <t>F01S Open legacy invoices - insurer shares →</t>
        </is>
      </c>
      <c r="G8" s="68" t="inlineStr">
        <is>
          <t>F01C Open legacy invoices - components and positions →</t>
        </is>
      </c>
      <c r="I8" s="68" t="inlineStr">
        <is>
          <t>F02 Unapplied premium payments (UPP) →</t>
        </is>
      </c>
    </row>
    <row r="9" ht="26" customHeight="1">
      <c r="A9" s="53" t="inlineStr">
        <is>
          <t>Progress</t>
        </is>
      </c>
      <c r="B9" s="54" t="inlineStr">
        <is>
          <t>Rows entered</t>
        </is>
      </c>
      <c r="C9" s="55">
        <f>SUMPRODUCT(((ROW($B$20:$B$220)&gt;20)+($B$20&lt;&gt;"PROVISIONAL")&gt;0)*(LEN($B$20:$B$220&amp;$C$20:$C$220&amp;$D$20:$D$220&amp;$E$20:$E$220&amp;$F$20:$F$220&amp;$G$20:$G$220&amp;$H$20:$H$220&amp;$I$20:$I$220&amp;$J$20:$J$220&amp;$K$20:$K$220&amp;$L$20:$L$220)&gt;0))</f>
        <v/>
      </c>
      <c r="D9" s="54" t="inlineStr">
        <is>
          <t>Mandatory cells missing</t>
        </is>
      </c>
      <c r="E9" s="55">
        <f>SUMPRODUCT(((ROW($B$20:$B$220)&gt;20)+($B$20&lt;&gt;"PROVISIONAL")&gt;0)*(LEN($B$20:$B$220&amp;$C$20:$C$220&amp;$D$20:$D$220&amp;$E$20:$E$220&amp;$F$20:$F$220&amp;$G$20:$G$220&amp;$H$20:$H$220&amp;$I$20:$I$220&amp;$J$20:$J$220&amp;$K$20:$K$220&amp;$L$20:$L$220)&gt;0)*(($B$20:$B$220="")+($C$20:$C$220="")+($D$20:$D$220="")+($E$20:$E$220="")+($F$20:$F$220="")+($H$20:$H$220="")+($I$20:$I$220="")+($J$20:$J$220="")+($K$20:$K$220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row>
    <row r="12" ht="30" customHeight="1">
      <c r="A12" s="59" t="inlineStr">
        <is>
          <t>BU review</t>
        </is>
      </c>
      <c r="B12" s="60" t="n"/>
      <c r="C12" s="60" t="n"/>
      <c r="D12" s="60" t="n"/>
      <c r="E12" s="60" t="n"/>
      <c r="F12" s="60" t="n"/>
      <c r="G12" s="60" t="n"/>
      <c r="H12" s="60" t="n"/>
      <c r="I12" s="60" t="n"/>
      <c r="J12" s="60" t="n"/>
      <c r="K12" s="60" t="n"/>
      <c r="L12" s="60" t="n"/>
    </row>
    <row r="13" ht="30" customHeight="1">
      <c r="A13" s="59" t="inlineStr">
        <is>
          <t>BU comment</t>
        </is>
      </c>
      <c r="B13" s="60" t="n"/>
      <c r="C13" s="60" t="n"/>
      <c r="D13" s="60" t="n"/>
      <c r="E13" s="60" t="n"/>
      <c r="F13" s="60" t="n"/>
      <c r="G13" s="60" t="n"/>
      <c r="H13" s="60" t="n"/>
      <c r="I13" s="60" t="n"/>
      <c r="J13" s="60" t="n"/>
      <c r="K13" s="60" t="n"/>
      <c r="L13" s="60" t="n"/>
    </row>
    <row r="14" ht="43" customHeight="1">
      <c r="A14" s="59" t="inlineStr">
        <is>
          <t>Check when loaded</t>
        </is>
      </c>
      <c r="B14" s="61" t="inlineStr">
        <is>
          <t>In the list; one version per file</t>
        </is>
      </c>
      <c r="C14" s="61" t="inlineStr">
        <is>
          <t>One date in the file</t>
        </is>
      </c>
      <c r="D14" s="61" t="inlineStr">
        <is>
          <t>Mapped</t>
        </is>
      </c>
      <c r="E14" s="61" t="inlineStr">
        <is>
          <t>Valid code</t>
        </is>
      </c>
      <c r="F14" s="61" t="inlineStr">
        <is>
          <t>Mapped</t>
        </is>
      </c>
      <c r="G14" s="61" t="inlineStr">
        <is>
          <t>Mapped</t>
        </is>
      </c>
      <c r="H14" s="61" t="inlineStr">
        <is>
          <t>0 or more; debit or credit, not both</t>
        </is>
      </c>
      <c r="I14" s="61" t="inlineStr">
        <is>
          <t>0 or more</t>
        </is>
      </c>
      <c r="J14" s="61" t="inlineStr">
        <is>
          <t>0 or more</t>
        </is>
      </c>
      <c r="K14" s="61" t="inlineStr">
        <is>
          <t>0 or more</t>
        </is>
      </c>
      <c r="L14" s="61" t="inlineStr">
        <is>
          <t>Mandatory when currency is not PHP</t>
        </is>
      </c>
    </row>
    <row r="15" ht="43" customHeight="1">
      <c r="A15" s="59" t="inlineStr">
        <is>
          <t>Mandatory</t>
        </is>
      </c>
      <c r="B15" s="62" t="inlineStr">
        <is>
          <t>Yes</t>
        </is>
      </c>
      <c r="C15" s="62" t="inlineStr">
        <is>
          <t>Yes</t>
        </is>
      </c>
      <c r="D15" s="62" t="inlineStr">
        <is>
          <t>Yes</t>
        </is>
      </c>
      <c r="E15" s="62" t="inlineStr">
        <is>
          <t>Yes</t>
        </is>
      </c>
      <c r="F15" s="62" t="inlineStr">
        <is>
          <t>Yes</t>
        </is>
      </c>
      <c r="G15" s="61" t="inlineStr">
        <is>
          <t>No</t>
        </is>
      </c>
      <c r="H15" s="62" t="inlineStr">
        <is>
          <t>Yes</t>
        </is>
      </c>
      <c r="I15" s="62" t="inlineStr">
        <is>
          <t>Yes</t>
        </is>
      </c>
      <c r="J15" s="62" t="inlineStr">
        <is>
          <t>Yes</t>
        </is>
      </c>
      <c r="K15" s="62" t="inlineStr">
        <is>
          <t>Yes</t>
        </is>
      </c>
      <c r="L15" s="61" t="inlineStr">
        <is>
          <t>Conditional: Mandatory when currency is not PHP</t>
        </is>
      </c>
    </row>
    <row r="16" ht="30" customHeight="1">
      <c r="A16" s="59" t="inlineStr">
        <is>
          <t>Format</t>
        </is>
      </c>
      <c r="B16" s="61" t="inlineStr">
        <is>
          <t>Code, up to 12; Upper case</t>
        </is>
      </c>
      <c r="C16" s="61" t="inlineStr">
        <is>
          <t>Date, up to 10; yyyy-MM-dd</t>
        </is>
      </c>
      <c r="D16" s="61" t="inlineStr">
        <is>
          <t>Code, up to 20; As stored in legacy</t>
        </is>
      </c>
      <c r="E16" s="61" t="inlineStr">
        <is>
          <t>Code, up to 3; Upper case</t>
        </is>
      </c>
      <c r="F16" s="61" t="inlineStr">
        <is>
          <t>Code, up to 30; As stored in legacy</t>
        </is>
      </c>
      <c r="G16" s="61" t="inlineStr">
        <is>
          <t>Code, up to 20; As stored in legacy</t>
        </is>
      </c>
      <c r="H16" s="61" t="inlineStr">
        <is>
          <t>Amount, up to 19,2; Dot decimal, 2 decimals</t>
        </is>
      </c>
      <c r="I16" s="61" t="inlineStr">
        <is>
          <t>Amount, up to 19,2; Dot decimal, 2 decimals</t>
        </is>
      </c>
      <c r="J16" s="61" t="inlineStr">
        <is>
          <t>Amount, up to 19,2; Dot decimal, 2 decimals</t>
        </is>
      </c>
      <c r="K16" s="61" t="inlineStr">
        <is>
          <t>Amount, up to 19,2; Dot decimal, 2 decimals</t>
        </is>
      </c>
      <c r="L16" s="61" t="inlineStr">
        <is>
          <t>Decimal, up to 12,6; Dot decimal</t>
        </is>
      </c>
    </row>
    <row r="17" ht="56" customHeight="1">
      <c r="A17" s="59" t="inlineStr">
        <is>
          <t>Allowed values</t>
        </is>
      </c>
      <c r="B17" s="69" t="inlineStr">
        <is>
          <t>PROVISIONAL, TU1, TU2, TU3, FINAL (list G01 tb_version)</t>
        </is>
      </c>
      <c r="C17" s="61" t="inlineStr">
        <is>
          <t>Free entry</t>
        </is>
      </c>
      <c r="D17" s="69" t="inlineStr">
        <is>
          <t>The legacy code; mapped by the code map BRANCH (sheet Code maps)</t>
        </is>
      </c>
      <c r="E17" s="61" t="inlineStr">
        <is>
          <t>ISO 4217</t>
        </is>
      </c>
      <c r="F17" s="69" t="inlineStr">
        <is>
          <t>The legacy code; mapped by the code map GL_ACCOUNT (sheet Code maps)</t>
        </is>
      </c>
      <c r="G17" s="69" t="inlineStr">
        <is>
          <t>The legacy code; mapped by the code map COST_CENTER (sheet Code maps)</t>
        </is>
      </c>
      <c r="H17" s="61" t="inlineStr">
        <is>
          <t>A number</t>
        </is>
      </c>
      <c r="I17" s="61" t="inlineStr">
        <is>
          <t>A number</t>
        </is>
      </c>
      <c r="J17" s="61" t="inlineStr">
        <is>
          <t>A number</t>
        </is>
      </c>
      <c r="K17" s="61" t="inlineStr">
        <is>
          <t>A number</t>
        </is>
      </c>
      <c r="L17" s="61" t="inlineStr">
        <is>
          <t>A number</t>
        </is>
      </c>
    </row>
    <row r="18" ht="108" customHeight="1">
      <c r="A18" s="59" t="inlineStr">
        <is>
          <t>What to enter</t>
        </is>
      </c>
      <c r="B18" s="61" t="inlineStr">
        <is>
          <t>Version of the trial balance - PROVISIONAL at cut-over (preliminary December TB), then TU1, TU2... and FINAL (audited) at the true-ups</t>
        </is>
      </c>
      <c r="C18" s="61" t="inlineStr">
        <is>
          <t>Trial balance date - 31-Dec-2027 for every version; the version says which adjustments it includes</t>
        </is>
      </c>
      <c r="D18" s="61" t="inlineStr">
        <is>
          <t>Branch</t>
        </is>
      </c>
      <c r="E18" s="61" t="inlineStr">
        <is>
          <t>Account currency</t>
        </is>
      </c>
      <c r="F18" s="61" t="inlineStr">
        <is>
          <t>Legacy account</t>
        </is>
      </c>
      <c r="G18" s="61" t="inlineStr">
        <is>
          <t>Cost centre</t>
        </is>
      </c>
      <c r="H18" s="61" t="inlineStr">
        <is>
          <t>Debit balance in the account currency</t>
        </is>
      </c>
      <c r="I18" s="61" t="inlineStr">
        <is>
          <t>Credit balance in the account currency</t>
        </is>
      </c>
      <c r="J18" s="61" t="inlineStr">
        <is>
          <t>Debit balance in PHP</t>
        </is>
      </c>
      <c r="K18" s="61" t="inlineStr">
        <is>
          <t>Credit balance in PHP</t>
        </is>
      </c>
      <c r="L18" s="61" t="inlineStr">
        <is>
          <t>Rate used for the PHP amount</t>
        </is>
      </c>
    </row>
    <row r="19" ht="30" customHeight="1">
      <c r="A19" s="63" t="inlineStr">
        <is>
          <t>Row</t>
        </is>
      </c>
      <c r="B19" s="24" t="inlineStr">
        <is>
          <t>tb_version *</t>
        </is>
      </c>
      <c r="C19" s="24" t="inlineStr">
        <is>
          <t>as_of_date *</t>
        </is>
      </c>
      <c r="D19" s="24" t="inlineStr">
        <is>
          <t>branch_code *</t>
        </is>
      </c>
      <c r="E19" s="24" t="inlineStr">
        <is>
          <t>currency *</t>
        </is>
      </c>
      <c r="F19" s="24" t="inlineStr">
        <is>
          <t>legacy_account_code *</t>
        </is>
      </c>
      <c r="G19" s="24" t="inlineStr">
        <is>
          <t>cost_center</t>
        </is>
      </c>
      <c r="H19" s="24" t="inlineStr">
        <is>
          <t>debit_fc *</t>
        </is>
      </c>
      <c r="I19" s="24" t="inlineStr">
        <is>
          <t>credit_fc *</t>
        </is>
      </c>
      <c r="J19" s="24" t="inlineStr">
        <is>
          <t>debit_php *</t>
        </is>
      </c>
      <c r="K19" s="24" t="inlineStr">
        <is>
          <t>credit_php *</t>
        </is>
      </c>
      <c r="L19" s="24" t="inlineStr">
        <is>
          <t>fx_rate</t>
        </is>
      </c>
    </row>
    <row r="20" ht="18" customHeight="1">
      <c r="A20" s="64" t="inlineStr">
        <is>
          <t>Example – overwrite or delete</t>
        </is>
      </c>
      <c r="B20" s="65" t="inlineStr">
        <is>
          <t>PROVISIONAL</t>
        </is>
      </c>
      <c r="C20" s="65" t="inlineStr">
        <is>
          <t>2027-12-31</t>
        </is>
      </c>
      <c r="D20" s="65" t="inlineStr">
        <is>
          <t>MKT01</t>
        </is>
      </c>
      <c r="E20" s="65" t="inlineStr">
        <is>
          <t>USD</t>
        </is>
      </c>
      <c r="F20" s="65" t="inlineStr">
        <is>
          <t>1101-02</t>
        </is>
      </c>
      <c r="G20" s="65" t="inlineStr">
        <is>
          <t>4100</t>
        </is>
      </c>
      <c r="H20" s="66" t="n">
        <v>12500</v>
      </c>
      <c r="I20" s="66" t="n">
        <v>0</v>
      </c>
      <c r="J20" s="66" t="n">
        <v>701562.5</v>
      </c>
      <c r="K20" s="66" t="n">
        <v>0</v>
      </c>
      <c r="L20" s="66" t="n">
        <v>56.125</v>
      </c>
    </row>
    <row r="21">
      <c r="B21" s="67" t="n"/>
      <c r="C21" s="67" t="n"/>
      <c r="D21" s="67" t="n"/>
      <c r="E21" s="67" t="n"/>
      <c r="F21" s="67" t="n"/>
      <c r="G21" s="67" t="n"/>
    </row>
    <row r="22">
      <c r="B22" s="67" t="n"/>
      <c r="C22" s="67" t="n"/>
      <c r="D22" s="67" t="n"/>
      <c r="E22" s="67" t="n"/>
      <c r="F22" s="67" t="n"/>
      <c r="G22" s="67" t="n"/>
    </row>
    <row r="23">
      <c r="B23" s="67" t="n"/>
      <c r="C23" s="67" t="n"/>
      <c r="D23" s="67" t="n"/>
      <c r="E23" s="67" t="n"/>
      <c r="F23" s="67" t="n"/>
      <c r="G23" s="67" t="n"/>
    </row>
    <row r="24">
      <c r="B24" s="67" t="n"/>
      <c r="C24" s="67" t="n"/>
      <c r="D24" s="67" t="n"/>
      <c r="E24" s="67" t="n"/>
      <c r="F24" s="67" t="n"/>
      <c r="G24" s="67" t="n"/>
    </row>
    <row r="25">
      <c r="B25" s="67" t="n"/>
      <c r="C25" s="67" t="n"/>
      <c r="D25" s="67" t="n"/>
      <c r="E25" s="67" t="n"/>
      <c r="F25" s="67" t="n"/>
      <c r="G25" s="67" t="n"/>
    </row>
    <row r="26">
      <c r="B26" s="67" t="n"/>
      <c r="C26" s="67" t="n"/>
      <c r="D26" s="67" t="n"/>
      <c r="E26" s="67" t="n"/>
      <c r="F26" s="67" t="n"/>
      <c r="G26" s="67" t="n"/>
    </row>
    <row r="27">
      <c r="B27" s="67" t="n"/>
      <c r="C27" s="67" t="n"/>
      <c r="D27" s="67" t="n"/>
      <c r="E27" s="67" t="n"/>
      <c r="F27" s="67" t="n"/>
      <c r="G27" s="67" t="n"/>
    </row>
    <row r="28">
      <c r="B28" s="67" t="n"/>
      <c r="C28" s="67" t="n"/>
      <c r="D28" s="67" t="n"/>
      <c r="E28" s="67" t="n"/>
      <c r="F28" s="67" t="n"/>
      <c r="G28" s="67" t="n"/>
    </row>
    <row r="29">
      <c r="B29" s="67" t="n"/>
      <c r="C29" s="67" t="n"/>
      <c r="D29" s="67" t="n"/>
      <c r="E29" s="67" t="n"/>
      <c r="F29" s="67" t="n"/>
      <c r="G29" s="67" t="n"/>
    </row>
    <row r="30">
      <c r="B30" s="67" t="n"/>
      <c r="C30" s="67" t="n"/>
      <c r="D30" s="67" t="n"/>
      <c r="E30" s="67" t="n"/>
      <c r="F30" s="67" t="n"/>
      <c r="G30" s="67" t="n"/>
    </row>
    <row r="31">
      <c r="B31" s="67" t="n"/>
      <c r="C31" s="67" t="n"/>
      <c r="D31" s="67" t="n"/>
      <c r="E31" s="67" t="n"/>
      <c r="F31" s="67" t="n"/>
      <c r="G31" s="67" t="n"/>
    </row>
    <row r="32">
      <c r="B32" s="67" t="n"/>
      <c r="C32" s="67" t="n"/>
      <c r="D32" s="67" t="n"/>
      <c r="E32" s="67" t="n"/>
      <c r="F32" s="67" t="n"/>
      <c r="G32" s="67" t="n"/>
    </row>
    <row r="33">
      <c r="B33" s="67" t="n"/>
      <c r="C33" s="67" t="n"/>
      <c r="D33" s="67" t="n"/>
      <c r="E33" s="67" t="n"/>
      <c r="F33" s="67" t="n"/>
      <c r="G33" s="67" t="n"/>
    </row>
    <row r="34">
      <c r="B34" s="67" t="n"/>
      <c r="C34" s="67" t="n"/>
      <c r="D34" s="67" t="n"/>
      <c r="E34" s="67" t="n"/>
      <c r="F34" s="67" t="n"/>
      <c r="G34" s="67" t="n"/>
    </row>
    <row r="35">
      <c r="B35" s="67" t="n"/>
      <c r="C35" s="67" t="n"/>
      <c r="D35" s="67" t="n"/>
      <c r="E35" s="67" t="n"/>
      <c r="F35" s="67" t="n"/>
      <c r="G35" s="67" t="n"/>
    </row>
    <row r="36">
      <c r="B36" s="67" t="n"/>
      <c r="C36" s="67" t="n"/>
      <c r="D36" s="67" t="n"/>
      <c r="E36" s="67" t="n"/>
      <c r="F36" s="67" t="n"/>
      <c r="G36" s="67" t="n"/>
    </row>
    <row r="37">
      <c r="B37" s="67" t="n"/>
      <c r="C37" s="67" t="n"/>
      <c r="D37" s="67" t="n"/>
      <c r="E37" s="67" t="n"/>
      <c r="F37" s="67" t="n"/>
      <c r="G37" s="67" t="n"/>
    </row>
    <row r="38">
      <c r="B38" s="67" t="n"/>
      <c r="C38" s="67" t="n"/>
      <c r="D38" s="67" t="n"/>
      <c r="E38" s="67" t="n"/>
      <c r="F38" s="67" t="n"/>
      <c r="G38" s="67" t="n"/>
    </row>
    <row r="39">
      <c r="B39" s="67" t="n"/>
      <c r="C39" s="67" t="n"/>
      <c r="D39" s="67" t="n"/>
      <c r="E39" s="67" t="n"/>
      <c r="F39" s="67" t="n"/>
      <c r="G39" s="67" t="n"/>
    </row>
    <row r="40">
      <c r="B40" s="67" t="n"/>
      <c r="C40" s="67" t="n"/>
      <c r="D40" s="67" t="n"/>
      <c r="E40" s="67" t="n"/>
      <c r="F40" s="67" t="n"/>
      <c r="G40" s="67" t="n"/>
    </row>
    <row r="41">
      <c r="B41" s="67" t="n"/>
      <c r="C41" s="67" t="n"/>
      <c r="D41" s="67" t="n"/>
      <c r="E41" s="67" t="n"/>
      <c r="F41" s="67" t="n"/>
      <c r="G41" s="67" t="n"/>
    </row>
    <row r="42">
      <c r="B42" s="67" t="n"/>
      <c r="C42" s="67" t="n"/>
      <c r="D42" s="67" t="n"/>
      <c r="E42" s="67" t="n"/>
      <c r="F42" s="67" t="n"/>
      <c r="G42" s="67" t="n"/>
    </row>
    <row r="43">
      <c r="B43" s="67" t="n"/>
      <c r="C43" s="67" t="n"/>
      <c r="D43" s="67" t="n"/>
      <c r="E43" s="67" t="n"/>
      <c r="F43" s="67" t="n"/>
      <c r="G43" s="67" t="n"/>
    </row>
    <row r="44">
      <c r="B44" s="67" t="n"/>
      <c r="C44" s="67" t="n"/>
      <c r="D44" s="67" t="n"/>
      <c r="E44" s="67" t="n"/>
      <c r="F44" s="67" t="n"/>
      <c r="G44" s="67" t="n"/>
    </row>
    <row r="45">
      <c r="B45" s="67" t="n"/>
      <c r="C45" s="67" t="n"/>
      <c r="D45" s="67" t="n"/>
      <c r="E45" s="67" t="n"/>
      <c r="F45" s="67" t="n"/>
      <c r="G45" s="67" t="n"/>
    </row>
    <row r="46">
      <c r="B46" s="67" t="n"/>
      <c r="C46" s="67" t="n"/>
      <c r="D46" s="67" t="n"/>
      <c r="E46" s="67" t="n"/>
      <c r="F46" s="67" t="n"/>
      <c r="G46" s="67" t="n"/>
    </row>
    <row r="47">
      <c r="B47" s="67" t="n"/>
      <c r="C47" s="67" t="n"/>
      <c r="D47" s="67" t="n"/>
      <c r="E47" s="67" t="n"/>
      <c r="F47" s="67" t="n"/>
      <c r="G47" s="67" t="n"/>
    </row>
    <row r="48">
      <c r="B48" s="67" t="n"/>
      <c r="C48" s="67" t="n"/>
      <c r="D48" s="67" t="n"/>
      <c r="E48" s="67" t="n"/>
      <c r="F48" s="67" t="n"/>
      <c r="G48" s="67" t="n"/>
    </row>
    <row r="49">
      <c r="B49" s="67" t="n"/>
      <c r="C49" s="67" t="n"/>
      <c r="D49" s="67" t="n"/>
      <c r="E49" s="67" t="n"/>
      <c r="F49" s="67" t="n"/>
      <c r="G49" s="67" t="n"/>
    </row>
    <row r="50">
      <c r="B50" s="67" t="n"/>
      <c r="C50" s="67" t="n"/>
      <c r="D50" s="67" t="n"/>
      <c r="E50" s="67" t="n"/>
      <c r="F50" s="67" t="n"/>
      <c r="G50" s="67" t="n"/>
    </row>
    <row r="51">
      <c r="B51" s="67" t="n"/>
      <c r="C51" s="67" t="n"/>
      <c r="D51" s="67" t="n"/>
      <c r="E51" s="67" t="n"/>
      <c r="F51" s="67" t="n"/>
      <c r="G51" s="67" t="n"/>
    </row>
    <row r="52">
      <c r="B52" s="67" t="n"/>
      <c r="C52" s="67" t="n"/>
      <c r="D52" s="67" t="n"/>
      <c r="E52" s="67" t="n"/>
      <c r="F52" s="67" t="n"/>
      <c r="G52" s="67" t="n"/>
    </row>
    <row r="53">
      <c r="B53" s="67" t="n"/>
      <c r="C53" s="67" t="n"/>
      <c r="D53" s="67" t="n"/>
      <c r="E53" s="67" t="n"/>
      <c r="F53" s="67" t="n"/>
      <c r="G53" s="67" t="n"/>
    </row>
    <row r="54">
      <c r="B54" s="67" t="n"/>
      <c r="C54" s="67" t="n"/>
      <c r="D54" s="67" t="n"/>
      <c r="E54" s="67" t="n"/>
      <c r="F54" s="67" t="n"/>
      <c r="G54" s="67" t="n"/>
    </row>
    <row r="55">
      <c r="B55" s="67" t="n"/>
      <c r="C55" s="67" t="n"/>
      <c r="D55" s="67" t="n"/>
      <c r="E55" s="67" t="n"/>
      <c r="F55" s="67" t="n"/>
      <c r="G55" s="67" t="n"/>
    </row>
    <row r="56">
      <c r="B56" s="67" t="n"/>
      <c r="C56" s="67" t="n"/>
      <c r="D56" s="67" t="n"/>
      <c r="E56" s="67" t="n"/>
      <c r="F56" s="67" t="n"/>
      <c r="G56" s="67" t="n"/>
    </row>
    <row r="57">
      <c r="B57" s="67" t="n"/>
      <c r="C57" s="67" t="n"/>
      <c r="D57" s="67" t="n"/>
      <c r="E57" s="67" t="n"/>
      <c r="F57" s="67" t="n"/>
      <c r="G57" s="67" t="n"/>
    </row>
    <row r="58">
      <c r="B58" s="67" t="n"/>
      <c r="C58" s="67" t="n"/>
      <c r="D58" s="67" t="n"/>
      <c r="E58" s="67" t="n"/>
      <c r="F58" s="67" t="n"/>
      <c r="G58" s="67" t="n"/>
    </row>
    <row r="59">
      <c r="B59" s="67" t="n"/>
      <c r="C59" s="67" t="n"/>
      <c r="D59" s="67" t="n"/>
      <c r="E59" s="67" t="n"/>
      <c r="F59" s="67" t="n"/>
      <c r="G59" s="67" t="n"/>
    </row>
    <row r="60">
      <c r="B60" s="67" t="n"/>
      <c r="C60" s="67" t="n"/>
      <c r="D60" s="67" t="n"/>
      <c r="E60" s="67" t="n"/>
      <c r="F60" s="67" t="n"/>
      <c r="G60" s="67" t="n"/>
    </row>
    <row r="61">
      <c r="B61" s="67" t="n"/>
      <c r="C61" s="67" t="n"/>
      <c r="D61" s="67" t="n"/>
      <c r="E61" s="67" t="n"/>
      <c r="F61" s="67" t="n"/>
      <c r="G61" s="67" t="n"/>
    </row>
    <row r="62">
      <c r="B62" s="67" t="n"/>
      <c r="C62" s="67" t="n"/>
      <c r="D62" s="67" t="n"/>
      <c r="E62" s="67" t="n"/>
      <c r="F62" s="67" t="n"/>
      <c r="G62" s="67" t="n"/>
    </row>
    <row r="63">
      <c r="B63" s="67" t="n"/>
      <c r="C63" s="67" t="n"/>
      <c r="D63" s="67" t="n"/>
      <c r="E63" s="67" t="n"/>
      <c r="F63" s="67" t="n"/>
      <c r="G63" s="67" t="n"/>
    </row>
    <row r="64">
      <c r="B64" s="67" t="n"/>
      <c r="C64" s="67" t="n"/>
      <c r="D64" s="67" t="n"/>
      <c r="E64" s="67" t="n"/>
      <c r="F64" s="67" t="n"/>
      <c r="G64" s="67" t="n"/>
    </row>
    <row r="65">
      <c r="B65" s="67" t="n"/>
      <c r="C65" s="67" t="n"/>
      <c r="D65" s="67" t="n"/>
      <c r="E65" s="67" t="n"/>
      <c r="F65" s="67" t="n"/>
      <c r="G65" s="67" t="n"/>
    </row>
    <row r="66">
      <c r="B66" s="67" t="n"/>
      <c r="C66" s="67" t="n"/>
      <c r="D66" s="67" t="n"/>
      <c r="E66" s="67" t="n"/>
      <c r="F66" s="67" t="n"/>
      <c r="G66" s="67" t="n"/>
    </row>
    <row r="67">
      <c r="B67" s="67" t="n"/>
      <c r="C67" s="67" t="n"/>
      <c r="D67" s="67" t="n"/>
      <c r="E67" s="67" t="n"/>
      <c r="F67" s="67" t="n"/>
      <c r="G67" s="67" t="n"/>
    </row>
    <row r="68">
      <c r="B68" s="67" t="n"/>
      <c r="C68" s="67" t="n"/>
      <c r="D68" s="67" t="n"/>
      <c r="E68" s="67" t="n"/>
      <c r="F68" s="67" t="n"/>
      <c r="G68" s="67" t="n"/>
    </row>
    <row r="69">
      <c r="B69" s="67" t="n"/>
      <c r="C69" s="67" t="n"/>
      <c r="D69" s="67" t="n"/>
      <c r="E69" s="67" t="n"/>
      <c r="F69" s="67" t="n"/>
      <c r="G69" s="67" t="n"/>
    </row>
    <row r="70">
      <c r="B70" s="67" t="n"/>
      <c r="C70" s="67" t="n"/>
      <c r="D70" s="67" t="n"/>
      <c r="E70" s="67" t="n"/>
      <c r="F70" s="67" t="n"/>
      <c r="G70" s="67" t="n"/>
    </row>
    <row r="71">
      <c r="B71" s="67" t="n"/>
      <c r="C71" s="67" t="n"/>
      <c r="D71" s="67" t="n"/>
      <c r="E71" s="67" t="n"/>
      <c r="F71" s="67" t="n"/>
      <c r="G71" s="67" t="n"/>
    </row>
    <row r="72">
      <c r="B72" s="67" t="n"/>
      <c r="C72" s="67" t="n"/>
      <c r="D72" s="67" t="n"/>
      <c r="E72" s="67" t="n"/>
      <c r="F72" s="67" t="n"/>
      <c r="G72" s="67" t="n"/>
    </row>
    <row r="73">
      <c r="B73" s="67" t="n"/>
      <c r="C73" s="67" t="n"/>
      <c r="D73" s="67" t="n"/>
      <c r="E73" s="67" t="n"/>
      <c r="F73" s="67" t="n"/>
      <c r="G73" s="67" t="n"/>
    </row>
    <row r="74">
      <c r="B74" s="67" t="n"/>
      <c r="C74" s="67" t="n"/>
      <c r="D74" s="67" t="n"/>
      <c r="E74" s="67" t="n"/>
      <c r="F74" s="67" t="n"/>
      <c r="G74" s="67" t="n"/>
    </row>
    <row r="75">
      <c r="B75" s="67" t="n"/>
      <c r="C75" s="67" t="n"/>
      <c r="D75" s="67" t="n"/>
      <c r="E75" s="67" t="n"/>
      <c r="F75" s="67" t="n"/>
      <c r="G75" s="67" t="n"/>
    </row>
    <row r="76">
      <c r="B76" s="67" t="n"/>
      <c r="C76" s="67" t="n"/>
      <c r="D76" s="67" t="n"/>
      <c r="E76" s="67" t="n"/>
      <c r="F76" s="67" t="n"/>
      <c r="G76" s="67" t="n"/>
    </row>
    <row r="77">
      <c r="B77" s="67" t="n"/>
      <c r="C77" s="67" t="n"/>
      <c r="D77" s="67" t="n"/>
      <c r="E77" s="67" t="n"/>
      <c r="F77" s="67" t="n"/>
      <c r="G77" s="67" t="n"/>
    </row>
    <row r="78">
      <c r="B78" s="67" t="n"/>
      <c r="C78" s="67" t="n"/>
      <c r="D78" s="67" t="n"/>
      <c r="E78" s="67" t="n"/>
      <c r="F78" s="67" t="n"/>
      <c r="G78" s="67" t="n"/>
    </row>
    <row r="79">
      <c r="B79" s="67" t="n"/>
      <c r="C79" s="67" t="n"/>
      <c r="D79" s="67" t="n"/>
      <c r="E79" s="67" t="n"/>
      <c r="F79" s="67" t="n"/>
      <c r="G79" s="67" t="n"/>
    </row>
    <row r="80">
      <c r="B80" s="67" t="n"/>
      <c r="C80" s="67" t="n"/>
      <c r="D80" s="67" t="n"/>
      <c r="E80" s="67" t="n"/>
      <c r="F80" s="67" t="n"/>
      <c r="G80" s="67" t="n"/>
    </row>
    <row r="81">
      <c r="B81" s="67" t="n"/>
      <c r="C81" s="67" t="n"/>
      <c r="D81" s="67" t="n"/>
      <c r="E81" s="67" t="n"/>
      <c r="F81" s="67" t="n"/>
      <c r="G81" s="67" t="n"/>
    </row>
    <row r="82">
      <c r="B82" s="67" t="n"/>
      <c r="C82" s="67" t="n"/>
      <c r="D82" s="67" t="n"/>
      <c r="E82" s="67" t="n"/>
      <c r="F82" s="67" t="n"/>
      <c r="G82" s="67" t="n"/>
    </row>
    <row r="83">
      <c r="B83" s="67" t="n"/>
      <c r="C83" s="67" t="n"/>
      <c r="D83" s="67" t="n"/>
      <c r="E83" s="67" t="n"/>
      <c r="F83" s="67" t="n"/>
      <c r="G83" s="67" t="n"/>
    </row>
    <row r="84">
      <c r="B84" s="67" t="n"/>
      <c r="C84" s="67" t="n"/>
      <c r="D84" s="67" t="n"/>
      <c r="E84" s="67" t="n"/>
      <c r="F84" s="67" t="n"/>
      <c r="G84" s="67" t="n"/>
    </row>
    <row r="85">
      <c r="B85" s="67" t="n"/>
      <c r="C85" s="67" t="n"/>
      <c r="D85" s="67" t="n"/>
      <c r="E85" s="67" t="n"/>
      <c r="F85" s="67" t="n"/>
      <c r="G85" s="67" t="n"/>
    </row>
    <row r="86">
      <c r="B86" s="67" t="n"/>
      <c r="C86" s="67" t="n"/>
      <c r="D86" s="67" t="n"/>
      <c r="E86" s="67" t="n"/>
      <c r="F86" s="67" t="n"/>
      <c r="G86" s="67" t="n"/>
    </row>
    <row r="87">
      <c r="B87" s="67" t="n"/>
      <c r="C87" s="67" t="n"/>
      <c r="D87" s="67" t="n"/>
      <c r="E87" s="67" t="n"/>
      <c r="F87" s="67" t="n"/>
      <c r="G87" s="67" t="n"/>
    </row>
    <row r="88">
      <c r="B88" s="67" t="n"/>
      <c r="C88" s="67" t="n"/>
      <c r="D88" s="67" t="n"/>
      <c r="E88" s="67" t="n"/>
      <c r="F88" s="67" t="n"/>
      <c r="G88" s="67" t="n"/>
    </row>
    <row r="89">
      <c r="B89" s="67" t="n"/>
      <c r="C89" s="67" t="n"/>
      <c r="D89" s="67" t="n"/>
      <c r="E89" s="67" t="n"/>
      <c r="F89" s="67" t="n"/>
      <c r="G89" s="67" t="n"/>
    </row>
    <row r="90">
      <c r="B90" s="67" t="n"/>
      <c r="C90" s="67" t="n"/>
      <c r="D90" s="67" t="n"/>
      <c r="E90" s="67" t="n"/>
      <c r="F90" s="67" t="n"/>
      <c r="G90" s="67" t="n"/>
    </row>
    <row r="91">
      <c r="B91" s="67" t="n"/>
      <c r="C91" s="67" t="n"/>
      <c r="D91" s="67" t="n"/>
      <c r="E91" s="67" t="n"/>
      <c r="F91" s="67" t="n"/>
      <c r="G91" s="67" t="n"/>
    </row>
    <row r="92">
      <c r="B92" s="67" t="n"/>
      <c r="C92" s="67" t="n"/>
      <c r="D92" s="67" t="n"/>
      <c r="E92" s="67" t="n"/>
      <c r="F92" s="67" t="n"/>
      <c r="G92" s="67" t="n"/>
    </row>
    <row r="93">
      <c r="B93" s="67" t="n"/>
      <c r="C93" s="67" t="n"/>
      <c r="D93" s="67" t="n"/>
      <c r="E93" s="67" t="n"/>
      <c r="F93" s="67" t="n"/>
      <c r="G93" s="67" t="n"/>
    </row>
    <row r="94">
      <c r="B94" s="67" t="n"/>
      <c r="C94" s="67" t="n"/>
      <c r="D94" s="67" t="n"/>
      <c r="E94" s="67" t="n"/>
      <c r="F94" s="67" t="n"/>
      <c r="G94" s="67" t="n"/>
    </row>
    <row r="95">
      <c r="B95" s="67" t="n"/>
      <c r="C95" s="67" t="n"/>
      <c r="D95" s="67" t="n"/>
      <c r="E95" s="67" t="n"/>
      <c r="F95" s="67" t="n"/>
      <c r="G95" s="67" t="n"/>
    </row>
    <row r="96">
      <c r="B96" s="67" t="n"/>
      <c r="C96" s="67" t="n"/>
      <c r="D96" s="67" t="n"/>
      <c r="E96" s="67" t="n"/>
      <c r="F96" s="67" t="n"/>
      <c r="G96" s="67" t="n"/>
    </row>
    <row r="97">
      <c r="B97" s="67" t="n"/>
      <c r="C97" s="67" t="n"/>
      <c r="D97" s="67" t="n"/>
      <c r="E97" s="67" t="n"/>
      <c r="F97" s="67" t="n"/>
      <c r="G97" s="67" t="n"/>
    </row>
    <row r="98">
      <c r="B98" s="67" t="n"/>
      <c r="C98" s="67" t="n"/>
      <c r="D98" s="67" t="n"/>
      <c r="E98" s="67" t="n"/>
      <c r="F98" s="67" t="n"/>
      <c r="G98" s="67" t="n"/>
    </row>
    <row r="99">
      <c r="B99" s="67" t="n"/>
      <c r="C99" s="67" t="n"/>
      <c r="D99" s="67" t="n"/>
      <c r="E99" s="67" t="n"/>
      <c r="F99" s="67" t="n"/>
      <c r="G99" s="67" t="n"/>
    </row>
    <row r="100">
      <c r="B100" s="67" t="n"/>
      <c r="C100" s="67" t="n"/>
      <c r="D100" s="67" t="n"/>
      <c r="E100" s="67" t="n"/>
      <c r="F100" s="67" t="n"/>
      <c r="G100" s="67" t="n"/>
    </row>
    <row r="101">
      <c r="B101" s="67" t="n"/>
      <c r="C101" s="67" t="n"/>
      <c r="D101" s="67" t="n"/>
      <c r="E101" s="67" t="n"/>
      <c r="F101" s="67" t="n"/>
      <c r="G101" s="67" t="n"/>
    </row>
    <row r="102">
      <c r="B102" s="67" t="n"/>
      <c r="C102" s="67" t="n"/>
      <c r="D102" s="67" t="n"/>
      <c r="E102" s="67" t="n"/>
      <c r="F102" s="67" t="n"/>
      <c r="G102" s="67" t="n"/>
    </row>
    <row r="103">
      <c r="B103" s="67" t="n"/>
      <c r="C103" s="67" t="n"/>
      <c r="D103" s="67" t="n"/>
      <c r="E103" s="67" t="n"/>
      <c r="F103" s="67" t="n"/>
      <c r="G103" s="67" t="n"/>
    </row>
    <row r="104">
      <c r="B104" s="67" t="n"/>
      <c r="C104" s="67" t="n"/>
      <c r="D104" s="67" t="n"/>
      <c r="E104" s="67" t="n"/>
      <c r="F104" s="67" t="n"/>
      <c r="G104" s="67" t="n"/>
    </row>
    <row r="105">
      <c r="B105" s="67" t="n"/>
      <c r="C105" s="67" t="n"/>
      <c r="D105" s="67" t="n"/>
      <c r="E105" s="67" t="n"/>
      <c r="F105" s="67" t="n"/>
      <c r="G105" s="67" t="n"/>
    </row>
    <row r="106">
      <c r="B106" s="67" t="n"/>
      <c r="C106" s="67" t="n"/>
      <c r="D106" s="67" t="n"/>
      <c r="E106" s="67" t="n"/>
      <c r="F106" s="67" t="n"/>
      <c r="G106" s="67" t="n"/>
    </row>
    <row r="107">
      <c r="B107" s="67" t="n"/>
      <c r="C107" s="67" t="n"/>
      <c r="D107" s="67" t="n"/>
      <c r="E107" s="67" t="n"/>
      <c r="F107" s="67" t="n"/>
      <c r="G107" s="67" t="n"/>
    </row>
    <row r="108">
      <c r="B108" s="67" t="n"/>
      <c r="C108" s="67" t="n"/>
      <c r="D108" s="67" t="n"/>
      <c r="E108" s="67" t="n"/>
      <c r="F108" s="67" t="n"/>
      <c r="G108" s="67" t="n"/>
    </row>
    <row r="109">
      <c r="B109" s="67" t="n"/>
      <c r="C109" s="67" t="n"/>
      <c r="D109" s="67" t="n"/>
      <c r="E109" s="67" t="n"/>
      <c r="F109" s="67" t="n"/>
      <c r="G109" s="67" t="n"/>
    </row>
    <row r="110">
      <c r="B110" s="67" t="n"/>
      <c r="C110" s="67" t="n"/>
      <c r="D110" s="67" t="n"/>
      <c r="E110" s="67" t="n"/>
      <c r="F110" s="67" t="n"/>
      <c r="G110" s="67" t="n"/>
    </row>
    <row r="111">
      <c r="B111" s="67" t="n"/>
      <c r="C111" s="67" t="n"/>
      <c r="D111" s="67" t="n"/>
      <c r="E111" s="67" t="n"/>
      <c r="F111" s="67" t="n"/>
      <c r="G111" s="67" t="n"/>
    </row>
    <row r="112">
      <c r="B112" s="67" t="n"/>
      <c r="C112" s="67" t="n"/>
      <c r="D112" s="67" t="n"/>
      <c r="E112" s="67" t="n"/>
      <c r="F112" s="67" t="n"/>
      <c r="G112" s="67" t="n"/>
    </row>
    <row r="113">
      <c r="B113" s="67" t="n"/>
      <c r="C113" s="67" t="n"/>
      <c r="D113" s="67" t="n"/>
      <c r="E113" s="67" t="n"/>
      <c r="F113" s="67" t="n"/>
      <c r="G113" s="67" t="n"/>
    </row>
    <row r="114">
      <c r="B114" s="67" t="n"/>
      <c r="C114" s="67" t="n"/>
      <c r="D114" s="67" t="n"/>
      <c r="E114" s="67" t="n"/>
      <c r="F114" s="67" t="n"/>
      <c r="G114" s="67" t="n"/>
    </row>
    <row r="115">
      <c r="B115" s="67" t="n"/>
      <c r="C115" s="67" t="n"/>
      <c r="D115" s="67" t="n"/>
      <c r="E115" s="67" t="n"/>
      <c r="F115" s="67" t="n"/>
      <c r="G115" s="67" t="n"/>
    </row>
    <row r="116">
      <c r="B116" s="67" t="n"/>
      <c r="C116" s="67" t="n"/>
      <c r="D116" s="67" t="n"/>
      <c r="E116" s="67" t="n"/>
      <c r="F116" s="67" t="n"/>
      <c r="G116" s="67" t="n"/>
    </row>
    <row r="117">
      <c r="B117" s="67" t="n"/>
      <c r="C117" s="67" t="n"/>
      <c r="D117" s="67" t="n"/>
      <c r="E117" s="67" t="n"/>
      <c r="F117" s="67" t="n"/>
      <c r="G117" s="67" t="n"/>
    </row>
    <row r="118">
      <c r="B118" s="67" t="n"/>
      <c r="C118" s="67" t="n"/>
      <c r="D118" s="67" t="n"/>
      <c r="E118" s="67" t="n"/>
      <c r="F118" s="67" t="n"/>
      <c r="G118" s="67" t="n"/>
    </row>
    <row r="119">
      <c r="B119" s="67" t="n"/>
      <c r="C119" s="67" t="n"/>
      <c r="D119" s="67" t="n"/>
      <c r="E119" s="67" t="n"/>
      <c r="F119" s="67" t="n"/>
      <c r="G119" s="67" t="n"/>
    </row>
    <row r="120">
      <c r="B120" s="67" t="n"/>
      <c r="C120" s="67" t="n"/>
      <c r="D120" s="67" t="n"/>
      <c r="E120" s="67" t="n"/>
      <c r="F120" s="67" t="n"/>
      <c r="G120" s="67" t="n"/>
    </row>
    <row r="121">
      <c r="B121" s="67" t="n"/>
      <c r="C121" s="67" t="n"/>
      <c r="D121" s="67" t="n"/>
      <c r="E121" s="67" t="n"/>
      <c r="F121" s="67" t="n"/>
      <c r="G121" s="67" t="n"/>
    </row>
    <row r="122">
      <c r="B122" s="67" t="n"/>
      <c r="C122" s="67" t="n"/>
      <c r="D122" s="67" t="n"/>
      <c r="E122" s="67" t="n"/>
      <c r="F122" s="67" t="n"/>
      <c r="G122" s="67" t="n"/>
    </row>
    <row r="123">
      <c r="B123" s="67" t="n"/>
      <c r="C123" s="67" t="n"/>
      <c r="D123" s="67" t="n"/>
      <c r="E123" s="67" t="n"/>
      <c r="F123" s="67" t="n"/>
      <c r="G123" s="67" t="n"/>
    </row>
    <row r="124">
      <c r="B124" s="67" t="n"/>
      <c r="C124" s="67" t="n"/>
      <c r="D124" s="67" t="n"/>
      <c r="E124" s="67" t="n"/>
      <c r="F124" s="67" t="n"/>
      <c r="G124" s="67" t="n"/>
    </row>
    <row r="125">
      <c r="B125" s="67" t="n"/>
      <c r="C125" s="67" t="n"/>
      <c r="D125" s="67" t="n"/>
      <c r="E125" s="67" t="n"/>
      <c r="F125" s="67" t="n"/>
      <c r="G125" s="67" t="n"/>
    </row>
    <row r="126">
      <c r="B126" s="67" t="n"/>
      <c r="C126" s="67" t="n"/>
      <c r="D126" s="67" t="n"/>
      <c r="E126" s="67" t="n"/>
      <c r="F126" s="67" t="n"/>
      <c r="G126" s="67" t="n"/>
    </row>
    <row r="127">
      <c r="B127" s="67" t="n"/>
      <c r="C127" s="67" t="n"/>
      <c r="D127" s="67" t="n"/>
      <c r="E127" s="67" t="n"/>
      <c r="F127" s="67" t="n"/>
      <c r="G127" s="67" t="n"/>
    </row>
    <row r="128">
      <c r="B128" s="67" t="n"/>
      <c r="C128" s="67" t="n"/>
      <c r="D128" s="67" t="n"/>
      <c r="E128" s="67" t="n"/>
      <c r="F128" s="67" t="n"/>
      <c r="G128" s="67" t="n"/>
    </row>
    <row r="129">
      <c r="B129" s="67" t="n"/>
      <c r="C129" s="67" t="n"/>
      <c r="D129" s="67" t="n"/>
      <c r="E129" s="67" t="n"/>
      <c r="F129" s="67" t="n"/>
      <c r="G129" s="67" t="n"/>
    </row>
    <row r="130">
      <c r="B130" s="67" t="n"/>
      <c r="C130" s="67" t="n"/>
      <c r="D130" s="67" t="n"/>
      <c r="E130" s="67" t="n"/>
      <c r="F130" s="67" t="n"/>
      <c r="G130" s="67" t="n"/>
    </row>
    <row r="131">
      <c r="B131" s="67" t="n"/>
      <c r="C131" s="67" t="n"/>
      <c r="D131" s="67" t="n"/>
      <c r="E131" s="67" t="n"/>
      <c r="F131" s="67" t="n"/>
      <c r="G131" s="67" t="n"/>
    </row>
    <row r="132">
      <c r="B132" s="67" t="n"/>
      <c r="C132" s="67" t="n"/>
      <c r="D132" s="67" t="n"/>
      <c r="E132" s="67" t="n"/>
      <c r="F132" s="67" t="n"/>
      <c r="G132" s="67" t="n"/>
    </row>
    <row r="133">
      <c r="B133" s="67" t="n"/>
      <c r="C133" s="67" t="n"/>
      <c r="D133" s="67" t="n"/>
      <c r="E133" s="67" t="n"/>
      <c r="F133" s="67" t="n"/>
      <c r="G133" s="67" t="n"/>
    </row>
    <row r="134">
      <c r="B134" s="67" t="n"/>
      <c r="C134" s="67" t="n"/>
      <c r="D134" s="67" t="n"/>
      <c r="E134" s="67" t="n"/>
      <c r="F134" s="67" t="n"/>
      <c r="G134" s="67" t="n"/>
    </row>
    <row r="135">
      <c r="B135" s="67" t="n"/>
      <c r="C135" s="67" t="n"/>
      <c r="D135" s="67" t="n"/>
      <c r="E135" s="67" t="n"/>
      <c r="F135" s="67" t="n"/>
      <c r="G135" s="67" t="n"/>
    </row>
    <row r="136">
      <c r="B136" s="67" t="n"/>
      <c r="C136" s="67" t="n"/>
      <c r="D136" s="67" t="n"/>
      <c r="E136" s="67" t="n"/>
      <c r="F136" s="67" t="n"/>
      <c r="G136" s="67" t="n"/>
    </row>
    <row r="137">
      <c r="B137" s="67" t="n"/>
      <c r="C137" s="67" t="n"/>
      <c r="D137" s="67" t="n"/>
      <c r="E137" s="67" t="n"/>
      <c r="F137" s="67" t="n"/>
      <c r="G137" s="67" t="n"/>
    </row>
    <row r="138">
      <c r="B138" s="67" t="n"/>
      <c r="C138" s="67" t="n"/>
      <c r="D138" s="67" t="n"/>
      <c r="E138" s="67" t="n"/>
      <c r="F138" s="67" t="n"/>
      <c r="G138" s="67" t="n"/>
    </row>
    <row r="139">
      <c r="B139" s="67" t="n"/>
      <c r="C139" s="67" t="n"/>
      <c r="D139" s="67" t="n"/>
      <c r="E139" s="67" t="n"/>
      <c r="F139" s="67" t="n"/>
      <c r="G139" s="67" t="n"/>
    </row>
    <row r="140">
      <c r="B140" s="67" t="n"/>
      <c r="C140" s="67" t="n"/>
      <c r="D140" s="67" t="n"/>
      <c r="E140" s="67" t="n"/>
      <c r="F140" s="67" t="n"/>
      <c r="G140" s="67" t="n"/>
    </row>
    <row r="141">
      <c r="B141" s="67" t="n"/>
      <c r="C141" s="67" t="n"/>
      <c r="D141" s="67" t="n"/>
      <c r="E141" s="67" t="n"/>
      <c r="F141" s="67" t="n"/>
      <c r="G141" s="67" t="n"/>
    </row>
    <row r="142">
      <c r="B142" s="67" t="n"/>
      <c r="C142" s="67" t="n"/>
      <c r="D142" s="67" t="n"/>
      <c r="E142" s="67" t="n"/>
      <c r="F142" s="67" t="n"/>
      <c r="G142" s="67" t="n"/>
    </row>
    <row r="143">
      <c r="B143" s="67" t="n"/>
      <c r="C143" s="67" t="n"/>
      <c r="D143" s="67" t="n"/>
      <c r="E143" s="67" t="n"/>
      <c r="F143" s="67" t="n"/>
      <c r="G143" s="67" t="n"/>
    </row>
    <row r="144">
      <c r="B144" s="67" t="n"/>
      <c r="C144" s="67" t="n"/>
      <c r="D144" s="67" t="n"/>
      <c r="E144" s="67" t="n"/>
      <c r="F144" s="67" t="n"/>
      <c r="G144" s="67" t="n"/>
    </row>
    <row r="145">
      <c r="B145" s="67" t="n"/>
      <c r="C145" s="67" t="n"/>
      <c r="D145" s="67" t="n"/>
      <c r="E145" s="67" t="n"/>
      <c r="F145" s="67" t="n"/>
      <c r="G145" s="67" t="n"/>
    </row>
    <row r="146">
      <c r="B146" s="67" t="n"/>
      <c r="C146" s="67" t="n"/>
      <c r="D146" s="67" t="n"/>
      <c r="E146" s="67" t="n"/>
      <c r="F146" s="67" t="n"/>
      <c r="G146" s="67" t="n"/>
    </row>
    <row r="147">
      <c r="B147" s="67" t="n"/>
      <c r="C147" s="67" t="n"/>
      <c r="D147" s="67" t="n"/>
      <c r="E147" s="67" t="n"/>
      <c r="F147" s="67" t="n"/>
      <c r="G147" s="67" t="n"/>
    </row>
    <row r="148">
      <c r="B148" s="67" t="n"/>
      <c r="C148" s="67" t="n"/>
      <c r="D148" s="67" t="n"/>
      <c r="E148" s="67" t="n"/>
      <c r="F148" s="67" t="n"/>
      <c r="G148" s="67" t="n"/>
    </row>
    <row r="149">
      <c r="B149" s="67" t="n"/>
      <c r="C149" s="67" t="n"/>
      <c r="D149" s="67" t="n"/>
      <c r="E149" s="67" t="n"/>
      <c r="F149" s="67" t="n"/>
      <c r="G149" s="67" t="n"/>
    </row>
    <row r="150">
      <c r="B150" s="67" t="n"/>
      <c r="C150" s="67" t="n"/>
      <c r="D150" s="67" t="n"/>
      <c r="E150" s="67" t="n"/>
      <c r="F150" s="67" t="n"/>
      <c r="G150" s="67" t="n"/>
    </row>
    <row r="151">
      <c r="B151" s="67" t="n"/>
      <c r="C151" s="67" t="n"/>
      <c r="D151" s="67" t="n"/>
      <c r="E151" s="67" t="n"/>
      <c r="F151" s="67" t="n"/>
      <c r="G151" s="67" t="n"/>
    </row>
    <row r="152">
      <c r="B152" s="67" t="n"/>
      <c r="C152" s="67" t="n"/>
      <c r="D152" s="67" t="n"/>
      <c r="E152" s="67" t="n"/>
      <c r="F152" s="67" t="n"/>
      <c r="G152" s="67" t="n"/>
    </row>
    <row r="153">
      <c r="B153" s="67" t="n"/>
      <c r="C153" s="67" t="n"/>
      <c r="D153" s="67" t="n"/>
      <c r="E153" s="67" t="n"/>
      <c r="F153" s="67" t="n"/>
      <c r="G153" s="67" t="n"/>
    </row>
    <row r="154">
      <c r="B154" s="67" t="n"/>
      <c r="C154" s="67" t="n"/>
      <c r="D154" s="67" t="n"/>
      <c r="E154" s="67" t="n"/>
      <c r="F154" s="67" t="n"/>
      <c r="G154" s="67" t="n"/>
    </row>
    <row r="155">
      <c r="B155" s="67" t="n"/>
      <c r="C155" s="67" t="n"/>
      <c r="D155" s="67" t="n"/>
      <c r="E155" s="67" t="n"/>
      <c r="F155" s="67" t="n"/>
      <c r="G155" s="67" t="n"/>
    </row>
    <row r="156">
      <c r="B156" s="67" t="n"/>
      <c r="C156" s="67" t="n"/>
      <c r="D156" s="67" t="n"/>
      <c r="E156" s="67" t="n"/>
      <c r="F156" s="67" t="n"/>
      <c r="G156" s="67" t="n"/>
    </row>
    <row r="157">
      <c r="B157" s="67" t="n"/>
      <c r="C157" s="67" t="n"/>
      <c r="D157" s="67" t="n"/>
      <c r="E157" s="67" t="n"/>
      <c r="F157" s="67" t="n"/>
      <c r="G157" s="67" t="n"/>
    </row>
    <row r="158">
      <c r="B158" s="67" t="n"/>
      <c r="C158" s="67" t="n"/>
      <c r="D158" s="67" t="n"/>
      <c r="E158" s="67" t="n"/>
      <c r="F158" s="67" t="n"/>
      <c r="G158" s="67" t="n"/>
    </row>
    <row r="159">
      <c r="B159" s="67" t="n"/>
      <c r="C159" s="67" t="n"/>
      <c r="D159" s="67" t="n"/>
      <c r="E159" s="67" t="n"/>
      <c r="F159" s="67" t="n"/>
      <c r="G159" s="67" t="n"/>
    </row>
    <row r="160">
      <c r="B160" s="67" t="n"/>
      <c r="C160" s="67" t="n"/>
      <c r="D160" s="67" t="n"/>
      <c r="E160" s="67" t="n"/>
      <c r="F160" s="67" t="n"/>
      <c r="G160" s="67" t="n"/>
    </row>
    <row r="161">
      <c r="B161" s="67" t="n"/>
      <c r="C161" s="67" t="n"/>
      <c r="D161" s="67" t="n"/>
      <c r="E161" s="67" t="n"/>
      <c r="F161" s="67" t="n"/>
      <c r="G161" s="67" t="n"/>
    </row>
    <row r="162">
      <c r="B162" s="67" t="n"/>
      <c r="C162" s="67" t="n"/>
      <c r="D162" s="67" t="n"/>
      <c r="E162" s="67" t="n"/>
      <c r="F162" s="67" t="n"/>
      <c r="G162" s="67" t="n"/>
    </row>
    <row r="163">
      <c r="B163" s="67" t="n"/>
      <c r="C163" s="67" t="n"/>
      <c r="D163" s="67" t="n"/>
      <c r="E163" s="67" t="n"/>
      <c r="F163" s="67" t="n"/>
      <c r="G163" s="67" t="n"/>
    </row>
    <row r="164">
      <c r="B164" s="67" t="n"/>
      <c r="C164" s="67" t="n"/>
      <c r="D164" s="67" t="n"/>
      <c r="E164" s="67" t="n"/>
      <c r="F164" s="67" t="n"/>
      <c r="G164" s="67" t="n"/>
    </row>
    <row r="165">
      <c r="B165" s="67" t="n"/>
      <c r="C165" s="67" t="n"/>
      <c r="D165" s="67" t="n"/>
      <c r="E165" s="67" t="n"/>
      <c r="F165" s="67" t="n"/>
      <c r="G165" s="67" t="n"/>
    </row>
    <row r="166">
      <c r="B166" s="67" t="n"/>
      <c r="C166" s="67" t="n"/>
      <c r="D166" s="67" t="n"/>
      <c r="E166" s="67" t="n"/>
      <c r="F166" s="67" t="n"/>
      <c r="G166" s="67" t="n"/>
    </row>
    <row r="167">
      <c r="B167" s="67" t="n"/>
      <c r="C167" s="67" t="n"/>
      <c r="D167" s="67" t="n"/>
      <c r="E167" s="67" t="n"/>
      <c r="F167" s="67" t="n"/>
      <c r="G167" s="67" t="n"/>
    </row>
    <row r="168">
      <c r="B168" s="67" t="n"/>
      <c r="C168" s="67" t="n"/>
      <c r="D168" s="67" t="n"/>
      <c r="E168" s="67" t="n"/>
      <c r="F168" s="67" t="n"/>
      <c r="G168" s="67" t="n"/>
    </row>
    <row r="169">
      <c r="B169" s="67" t="n"/>
      <c r="C169" s="67" t="n"/>
      <c r="D169" s="67" t="n"/>
      <c r="E169" s="67" t="n"/>
      <c r="F169" s="67" t="n"/>
      <c r="G169" s="67" t="n"/>
    </row>
    <row r="170">
      <c r="B170" s="67" t="n"/>
      <c r="C170" s="67" t="n"/>
      <c r="D170" s="67" t="n"/>
      <c r="E170" s="67" t="n"/>
      <c r="F170" s="67" t="n"/>
      <c r="G170" s="67" t="n"/>
    </row>
    <row r="171">
      <c r="B171" s="67" t="n"/>
      <c r="C171" s="67" t="n"/>
      <c r="D171" s="67" t="n"/>
      <c r="E171" s="67" t="n"/>
      <c r="F171" s="67" t="n"/>
      <c r="G171" s="67" t="n"/>
    </row>
    <row r="172">
      <c r="B172" s="67" t="n"/>
      <c r="C172" s="67" t="n"/>
      <c r="D172" s="67" t="n"/>
      <c r="E172" s="67" t="n"/>
      <c r="F172" s="67" t="n"/>
      <c r="G172" s="67" t="n"/>
    </row>
    <row r="173">
      <c r="B173" s="67" t="n"/>
      <c r="C173" s="67" t="n"/>
      <c r="D173" s="67" t="n"/>
      <c r="E173" s="67" t="n"/>
      <c r="F173" s="67" t="n"/>
      <c r="G173" s="67" t="n"/>
    </row>
    <row r="174">
      <c r="B174" s="67" t="n"/>
      <c r="C174" s="67" t="n"/>
      <c r="D174" s="67" t="n"/>
      <c r="E174" s="67" t="n"/>
      <c r="F174" s="67" t="n"/>
      <c r="G174" s="67" t="n"/>
    </row>
    <row r="175">
      <c r="B175" s="67" t="n"/>
      <c r="C175" s="67" t="n"/>
      <c r="D175" s="67" t="n"/>
      <c r="E175" s="67" t="n"/>
      <c r="F175" s="67" t="n"/>
      <c r="G175" s="67" t="n"/>
    </row>
    <row r="176">
      <c r="B176" s="67" t="n"/>
      <c r="C176" s="67" t="n"/>
      <c r="D176" s="67" t="n"/>
      <c r="E176" s="67" t="n"/>
      <c r="F176" s="67" t="n"/>
      <c r="G176" s="67" t="n"/>
    </row>
    <row r="177">
      <c r="B177" s="67" t="n"/>
      <c r="C177" s="67" t="n"/>
      <c r="D177" s="67" t="n"/>
      <c r="E177" s="67" t="n"/>
      <c r="F177" s="67" t="n"/>
      <c r="G177" s="67" t="n"/>
    </row>
    <row r="178">
      <c r="B178" s="67" t="n"/>
      <c r="C178" s="67" t="n"/>
      <c r="D178" s="67" t="n"/>
      <c r="E178" s="67" t="n"/>
      <c r="F178" s="67" t="n"/>
      <c r="G178" s="67" t="n"/>
    </row>
    <row r="179">
      <c r="B179" s="67" t="n"/>
      <c r="C179" s="67" t="n"/>
      <c r="D179" s="67" t="n"/>
      <c r="E179" s="67" t="n"/>
      <c r="F179" s="67" t="n"/>
      <c r="G179" s="67" t="n"/>
    </row>
    <row r="180">
      <c r="B180" s="67" t="n"/>
      <c r="C180" s="67" t="n"/>
      <c r="D180" s="67" t="n"/>
      <c r="E180" s="67" t="n"/>
      <c r="F180" s="67" t="n"/>
      <c r="G180" s="67" t="n"/>
    </row>
    <row r="181">
      <c r="B181" s="67" t="n"/>
      <c r="C181" s="67" t="n"/>
      <c r="D181" s="67" t="n"/>
      <c r="E181" s="67" t="n"/>
      <c r="F181" s="67" t="n"/>
      <c r="G181" s="67" t="n"/>
    </row>
    <row r="182">
      <c r="B182" s="67" t="n"/>
      <c r="C182" s="67" t="n"/>
      <c r="D182" s="67" t="n"/>
      <c r="E182" s="67" t="n"/>
      <c r="F182" s="67" t="n"/>
      <c r="G182" s="67" t="n"/>
    </row>
    <row r="183">
      <c r="B183" s="67" t="n"/>
      <c r="C183" s="67" t="n"/>
      <c r="D183" s="67" t="n"/>
      <c r="E183" s="67" t="n"/>
      <c r="F183" s="67" t="n"/>
      <c r="G183" s="67" t="n"/>
    </row>
    <row r="184">
      <c r="B184" s="67" t="n"/>
      <c r="C184" s="67" t="n"/>
      <c r="D184" s="67" t="n"/>
      <c r="E184" s="67" t="n"/>
      <c r="F184" s="67" t="n"/>
      <c r="G184" s="67" t="n"/>
    </row>
    <row r="185">
      <c r="B185" s="67" t="n"/>
      <c r="C185" s="67" t="n"/>
      <c r="D185" s="67" t="n"/>
      <c r="E185" s="67" t="n"/>
      <c r="F185" s="67" t="n"/>
      <c r="G185" s="67" t="n"/>
    </row>
    <row r="186">
      <c r="B186" s="67" t="n"/>
      <c r="C186" s="67" t="n"/>
      <c r="D186" s="67" t="n"/>
      <c r="E186" s="67" t="n"/>
      <c r="F186" s="67" t="n"/>
      <c r="G186" s="67" t="n"/>
    </row>
    <row r="187">
      <c r="B187" s="67" t="n"/>
      <c r="C187" s="67" t="n"/>
      <c r="D187" s="67" t="n"/>
      <c r="E187" s="67" t="n"/>
      <c r="F187" s="67" t="n"/>
      <c r="G187" s="67" t="n"/>
    </row>
    <row r="188">
      <c r="B188" s="67" t="n"/>
      <c r="C188" s="67" t="n"/>
      <c r="D188" s="67" t="n"/>
      <c r="E188" s="67" t="n"/>
      <c r="F188" s="67" t="n"/>
      <c r="G188" s="67" t="n"/>
    </row>
    <row r="189">
      <c r="B189" s="67" t="n"/>
      <c r="C189" s="67" t="n"/>
      <c r="D189" s="67" t="n"/>
      <c r="E189" s="67" t="n"/>
      <c r="F189" s="67" t="n"/>
      <c r="G189" s="67" t="n"/>
    </row>
    <row r="190">
      <c r="B190" s="67" t="n"/>
      <c r="C190" s="67" t="n"/>
      <c r="D190" s="67" t="n"/>
      <c r="E190" s="67" t="n"/>
      <c r="F190" s="67" t="n"/>
      <c r="G190" s="67" t="n"/>
    </row>
    <row r="191">
      <c r="B191" s="67" t="n"/>
      <c r="C191" s="67" t="n"/>
      <c r="D191" s="67" t="n"/>
      <c r="E191" s="67" t="n"/>
      <c r="F191" s="67" t="n"/>
      <c r="G191" s="67" t="n"/>
    </row>
    <row r="192">
      <c r="B192" s="67" t="n"/>
      <c r="C192" s="67" t="n"/>
      <c r="D192" s="67" t="n"/>
      <c r="E192" s="67" t="n"/>
      <c r="F192" s="67" t="n"/>
      <c r="G192" s="67" t="n"/>
    </row>
    <row r="193">
      <c r="B193" s="67" t="n"/>
      <c r="C193" s="67" t="n"/>
      <c r="D193" s="67" t="n"/>
      <c r="E193" s="67" t="n"/>
      <c r="F193" s="67" t="n"/>
      <c r="G193" s="67" t="n"/>
    </row>
    <row r="194">
      <c r="B194" s="67" t="n"/>
      <c r="C194" s="67" t="n"/>
      <c r="D194" s="67" t="n"/>
      <c r="E194" s="67" t="n"/>
      <c r="F194" s="67" t="n"/>
      <c r="G194" s="67" t="n"/>
    </row>
    <row r="195">
      <c r="B195" s="67" t="n"/>
      <c r="C195" s="67" t="n"/>
      <c r="D195" s="67" t="n"/>
      <c r="E195" s="67" t="n"/>
      <c r="F195" s="67" t="n"/>
      <c r="G195" s="67" t="n"/>
    </row>
    <row r="196">
      <c r="B196" s="67" t="n"/>
      <c r="C196" s="67" t="n"/>
      <c r="D196" s="67" t="n"/>
      <c r="E196" s="67" t="n"/>
      <c r="F196" s="67" t="n"/>
      <c r="G196" s="67" t="n"/>
    </row>
    <row r="197">
      <c r="B197" s="67" t="n"/>
      <c r="C197" s="67" t="n"/>
      <c r="D197" s="67" t="n"/>
      <c r="E197" s="67" t="n"/>
      <c r="F197" s="67" t="n"/>
      <c r="G197" s="67" t="n"/>
    </row>
    <row r="198">
      <c r="B198" s="67" t="n"/>
      <c r="C198" s="67" t="n"/>
      <c r="D198" s="67" t="n"/>
      <c r="E198" s="67" t="n"/>
      <c r="F198" s="67" t="n"/>
      <c r="G198" s="67" t="n"/>
    </row>
    <row r="199">
      <c r="B199" s="67" t="n"/>
      <c r="C199" s="67" t="n"/>
      <c r="D199" s="67" t="n"/>
      <c r="E199" s="67" t="n"/>
      <c r="F199" s="67" t="n"/>
      <c r="G199" s="67" t="n"/>
    </row>
    <row r="200">
      <c r="B200" s="67" t="n"/>
      <c r="C200" s="67" t="n"/>
      <c r="D200" s="67" t="n"/>
      <c r="E200" s="67" t="n"/>
      <c r="F200" s="67" t="n"/>
      <c r="G200" s="67" t="n"/>
    </row>
    <row r="201">
      <c r="B201" s="67" t="n"/>
      <c r="C201" s="67" t="n"/>
      <c r="D201" s="67" t="n"/>
      <c r="E201" s="67" t="n"/>
      <c r="F201" s="67" t="n"/>
      <c r="G201" s="67" t="n"/>
    </row>
    <row r="202">
      <c r="B202" s="67" t="n"/>
      <c r="C202" s="67" t="n"/>
      <c r="D202" s="67" t="n"/>
      <c r="E202" s="67" t="n"/>
      <c r="F202" s="67" t="n"/>
      <c r="G202" s="67" t="n"/>
    </row>
    <row r="203">
      <c r="B203" s="67" t="n"/>
      <c r="C203" s="67" t="n"/>
      <c r="D203" s="67" t="n"/>
      <c r="E203" s="67" t="n"/>
      <c r="F203" s="67" t="n"/>
      <c r="G203" s="67" t="n"/>
    </row>
    <row r="204">
      <c r="B204" s="67" t="n"/>
      <c r="C204" s="67" t="n"/>
      <c r="D204" s="67" t="n"/>
      <c r="E204" s="67" t="n"/>
      <c r="F204" s="67" t="n"/>
      <c r="G204" s="67" t="n"/>
    </row>
    <row r="205">
      <c r="B205" s="67" t="n"/>
      <c r="C205" s="67" t="n"/>
      <c r="D205" s="67" t="n"/>
      <c r="E205" s="67" t="n"/>
      <c r="F205" s="67" t="n"/>
      <c r="G205" s="67" t="n"/>
    </row>
    <row r="206">
      <c r="B206" s="67" t="n"/>
      <c r="C206" s="67" t="n"/>
      <c r="D206" s="67" t="n"/>
      <c r="E206" s="67" t="n"/>
      <c r="F206" s="67" t="n"/>
      <c r="G206" s="67" t="n"/>
    </row>
    <row r="207">
      <c r="B207" s="67" t="n"/>
      <c r="C207" s="67" t="n"/>
      <c r="D207" s="67" t="n"/>
      <c r="E207" s="67" t="n"/>
      <c r="F207" s="67" t="n"/>
      <c r="G207" s="67" t="n"/>
    </row>
    <row r="208">
      <c r="B208" s="67" t="n"/>
      <c r="C208" s="67" t="n"/>
      <c r="D208" s="67" t="n"/>
      <c r="E208" s="67" t="n"/>
      <c r="F208" s="67" t="n"/>
      <c r="G208" s="67" t="n"/>
    </row>
    <row r="209">
      <c r="B209" s="67" t="n"/>
      <c r="C209" s="67" t="n"/>
      <c r="D209" s="67" t="n"/>
      <c r="E209" s="67" t="n"/>
      <c r="F209" s="67" t="n"/>
      <c r="G209" s="67" t="n"/>
    </row>
    <row r="210">
      <c r="B210" s="67" t="n"/>
      <c r="C210" s="67" t="n"/>
      <c r="D210" s="67" t="n"/>
      <c r="E210" s="67" t="n"/>
      <c r="F210" s="67" t="n"/>
      <c r="G210" s="67" t="n"/>
    </row>
    <row r="211">
      <c r="B211" s="67" t="n"/>
      <c r="C211" s="67" t="n"/>
      <c r="D211" s="67" t="n"/>
      <c r="E211" s="67" t="n"/>
      <c r="F211" s="67" t="n"/>
      <c r="G211" s="67" t="n"/>
    </row>
    <row r="212">
      <c r="B212" s="67" t="n"/>
      <c r="C212" s="67" t="n"/>
      <c r="D212" s="67" t="n"/>
      <c r="E212" s="67" t="n"/>
      <c r="F212" s="67" t="n"/>
      <c r="G212" s="67" t="n"/>
    </row>
    <row r="213">
      <c r="B213" s="67" t="n"/>
      <c r="C213" s="67" t="n"/>
      <c r="D213" s="67" t="n"/>
      <c r="E213" s="67" t="n"/>
      <c r="F213" s="67" t="n"/>
      <c r="G213" s="67" t="n"/>
    </row>
    <row r="214">
      <c r="B214" s="67" t="n"/>
      <c r="C214" s="67" t="n"/>
      <c r="D214" s="67" t="n"/>
      <c r="E214" s="67" t="n"/>
      <c r="F214" s="67" t="n"/>
      <c r="G214" s="67" t="n"/>
    </row>
    <row r="215">
      <c r="B215" s="67" t="n"/>
      <c r="C215" s="67" t="n"/>
      <c r="D215" s="67" t="n"/>
      <c r="E215" s="67" t="n"/>
      <c r="F215" s="67" t="n"/>
      <c r="G215" s="67" t="n"/>
    </row>
    <row r="216">
      <c r="B216" s="67" t="n"/>
      <c r="C216" s="67" t="n"/>
      <c r="D216" s="67" t="n"/>
      <c r="E216" s="67" t="n"/>
      <c r="F216" s="67" t="n"/>
      <c r="G216" s="67" t="n"/>
    </row>
    <row r="217">
      <c r="B217" s="67" t="n"/>
      <c r="C217" s="67" t="n"/>
      <c r="D217" s="67" t="n"/>
      <c r="E217" s="67" t="n"/>
      <c r="F217" s="67" t="n"/>
      <c r="G217" s="67" t="n"/>
    </row>
    <row r="218">
      <c r="B218" s="67" t="n"/>
      <c r="C218" s="67" t="n"/>
      <c r="D218" s="67" t="n"/>
      <c r="E218" s="67" t="n"/>
      <c r="F218" s="67" t="n"/>
      <c r="G218" s="67" t="n"/>
    </row>
    <row r="219">
      <c r="B219" s="67" t="n"/>
      <c r="C219" s="67" t="n"/>
      <c r="D219" s="67" t="n"/>
      <c r="E219" s="67" t="n"/>
      <c r="F219" s="67" t="n"/>
      <c r="G219" s="67" t="n"/>
    </row>
    <row r="220">
      <c r="B220" s="67" t="n"/>
      <c r="C220" s="67" t="n"/>
      <c r="D220" s="67" t="n"/>
      <c r="E220" s="67" t="n"/>
      <c r="F220" s="67" t="n"/>
      <c r="G220" s="67" t="n"/>
    </row>
  </sheetData>
  <mergeCells count="10">
    <mergeCell ref="D8:E8"/>
    <mergeCell ref="B4:L4"/>
    <mergeCell ref="B6:L6"/>
    <mergeCell ref="I8:L8"/>
    <mergeCell ref="B7:L7"/>
    <mergeCell ref="B10:C10"/>
    <mergeCell ref="B3:L3"/>
    <mergeCell ref="B5:L5"/>
    <mergeCell ref="G8:H8"/>
    <mergeCell ref="B8:C8"/>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AND(LEN($B20&amp;$C20&amp;$D20&amp;$E20&amp;$F20&amp;$G20&amp;$H20&amp;$I20&amp;$J20&amp;$K20&amp;$L20)&gt;0,B20="")</formula>
    </cfRule>
  </conditionalFormatting>
  <conditionalFormatting sqref="C20:C220">
    <cfRule type="expression" priority="3" dxfId="6">
      <formula>AND(LEN($B20&amp;$C20&amp;$D20&amp;$E20&amp;$F20&amp;$G20&amp;$H20&amp;$I20&amp;$J20&amp;$K20&amp;$L20)&gt;0,C20="")</formula>
    </cfRule>
  </conditionalFormatting>
  <conditionalFormatting sqref="D20:D220">
    <cfRule type="expression" priority="4" dxfId="6">
      <formula>AND(LEN($B20&amp;$C20&amp;$D20&amp;$E20&amp;$F20&amp;$G20&amp;$H20&amp;$I20&amp;$J20&amp;$K20&amp;$L20)&gt;0,D20="")</formula>
    </cfRule>
  </conditionalFormatting>
  <conditionalFormatting sqref="E20:E220">
    <cfRule type="expression" priority="5" dxfId="6">
      <formula>AND(LEN($B20&amp;$C20&amp;$D20&amp;$E20&amp;$F20&amp;$G20&amp;$H20&amp;$I20&amp;$J20&amp;$K20&amp;$L20)&gt;0,E20="")</formula>
    </cfRule>
  </conditionalFormatting>
  <conditionalFormatting sqref="F20:F220">
    <cfRule type="expression" priority="6" dxfId="6">
      <formula>AND(LEN($B20&amp;$C20&amp;$D20&amp;$E20&amp;$F20&amp;$G20&amp;$H20&amp;$I20&amp;$J20&amp;$K20&amp;$L20)&gt;0,F20="")</formula>
    </cfRule>
  </conditionalFormatting>
  <conditionalFormatting sqref="H20:H220">
    <cfRule type="expression" priority="7" dxfId="6">
      <formula>AND(LEN($B20&amp;$C20&amp;$D20&amp;$E20&amp;$F20&amp;$G20&amp;$H20&amp;$I20&amp;$J20&amp;$K20&amp;$L20)&gt;0,H20="")</formula>
    </cfRule>
  </conditionalFormatting>
  <conditionalFormatting sqref="I20:I220">
    <cfRule type="expression" priority="8" dxfId="6">
      <formula>AND(LEN($B20&amp;$C20&amp;$D20&amp;$E20&amp;$F20&amp;$G20&amp;$H20&amp;$I20&amp;$J20&amp;$K20&amp;$L20)&gt;0,I20="")</formula>
    </cfRule>
  </conditionalFormatting>
  <conditionalFormatting sqref="J20:J220">
    <cfRule type="expression" priority="9" dxfId="6">
      <formula>AND(LEN($B20&amp;$C20&amp;$D20&amp;$E20&amp;$F20&amp;$G20&amp;$H20&amp;$I20&amp;$J20&amp;$K20&amp;$L20)&gt;0,J20="")</formula>
    </cfRule>
  </conditionalFormatting>
  <conditionalFormatting sqref="K20:K220">
    <cfRule type="expression" priority="10" dxfId="6">
      <formula>AND(LEN($B20&amp;$C20&amp;$D20&amp;$E20&amp;$F20&amp;$G20&amp;$H20&amp;$I20&amp;$J20&amp;$K20&amp;$L20)&gt;0,K20="")</formula>
    </cfRule>
  </conditionalFormatting>
  <dataValidations count="13">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L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tb_version" error="Choose a value of the list G01 tb_version (sheet Reference lists)." promptTitle="tb_version" prompt="Yes. Version of the trial balance - PROVISIONAL at cut-over (preliminary December TB), then TU1, TU2... and FINAL (audited) at the true-ups Allowed: PROVISIONAL, TU1, TU2, TU3, FINAL (list G01 tb_version)" type="list" errorStyle="stop">
      <formula1>=LIST_G01_TB_VERSION</formula1>
    </dataValidation>
    <dataValidation sqref="C20:C220" showDropDown="0" showInputMessage="1" showErrorMessage="0" allowBlank="1" promptTitle="as_of_date" prompt="Yes. Trial balance date - 31-Dec-2027 for every version; the version says which adjustments it includes"/>
    <dataValidation sqref="D20:D220" showDropDown="0" showInputMessage="1" showErrorMessage="1" allowBlank="1" errorTitle="branch_code" error="At most 20 characters." promptTitle="branch_code" prompt="Yes. Branch Allowed: The legacy code; mapped by the code map BRANCH (sheet Code maps)" type="textLength" operator="lessThanOrEqual">
      <formula1>20</formula1>
    </dataValidation>
    <dataValidation sqref="E20:E220" showDropDown="0" showInputMessage="1" showErrorMessage="1" allowBlank="1" errorTitle="currency" error="At most 3 characters." promptTitle="currency" prompt="Yes. Account currency Allowed: ISO 4217" type="textLength" operator="lessThanOrEqual">
      <formula1>3</formula1>
    </dataValidation>
    <dataValidation sqref="F20:F220" showDropDown="0" showInputMessage="1" showErrorMessage="1" allowBlank="1" errorTitle="legacy_account_code" error="At most 30 characters." promptTitle="legacy_account_code" prompt="Yes. Legacy account Allowed: The legacy code; mapped by the code map GL_ACCOUNT (sheet Code maps)" type="textLength" operator="lessThanOrEqual">
      <formula1>30</formula1>
    </dataValidation>
    <dataValidation sqref="G20:G220" showDropDown="0" showInputMessage="1" showErrorMessage="1" allowBlank="1" errorTitle="cost_center" error="At most 20 characters." promptTitle="cost_center" prompt="No. Cost centre Allowed: The legacy code; mapped by the code map COST_CENTER (sheet Code maps)" type="textLength" operator="lessThanOrEqual">
      <formula1>20</formula1>
    </dataValidation>
    <dataValidation sqref="H20:H220" showDropDown="0" showInputMessage="1" showErrorMessage="1" allowBlank="1" errorTitle="debit_fc" error="Enter a number." promptTitle="debit_fc" prompt="Yes. Debit balance in the account currency Allowed: A number" type="decimal" operator="greaterThanOrEqual">
      <formula1>-1E+15</formula1>
    </dataValidation>
    <dataValidation sqref="I20:I220" showDropDown="0" showInputMessage="1" showErrorMessage="1" allowBlank="1" errorTitle="credit_fc" error="Enter a number." promptTitle="credit_fc" prompt="Yes. Credit balance in the account currency Allowed: A number" type="decimal" operator="greaterThanOrEqual">
      <formula1>-1E+15</formula1>
    </dataValidation>
    <dataValidation sqref="J20:J220" showDropDown="0" showInputMessage="1" showErrorMessage="1" allowBlank="1" errorTitle="debit_php" error="Enter a number." promptTitle="debit_php" prompt="Yes. Debit balance in PHP Allowed: A number" type="decimal" operator="greaterThanOrEqual">
      <formula1>-1E+15</formula1>
    </dataValidation>
    <dataValidation sqref="K20:K220" showDropDown="0" showInputMessage="1" showErrorMessage="1" allowBlank="1" errorTitle="credit_php" error="Enter a number." promptTitle="credit_php" prompt="Yes. Credit balance in PHP Allowed: A number" type="decimal" operator="greaterThanOrEqual">
      <formula1>-1E+15</formula1>
    </dataValidation>
    <dataValidation sqref="L20:L220" showDropDown="0" showInputMessage="1" showErrorMessage="1" allowBlank="1" errorTitle="fx_rate" error="Enter a number." promptTitle="fx_rate" prompt="Conditional: Mandatory when currency is not PHP. Rate used for the PHP amount Allowed: A number" type="decimal" operator="greaterThanOrEqual">
      <formula1>-1E+15</formula1>
    </dataValidation>
  </dataValidations>
  <hyperlinks>
    <hyperlink ref="A2" location="'Load templates'!A1"/>
    <hyperlink ref="L2" location="'Comments log'!A1"/>
    <hyperlink ref="B8" location="'R08 Chart of accounts mapping'!A1"/>
    <hyperlink ref="D8" location="'F01 Open legacy invoices - head'!A1"/>
    <hyperlink ref="F8" location="'F01S Open legacy invoices - ins'!A1"/>
    <hyperlink ref="G8" location="'F01C Open legacy invoices - com'!A1"/>
    <hyperlink ref="I8" location="'F02 Unapplied premium payments'!A1"/>
    <hyperlink ref="B17" location="'Reference lists'!A96"/>
    <hyperlink ref="D17" location="'Code maps'!A1"/>
    <hyperlink ref="F17" location="'Code maps'!A1"/>
    <hyperlink ref="G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4.xml><?xml version="1.0" encoding="utf-8"?>
<worksheet xmlns="http://schemas.openxmlformats.org/spreadsheetml/2006/main">
  <sheetPr>
    <tabColor rgb="00004EA8"/>
    <outlinePr summaryBelow="0" summaryRight="1"/>
    <pageSetUpPr fitToPage="1"/>
  </sheetPr>
  <dimension ref="A1:N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5.90909090909091" customWidth="1" min="3" max="3"/>
    <col width="16" customWidth="1" min="4" max="4"/>
    <col width="17" customWidth="1" min="5" max="5"/>
    <col width="16" customWidth="1" min="6" max="6"/>
    <col width="15" customWidth="1" min="7" max="7"/>
    <col width="23" customWidth="1" min="8" max="8"/>
    <col width="26" customWidth="1" min="9" max="9"/>
    <col width="13" customWidth="1" min="10" max="10"/>
    <col width="21" customWidth="1" min="11" max="11"/>
    <col width="20" customWidth="1" min="12" max="12"/>
    <col width="36" customWidth="1" min="13" max="13"/>
    <col width="40" customWidth="1" min="14" max="14"/>
  </cols>
  <sheetData>
    <row r="1" ht="26" customHeight="1">
      <c r="A1" s="44" t="inlineStr">
        <is>
          <t>P03 Renewal advices already sent before go-live (RA-sent file)</t>
        </is>
      </c>
      <c r="N1" s="45" t="inlineStr">
        <is>
          <t>Step 25 of 29</t>
        </is>
      </c>
    </row>
    <row r="2">
      <c r="A2" s="46" t="inlineStr">
        <is>
          <t>← Back to Load templates</t>
        </is>
      </c>
      <c r="B2" s="47" t="inlineStr">
        <is>
          <t>Step 25 of 29. Fill in one row per record below the column headers; the guide above each column says what to enter.</t>
        </is>
      </c>
      <c r="N2" s="48" t="inlineStr">
        <is>
          <t>Ask a question →</t>
        </is>
      </c>
    </row>
    <row r="3" outlineLevel="1" ht="15.5" customHeight="1">
      <c r="A3" s="49" t="inlineStr">
        <is>
          <t>Purpose</t>
        </is>
      </c>
      <c r="B3" s="50" t="inlineStr">
        <is>
          <t>One row per record of Renewal advices already sent before go-live (RA-sent file) as extracted from Excel RA trackers of the Renewal processing team. Key legacy_policy_ref. Sent as the file P03_template.csv (CSV, header row as below) with its control file (row count, count of distinct keys; amount totals per currency: proposed_premium).</t>
        </is>
      </c>
    </row>
    <row r="4" outlineLevel="1" ht="15.5" customHeight="1">
      <c r="A4" s="49" t="inlineStr">
        <is>
          <t>Provided by</t>
        </is>
      </c>
      <c r="B4" s="50" t="inlineStr">
        <is>
          <t>Renewal processing team - makers (corrections) and checkers (resubmission approval); approved by Head of the Renewal processing team; extracted by BDOI IT</t>
        </is>
      </c>
    </row>
    <row r="5" outlineLevel="1" ht="15.5" customHeight="1">
      <c r="A5" s="49" t="inlineStr">
        <is>
          <t>Due</t>
        </is>
      </c>
      <c r="B5" s="51" t="inlineStr">
        <is>
          <t>M4 (9 Apr 2027) (Trial migration 1); final at T-5</t>
        </is>
      </c>
    </row>
    <row r="6" outlineLevel="1" ht="15.5" customHeight="1">
      <c r="A6" s="49" t="inlineStr">
        <is>
          <t>How it is loaded</t>
        </is>
      </c>
      <c r="B6" s="50" t="inlineStr">
        <is>
          <t>Data migration object P03 (Migrate), layout P03 version 1, through the Migration Console; lands in: Renewal Advices already sent, given to Renewal with the policy header in the go-live extraction</t>
        </is>
      </c>
    </row>
    <row r="7" outlineLevel="1" ht="15.5" customHeight="1">
      <c r="A7" s="49" t="inlineStr">
        <is>
          <t>Source</t>
        </is>
      </c>
      <c r="B7" s="50" t="inlineStr">
        <is>
          <t>Excel RA trackers of the Renewal processing team</t>
        </is>
      </c>
    </row>
    <row r="8" outlineLevel="1" ht="26" customHeight="1">
      <c r="A8" s="49" t="inlineStr">
        <is>
          <t>Depends on</t>
        </is>
      </c>
      <c r="B8" s="68" t="inlineStr">
        <is>
          <t>P01 In-force policy headers →</t>
        </is>
      </c>
      <c r="D8" s="68" t="inlineStr">
        <is>
          <t>P01S Policy insurer shares →</t>
        </is>
      </c>
    </row>
    <row r="9" ht="26" customHeight="1">
      <c r="A9" s="53" t="inlineStr">
        <is>
          <t>Progress</t>
        </is>
      </c>
      <c r="B9" s="54" t="inlineStr">
        <is>
          <t>Rows entered</t>
        </is>
      </c>
      <c r="C9" s="55">
        <f>SUMPRODUCT(((ROW($B$20:$B$220)&gt;20)+($B$20&lt;&gt;"C-2027-004512-01")&gt;0)*(LEN($B$20:$B$220&amp;$C$20:$C$220&amp;$D$20:$D$220&amp;$E$20:$E$220&amp;$F$20:$F$220&amp;$G$20:$G$220&amp;$H$20:$H$220&amp;$I$20:$I$220&amp;$J$20:$J$220&amp;$K$20:$K$220&amp;$L$20:$L$220&amp;$M$20:$M$220&amp;$N$20:$N$220)&gt;0))</f>
        <v/>
      </c>
      <c r="D9" s="54" t="inlineStr">
        <is>
          <t>Mandatory cells missing</t>
        </is>
      </c>
      <c r="E9" s="55">
        <f>SUMPRODUCT(((ROW($B$20:$B$220)&gt;20)+($B$20&lt;&gt;"C-2027-004512-01")&gt;0)*(LEN($B$20:$B$220&amp;$C$20:$C$220&amp;$D$20:$D$220&amp;$E$20:$E$220&amp;$F$20:$F$220&amp;$G$20:$G$220&amp;$H$20:$H$220&amp;$I$20:$I$220&amp;$J$20:$J$220&amp;$K$20:$K$220&amp;$L$20:$L$220&amp;$M$20:$M$220&amp;$N$20:$N$220)&gt;0)*(($B$20:$B$220="")+($C$20:$C$220="")+($D$20:$D$220="")+($E$20:$E$220="")+($G$20:$G$220="")+($M$20:$M$220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row>
    <row r="12" ht="30" customHeight="1">
      <c r="A12" s="59" t="inlineStr">
        <is>
          <t>BU review</t>
        </is>
      </c>
      <c r="B12" s="60" t="n"/>
      <c r="C12" s="60" t="n"/>
      <c r="D12" s="60" t="n"/>
      <c r="E12" s="60" t="n"/>
      <c r="F12" s="60" t="n"/>
      <c r="G12" s="60" t="n"/>
      <c r="H12" s="60" t="n"/>
      <c r="I12" s="60" t="n"/>
      <c r="J12" s="60" t="n"/>
      <c r="K12" s="60" t="n"/>
      <c r="L12" s="60" t="n"/>
      <c r="M12" s="60" t="n"/>
      <c r="N12" s="60" t="n"/>
    </row>
    <row r="13" ht="30" customHeight="1">
      <c r="A13" s="59" t="inlineStr">
        <is>
          <t>BU comment</t>
        </is>
      </c>
      <c r="B13" s="60" t="n"/>
      <c r="C13" s="60" t="n"/>
      <c r="D13" s="60" t="n"/>
      <c r="E13" s="60" t="n"/>
      <c r="F13" s="60" t="n"/>
      <c r="G13" s="60" t="n"/>
      <c r="H13" s="60" t="n"/>
      <c r="I13" s="60" t="n"/>
      <c r="J13" s="60" t="n"/>
      <c r="K13" s="60" t="n"/>
      <c r="L13" s="60" t="n"/>
      <c r="M13" s="60" t="n"/>
      <c r="N13" s="60" t="n"/>
    </row>
    <row r="14" ht="69" customHeight="1">
      <c r="A14" s="59" t="inlineStr">
        <is>
          <t>Check when loaded</t>
        </is>
      </c>
      <c r="B14" s="61" t="inlineStr">
        <is>
          <t>Exists in P01 of the same load</t>
        </is>
      </c>
      <c r="C14" s="61" t="inlineStr">
        <is>
          <t>Equals the cover of the P01 header</t>
        </is>
      </c>
      <c r="D14" s="61" t="inlineStr">
        <is>
          <t>Equals the P01 expiry; from T to 31-May-2028</t>
        </is>
      </c>
      <c r="E14" s="61" t="inlineStr">
        <is>
          <t>Not after the last legacy business day; warning when more than 140 days before expiry</t>
        </is>
      </c>
      <c r="F14" s="61" t="inlineStr">
        <is>
          <t>-</t>
        </is>
      </c>
      <c r="G14" s="61" t="inlineStr">
        <is>
          <t>In the list</t>
        </is>
      </c>
      <c r="H14" s="61" t="inlineStr">
        <is>
          <t>Masked outside production</t>
        </is>
      </c>
      <c r="I14" s="61" t="inlineStr">
        <is>
          <t>Mapped</t>
        </is>
      </c>
      <c r="J14" s="61" t="inlineStr">
        <is>
          <t>Mandatory with proposed_premium</t>
        </is>
      </c>
      <c r="K14" s="61" t="inlineStr">
        <is>
          <t>0 or more</t>
        </is>
      </c>
      <c r="L14" s="61" t="inlineStr">
        <is>
          <t>Mapped in USER</t>
        </is>
      </c>
      <c r="M14" s="61" t="inlineStr">
        <is>
          <t>Not blank</t>
        </is>
      </c>
      <c r="N14" s="61" t="inlineStr">
        <is>
          <t>-</t>
        </is>
      </c>
    </row>
    <row r="15" ht="56" customHeight="1">
      <c r="A15" s="59" t="inlineStr">
        <is>
          <t>Mandatory</t>
        </is>
      </c>
      <c r="B15" s="62" t="inlineStr">
        <is>
          <t>Yes</t>
        </is>
      </c>
      <c r="C15" s="62" t="inlineStr">
        <is>
          <t>Yes</t>
        </is>
      </c>
      <c r="D15" s="62" t="inlineStr">
        <is>
          <t>Yes</t>
        </is>
      </c>
      <c r="E15" s="62" t="inlineStr">
        <is>
          <t>Yes</t>
        </is>
      </c>
      <c r="F15" s="61" t="inlineStr">
        <is>
          <t>No</t>
        </is>
      </c>
      <c r="G15" s="62" t="inlineStr">
        <is>
          <t>Yes</t>
        </is>
      </c>
      <c r="H15" s="61" t="inlineStr">
        <is>
          <t>No</t>
        </is>
      </c>
      <c r="I15" s="61" t="inlineStr">
        <is>
          <t>No</t>
        </is>
      </c>
      <c r="J15" s="61" t="inlineStr">
        <is>
          <t>Conditional: Mandatory with proposed_premium</t>
        </is>
      </c>
      <c r="K15" s="61" t="inlineStr">
        <is>
          <t>No</t>
        </is>
      </c>
      <c r="L15" s="61" t="inlineStr">
        <is>
          <t>No</t>
        </is>
      </c>
      <c r="M15" s="62" t="inlineStr">
        <is>
          <t>Yes</t>
        </is>
      </c>
      <c r="N15" s="61" t="inlineStr">
        <is>
          <t>No</t>
        </is>
      </c>
    </row>
    <row r="16" ht="30" customHeight="1">
      <c r="A16" s="59" t="inlineStr">
        <is>
          <t>Format</t>
        </is>
      </c>
      <c r="B16" s="61" t="inlineStr">
        <is>
          <t>Code, up to 60; As in P01</t>
        </is>
      </c>
      <c r="C16" s="61" t="inlineStr">
        <is>
          <t>Text, up to 40; As stored in legacy</t>
        </is>
      </c>
      <c r="D16" s="61" t="inlineStr">
        <is>
          <t>Date, up to 10; yyyy-MM-dd</t>
        </is>
      </c>
      <c r="E16" s="61" t="inlineStr">
        <is>
          <t>Date, up to 10; yyyy-MM-dd</t>
        </is>
      </c>
      <c r="F16" s="61" t="inlineStr">
        <is>
          <t>Text, up to 30; As in the tracker</t>
        </is>
      </c>
      <c r="G16" s="61" t="inlineStr">
        <is>
          <t>Code, up to 10; Upper case</t>
        </is>
      </c>
      <c r="H16" s="61" t="inlineStr">
        <is>
          <t>Text, up to 250; Free text</t>
        </is>
      </c>
      <c r="I16" s="61" t="inlineStr">
        <is>
          <t>Code, up to 30; As stored in legacy</t>
        </is>
      </c>
      <c r="J16" s="61" t="inlineStr">
        <is>
          <t>Code, up to 3; Upper case</t>
        </is>
      </c>
      <c r="K16" s="61" t="inlineStr">
        <is>
          <t>Amount, up to 19,2; Dot decimal, 2 decimals</t>
        </is>
      </c>
      <c r="L16" s="61" t="inlineStr">
        <is>
          <t>Code, up to 50; As stored in legacy</t>
        </is>
      </c>
      <c r="M16" s="61" t="inlineStr">
        <is>
          <t>Text, up to 120; File / sheet</t>
        </is>
      </c>
      <c r="N16" s="61" t="inlineStr">
        <is>
          <t>Text, up to 500; Free text</t>
        </is>
      </c>
    </row>
    <row r="17" ht="43" customHeight="1">
      <c r="A17" s="59" t="inlineStr">
        <is>
          <t>Allowed values</t>
        </is>
      </c>
      <c r="B17" s="61" t="inlineStr">
        <is>
          <t>legacy_policy_ref of P01</t>
        </is>
      </c>
      <c r="C17" s="61" t="inlineStr">
        <is>
          <t>Free entry, up to 40 characters</t>
        </is>
      </c>
      <c r="D17" s="61" t="inlineStr">
        <is>
          <t>Free entry</t>
        </is>
      </c>
      <c r="E17" s="61" t="inlineStr">
        <is>
          <t>Free entry</t>
        </is>
      </c>
      <c r="F17" s="61" t="inlineStr">
        <is>
          <t>Free entry, up to 30 characters</t>
        </is>
      </c>
      <c r="G17" s="69" t="inlineStr">
        <is>
          <t>EMAIL, COURIER, HAND, OTHER (list P03 ra_channel)</t>
        </is>
      </c>
      <c r="H17" s="61" t="inlineStr">
        <is>
          <t>Free entry, up to 250 characters</t>
        </is>
      </c>
      <c r="I17" s="69" t="inlineStr">
        <is>
          <t>The legacy code; mapped by the code map INSURER (sheet Code maps)</t>
        </is>
      </c>
      <c r="J17" s="61" t="inlineStr">
        <is>
          <t>ISO 4217</t>
        </is>
      </c>
      <c r="K17" s="61" t="inlineStr">
        <is>
          <t>A number</t>
        </is>
      </c>
      <c r="L17" s="69" t="inlineStr">
        <is>
          <t>The legacy code; mapped by the code map USER (sheet Code maps)</t>
        </is>
      </c>
      <c r="M17" s="61" t="inlineStr">
        <is>
          <t>Free entry, up to 120 characters</t>
        </is>
      </c>
      <c r="N17" s="61" t="inlineStr">
        <is>
          <t>Free entry, up to 500 characters</t>
        </is>
      </c>
    </row>
    <row r="18" ht="43" customHeight="1">
      <c r="A18" s="59" t="inlineStr">
        <is>
          <t>What to enter</t>
        </is>
      </c>
      <c r="B18" s="61" t="inlineStr">
        <is>
          <t>Legacy reference of the expiring policy term</t>
        </is>
      </c>
      <c r="C18" s="61" t="inlineStr">
        <is>
          <t>Legacy cover number of the expiring term</t>
        </is>
      </c>
      <c r="D18" s="61" t="inlineStr">
        <is>
          <t>Expiry of the expiring term</t>
        </is>
      </c>
      <c r="E18" s="61" t="inlineStr">
        <is>
          <t>Date the RA was sent</t>
        </is>
      </c>
      <c r="F18" s="61" t="inlineStr">
        <is>
          <t>RA reference, if the tracker gives one</t>
        </is>
      </c>
      <c r="G18" s="61" t="inlineStr">
        <is>
          <t>How the RA was sent</t>
        </is>
      </c>
      <c r="H18" s="61" t="inlineStr">
        <is>
          <t>Recipient (client name or e-mail address)</t>
        </is>
      </c>
      <c r="I18" s="61" t="inlineStr">
        <is>
          <t>Insurer quoted on the RA</t>
        </is>
      </c>
      <c r="J18" s="61" t="inlineStr">
        <is>
          <t>Currency of the quoted premium</t>
        </is>
      </c>
      <c r="K18" s="61" t="inlineStr">
        <is>
          <t>Gross premium quoted on the RA</t>
        </is>
      </c>
      <c r="L18" s="61" t="inlineStr">
        <is>
          <t>Renewal processor who sent the RA</t>
        </is>
      </c>
      <c r="M18" s="61" t="inlineStr">
        <is>
          <t>Tracker file and sheet the row comes from</t>
        </is>
      </c>
      <c r="N18" s="61" t="inlineStr">
        <is>
          <t>Remarks of the processor</t>
        </is>
      </c>
    </row>
    <row r="19" ht="30" customHeight="1">
      <c r="A19" s="63" t="inlineStr">
        <is>
          <t>Row</t>
        </is>
      </c>
      <c r="B19" s="24" t="inlineStr">
        <is>
          <t>legacy_policy_ref *</t>
        </is>
      </c>
      <c r="C19" s="24" t="inlineStr">
        <is>
          <t>cover_no *</t>
        </is>
      </c>
      <c r="D19" s="24" t="inlineStr">
        <is>
          <t>expiry_date *</t>
        </is>
      </c>
      <c r="E19" s="24" t="inlineStr">
        <is>
          <t>ra_sent_date *</t>
        </is>
      </c>
      <c r="F19" s="24" t="inlineStr">
        <is>
          <t>ra_ref</t>
        </is>
      </c>
      <c r="G19" s="24" t="inlineStr">
        <is>
          <t>ra_channel *</t>
        </is>
      </c>
      <c r="H19" s="24" t="inlineStr">
        <is>
          <t>sent_to</t>
        </is>
      </c>
      <c r="I19" s="24" t="inlineStr">
        <is>
          <t>proposed_insurer_code</t>
        </is>
      </c>
      <c r="J19" s="24" t="inlineStr">
        <is>
          <t>currency</t>
        </is>
      </c>
      <c r="K19" s="24" t="inlineStr">
        <is>
          <t>proposed_premium</t>
        </is>
      </c>
      <c r="L19" s="24" t="inlineStr">
        <is>
          <t>sent_by_user_id</t>
        </is>
      </c>
      <c r="M19" s="24" t="inlineStr">
        <is>
          <t>tracker_name *</t>
        </is>
      </c>
      <c r="N19" s="24" t="inlineStr">
        <is>
          <t>remarks</t>
        </is>
      </c>
    </row>
    <row r="20" ht="18" customHeight="1">
      <c r="A20" s="64" t="inlineStr">
        <is>
          <t>Example – overwrite or delete</t>
        </is>
      </c>
      <c r="B20" s="65" t="inlineStr">
        <is>
          <t>C-2027-004512-01</t>
        </is>
      </c>
      <c r="C20" s="65" t="inlineStr">
        <is>
          <t>C-2027-004512</t>
        </is>
      </c>
      <c r="D20" s="65" t="inlineStr">
        <is>
          <t>2028-01-15</t>
        </is>
      </c>
      <c r="E20" s="65" t="inlineStr">
        <is>
          <t>2027-11-16</t>
        </is>
      </c>
      <c r="F20" s="65" t="inlineStr">
        <is>
          <t>RA-2027-018833</t>
        </is>
      </c>
      <c r="G20" s="65" t="inlineStr">
        <is>
          <t>EMAIL</t>
        </is>
      </c>
      <c r="H20" s="65" t="inlineStr">
        <is>
          <t>ana.reyes@example.com</t>
        </is>
      </c>
      <c r="I20" s="65" t="inlineStr">
        <is>
          <t>MAL</t>
        </is>
      </c>
      <c r="J20" s="65" t="inlineStr">
        <is>
          <t>PHP</t>
        </is>
      </c>
      <c r="K20" s="66" t="n">
        <v>24650</v>
      </c>
      <c r="L20" s="65" t="inlineStr">
        <is>
          <t>mreyes</t>
        </is>
      </c>
      <c r="M20" s="65" t="inlineStr">
        <is>
          <t>Retail RA tracker Jan-2028 / MKT01</t>
        </is>
      </c>
      <c r="N20" s="65" t="inlineStr">
        <is>
          <t>Client asked for a quote with higher SI</t>
        </is>
      </c>
    </row>
    <row r="21">
      <c r="B21" s="67" t="n"/>
      <c r="C21" s="67" t="n"/>
      <c r="D21" s="67" t="n"/>
      <c r="E21" s="67" t="n"/>
      <c r="F21" s="67" t="n"/>
      <c r="G21" s="67" t="n"/>
      <c r="H21" s="67" t="n"/>
      <c r="I21" s="67" t="n"/>
      <c r="J21" s="67" t="n"/>
      <c r="L21" s="67" t="n"/>
      <c r="M21" s="67" t="n"/>
      <c r="N21" s="67" t="n"/>
    </row>
    <row r="22">
      <c r="B22" s="67" t="n"/>
      <c r="C22" s="67" t="n"/>
      <c r="D22" s="67" t="n"/>
      <c r="E22" s="67" t="n"/>
      <c r="F22" s="67" t="n"/>
      <c r="G22" s="67" t="n"/>
      <c r="H22" s="67" t="n"/>
      <c r="I22" s="67" t="n"/>
      <c r="J22" s="67" t="n"/>
      <c r="L22" s="67" t="n"/>
      <c r="M22" s="67" t="n"/>
      <c r="N22" s="67" t="n"/>
    </row>
    <row r="23">
      <c r="B23" s="67" t="n"/>
      <c r="C23" s="67" t="n"/>
      <c r="D23" s="67" t="n"/>
      <c r="E23" s="67" t="n"/>
      <c r="F23" s="67" t="n"/>
      <c r="G23" s="67" t="n"/>
      <c r="H23" s="67" t="n"/>
      <c r="I23" s="67" t="n"/>
      <c r="J23" s="67" t="n"/>
      <c r="L23" s="67" t="n"/>
      <c r="M23" s="67" t="n"/>
      <c r="N23" s="67" t="n"/>
    </row>
    <row r="24">
      <c r="B24" s="67" t="n"/>
      <c r="C24" s="67" t="n"/>
      <c r="D24" s="67" t="n"/>
      <c r="E24" s="67" t="n"/>
      <c r="F24" s="67" t="n"/>
      <c r="G24" s="67" t="n"/>
      <c r="H24" s="67" t="n"/>
      <c r="I24" s="67" t="n"/>
      <c r="J24" s="67" t="n"/>
      <c r="L24" s="67" t="n"/>
      <c r="M24" s="67" t="n"/>
      <c r="N24" s="67" t="n"/>
    </row>
    <row r="25">
      <c r="B25" s="67" t="n"/>
      <c r="C25" s="67" t="n"/>
      <c r="D25" s="67" t="n"/>
      <c r="E25" s="67" t="n"/>
      <c r="F25" s="67" t="n"/>
      <c r="G25" s="67" t="n"/>
      <c r="H25" s="67" t="n"/>
      <c r="I25" s="67" t="n"/>
      <c r="J25" s="67" t="n"/>
      <c r="L25" s="67" t="n"/>
      <c r="M25" s="67" t="n"/>
      <c r="N25" s="67" t="n"/>
    </row>
    <row r="26">
      <c r="B26" s="67" t="n"/>
      <c r="C26" s="67" t="n"/>
      <c r="D26" s="67" t="n"/>
      <c r="E26" s="67" t="n"/>
      <c r="F26" s="67" t="n"/>
      <c r="G26" s="67" t="n"/>
      <c r="H26" s="67" t="n"/>
      <c r="I26" s="67" t="n"/>
      <c r="J26" s="67" t="n"/>
      <c r="L26" s="67" t="n"/>
      <c r="M26" s="67" t="n"/>
      <c r="N26" s="67" t="n"/>
    </row>
    <row r="27">
      <c r="B27" s="67" t="n"/>
      <c r="C27" s="67" t="n"/>
      <c r="D27" s="67" t="n"/>
      <c r="E27" s="67" t="n"/>
      <c r="F27" s="67" t="n"/>
      <c r="G27" s="67" t="n"/>
      <c r="H27" s="67" t="n"/>
      <c r="I27" s="67" t="n"/>
      <c r="J27" s="67" t="n"/>
      <c r="L27" s="67" t="n"/>
      <c r="M27" s="67" t="n"/>
      <c r="N27" s="67" t="n"/>
    </row>
    <row r="28">
      <c r="B28" s="67" t="n"/>
      <c r="C28" s="67" t="n"/>
      <c r="D28" s="67" t="n"/>
      <c r="E28" s="67" t="n"/>
      <c r="F28" s="67" t="n"/>
      <c r="G28" s="67" t="n"/>
      <c r="H28" s="67" t="n"/>
      <c r="I28" s="67" t="n"/>
      <c r="J28" s="67" t="n"/>
      <c r="L28" s="67" t="n"/>
      <c r="M28" s="67" t="n"/>
      <c r="N28" s="67" t="n"/>
    </row>
    <row r="29">
      <c r="B29" s="67" t="n"/>
      <c r="C29" s="67" t="n"/>
      <c r="D29" s="67" t="n"/>
      <c r="E29" s="67" t="n"/>
      <c r="F29" s="67" t="n"/>
      <c r="G29" s="67" t="n"/>
      <c r="H29" s="67" t="n"/>
      <c r="I29" s="67" t="n"/>
      <c r="J29" s="67" t="n"/>
      <c r="L29" s="67" t="n"/>
      <c r="M29" s="67" t="n"/>
      <c r="N29" s="67" t="n"/>
    </row>
    <row r="30">
      <c r="B30" s="67" t="n"/>
      <c r="C30" s="67" t="n"/>
      <c r="D30" s="67" t="n"/>
      <c r="E30" s="67" t="n"/>
      <c r="F30" s="67" t="n"/>
      <c r="G30" s="67" t="n"/>
      <c r="H30" s="67" t="n"/>
      <c r="I30" s="67" t="n"/>
      <c r="J30" s="67" t="n"/>
      <c r="L30" s="67" t="n"/>
      <c r="M30" s="67" t="n"/>
      <c r="N30" s="67" t="n"/>
    </row>
    <row r="31">
      <c r="B31" s="67" t="n"/>
      <c r="C31" s="67" t="n"/>
      <c r="D31" s="67" t="n"/>
      <c r="E31" s="67" t="n"/>
      <c r="F31" s="67" t="n"/>
      <c r="G31" s="67" t="n"/>
      <c r="H31" s="67" t="n"/>
      <c r="I31" s="67" t="n"/>
      <c r="J31" s="67" t="n"/>
      <c r="L31" s="67" t="n"/>
      <c r="M31" s="67" t="n"/>
      <c r="N31" s="67" t="n"/>
    </row>
    <row r="32">
      <c r="B32" s="67" t="n"/>
      <c r="C32" s="67" t="n"/>
      <c r="D32" s="67" t="n"/>
      <c r="E32" s="67" t="n"/>
      <c r="F32" s="67" t="n"/>
      <c r="G32" s="67" t="n"/>
      <c r="H32" s="67" t="n"/>
      <c r="I32" s="67" t="n"/>
      <c r="J32" s="67" t="n"/>
      <c r="L32" s="67" t="n"/>
      <c r="M32" s="67" t="n"/>
      <c r="N32" s="67" t="n"/>
    </row>
    <row r="33">
      <c r="B33" s="67" t="n"/>
      <c r="C33" s="67" t="n"/>
      <c r="D33" s="67" t="n"/>
      <c r="E33" s="67" t="n"/>
      <c r="F33" s="67" t="n"/>
      <c r="G33" s="67" t="n"/>
      <c r="H33" s="67" t="n"/>
      <c r="I33" s="67" t="n"/>
      <c r="J33" s="67" t="n"/>
      <c r="L33" s="67" t="n"/>
      <c r="M33" s="67" t="n"/>
      <c r="N33" s="67" t="n"/>
    </row>
    <row r="34">
      <c r="B34" s="67" t="n"/>
      <c r="C34" s="67" t="n"/>
      <c r="D34" s="67" t="n"/>
      <c r="E34" s="67" t="n"/>
      <c r="F34" s="67" t="n"/>
      <c r="G34" s="67" t="n"/>
      <c r="H34" s="67" t="n"/>
      <c r="I34" s="67" t="n"/>
      <c r="J34" s="67" t="n"/>
      <c r="L34" s="67" t="n"/>
      <c r="M34" s="67" t="n"/>
      <c r="N34" s="67" t="n"/>
    </row>
    <row r="35">
      <c r="B35" s="67" t="n"/>
      <c r="C35" s="67" t="n"/>
      <c r="D35" s="67" t="n"/>
      <c r="E35" s="67" t="n"/>
      <c r="F35" s="67" t="n"/>
      <c r="G35" s="67" t="n"/>
      <c r="H35" s="67" t="n"/>
      <c r="I35" s="67" t="n"/>
      <c r="J35" s="67" t="n"/>
      <c r="L35" s="67" t="n"/>
      <c r="M35" s="67" t="n"/>
      <c r="N35" s="67" t="n"/>
    </row>
    <row r="36">
      <c r="B36" s="67" t="n"/>
      <c r="C36" s="67" t="n"/>
      <c r="D36" s="67" t="n"/>
      <c r="E36" s="67" t="n"/>
      <c r="F36" s="67" t="n"/>
      <c r="G36" s="67" t="n"/>
      <c r="H36" s="67" t="n"/>
      <c r="I36" s="67" t="n"/>
      <c r="J36" s="67" t="n"/>
      <c r="L36" s="67" t="n"/>
      <c r="M36" s="67" t="n"/>
      <c r="N36" s="67" t="n"/>
    </row>
    <row r="37">
      <c r="B37" s="67" t="n"/>
      <c r="C37" s="67" t="n"/>
      <c r="D37" s="67" t="n"/>
      <c r="E37" s="67" t="n"/>
      <c r="F37" s="67" t="n"/>
      <c r="G37" s="67" t="n"/>
      <c r="H37" s="67" t="n"/>
      <c r="I37" s="67" t="n"/>
      <c r="J37" s="67" t="n"/>
      <c r="L37" s="67" t="n"/>
      <c r="M37" s="67" t="n"/>
      <c r="N37" s="67" t="n"/>
    </row>
    <row r="38">
      <c r="B38" s="67" t="n"/>
      <c r="C38" s="67" t="n"/>
      <c r="D38" s="67" t="n"/>
      <c r="E38" s="67" t="n"/>
      <c r="F38" s="67" t="n"/>
      <c r="G38" s="67" t="n"/>
      <c r="H38" s="67" t="n"/>
      <c r="I38" s="67" t="n"/>
      <c r="J38" s="67" t="n"/>
      <c r="L38" s="67" t="n"/>
      <c r="M38" s="67" t="n"/>
      <c r="N38" s="67" t="n"/>
    </row>
    <row r="39">
      <c r="B39" s="67" t="n"/>
      <c r="C39" s="67" t="n"/>
      <c r="D39" s="67" t="n"/>
      <c r="E39" s="67" t="n"/>
      <c r="F39" s="67" t="n"/>
      <c r="G39" s="67" t="n"/>
      <c r="H39" s="67" t="n"/>
      <c r="I39" s="67" t="n"/>
      <c r="J39" s="67" t="n"/>
      <c r="L39" s="67" t="n"/>
      <c r="M39" s="67" t="n"/>
      <c r="N39" s="67" t="n"/>
    </row>
    <row r="40">
      <c r="B40" s="67" t="n"/>
      <c r="C40" s="67" t="n"/>
      <c r="D40" s="67" t="n"/>
      <c r="E40" s="67" t="n"/>
      <c r="F40" s="67" t="n"/>
      <c r="G40" s="67" t="n"/>
      <c r="H40" s="67" t="n"/>
      <c r="I40" s="67" t="n"/>
      <c r="J40" s="67" t="n"/>
      <c r="L40" s="67" t="n"/>
      <c r="M40" s="67" t="n"/>
      <c r="N40" s="67" t="n"/>
    </row>
    <row r="41">
      <c r="B41" s="67" t="n"/>
      <c r="C41" s="67" t="n"/>
      <c r="D41" s="67" t="n"/>
      <c r="E41" s="67" t="n"/>
      <c r="F41" s="67" t="n"/>
      <c r="G41" s="67" t="n"/>
      <c r="H41" s="67" t="n"/>
      <c r="I41" s="67" t="n"/>
      <c r="J41" s="67" t="n"/>
      <c r="L41" s="67" t="n"/>
      <c r="M41" s="67" t="n"/>
      <c r="N41" s="67" t="n"/>
    </row>
    <row r="42">
      <c r="B42" s="67" t="n"/>
      <c r="C42" s="67" t="n"/>
      <c r="D42" s="67" t="n"/>
      <c r="E42" s="67" t="n"/>
      <c r="F42" s="67" t="n"/>
      <c r="G42" s="67" t="n"/>
      <c r="H42" s="67" t="n"/>
      <c r="I42" s="67" t="n"/>
      <c r="J42" s="67" t="n"/>
      <c r="L42" s="67" t="n"/>
      <c r="M42" s="67" t="n"/>
      <c r="N42" s="67" t="n"/>
    </row>
    <row r="43">
      <c r="B43" s="67" t="n"/>
      <c r="C43" s="67" t="n"/>
      <c r="D43" s="67" t="n"/>
      <c r="E43" s="67" t="n"/>
      <c r="F43" s="67" t="n"/>
      <c r="G43" s="67" t="n"/>
      <c r="H43" s="67" t="n"/>
      <c r="I43" s="67" t="n"/>
      <c r="J43" s="67" t="n"/>
      <c r="L43" s="67" t="n"/>
      <c r="M43" s="67" t="n"/>
      <c r="N43" s="67" t="n"/>
    </row>
    <row r="44">
      <c r="B44" s="67" t="n"/>
      <c r="C44" s="67" t="n"/>
      <c r="D44" s="67" t="n"/>
      <c r="E44" s="67" t="n"/>
      <c r="F44" s="67" t="n"/>
      <c r="G44" s="67" t="n"/>
      <c r="H44" s="67" t="n"/>
      <c r="I44" s="67" t="n"/>
      <c r="J44" s="67" t="n"/>
      <c r="L44" s="67" t="n"/>
      <c r="M44" s="67" t="n"/>
      <c r="N44" s="67" t="n"/>
    </row>
    <row r="45">
      <c r="B45" s="67" t="n"/>
      <c r="C45" s="67" t="n"/>
      <c r="D45" s="67" t="n"/>
      <c r="E45" s="67" t="n"/>
      <c r="F45" s="67" t="n"/>
      <c r="G45" s="67" t="n"/>
      <c r="H45" s="67" t="n"/>
      <c r="I45" s="67" t="n"/>
      <c r="J45" s="67" t="n"/>
      <c r="L45" s="67" t="n"/>
      <c r="M45" s="67" t="n"/>
      <c r="N45" s="67" t="n"/>
    </row>
    <row r="46">
      <c r="B46" s="67" t="n"/>
      <c r="C46" s="67" t="n"/>
      <c r="D46" s="67" t="n"/>
      <c r="E46" s="67" t="n"/>
      <c r="F46" s="67" t="n"/>
      <c r="G46" s="67" t="n"/>
      <c r="H46" s="67" t="n"/>
      <c r="I46" s="67" t="n"/>
      <c r="J46" s="67" t="n"/>
      <c r="L46" s="67" t="n"/>
      <c r="M46" s="67" t="n"/>
      <c r="N46" s="67" t="n"/>
    </row>
    <row r="47">
      <c r="B47" s="67" t="n"/>
      <c r="C47" s="67" t="n"/>
      <c r="D47" s="67" t="n"/>
      <c r="E47" s="67" t="n"/>
      <c r="F47" s="67" t="n"/>
      <c r="G47" s="67" t="n"/>
      <c r="H47" s="67" t="n"/>
      <c r="I47" s="67" t="n"/>
      <c r="J47" s="67" t="n"/>
      <c r="L47" s="67" t="n"/>
      <c r="M47" s="67" t="n"/>
      <c r="N47" s="67" t="n"/>
    </row>
    <row r="48">
      <c r="B48" s="67" t="n"/>
      <c r="C48" s="67" t="n"/>
      <c r="D48" s="67" t="n"/>
      <c r="E48" s="67" t="n"/>
      <c r="F48" s="67" t="n"/>
      <c r="G48" s="67" t="n"/>
      <c r="H48" s="67" t="n"/>
      <c r="I48" s="67" t="n"/>
      <c r="J48" s="67" t="n"/>
      <c r="L48" s="67" t="n"/>
      <c r="M48" s="67" t="n"/>
      <c r="N48" s="67" t="n"/>
    </row>
    <row r="49">
      <c r="B49" s="67" t="n"/>
      <c r="C49" s="67" t="n"/>
      <c r="D49" s="67" t="n"/>
      <c r="E49" s="67" t="n"/>
      <c r="F49" s="67" t="n"/>
      <c r="G49" s="67" t="n"/>
      <c r="H49" s="67" t="n"/>
      <c r="I49" s="67" t="n"/>
      <c r="J49" s="67" t="n"/>
      <c r="L49" s="67" t="n"/>
      <c r="M49" s="67" t="n"/>
      <c r="N49" s="67" t="n"/>
    </row>
    <row r="50">
      <c r="B50" s="67" t="n"/>
      <c r="C50" s="67" t="n"/>
      <c r="D50" s="67" t="n"/>
      <c r="E50" s="67" t="n"/>
      <c r="F50" s="67" t="n"/>
      <c r="G50" s="67" t="n"/>
      <c r="H50" s="67" t="n"/>
      <c r="I50" s="67" t="n"/>
      <c r="J50" s="67" t="n"/>
      <c r="L50" s="67" t="n"/>
      <c r="M50" s="67" t="n"/>
      <c r="N50" s="67" t="n"/>
    </row>
    <row r="51">
      <c r="B51" s="67" t="n"/>
      <c r="C51" s="67" t="n"/>
      <c r="D51" s="67" t="n"/>
      <c r="E51" s="67" t="n"/>
      <c r="F51" s="67" t="n"/>
      <c r="G51" s="67" t="n"/>
      <c r="H51" s="67" t="n"/>
      <c r="I51" s="67" t="n"/>
      <c r="J51" s="67" t="n"/>
      <c r="L51" s="67" t="n"/>
      <c r="M51" s="67" t="n"/>
      <c r="N51" s="67" t="n"/>
    </row>
    <row r="52">
      <c r="B52" s="67" t="n"/>
      <c r="C52" s="67" t="n"/>
      <c r="D52" s="67" t="n"/>
      <c r="E52" s="67" t="n"/>
      <c r="F52" s="67" t="n"/>
      <c r="G52" s="67" t="n"/>
      <c r="H52" s="67" t="n"/>
      <c r="I52" s="67" t="n"/>
      <c r="J52" s="67" t="n"/>
      <c r="L52" s="67" t="n"/>
      <c r="M52" s="67" t="n"/>
      <c r="N52" s="67" t="n"/>
    </row>
    <row r="53">
      <c r="B53" s="67" t="n"/>
      <c r="C53" s="67" t="n"/>
      <c r="D53" s="67" t="n"/>
      <c r="E53" s="67" t="n"/>
      <c r="F53" s="67" t="n"/>
      <c r="G53" s="67" t="n"/>
      <c r="H53" s="67" t="n"/>
      <c r="I53" s="67" t="n"/>
      <c r="J53" s="67" t="n"/>
      <c r="L53" s="67" t="n"/>
      <c r="M53" s="67" t="n"/>
      <c r="N53" s="67" t="n"/>
    </row>
    <row r="54">
      <c r="B54" s="67" t="n"/>
      <c r="C54" s="67" t="n"/>
      <c r="D54" s="67" t="n"/>
      <c r="E54" s="67" t="n"/>
      <c r="F54" s="67" t="n"/>
      <c r="G54" s="67" t="n"/>
      <c r="H54" s="67" t="n"/>
      <c r="I54" s="67" t="n"/>
      <c r="J54" s="67" t="n"/>
      <c r="L54" s="67" t="n"/>
      <c r="M54" s="67" t="n"/>
      <c r="N54" s="67" t="n"/>
    </row>
    <row r="55">
      <c r="B55" s="67" t="n"/>
      <c r="C55" s="67" t="n"/>
      <c r="D55" s="67" t="n"/>
      <c r="E55" s="67" t="n"/>
      <c r="F55" s="67" t="n"/>
      <c r="G55" s="67" t="n"/>
      <c r="H55" s="67" t="n"/>
      <c r="I55" s="67" t="n"/>
      <c r="J55" s="67" t="n"/>
      <c r="L55" s="67" t="n"/>
      <c r="M55" s="67" t="n"/>
      <c r="N55" s="67" t="n"/>
    </row>
    <row r="56">
      <c r="B56" s="67" t="n"/>
      <c r="C56" s="67" t="n"/>
      <c r="D56" s="67" t="n"/>
      <c r="E56" s="67" t="n"/>
      <c r="F56" s="67" t="n"/>
      <c r="G56" s="67" t="n"/>
      <c r="H56" s="67" t="n"/>
      <c r="I56" s="67" t="n"/>
      <c r="J56" s="67" t="n"/>
      <c r="L56" s="67" t="n"/>
      <c r="M56" s="67" t="n"/>
      <c r="N56" s="67" t="n"/>
    </row>
    <row r="57">
      <c r="B57" s="67" t="n"/>
      <c r="C57" s="67" t="n"/>
      <c r="D57" s="67" t="n"/>
      <c r="E57" s="67" t="n"/>
      <c r="F57" s="67" t="n"/>
      <c r="G57" s="67" t="n"/>
      <c r="H57" s="67" t="n"/>
      <c r="I57" s="67" t="n"/>
      <c r="J57" s="67" t="n"/>
      <c r="L57" s="67" t="n"/>
      <c r="M57" s="67" t="n"/>
      <c r="N57" s="67" t="n"/>
    </row>
    <row r="58">
      <c r="B58" s="67" t="n"/>
      <c r="C58" s="67" t="n"/>
      <c r="D58" s="67" t="n"/>
      <c r="E58" s="67" t="n"/>
      <c r="F58" s="67" t="n"/>
      <c r="G58" s="67" t="n"/>
      <c r="H58" s="67" t="n"/>
      <c r="I58" s="67" t="n"/>
      <c r="J58" s="67" t="n"/>
      <c r="L58" s="67" t="n"/>
      <c r="M58" s="67" t="n"/>
      <c r="N58" s="67" t="n"/>
    </row>
    <row r="59">
      <c r="B59" s="67" t="n"/>
      <c r="C59" s="67" t="n"/>
      <c r="D59" s="67" t="n"/>
      <c r="E59" s="67" t="n"/>
      <c r="F59" s="67" t="n"/>
      <c r="G59" s="67" t="n"/>
      <c r="H59" s="67" t="n"/>
      <c r="I59" s="67" t="n"/>
      <c r="J59" s="67" t="n"/>
      <c r="L59" s="67" t="n"/>
      <c r="M59" s="67" t="n"/>
      <c r="N59" s="67" t="n"/>
    </row>
    <row r="60">
      <c r="B60" s="67" t="n"/>
      <c r="C60" s="67" t="n"/>
      <c r="D60" s="67" t="n"/>
      <c r="E60" s="67" t="n"/>
      <c r="F60" s="67" t="n"/>
      <c r="G60" s="67" t="n"/>
      <c r="H60" s="67" t="n"/>
      <c r="I60" s="67" t="n"/>
      <c r="J60" s="67" t="n"/>
      <c r="L60" s="67" t="n"/>
      <c r="M60" s="67" t="n"/>
      <c r="N60" s="67" t="n"/>
    </row>
    <row r="61">
      <c r="B61" s="67" t="n"/>
      <c r="C61" s="67" t="n"/>
      <c r="D61" s="67" t="n"/>
      <c r="E61" s="67" t="n"/>
      <c r="F61" s="67" t="n"/>
      <c r="G61" s="67" t="n"/>
      <c r="H61" s="67" t="n"/>
      <c r="I61" s="67" t="n"/>
      <c r="J61" s="67" t="n"/>
      <c r="L61" s="67" t="n"/>
      <c r="M61" s="67" t="n"/>
      <c r="N61" s="67" t="n"/>
    </row>
    <row r="62">
      <c r="B62" s="67" t="n"/>
      <c r="C62" s="67" t="n"/>
      <c r="D62" s="67" t="n"/>
      <c r="E62" s="67" t="n"/>
      <c r="F62" s="67" t="n"/>
      <c r="G62" s="67" t="n"/>
      <c r="H62" s="67" t="n"/>
      <c r="I62" s="67" t="n"/>
      <c r="J62" s="67" t="n"/>
      <c r="L62" s="67" t="n"/>
      <c r="M62" s="67" t="n"/>
      <c r="N62" s="67" t="n"/>
    </row>
    <row r="63">
      <c r="B63" s="67" t="n"/>
      <c r="C63" s="67" t="n"/>
      <c r="D63" s="67" t="n"/>
      <c r="E63" s="67" t="n"/>
      <c r="F63" s="67" t="n"/>
      <c r="G63" s="67" t="n"/>
      <c r="H63" s="67" t="n"/>
      <c r="I63" s="67" t="n"/>
      <c r="J63" s="67" t="n"/>
      <c r="L63" s="67" t="n"/>
      <c r="M63" s="67" t="n"/>
      <c r="N63" s="67" t="n"/>
    </row>
    <row r="64">
      <c r="B64" s="67" t="n"/>
      <c r="C64" s="67" t="n"/>
      <c r="D64" s="67" t="n"/>
      <c r="E64" s="67" t="n"/>
      <c r="F64" s="67" t="n"/>
      <c r="G64" s="67" t="n"/>
      <c r="H64" s="67" t="n"/>
      <c r="I64" s="67" t="n"/>
      <c r="J64" s="67" t="n"/>
      <c r="L64" s="67" t="n"/>
      <c r="M64" s="67" t="n"/>
      <c r="N64" s="67" t="n"/>
    </row>
    <row r="65">
      <c r="B65" s="67" t="n"/>
      <c r="C65" s="67" t="n"/>
      <c r="D65" s="67" t="n"/>
      <c r="E65" s="67" t="n"/>
      <c r="F65" s="67" t="n"/>
      <c r="G65" s="67" t="n"/>
      <c r="H65" s="67" t="n"/>
      <c r="I65" s="67" t="n"/>
      <c r="J65" s="67" t="n"/>
      <c r="L65" s="67" t="n"/>
      <c r="M65" s="67" t="n"/>
      <c r="N65" s="67" t="n"/>
    </row>
    <row r="66">
      <c r="B66" s="67" t="n"/>
      <c r="C66" s="67" t="n"/>
      <c r="D66" s="67" t="n"/>
      <c r="E66" s="67" t="n"/>
      <c r="F66" s="67" t="n"/>
      <c r="G66" s="67" t="n"/>
      <c r="H66" s="67" t="n"/>
      <c r="I66" s="67" t="n"/>
      <c r="J66" s="67" t="n"/>
      <c r="L66" s="67" t="n"/>
      <c r="M66" s="67" t="n"/>
      <c r="N66" s="67" t="n"/>
    </row>
    <row r="67">
      <c r="B67" s="67" t="n"/>
      <c r="C67" s="67" t="n"/>
      <c r="D67" s="67" t="n"/>
      <c r="E67" s="67" t="n"/>
      <c r="F67" s="67" t="n"/>
      <c r="G67" s="67" t="n"/>
      <c r="H67" s="67" t="n"/>
      <c r="I67" s="67" t="n"/>
      <c r="J67" s="67" t="n"/>
      <c r="L67" s="67" t="n"/>
      <c r="M67" s="67" t="n"/>
      <c r="N67" s="67" t="n"/>
    </row>
    <row r="68">
      <c r="B68" s="67" t="n"/>
      <c r="C68" s="67" t="n"/>
      <c r="D68" s="67" t="n"/>
      <c r="E68" s="67" t="n"/>
      <c r="F68" s="67" t="n"/>
      <c r="G68" s="67" t="n"/>
      <c r="H68" s="67" t="n"/>
      <c r="I68" s="67" t="n"/>
      <c r="J68" s="67" t="n"/>
      <c r="L68" s="67" t="n"/>
      <c r="M68" s="67" t="n"/>
      <c r="N68" s="67" t="n"/>
    </row>
    <row r="69">
      <c r="B69" s="67" t="n"/>
      <c r="C69" s="67" t="n"/>
      <c r="D69" s="67" t="n"/>
      <c r="E69" s="67" t="n"/>
      <c r="F69" s="67" t="n"/>
      <c r="G69" s="67" t="n"/>
      <c r="H69" s="67" t="n"/>
      <c r="I69" s="67" t="n"/>
      <c r="J69" s="67" t="n"/>
      <c r="L69" s="67" t="n"/>
      <c r="M69" s="67" t="n"/>
      <c r="N69" s="67" t="n"/>
    </row>
    <row r="70">
      <c r="B70" s="67" t="n"/>
      <c r="C70" s="67" t="n"/>
      <c r="D70" s="67" t="n"/>
      <c r="E70" s="67" t="n"/>
      <c r="F70" s="67" t="n"/>
      <c r="G70" s="67" t="n"/>
      <c r="H70" s="67" t="n"/>
      <c r="I70" s="67" t="n"/>
      <c r="J70" s="67" t="n"/>
      <c r="L70" s="67" t="n"/>
      <c r="M70" s="67" t="n"/>
      <c r="N70" s="67" t="n"/>
    </row>
    <row r="71">
      <c r="B71" s="67" t="n"/>
      <c r="C71" s="67" t="n"/>
      <c r="D71" s="67" t="n"/>
      <c r="E71" s="67" t="n"/>
      <c r="F71" s="67" t="n"/>
      <c r="G71" s="67" t="n"/>
      <c r="H71" s="67" t="n"/>
      <c r="I71" s="67" t="n"/>
      <c r="J71" s="67" t="n"/>
      <c r="L71" s="67" t="n"/>
      <c r="M71" s="67" t="n"/>
      <c r="N71" s="67" t="n"/>
    </row>
    <row r="72">
      <c r="B72" s="67" t="n"/>
      <c r="C72" s="67" t="n"/>
      <c r="D72" s="67" t="n"/>
      <c r="E72" s="67" t="n"/>
      <c r="F72" s="67" t="n"/>
      <c r="G72" s="67" t="n"/>
      <c r="H72" s="67" t="n"/>
      <c r="I72" s="67" t="n"/>
      <c r="J72" s="67" t="n"/>
      <c r="L72" s="67" t="n"/>
      <c r="M72" s="67" t="n"/>
      <c r="N72" s="67" t="n"/>
    </row>
    <row r="73">
      <c r="B73" s="67" t="n"/>
      <c r="C73" s="67" t="n"/>
      <c r="D73" s="67" t="n"/>
      <c r="E73" s="67" t="n"/>
      <c r="F73" s="67" t="n"/>
      <c r="G73" s="67" t="n"/>
      <c r="H73" s="67" t="n"/>
      <c r="I73" s="67" t="n"/>
      <c r="J73" s="67" t="n"/>
      <c r="L73" s="67" t="n"/>
      <c r="M73" s="67" t="n"/>
      <c r="N73" s="67" t="n"/>
    </row>
    <row r="74">
      <c r="B74" s="67" t="n"/>
      <c r="C74" s="67" t="n"/>
      <c r="D74" s="67" t="n"/>
      <c r="E74" s="67" t="n"/>
      <c r="F74" s="67" t="n"/>
      <c r="G74" s="67" t="n"/>
      <c r="H74" s="67" t="n"/>
      <c r="I74" s="67" t="n"/>
      <c r="J74" s="67" t="n"/>
      <c r="L74" s="67" t="n"/>
      <c r="M74" s="67" t="n"/>
      <c r="N74" s="67" t="n"/>
    </row>
    <row r="75">
      <c r="B75" s="67" t="n"/>
      <c r="C75" s="67" t="n"/>
      <c r="D75" s="67" t="n"/>
      <c r="E75" s="67" t="n"/>
      <c r="F75" s="67" t="n"/>
      <c r="G75" s="67" t="n"/>
      <c r="H75" s="67" t="n"/>
      <c r="I75" s="67" t="n"/>
      <c r="J75" s="67" t="n"/>
      <c r="L75" s="67" t="n"/>
      <c r="M75" s="67" t="n"/>
      <c r="N75" s="67" t="n"/>
    </row>
    <row r="76">
      <c r="B76" s="67" t="n"/>
      <c r="C76" s="67" t="n"/>
      <c r="D76" s="67" t="n"/>
      <c r="E76" s="67" t="n"/>
      <c r="F76" s="67" t="n"/>
      <c r="G76" s="67" t="n"/>
      <c r="H76" s="67" t="n"/>
      <c r="I76" s="67" t="n"/>
      <c r="J76" s="67" t="n"/>
      <c r="L76" s="67" t="n"/>
      <c r="M76" s="67" t="n"/>
      <c r="N76" s="67" t="n"/>
    </row>
    <row r="77">
      <c r="B77" s="67" t="n"/>
      <c r="C77" s="67" t="n"/>
      <c r="D77" s="67" t="n"/>
      <c r="E77" s="67" t="n"/>
      <c r="F77" s="67" t="n"/>
      <c r="G77" s="67" t="n"/>
      <c r="H77" s="67" t="n"/>
      <c r="I77" s="67" t="n"/>
      <c r="J77" s="67" t="n"/>
      <c r="L77" s="67" t="n"/>
      <c r="M77" s="67" t="n"/>
      <c r="N77" s="67" t="n"/>
    </row>
    <row r="78">
      <c r="B78" s="67" t="n"/>
      <c r="C78" s="67" t="n"/>
      <c r="D78" s="67" t="n"/>
      <c r="E78" s="67" t="n"/>
      <c r="F78" s="67" t="n"/>
      <c r="G78" s="67" t="n"/>
      <c r="H78" s="67" t="n"/>
      <c r="I78" s="67" t="n"/>
      <c r="J78" s="67" t="n"/>
      <c r="L78" s="67" t="n"/>
      <c r="M78" s="67" t="n"/>
      <c r="N78" s="67" t="n"/>
    </row>
    <row r="79">
      <c r="B79" s="67" t="n"/>
      <c r="C79" s="67" t="n"/>
      <c r="D79" s="67" t="n"/>
      <c r="E79" s="67" t="n"/>
      <c r="F79" s="67" t="n"/>
      <c r="G79" s="67" t="n"/>
      <c r="H79" s="67" t="n"/>
      <c r="I79" s="67" t="n"/>
      <c r="J79" s="67" t="n"/>
      <c r="L79" s="67" t="n"/>
      <c r="M79" s="67" t="n"/>
      <c r="N79" s="67" t="n"/>
    </row>
    <row r="80">
      <c r="B80" s="67" t="n"/>
      <c r="C80" s="67" t="n"/>
      <c r="D80" s="67" t="n"/>
      <c r="E80" s="67" t="n"/>
      <c r="F80" s="67" t="n"/>
      <c r="G80" s="67" t="n"/>
      <c r="H80" s="67" t="n"/>
      <c r="I80" s="67" t="n"/>
      <c r="J80" s="67" t="n"/>
      <c r="L80" s="67" t="n"/>
      <c r="M80" s="67" t="n"/>
      <c r="N80" s="67" t="n"/>
    </row>
    <row r="81">
      <c r="B81" s="67" t="n"/>
      <c r="C81" s="67" t="n"/>
      <c r="D81" s="67" t="n"/>
      <c r="E81" s="67" t="n"/>
      <c r="F81" s="67" t="n"/>
      <c r="G81" s="67" t="n"/>
      <c r="H81" s="67" t="n"/>
      <c r="I81" s="67" t="n"/>
      <c r="J81" s="67" t="n"/>
      <c r="L81" s="67" t="n"/>
      <c r="M81" s="67" t="n"/>
      <c r="N81" s="67" t="n"/>
    </row>
    <row r="82">
      <c r="B82" s="67" t="n"/>
      <c r="C82" s="67" t="n"/>
      <c r="D82" s="67" t="n"/>
      <c r="E82" s="67" t="n"/>
      <c r="F82" s="67" t="n"/>
      <c r="G82" s="67" t="n"/>
      <c r="H82" s="67" t="n"/>
      <c r="I82" s="67" t="n"/>
      <c r="J82" s="67" t="n"/>
      <c r="L82" s="67" t="n"/>
      <c r="M82" s="67" t="n"/>
      <c r="N82" s="67" t="n"/>
    </row>
    <row r="83">
      <c r="B83" s="67" t="n"/>
      <c r="C83" s="67" t="n"/>
      <c r="D83" s="67" t="n"/>
      <c r="E83" s="67" t="n"/>
      <c r="F83" s="67" t="n"/>
      <c r="G83" s="67" t="n"/>
      <c r="H83" s="67" t="n"/>
      <c r="I83" s="67" t="n"/>
      <c r="J83" s="67" t="n"/>
      <c r="L83" s="67" t="n"/>
      <c r="M83" s="67" t="n"/>
      <c r="N83" s="67" t="n"/>
    </row>
    <row r="84">
      <c r="B84" s="67" t="n"/>
      <c r="C84" s="67" t="n"/>
      <c r="D84" s="67" t="n"/>
      <c r="E84" s="67" t="n"/>
      <c r="F84" s="67" t="n"/>
      <c r="G84" s="67" t="n"/>
      <c r="H84" s="67" t="n"/>
      <c r="I84" s="67" t="n"/>
      <c r="J84" s="67" t="n"/>
      <c r="L84" s="67" t="n"/>
      <c r="M84" s="67" t="n"/>
      <c r="N84" s="67" t="n"/>
    </row>
    <row r="85">
      <c r="B85" s="67" t="n"/>
      <c r="C85" s="67" t="n"/>
      <c r="D85" s="67" t="n"/>
      <c r="E85" s="67" t="n"/>
      <c r="F85" s="67" t="n"/>
      <c r="G85" s="67" t="n"/>
      <c r="H85" s="67" t="n"/>
      <c r="I85" s="67" t="n"/>
      <c r="J85" s="67" t="n"/>
      <c r="L85" s="67" t="n"/>
      <c r="M85" s="67" t="n"/>
      <c r="N85" s="67" t="n"/>
    </row>
    <row r="86">
      <c r="B86" s="67" t="n"/>
      <c r="C86" s="67" t="n"/>
      <c r="D86" s="67" t="n"/>
      <c r="E86" s="67" t="n"/>
      <c r="F86" s="67" t="n"/>
      <c r="G86" s="67" t="n"/>
      <c r="H86" s="67" t="n"/>
      <c r="I86" s="67" t="n"/>
      <c r="J86" s="67" t="n"/>
      <c r="L86" s="67" t="n"/>
      <c r="M86" s="67" t="n"/>
      <c r="N86" s="67" t="n"/>
    </row>
    <row r="87">
      <c r="B87" s="67" t="n"/>
      <c r="C87" s="67" t="n"/>
      <c r="D87" s="67" t="n"/>
      <c r="E87" s="67" t="n"/>
      <c r="F87" s="67" t="n"/>
      <c r="G87" s="67" t="n"/>
      <c r="H87" s="67" t="n"/>
      <c r="I87" s="67" t="n"/>
      <c r="J87" s="67" t="n"/>
      <c r="L87" s="67" t="n"/>
      <c r="M87" s="67" t="n"/>
      <c r="N87" s="67" t="n"/>
    </row>
    <row r="88">
      <c r="B88" s="67" t="n"/>
      <c r="C88" s="67" t="n"/>
      <c r="D88" s="67" t="n"/>
      <c r="E88" s="67" t="n"/>
      <c r="F88" s="67" t="n"/>
      <c r="G88" s="67" t="n"/>
      <c r="H88" s="67" t="n"/>
      <c r="I88" s="67" t="n"/>
      <c r="J88" s="67" t="n"/>
      <c r="L88" s="67" t="n"/>
      <c r="M88" s="67" t="n"/>
      <c r="N88" s="67" t="n"/>
    </row>
    <row r="89">
      <c r="B89" s="67" t="n"/>
      <c r="C89" s="67" t="n"/>
      <c r="D89" s="67" t="n"/>
      <c r="E89" s="67" t="n"/>
      <c r="F89" s="67" t="n"/>
      <c r="G89" s="67" t="n"/>
      <c r="H89" s="67" t="n"/>
      <c r="I89" s="67" t="n"/>
      <c r="J89" s="67" t="n"/>
      <c r="L89" s="67" t="n"/>
      <c r="M89" s="67" t="n"/>
      <c r="N89" s="67" t="n"/>
    </row>
    <row r="90">
      <c r="B90" s="67" t="n"/>
      <c r="C90" s="67" t="n"/>
      <c r="D90" s="67" t="n"/>
      <c r="E90" s="67" t="n"/>
      <c r="F90" s="67" t="n"/>
      <c r="G90" s="67" t="n"/>
      <c r="H90" s="67" t="n"/>
      <c r="I90" s="67" t="n"/>
      <c r="J90" s="67" t="n"/>
      <c r="L90" s="67" t="n"/>
      <c r="M90" s="67" t="n"/>
      <c r="N90" s="67" t="n"/>
    </row>
    <row r="91">
      <c r="B91" s="67" t="n"/>
      <c r="C91" s="67" t="n"/>
      <c r="D91" s="67" t="n"/>
      <c r="E91" s="67" t="n"/>
      <c r="F91" s="67" t="n"/>
      <c r="G91" s="67" t="n"/>
      <c r="H91" s="67" t="n"/>
      <c r="I91" s="67" t="n"/>
      <c r="J91" s="67" t="n"/>
      <c r="L91" s="67" t="n"/>
      <c r="M91" s="67" t="n"/>
      <c r="N91" s="67" t="n"/>
    </row>
    <row r="92">
      <c r="B92" s="67" t="n"/>
      <c r="C92" s="67" t="n"/>
      <c r="D92" s="67" t="n"/>
      <c r="E92" s="67" t="n"/>
      <c r="F92" s="67" t="n"/>
      <c r="G92" s="67" t="n"/>
      <c r="H92" s="67" t="n"/>
      <c r="I92" s="67" t="n"/>
      <c r="J92" s="67" t="n"/>
      <c r="L92" s="67" t="n"/>
      <c r="M92" s="67" t="n"/>
      <c r="N92" s="67" t="n"/>
    </row>
    <row r="93">
      <c r="B93" s="67" t="n"/>
      <c r="C93" s="67" t="n"/>
      <c r="D93" s="67" t="n"/>
      <c r="E93" s="67" t="n"/>
      <c r="F93" s="67" t="n"/>
      <c r="G93" s="67" t="n"/>
      <c r="H93" s="67" t="n"/>
      <c r="I93" s="67" t="n"/>
      <c r="J93" s="67" t="n"/>
      <c r="L93" s="67" t="n"/>
      <c r="M93" s="67" t="n"/>
      <c r="N93" s="67" t="n"/>
    </row>
    <row r="94">
      <c r="B94" s="67" t="n"/>
      <c r="C94" s="67" t="n"/>
      <c r="D94" s="67" t="n"/>
      <c r="E94" s="67" t="n"/>
      <c r="F94" s="67" t="n"/>
      <c r="G94" s="67" t="n"/>
      <c r="H94" s="67" t="n"/>
      <c r="I94" s="67" t="n"/>
      <c r="J94" s="67" t="n"/>
      <c r="L94" s="67" t="n"/>
      <c r="M94" s="67" t="n"/>
      <c r="N94" s="67" t="n"/>
    </row>
    <row r="95">
      <c r="B95" s="67" t="n"/>
      <c r="C95" s="67" t="n"/>
      <c r="D95" s="67" t="n"/>
      <c r="E95" s="67" t="n"/>
      <c r="F95" s="67" t="n"/>
      <c r="G95" s="67" t="n"/>
      <c r="H95" s="67" t="n"/>
      <c r="I95" s="67" t="n"/>
      <c r="J95" s="67" t="n"/>
      <c r="L95" s="67" t="n"/>
      <c r="M95" s="67" t="n"/>
      <c r="N95" s="67" t="n"/>
    </row>
    <row r="96">
      <c r="B96" s="67" t="n"/>
      <c r="C96" s="67" t="n"/>
      <c r="D96" s="67" t="n"/>
      <c r="E96" s="67" t="n"/>
      <c r="F96" s="67" t="n"/>
      <c r="G96" s="67" t="n"/>
      <c r="H96" s="67" t="n"/>
      <c r="I96" s="67" t="n"/>
      <c r="J96" s="67" t="n"/>
      <c r="L96" s="67" t="n"/>
      <c r="M96" s="67" t="n"/>
      <c r="N96" s="67" t="n"/>
    </row>
    <row r="97">
      <c r="B97" s="67" t="n"/>
      <c r="C97" s="67" t="n"/>
      <c r="D97" s="67" t="n"/>
      <c r="E97" s="67" t="n"/>
      <c r="F97" s="67" t="n"/>
      <c r="G97" s="67" t="n"/>
      <c r="H97" s="67" t="n"/>
      <c r="I97" s="67" t="n"/>
      <c r="J97" s="67" t="n"/>
      <c r="L97" s="67" t="n"/>
      <c r="M97" s="67" t="n"/>
      <c r="N97" s="67" t="n"/>
    </row>
    <row r="98">
      <c r="B98" s="67" t="n"/>
      <c r="C98" s="67" t="n"/>
      <c r="D98" s="67" t="n"/>
      <c r="E98" s="67" t="n"/>
      <c r="F98" s="67" t="n"/>
      <c r="G98" s="67" t="n"/>
      <c r="H98" s="67" t="n"/>
      <c r="I98" s="67" t="n"/>
      <c r="J98" s="67" t="n"/>
      <c r="L98" s="67" t="n"/>
      <c r="M98" s="67" t="n"/>
      <c r="N98" s="67" t="n"/>
    </row>
    <row r="99">
      <c r="B99" s="67" t="n"/>
      <c r="C99" s="67" t="n"/>
      <c r="D99" s="67" t="n"/>
      <c r="E99" s="67" t="n"/>
      <c r="F99" s="67" t="n"/>
      <c r="G99" s="67" t="n"/>
      <c r="H99" s="67" t="n"/>
      <c r="I99" s="67" t="n"/>
      <c r="J99" s="67" t="n"/>
      <c r="L99" s="67" t="n"/>
      <c r="M99" s="67" t="n"/>
      <c r="N99" s="67" t="n"/>
    </row>
    <row r="100">
      <c r="B100" s="67" t="n"/>
      <c r="C100" s="67" t="n"/>
      <c r="D100" s="67" t="n"/>
      <c r="E100" s="67" t="n"/>
      <c r="F100" s="67" t="n"/>
      <c r="G100" s="67" t="n"/>
      <c r="H100" s="67" t="n"/>
      <c r="I100" s="67" t="n"/>
      <c r="J100" s="67" t="n"/>
      <c r="L100" s="67" t="n"/>
      <c r="M100" s="67" t="n"/>
      <c r="N100" s="67" t="n"/>
    </row>
    <row r="101">
      <c r="B101" s="67" t="n"/>
      <c r="C101" s="67" t="n"/>
      <c r="D101" s="67" t="n"/>
      <c r="E101" s="67" t="n"/>
      <c r="F101" s="67" t="n"/>
      <c r="G101" s="67" t="n"/>
      <c r="H101" s="67" t="n"/>
      <c r="I101" s="67" t="n"/>
      <c r="J101" s="67" t="n"/>
      <c r="L101" s="67" t="n"/>
      <c r="M101" s="67" t="n"/>
      <c r="N101" s="67" t="n"/>
    </row>
    <row r="102">
      <c r="B102" s="67" t="n"/>
      <c r="C102" s="67" t="n"/>
      <c r="D102" s="67" t="n"/>
      <c r="E102" s="67" t="n"/>
      <c r="F102" s="67" t="n"/>
      <c r="G102" s="67" t="n"/>
      <c r="H102" s="67" t="n"/>
      <c r="I102" s="67" t="n"/>
      <c r="J102" s="67" t="n"/>
      <c r="L102" s="67" t="n"/>
      <c r="M102" s="67" t="n"/>
      <c r="N102" s="67" t="n"/>
    </row>
    <row r="103">
      <c r="B103" s="67" t="n"/>
      <c r="C103" s="67" t="n"/>
      <c r="D103" s="67" t="n"/>
      <c r="E103" s="67" t="n"/>
      <c r="F103" s="67" t="n"/>
      <c r="G103" s="67" t="n"/>
      <c r="H103" s="67" t="n"/>
      <c r="I103" s="67" t="n"/>
      <c r="J103" s="67" t="n"/>
      <c r="L103" s="67" t="n"/>
      <c r="M103" s="67" t="n"/>
      <c r="N103" s="67" t="n"/>
    </row>
    <row r="104">
      <c r="B104" s="67" t="n"/>
      <c r="C104" s="67" t="n"/>
      <c r="D104" s="67" t="n"/>
      <c r="E104" s="67" t="n"/>
      <c r="F104" s="67" t="n"/>
      <c r="G104" s="67" t="n"/>
      <c r="H104" s="67" t="n"/>
      <c r="I104" s="67" t="n"/>
      <c r="J104" s="67" t="n"/>
      <c r="L104" s="67" t="n"/>
      <c r="M104" s="67" t="n"/>
      <c r="N104" s="67" t="n"/>
    </row>
    <row r="105">
      <c r="B105" s="67" t="n"/>
      <c r="C105" s="67" t="n"/>
      <c r="D105" s="67" t="n"/>
      <c r="E105" s="67" t="n"/>
      <c r="F105" s="67" t="n"/>
      <c r="G105" s="67" t="n"/>
      <c r="H105" s="67" t="n"/>
      <c r="I105" s="67" t="n"/>
      <c r="J105" s="67" t="n"/>
      <c r="L105" s="67" t="n"/>
      <c r="M105" s="67" t="n"/>
      <c r="N105" s="67" t="n"/>
    </row>
    <row r="106">
      <c r="B106" s="67" t="n"/>
      <c r="C106" s="67" t="n"/>
      <c r="D106" s="67" t="n"/>
      <c r="E106" s="67" t="n"/>
      <c r="F106" s="67" t="n"/>
      <c r="G106" s="67" t="n"/>
      <c r="H106" s="67" t="n"/>
      <c r="I106" s="67" t="n"/>
      <c r="J106" s="67" t="n"/>
      <c r="L106" s="67" t="n"/>
      <c r="M106" s="67" t="n"/>
      <c r="N106" s="67" t="n"/>
    </row>
    <row r="107">
      <c r="B107" s="67" t="n"/>
      <c r="C107" s="67" t="n"/>
      <c r="D107" s="67" t="n"/>
      <c r="E107" s="67" t="n"/>
      <c r="F107" s="67" t="n"/>
      <c r="G107" s="67" t="n"/>
      <c r="H107" s="67" t="n"/>
      <c r="I107" s="67" t="n"/>
      <c r="J107" s="67" t="n"/>
      <c r="L107" s="67" t="n"/>
      <c r="M107" s="67" t="n"/>
      <c r="N107" s="67" t="n"/>
    </row>
    <row r="108">
      <c r="B108" s="67" t="n"/>
      <c r="C108" s="67" t="n"/>
      <c r="D108" s="67" t="n"/>
      <c r="E108" s="67" t="n"/>
      <c r="F108" s="67" t="n"/>
      <c r="G108" s="67" t="n"/>
      <c r="H108" s="67" t="n"/>
      <c r="I108" s="67" t="n"/>
      <c r="J108" s="67" t="n"/>
      <c r="L108" s="67" t="n"/>
      <c r="M108" s="67" t="n"/>
      <c r="N108" s="67" t="n"/>
    </row>
    <row r="109">
      <c r="B109" s="67" t="n"/>
      <c r="C109" s="67" t="n"/>
      <c r="D109" s="67" t="n"/>
      <c r="E109" s="67" t="n"/>
      <c r="F109" s="67" t="n"/>
      <c r="G109" s="67" t="n"/>
      <c r="H109" s="67" t="n"/>
      <c r="I109" s="67" t="n"/>
      <c r="J109" s="67" t="n"/>
      <c r="L109" s="67" t="n"/>
      <c r="M109" s="67" t="n"/>
      <c r="N109" s="67" t="n"/>
    </row>
    <row r="110">
      <c r="B110" s="67" t="n"/>
      <c r="C110" s="67" t="n"/>
      <c r="D110" s="67" t="n"/>
      <c r="E110" s="67" t="n"/>
      <c r="F110" s="67" t="n"/>
      <c r="G110" s="67" t="n"/>
      <c r="H110" s="67" t="n"/>
      <c r="I110" s="67" t="n"/>
      <c r="J110" s="67" t="n"/>
      <c r="L110" s="67" t="n"/>
      <c r="M110" s="67" t="n"/>
      <c r="N110" s="67" t="n"/>
    </row>
    <row r="111">
      <c r="B111" s="67" t="n"/>
      <c r="C111" s="67" t="n"/>
      <c r="D111" s="67" t="n"/>
      <c r="E111" s="67" t="n"/>
      <c r="F111" s="67" t="n"/>
      <c r="G111" s="67" t="n"/>
      <c r="H111" s="67" t="n"/>
      <c r="I111" s="67" t="n"/>
      <c r="J111" s="67" t="n"/>
      <c r="L111" s="67" t="n"/>
      <c r="M111" s="67" t="n"/>
      <c r="N111" s="67" t="n"/>
    </row>
    <row r="112">
      <c r="B112" s="67" t="n"/>
      <c r="C112" s="67" t="n"/>
      <c r="D112" s="67" t="n"/>
      <c r="E112" s="67" t="n"/>
      <c r="F112" s="67" t="n"/>
      <c r="G112" s="67" t="n"/>
      <c r="H112" s="67" t="n"/>
      <c r="I112" s="67" t="n"/>
      <c r="J112" s="67" t="n"/>
      <c r="L112" s="67" t="n"/>
      <c r="M112" s="67" t="n"/>
      <c r="N112" s="67" t="n"/>
    </row>
    <row r="113">
      <c r="B113" s="67" t="n"/>
      <c r="C113" s="67" t="n"/>
      <c r="D113" s="67" t="n"/>
      <c r="E113" s="67" t="n"/>
      <c r="F113" s="67" t="n"/>
      <c r="G113" s="67" t="n"/>
      <c r="H113" s="67" t="n"/>
      <c r="I113" s="67" t="n"/>
      <c r="J113" s="67" t="n"/>
      <c r="L113" s="67" t="n"/>
      <c r="M113" s="67" t="n"/>
      <c r="N113" s="67" t="n"/>
    </row>
    <row r="114">
      <c r="B114" s="67" t="n"/>
      <c r="C114" s="67" t="n"/>
      <c r="D114" s="67" t="n"/>
      <c r="E114" s="67" t="n"/>
      <c r="F114" s="67" t="n"/>
      <c r="G114" s="67" t="n"/>
      <c r="H114" s="67" t="n"/>
      <c r="I114" s="67" t="n"/>
      <c r="J114" s="67" t="n"/>
      <c r="L114" s="67" t="n"/>
      <c r="M114" s="67" t="n"/>
      <c r="N114" s="67" t="n"/>
    </row>
    <row r="115">
      <c r="B115" s="67" t="n"/>
      <c r="C115" s="67" t="n"/>
      <c r="D115" s="67" t="n"/>
      <c r="E115" s="67" t="n"/>
      <c r="F115" s="67" t="n"/>
      <c r="G115" s="67" t="n"/>
      <c r="H115" s="67" t="n"/>
      <c r="I115" s="67" t="n"/>
      <c r="J115" s="67" t="n"/>
      <c r="L115" s="67" t="n"/>
      <c r="M115" s="67" t="n"/>
      <c r="N115" s="67" t="n"/>
    </row>
    <row r="116">
      <c r="B116" s="67" t="n"/>
      <c r="C116" s="67" t="n"/>
      <c r="D116" s="67" t="n"/>
      <c r="E116" s="67" t="n"/>
      <c r="F116" s="67" t="n"/>
      <c r="G116" s="67" t="n"/>
      <c r="H116" s="67" t="n"/>
      <c r="I116" s="67" t="n"/>
      <c r="J116" s="67" t="n"/>
      <c r="L116" s="67" t="n"/>
      <c r="M116" s="67" t="n"/>
      <c r="N116" s="67" t="n"/>
    </row>
    <row r="117">
      <c r="B117" s="67" t="n"/>
      <c r="C117" s="67" t="n"/>
      <c r="D117" s="67" t="n"/>
      <c r="E117" s="67" t="n"/>
      <c r="F117" s="67" t="n"/>
      <c r="G117" s="67" t="n"/>
      <c r="H117" s="67" t="n"/>
      <c r="I117" s="67" t="n"/>
      <c r="J117" s="67" t="n"/>
      <c r="L117" s="67" t="n"/>
      <c r="M117" s="67" t="n"/>
      <c r="N117" s="67" t="n"/>
    </row>
    <row r="118">
      <c r="B118" s="67" t="n"/>
      <c r="C118" s="67" t="n"/>
      <c r="D118" s="67" t="n"/>
      <c r="E118" s="67" t="n"/>
      <c r="F118" s="67" t="n"/>
      <c r="G118" s="67" t="n"/>
      <c r="H118" s="67" t="n"/>
      <c r="I118" s="67" t="n"/>
      <c r="J118" s="67" t="n"/>
      <c r="L118" s="67" t="n"/>
      <c r="M118" s="67" t="n"/>
      <c r="N118" s="67" t="n"/>
    </row>
    <row r="119">
      <c r="B119" s="67" t="n"/>
      <c r="C119" s="67" t="n"/>
      <c r="D119" s="67" t="n"/>
      <c r="E119" s="67" t="n"/>
      <c r="F119" s="67" t="n"/>
      <c r="G119" s="67" t="n"/>
      <c r="H119" s="67" t="n"/>
      <c r="I119" s="67" t="n"/>
      <c r="J119" s="67" t="n"/>
      <c r="L119" s="67" t="n"/>
      <c r="M119" s="67" t="n"/>
      <c r="N119" s="67" t="n"/>
    </row>
    <row r="120">
      <c r="B120" s="67" t="n"/>
      <c r="C120" s="67" t="n"/>
      <c r="D120" s="67" t="n"/>
      <c r="E120" s="67" t="n"/>
      <c r="F120" s="67" t="n"/>
      <c r="G120" s="67" t="n"/>
      <c r="H120" s="67" t="n"/>
      <c r="I120" s="67" t="n"/>
      <c r="J120" s="67" t="n"/>
      <c r="L120" s="67" t="n"/>
      <c r="M120" s="67" t="n"/>
      <c r="N120" s="67" t="n"/>
    </row>
    <row r="121">
      <c r="B121" s="67" t="n"/>
      <c r="C121" s="67" t="n"/>
      <c r="D121" s="67" t="n"/>
      <c r="E121" s="67" t="n"/>
      <c r="F121" s="67" t="n"/>
      <c r="G121" s="67" t="n"/>
      <c r="H121" s="67" t="n"/>
      <c r="I121" s="67" t="n"/>
      <c r="J121" s="67" t="n"/>
      <c r="L121" s="67" t="n"/>
      <c r="M121" s="67" t="n"/>
      <c r="N121" s="67" t="n"/>
    </row>
    <row r="122">
      <c r="B122" s="67" t="n"/>
      <c r="C122" s="67" t="n"/>
      <c r="D122" s="67" t="n"/>
      <c r="E122" s="67" t="n"/>
      <c r="F122" s="67" t="n"/>
      <c r="G122" s="67" t="n"/>
      <c r="H122" s="67" t="n"/>
      <c r="I122" s="67" t="n"/>
      <c r="J122" s="67" t="n"/>
      <c r="L122" s="67" t="n"/>
      <c r="M122" s="67" t="n"/>
      <c r="N122" s="67" t="n"/>
    </row>
    <row r="123">
      <c r="B123" s="67" t="n"/>
      <c r="C123" s="67" t="n"/>
      <c r="D123" s="67" t="n"/>
      <c r="E123" s="67" t="n"/>
      <c r="F123" s="67" t="n"/>
      <c r="G123" s="67" t="n"/>
      <c r="H123" s="67" t="n"/>
      <c r="I123" s="67" t="n"/>
      <c r="J123" s="67" t="n"/>
      <c r="L123" s="67" t="n"/>
      <c r="M123" s="67" t="n"/>
      <c r="N123" s="67" t="n"/>
    </row>
    <row r="124">
      <c r="B124" s="67" t="n"/>
      <c r="C124" s="67" t="n"/>
      <c r="D124" s="67" t="n"/>
      <c r="E124" s="67" t="n"/>
      <c r="F124" s="67" t="n"/>
      <c r="G124" s="67" t="n"/>
      <c r="H124" s="67" t="n"/>
      <c r="I124" s="67" t="n"/>
      <c r="J124" s="67" t="n"/>
      <c r="L124" s="67" t="n"/>
      <c r="M124" s="67" t="n"/>
      <c r="N124" s="67" t="n"/>
    </row>
    <row r="125">
      <c r="B125" s="67" t="n"/>
      <c r="C125" s="67" t="n"/>
      <c r="D125" s="67" t="n"/>
      <c r="E125" s="67" t="n"/>
      <c r="F125" s="67" t="n"/>
      <c r="G125" s="67" t="n"/>
      <c r="H125" s="67" t="n"/>
      <c r="I125" s="67" t="n"/>
      <c r="J125" s="67" t="n"/>
      <c r="L125" s="67" t="n"/>
      <c r="M125" s="67" t="n"/>
      <c r="N125" s="67" t="n"/>
    </row>
    <row r="126">
      <c r="B126" s="67" t="n"/>
      <c r="C126" s="67" t="n"/>
      <c r="D126" s="67" t="n"/>
      <c r="E126" s="67" t="n"/>
      <c r="F126" s="67" t="n"/>
      <c r="G126" s="67" t="n"/>
      <c r="H126" s="67" t="n"/>
      <c r="I126" s="67" t="n"/>
      <c r="J126" s="67" t="n"/>
      <c r="L126" s="67" t="n"/>
      <c r="M126" s="67" t="n"/>
      <c r="N126" s="67" t="n"/>
    </row>
    <row r="127">
      <c r="B127" s="67" t="n"/>
      <c r="C127" s="67" t="n"/>
      <c r="D127" s="67" t="n"/>
      <c r="E127" s="67" t="n"/>
      <c r="F127" s="67" t="n"/>
      <c r="G127" s="67" t="n"/>
      <c r="H127" s="67" t="n"/>
      <c r="I127" s="67" t="n"/>
      <c r="J127" s="67" t="n"/>
      <c r="L127" s="67" t="n"/>
      <c r="M127" s="67" t="n"/>
      <c r="N127" s="67" t="n"/>
    </row>
    <row r="128">
      <c r="B128" s="67" t="n"/>
      <c r="C128" s="67" t="n"/>
      <c r="D128" s="67" t="n"/>
      <c r="E128" s="67" t="n"/>
      <c r="F128" s="67" t="n"/>
      <c r="G128" s="67" t="n"/>
      <c r="H128" s="67" t="n"/>
      <c r="I128" s="67" t="n"/>
      <c r="J128" s="67" t="n"/>
      <c r="L128" s="67" t="n"/>
      <c r="M128" s="67" t="n"/>
      <c r="N128" s="67" t="n"/>
    </row>
    <row r="129">
      <c r="B129" s="67" t="n"/>
      <c r="C129" s="67" t="n"/>
      <c r="D129" s="67" t="n"/>
      <c r="E129" s="67" t="n"/>
      <c r="F129" s="67" t="n"/>
      <c r="G129" s="67" t="n"/>
      <c r="H129" s="67" t="n"/>
      <c r="I129" s="67" t="n"/>
      <c r="J129" s="67" t="n"/>
      <c r="L129" s="67" t="n"/>
      <c r="M129" s="67" t="n"/>
      <c r="N129" s="67" t="n"/>
    </row>
    <row r="130">
      <c r="B130" s="67" t="n"/>
      <c r="C130" s="67" t="n"/>
      <c r="D130" s="67" t="n"/>
      <c r="E130" s="67" t="n"/>
      <c r="F130" s="67" t="n"/>
      <c r="G130" s="67" t="n"/>
      <c r="H130" s="67" t="n"/>
      <c r="I130" s="67" t="n"/>
      <c r="J130" s="67" t="n"/>
      <c r="L130" s="67" t="n"/>
      <c r="M130" s="67" t="n"/>
      <c r="N130" s="67" t="n"/>
    </row>
    <row r="131">
      <c r="B131" s="67" t="n"/>
      <c r="C131" s="67" t="n"/>
      <c r="D131" s="67" t="n"/>
      <c r="E131" s="67" t="n"/>
      <c r="F131" s="67" t="n"/>
      <c r="G131" s="67" t="n"/>
      <c r="H131" s="67" t="n"/>
      <c r="I131" s="67" t="n"/>
      <c r="J131" s="67" t="n"/>
      <c r="L131" s="67" t="n"/>
      <c r="M131" s="67" t="n"/>
      <c r="N131" s="67" t="n"/>
    </row>
    <row r="132">
      <c r="B132" s="67" t="n"/>
      <c r="C132" s="67" t="n"/>
      <c r="D132" s="67" t="n"/>
      <c r="E132" s="67" t="n"/>
      <c r="F132" s="67" t="n"/>
      <c r="G132" s="67" t="n"/>
      <c r="H132" s="67" t="n"/>
      <c r="I132" s="67" t="n"/>
      <c r="J132" s="67" t="n"/>
      <c r="L132" s="67" t="n"/>
      <c r="M132" s="67" t="n"/>
      <c r="N132" s="67" t="n"/>
    </row>
    <row r="133">
      <c r="B133" s="67" t="n"/>
      <c r="C133" s="67" t="n"/>
      <c r="D133" s="67" t="n"/>
      <c r="E133" s="67" t="n"/>
      <c r="F133" s="67" t="n"/>
      <c r="G133" s="67" t="n"/>
      <c r="H133" s="67" t="n"/>
      <c r="I133" s="67" t="n"/>
      <c r="J133" s="67" t="n"/>
      <c r="L133" s="67" t="n"/>
      <c r="M133" s="67" t="n"/>
      <c r="N133" s="67" t="n"/>
    </row>
    <row r="134">
      <c r="B134" s="67" t="n"/>
      <c r="C134" s="67" t="n"/>
      <c r="D134" s="67" t="n"/>
      <c r="E134" s="67" t="n"/>
      <c r="F134" s="67" t="n"/>
      <c r="G134" s="67" t="n"/>
      <c r="H134" s="67" t="n"/>
      <c r="I134" s="67" t="n"/>
      <c r="J134" s="67" t="n"/>
      <c r="L134" s="67" t="n"/>
      <c r="M134" s="67" t="n"/>
      <c r="N134" s="67" t="n"/>
    </row>
    <row r="135">
      <c r="B135" s="67" t="n"/>
      <c r="C135" s="67" t="n"/>
      <c r="D135" s="67" t="n"/>
      <c r="E135" s="67" t="n"/>
      <c r="F135" s="67" t="n"/>
      <c r="G135" s="67" t="n"/>
      <c r="H135" s="67" t="n"/>
      <c r="I135" s="67" t="n"/>
      <c r="J135" s="67" t="n"/>
      <c r="L135" s="67" t="n"/>
      <c r="M135" s="67" t="n"/>
      <c r="N135" s="67" t="n"/>
    </row>
    <row r="136">
      <c r="B136" s="67" t="n"/>
      <c r="C136" s="67" t="n"/>
      <c r="D136" s="67" t="n"/>
      <c r="E136" s="67" t="n"/>
      <c r="F136" s="67" t="n"/>
      <c r="G136" s="67" t="n"/>
      <c r="H136" s="67" t="n"/>
      <c r="I136" s="67" t="n"/>
      <c r="J136" s="67" t="n"/>
      <c r="L136" s="67" t="n"/>
      <c r="M136" s="67" t="n"/>
      <c r="N136" s="67" t="n"/>
    </row>
    <row r="137">
      <c r="B137" s="67" t="n"/>
      <c r="C137" s="67" t="n"/>
      <c r="D137" s="67" t="n"/>
      <c r="E137" s="67" t="n"/>
      <c r="F137" s="67" t="n"/>
      <c r="G137" s="67" t="n"/>
      <c r="H137" s="67" t="n"/>
      <c r="I137" s="67" t="n"/>
      <c r="J137" s="67" t="n"/>
      <c r="L137" s="67" t="n"/>
      <c r="M137" s="67" t="n"/>
      <c r="N137" s="67" t="n"/>
    </row>
    <row r="138">
      <c r="B138" s="67" t="n"/>
      <c r="C138" s="67" t="n"/>
      <c r="D138" s="67" t="n"/>
      <c r="E138" s="67" t="n"/>
      <c r="F138" s="67" t="n"/>
      <c r="G138" s="67" t="n"/>
      <c r="H138" s="67" t="n"/>
      <c r="I138" s="67" t="n"/>
      <c r="J138" s="67" t="n"/>
      <c r="L138" s="67" t="n"/>
      <c r="M138" s="67" t="n"/>
      <c r="N138" s="67" t="n"/>
    </row>
    <row r="139">
      <c r="B139" s="67" t="n"/>
      <c r="C139" s="67" t="n"/>
      <c r="D139" s="67" t="n"/>
      <c r="E139" s="67" t="n"/>
      <c r="F139" s="67" t="n"/>
      <c r="G139" s="67" t="n"/>
      <c r="H139" s="67" t="n"/>
      <c r="I139" s="67" t="n"/>
      <c r="J139" s="67" t="n"/>
      <c r="L139" s="67" t="n"/>
      <c r="M139" s="67" t="n"/>
      <c r="N139" s="67" t="n"/>
    </row>
    <row r="140">
      <c r="B140" s="67" t="n"/>
      <c r="C140" s="67" t="n"/>
      <c r="D140" s="67" t="n"/>
      <c r="E140" s="67" t="n"/>
      <c r="F140" s="67" t="n"/>
      <c r="G140" s="67" t="n"/>
      <c r="H140" s="67" t="n"/>
      <c r="I140" s="67" t="n"/>
      <c r="J140" s="67" t="n"/>
      <c r="L140" s="67" t="n"/>
      <c r="M140" s="67" t="n"/>
      <c r="N140" s="67" t="n"/>
    </row>
    <row r="141">
      <c r="B141" s="67" t="n"/>
      <c r="C141" s="67" t="n"/>
      <c r="D141" s="67" t="n"/>
      <c r="E141" s="67" t="n"/>
      <c r="F141" s="67" t="n"/>
      <c r="G141" s="67" t="n"/>
      <c r="H141" s="67" t="n"/>
      <c r="I141" s="67" t="n"/>
      <c r="J141" s="67" t="n"/>
      <c r="L141" s="67" t="n"/>
      <c r="M141" s="67" t="n"/>
      <c r="N141" s="67" t="n"/>
    </row>
    <row r="142">
      <c r="B142" s="67" t="n"/>
      <c r="C142" s="67" t="n"/>
      <c r="D142" s="67" t="n"/>
      <c r="E142" s="67" t="n"/>
      <c r="F142" s="67" t="n"/>
      <c r="G142" s="67" t="n"/>
      <c r="H142" s="67" t="n"/>
      <c r="I142" s="67" t="n"/>
      <c r="J142" s="67" t="n"/>
      <c r="L142" s="67" t="n"/>
      <c r="M142" s="67" t="n"/>
      <c r="N142" s="67" t="n"/>
    </row>
    <row r="143">
      <c r="B143" s="67" t="n"/>
      <c r="C143" s="67" t="n"/>
      <c r="D143" s="67" t="n"/>
      <c r="E143" s="67" t="n"/>
      <c r="F143" s="67" t="n"/>
      <c r="G143" s="67" t="n"/>
      <c r="H143" s="67" t="n"/>
      <c r="I143" s="67" t="n"/>
      <c r="J143" s="67" t="n"/>
      <c r="L143" s="67" t="n"/>
      <c r="M143" s="67" t="n"/>
      <c r="N143" s="67" t="n"/>
    </row>
    <row r="144">
      <c r="B144" s="67" t="n"/>
      <c r="C144" s="67" t="n"/>
      <c r="D144" s="67" t="n"/>
      <c r="E144" s="67" t="n"/>
      <c r="F144" s="67" t="n"/>
      <c r="G144" s="67" t="n"/>
      <c r="H144" s="67" t="n"/>
      <c r="I144" s="67" t="n"/>
      <c r="J144" s="67" t="n"/>
      <c r="L144" s="67" t="n"/>
      <c r="M144" s="67" t="n"/>
      <c r="N144" s="67" t="n"/>
    </row>
    <row r="145">
      <c r="B145" s="67" t="n"/>
      <c r="C145" s="67" t="n"/>
      <c r="D145" s="67" t="n"/>
      <c r="E145" s="67" t="n"/>
      <c r="F145" s="67" t="n"/>
      <c r="G145" s="67" t="n"/>
      <c r="H145" s="67" t="n"/>
      <c r="I145" s="67" t="n"/>
      <c r="J145" s="67" t="n"/>
      <c r="L145" s="67" t="n"/>
      <c r="M145" s="67" t="n"/>
      <c r="N145" s="67" t="n"/>
    </row>
    <row r="146">
      <c r="B146" s="67" t="n"/>
      <c r="C146" s="67" t="n"/>
      <c r="D146" s="67" t="n"/>
      <c r="E146" s="67" t="n"/>
      <c r="F146" s="67" t="n"/>
      <c r="G146" s="67" t="n"/>
      <c r="H146" s="67" t="n"/>
      <c r="I146" s="67" t="n"/>
      <c r="J146" s="67" t="n"/>
      <c r="L146" s="67" t="n"/>
      <c r="M146" s="67" t="n"/>
      <c r="N146" s="67" t="n"/>
    </row>
    <row r="147">
      <c r="B147" s="67" t="n"/>
      <c r="C147" s="67" t="n"/>
      <c r="D147" s="67" t="n"/>
      <c r="E147" s="67" t="n"/>
      <c r="F147" s="67" t="n"/>
      <c r="G147" s="67" t="n"/>
      <c r="H147" s="67" t="n"/>
      <c r="I147" s="67" t="n"/>
      <c r="J147" s="67" t="n"/>
      <c r="L147" s="67" t="n"/>
      <c r="M147" s="67" t="n"/>
      <c r="N147" s="67" t="n"/>
    </row>
    <row r="148">
      <c r="B148" s="67" t="n"/>
      <c r="C148" s="67" t="n"/>
      <c r="D148" s="67" t="n"/>
      <c r="E148" s="67" t="n"/>
      <c r="F148" s="67" t="n"/>
      <c r="G148" s="67" t="n"/>
      <c r="H148" s="67" t="n"/>
      <c r="I148" s="67" t="n"/>
      <c r="J148" s="67" t="n"/>
      <c r="L148" s="67" t="n"/>
      <c r="M148" s="67" t="n"/>
      <c r="N148" s="67" t="n"/>
    </row>
    <row r="149">
      <c r="B149" s="67" t="n"/>
      <c r="C149" s="67" t="n"/>
      <c r="D149" s="67" t="n"/>
      <c r="E149" s="67" t="n"/>
      <c r="F149" s="67" t="n"/>
      <c r="G149" s="67" t="n"/>
      <c r="H149" s="67" t="n"/>
      <c r="I149" s="67" t="n"/>
      <c r="J149" s="67" t="n"/>
      <c r="L149" s="67" t="n"/>
      <c r="M149" s="67" t="n"/>
      <c r="N149" s="67" t="n"/>
    </row>
    <row r="150">
      <c r="B150" s="67" t="n"/>
      <c r="C150" s="67" t="n"/>
      <c r="D150" s="67" t="n"/>
      <c r="E150" s="67" t="n"/>
      <c r="F150" s="67" t="n"/>
      <c r="G150" s="67" t="n"/>
      <c r="H150" s="67" t="n"/>
      <c r="I150" s="67" t="n"/>
      <c r="J150" s="67" t="n"/>
      <c r="L150" s="67" t="n"/>
      <c r="M150" s="67" t="n"/>
      <c r="N150" s="67" t="n"/>
    </row>
    <row r="151">
      <c r="B151" s="67" t="n"/>
      <c r="C151" s="67" t="n"/>
      <c r="D151" s="67" t="n"/>
      <c r="E151" s="67" t="n"/>
      <c r="F151" s="67" t="n"/>
      <c r="G151" s="67" t="n"/>
      <c r="H151" s="67" t="n"/>
      <c r="I151" s="67" t="n"/>
      <c r="J151" s="67" t="n"/>
      <c r="L151" s="67" t="n"/>
      <c r="M151" s="67" t="n"/>
      <c r="N151" s="67" t="n"/>
    </row>
    <row r="152">
      <c r="B152" s="67" t="n"/>
      <c r="C152" s="67" t="n"/>
      <c r="D152" s="67" t="n"/>
      <c r="E152" s="67" t="n"/>
      <c r="F152" s="67" t="n"/>
      <c r="G152" s="67" t="n"/>
      <c r="H152" s="67" t="n"/>
      <c r="I152" s="67" t="n"/>
      <c r="J152" s="67" t="n"/>
      <c r="L152" s="67" t="n"/>
      <c r="M152" s="67" t="n"/>
      <c r="N152" s="67" t="n"/>
    </row>
    <row r="153">
      <c r="B153" s="67" t="n"/>
      <c r="C153" s="67" t="n"/>
      <c r="D153" s="67" t="n"/>
      <c r="E153" s="67" t="n"/>
      <c r="F153" s="67" t="n"/>
      <c r="G153" s="67" t="n"/>
      <c r="H153" s="67" t="n"/>
      <c r="I153" s="67" t="n"/>
      <c r="J153" s="67" t="n"/>
      <c r="L153" s="67" t="n"/>
      <c r="M153" s="67" t="n"/>
      <c r="N153" s="67" t="n"/>
    </row>
    <row r="154">
      <c r="B154" s="67" t="n"/>
      <c r="C154" s="67" t="n"/>
      <c r="D154" s="67" t="n"/>
      <c r="E154" s="67" t="n"/>
      <c r="F154" s="67" t="n"/>
      <c r="G154" s="67" t="n"/>
      <c r="H154" s="67" t="n"/>
      <c r="I154" s="67" t="n"/>
      <c r="J154" s="67" t="n"/>
      <c r="L154" s="67" t="n"/>
      <c r="M154" s="67" t="n"/>
      <c r="N154" s="67" t="n"/>
    </row>
    <row r="155">
      <c r="B155" s="67" t="n"/>
      <c r="C155" s="67" t="n"/>
      <c r="D155" s="67" t="n"/>
      <c r="E155" s="67" t="n"/>
      <c r="F155" s="67" t="n"/>
      <c r="G155" s="67" t="n"/>
      <c r="H155" s="67" t="n"/>
      <c r="I155" s="67" t="n"/>
      <c r="J155" s="67" t="n"/>
      <c r="L155" s="67" t="n"/>
      <c r="M155" s="67" t="n"/>
      <c r="N155" s="67" t="n"/>
    </row>
    <row r="156">
      <c r="B156" s="67" t="n"/>
      <c r="C156" s="67" t="n"/>
      <c r="D156" s="67" t="n"/>
      <c r="E156" s="67" t="n"/>
      <c r="F156" s="67" t="n"/>
      <c r="G156" s="67" t="n"/>
      <c r="H156" s="67" t="n"/>
      <c r="I156" s="67" t="n"/>
      <c r="J156" s="67" t="n"/>
      <c r="L156" s="67" t="n"/>
      <c r="M156" s="67" t="n"/>
      <c r="N156" s="67" t="n"/>
    </row>
    <row r="157">
      <c r="B157" s="67" t="n"/>
      <c r="C157" s="67" t="n"/>
      <c r="D157" s="67" t="n"/>
      <c r="E157" s="67" t="n"/>
      <c r="F157" s="67" t="n"/>
      <c r="G157" s="67" t="n"/>
      <c r="H157" s="67" t="n"/>
      <c r="I157" s="67" t="n"/>
      <c r="J157" s="67" t="n"/>
      <c r="L157" s="67" t="n"/>
      <c r="M157" s="67" t="n"/>
      <c r="N157" s="67" t="n"/>
    </row>
    <row r="158">
      <c r="B158" s="67" t="n"/>
      <c r="C158" s="67" t="n"/>
      <c r="D158" s="67" t="n"/>
      <c r="E158" s="67" t="n"/>
      <c r="F158" s="67" t="n"/>
      <c r="G158" s="67" t="n"/>
      <c r="H158" s="67" t="n"/>
      <c r="I158" s="67" t="n"/>
      <c r="J158" s="67" t="n"/>
      <c r="L158" s="67" t="n"/>
      <c r="M158" s="67" t="n"/>
      <c r="N158" s="67" t="n"/>
    </row>
    <row r="159">
      <c r="B159" s="67" t="n"/>
      <c r="C159" s="67" t="n"/>
      <c r="D159" s="67" t="n"/>
      <c r="E159" s="67" t="n"/>
      <c r="F159" s="67" t="n"/>
      <c r="G159" s="67" t="n"/>
      <c r="H159" s="67" t="n"/>
      <c r="I159" s="67" t="n"/>
      <c r="J159" s="67" t="n"/>
      <c r="L159" s="67" t="n"/>
      <c r="M159" s="67" t="n"/>
      <c r="N159" s="67" t="n"/>
    </row>
    <row r="160">
      <c r="B160" s="67" t="n"/>
      <c r="C160" s="67" t="n"/>
      <c r="D160" s="67" t="n"/>
      <c r="E160" s="67" t="n"/>
      <c r="F160" s="67" t="n"/>
      <c r="G160" s="67" t="n"/>
      <c r="H160" s="67" t="n"/>
      <c r="I160" s="67" t="n"/>
      <c r="J160" s="67" t="n"/>
      <c r="L160" s="67" t="n"/>
      <c r="M160" s="67" t="n"/>
      <c r="N160" s="67" t="n"/>
    </row>
    <row r="161">
      <c r="B161" s="67" t="n"/>
      <c r="C161" s="67" t="n"/>
      <c r="D161" s="67" t="n"/>
      <c r="E161" s="67" t="n"/>
      <c r="F161" s="67" t="n"/>
      <c r="G161" s="67" t="n"/>
      <c r="H161" s="67" t="n"/>
      <c r="I161" s="67" t="n"/>
      <c r="J161" s="67" t="n"/>
      <c r="L161" s="67" t="n"/>
      <c r="M161" s="67" t="n"/>
      <c r="N161" s="67" t="n"/>
    </row>
    <row r="162">
      <c r="B162" s="67" t="n"/>
      <c r="C162" s="67" t="n"/>
      <c r="D162" s="67" t="n"/>
      <c r="E162" s="67" t="n"/>
      <c r="F162" s="67" t="n"/>
      <c r="G162" s="67" t="n"/>
      <c r="H162" s="67" t="n"/>
      <c r="I162" s="67" t="n"/>
      <c r="J162" s="67" t="n"/>
      <c r="L162" s="67" t="n"/>
      <c r="M162" s="67" t="n"/>
      <c r="N162" s="67" t="n"/>
    </row>
    <row r="163">
      <c r="B163" s="67" t="n"/>
      <c r="C163" s="67" t="n"/>
      <c r="D163" s="67" t="n"/>
      <c r="E163" s="67" t="n"/>
      <c r="F163" s="67" t="n"/>
      <c r="G163" s="67" t="n"/>
      <c r="H163" s="67" t="n"/>
      <c r="I163" s="67" t="n"/>
      <c r="J163" s="67" t="n"/>
      <c r="L163" s="67" t="n"/>
      <c r="M163" s="67" t="n"/>
      <c r="N163" s="67" t="n"/>
    </row>
    <row r="164">
      <c r="B164" s="67" t="n"/>
      <c r="C164" s="67" t="n"/>
      <c r="D164" s="67" t="n"/>
      <c r="E164" s="67" t="n"/>
      <c r="F164" s="67" t="n"/>
      <c r="G164" s="67" t="n"/>
      <c r="H164" s="67" t="n"/>
      <c r="I164" s="67" t="n"/>
      <c r="J164" s="67" t="n"/>
      <c r="L164" s="67" t="n"/>
      <c r="M164" s="67" t="n"/>
      <c r="N164" s="67" t="n"/>
    </row>
    <row r="165">
      <c r="B165" s="67" t="n"/>
      <c r="C165" s="67" t="n"/>
      <c r="D165" s="67" t="n"/>
      <c r="E165" s="67" t="n"/>
      <c r="F165" s="67" t="n"/>
      <c r="G165" s="67" t="n"/>
      <c r="H165" s="67" t="n"/>
      <c r="I165" s="67" t="n"/>
      <c r="J165" s="67" t="n"/>
      <c r="L165" s="67" t="n"/>
      <c r="M165" s="67" t="n"/>
      <c r="N165" s="67" t="n"/>
    </row>
    <row r="166">
      <c r="B166" s="67" t="n"/>
      <c r="C166" s="67" t="n"/>
      <c r="D166" s="67" t="n"/>
      <c r="E166" s="67" t="n"/>
      <c r="F166" s="67" t="n"/>
      <c r="G166" s="67" t="n"/>
      <c r="H166" s="67" t="n"/>
      <c r="I166" s="67" t="n"/>
      <c r="J166" s="67" t="n"/>
      <c r="L166" s="67" t="n"/>
      <c r="M166" s="67" t="n"/>
      <c r="N166" s="67" t="n"/>
    </row>
    <row r="167">
      <c r="B167" s="67" t="n"/>
      <c r="C167" s="67" t="n"/>
      <c r="D167" s="67" t="n"/>
      <c r="E167" s="67" t="n"/>
      <c r="F167" s="67" t="n"/>
      <c r="G167" s="67" t="n"/>
      <c r="H167" s="67" t="n"/>
      <c r="I167" s="67" t="n"/>
      <c r="J167" s="67" t="n"/>
      <c r="L167" s="67" t="n"/>
      <c r="M167" s="67" t="n"/>
      <c r="N167" s="67" t="n"/>
    </row>
    <row r="168">
      <c r="B168" s="67" t="n"/>
      <c r="C168" s="67" t="n"/>
      <c r="D168" s="67" t="n"/>
      <c r="E168" s="67" t="n"/>
      <c r="F168" s="67" t="n"/>
      <c r="G168" s="67" t="n"/>
      <c r="H168" s="67" t="n"/>
      <c r="I168" s="67" t="n"/>
      <c r="J168" s="67" t="n"/>
      <c r="L168" s="67" t="n"/>
      <c r="M168" s="67" t="n"/>
      <c r="N168" s="67" t="n"/>
    </row>
    <row r="169">
      <c r="B169" s="67" t="n"/>
      <c r="C169" s="67" t="n"/>
      <c r="D169" s="67" t="n"/>
      <c r="E169" s="67" t="n"/>
      <c r="F169" s="67" t="n"/>
      <c r="G169" s="67" t="n"/>
      <c r="H169" s="67" t="n"/>
      <c r="I169" s="67" t="n"/>
      <c r="J169" s="67" t="n"/>
      <c r="L169" s="67" t="n"/>
      <c r="M169" s="67" t="n"/>
      <c r="N169" s="67" t="n"/>
    </row>
    <row r="170">
      <c r="B170" s="67" t="n"/>
      <c r="C170" s="67" t="n"/>
      <c r="D170" s="67" t="n"/>
      <c r="E170" s="67" t="n"/>
      <c r="F170" s="67" t="n"/>
      <c r="G170" s="67" t="n"/>
      <c r="H170" s="67" t="n"/>
      <c r="I170" s="67" t="n"/>
      <c r="J170" s="67" t="n"/>
      <c r="L170" s="67" t="n"/>
      <c r="M170" s="67" t="n"/>
      <c r="N170" s="67" t="n"/>
    </row>
    <row r="171">
      <c r="B171" s="67" t="n"/>
      <c r="C171" s="67" t="n"/>
      <c r="D171" s="67" t="n"/>
      <c r="E171" s="67" t="n"/>
      <c r="F171" s="67" t="n"/>
      <c r="G171" s="67" t="n"/>
      <c r="H171" s="67" t="n"/>
      <c r="I171" s="67" t="n"/>
      <c r="J171" s="67" t="n"/>
      <c r="L171" s="67" t="n"/>
      <c r="M171" s="67" t="n"/>
      <c r="N171" s="67" t="n"/>
    </row>
    <row r="172">
      <c r="B172" s="67" t="n"/>
      <c r="C172" s="67" t="n"/>
      <c r="D172" s="67" t="n"/>
      <c r="E172" s="67" t="n"/>
      <c r="F172" s="67" t="n"/>
      <c r="G172" s="67" t="n"/>
      <c r="H172" s="67" t="n"/>
      <c r="I172" s="67" t="n"/>
      <c r="J172" s="67" t="n"/>
      <c r="L172" s="67" t="n"/>
      <c r="M172" s="67" t="n"/>
      <c r="N172" s="67" t="n"/>
    </row>
    <row r="173">
      <c r="B173" s="67" t="n"/>
      <c r="C173" s="67" t="n"/>
      <c r="D173" s="67" t="n"/>
      <c r="E173" s="67" t="n"/>
      <c r="F173" s="67" t="n"/>
      <c r="G173" s="67" t="n"/>
      <c r="H173" s="67" t="n"/>
      <c r="I173" s="67" t="n"/>
      <c r="J173" s="67" t="n"/>
      <c r="L173" s="67" t="n"/>
      <c r="M173" s="67" t="n"/>
      <c r="N173" s="67" t="n"/>
    </row>
    <row r="174">
      <c r="B174" s="67" t="n"/>
      <c r="C174" s="67" t="n"/>
      <c r="D174" s="67" t="n"/>
      <c r="E174" s="67" t="n"/>
      <c r="F174" s="67" t="n"/>
      <c r="G174" s="67" t="n"/>
      <c r="H174" s="67" t="n"/>
      <c r="I174" s="67" t="n"/>
      <c r="J174" s="67" t="n"/>
      <c r="L174" s="67" t="n"/>
      <c r="M174" s="67" t="n"/>
      <c r="N174" s="67" t="n"/>
    </row>
    <row r="175">
      <c r="B175" s="67" t="n"/>
      <c r="C175" s="67" t="n"/>
      <c r="D175" s="67" t="n"/>
      <c r="E175" s="67" t="n"/>
      <c r="F175" s="67" t="n"/>
      <c r="G175" s="67" t="n"/>
      <c r="H175" s="67" t="n"/>
      <c r="I175" s="67" t="n"/>
      <c r="J175" s="67" t="n"/>
      <c r="L175" s="67" t="n"/>
      <c r="M175" s="67" t="n"/>
      <c r="N175" s="67" t="n"/>
    </row>
    <row r="176">
      <c r="B176" s="67" t="n"/>
      <c r="C176" s="67" t="n"/>
      <c r="D176" s="67" t="n"/>
      <c r="E176" s="67" t="n"/>
      <c r="F176" s="67" t="n"/>
      <c r="G176" s="67" t="n"/>
      <c r="H176" s="67" t="n"/>
      <c r="I176" s="67" t="n"/>
      <c r="J176" s="67" t="n"/>
      <c r="L176" s="67" t="n"/>
      <c r="M176" s="67" t="n"/>
      <c r="N176" s="67" t="n"/>
    </row>
    <row r="177">
      <c r="B177" s="67" t="n"/>
      <c r="C177" s="67" t="n"/>
      <c r="D177" s="67" t="n"/>
      <c r="E177" s="67" t="n"/>
      <c r="F177" s="67" t="n"/>
      <c r="G177" s="67" t="n"/>
      <c r="H177" s="67" t="n"/>
      <c r="I177" s="67" t="n"/>
      <c r="J177" s="67" t="n"/>
      <c r="L177" s="67" t="n"/>
      <c r="M177" s="67" t="n"/>
      <c r="N177" s="67" t="n"/>
    </row>
    <row r="178">
      <c r="B178" s="67" t="n"/>
      <c r="C178" s="67" t="n"/>
      <c r="D178" s="67" t="n"/>
      <c r="E178" s="67" t="n"/>
      <c r="F178" s="67" t="n"/>
      <c r="G178" s="67" t="n"/>
      <c r="H178" s="67" t="n"/>
      <c r="I178" s="67" t="n"/>
      <c r="J178" s="67" t="n"/>
      <c r="L178" s="67" t="n"/>
      <c r="M178" s="67" t="n"/>
      <c r="N178" s="67" t="n"/>
    </row>
    <row r="179">
      <c r="B179" s="67" t="n"/>
      <c r="C179" s="67" t="n"/>
      <c r="D179" s="67" t="n"/>
      <c r="E179" s="67" t="n"/>
      <c r="F179" s="67" t="n"/>
      <c r="G179" s="67" t="n"/>
      <c r="H179" s="67" t="n"/>
      <c r="I179" s="67" t="n"/>
      <c r="J179" s="67" t="n"/>
      <c r="L179" s="67" t="n"/>
      <c r="M179" s="67" t="n"/>
      <c r="N179" s="67" t="n"/>
    </row>
    <row r="180">
      <c r="B180" s="67" t="n"/>
      <c r="C180" s="67" t="n"/>
      <c r="D180" s="67" t="n"/>
      <c r="E180" s="67" t="n"/>
      <c r="F180" s="67" t="n"/>
      <c r="G180" s="67" t="n"/>
      <c r="H180" s="67" t="n"/>
      <c r="I180" s="67" t="n"/>
      <c r="J180" s="67" t="n"/>
      <c r="L180" s="67" t="n"/>
      <c r="M180" s="67" t="n"/>
      <c r="N180" s="67" t="n"/>
    </row>
    <row r="181">
      <c r="B181" s="67" t="n"/>
      <c r="C181" s="67" t="n"/>
      <c r="D181" s="67" t="n"/>
      <c r="E181" s="67" t="n"/>
      <c r="F181" s="67" t="n"/>
      <c r="G181" s="67" t="n"/>
      <c r="H181" s="67" t="n"/>
      <c r="I181" s="67" t="n"/>
      <c r="J181" s="67" t="n"/>
      <c r="L181" s="67" t="n"/>
      <c r="M181" s="67" t="n"/>
      <c r="N181" s="67" t="n"/>
    </row>
    <row r="182">
      <c r="B182" s="67" t="n"/>
      <c r="C182" s="67" t="n"/>
      <c r="D182" s="67" t="n"/>
      <c r="E182" s="67" t="n"/>
      <c r="F182" s="67" t="n"/>
      <c r="G182" s="67" t="n"/>
      <c r="H182" s="67" t="n"/>
      <c r="I182" s="67" t="n"/>
      <c r="J182" s="67" t="n"/>
      <c r="L182" s="67" t="n"/>
      <c r="M182" s="67" t="n"/>
      <c r="N182" s="67" t="n"/>
    </row>
    <row r="183">
      <c r="B183" s="67" t="n"/>
      <c r="C183" s="67" t="n"/>
      <c r="D183" s="67" t="n"/>
      <c r="E183" s="67" t="n"/>
      <c r="F183" s="67" t="n"/>
      <c r="G183" s="67" t="n"/>
      <c r="H183" s="67" t="n"/>
      <c r="I183" s="67" t="n"/>
      <c r="J183" s="67" t="n"/>
      <c r="L183" s="67" t="n"/>
      <c r="M183" s="67" t="n"/>
      <c r="N183" s="67" t="n"/>
    </row>
    <row r="184">
      <c r="B184" s="67" t="n"/>
      <c r="C184" s="67" t="n"/>
      <c r="D184" s="67" t="n"/>
      <c r="E184" s="67" t="n"/>
      <c r="F184" s="67" t="n"/>
      <c r="G184" s="67" t="n"/>
      <c r="H184" s="67" t="n"/>
      <c r="I184" s="67" t="n"/>
      <c r="J184" s="67" t="n"/>
      <c r="L184" s="67" t="n"/>
      <c r="M184" s="67" t="n"/>
      <c r="N184" s="67" t="n"/>
    </row>
    <row r="185">
      <c r="B185" s="67" t="n"/>
      <c r="C185" s="67" t="n"/>
      <c r="D185" s="67" t="n"/>
      <c r="E185" s="67" t="n"/>
      <c r="F185" s="67" t="n"/>
      <c r="G185" s="67" t="n"/>
      <c r="H185" s="67" t="n"/>
      <c r="I185" s="67" t="n"/>
      <c r="J185" s="67" t="n"/>
      <c r="L185" s="67" t="n"/>
      <c r="M185" s="67" t="n"/>
      <c r="N185" s="67" t="n"/>
    </row>
    <row r="186">
      <c r="B186" s="67" t="n"/>
      <c r="C186" s="67" t="n"/>
      <c r="D186" s="67" t="n"/>
      <c r="E186" s="67" t="n"/>
      <c r="F186" s="67" t="n"/>
      <c r="G186" s="67" t="n"/>
      <c r="H186" s="67" t="n"/>
      <c r="I186" s="67" t="n"/>
      <c r="J186" s="67" t="n"/>
      <c r="L186" s="67" t="n"/>
      <c r="M186" s="67" t="n"/>
      <c r="N186" s="67" t="n"/>
    </row>
    <row r="187">
      <c r="B187" s="67" t="n"/>
      <c r="C187" s="67" t="n"/>
      <c r="D187" s="67" t="n"/>
      <c r="E187" s="67" t="n"/>
      <c r="F187" s="67" t="n"/>
      <c r="G187" s="67" t="n"/>
      <c r="H187" s="67" t="n"/>
      <c r="I187" s="67" t="n"/>
      <c r="J187" s="67" t="n"/>
      <c r="L187" s="67" t="n"/>
      <c r="M187" s="67" t="n"/>
      <c r="N187" s="67" t="n"/>
    </row>
    <row r="188">
      <c r="B188" s="67" t="n"/>
      <c r="C188" s="67" t="n"/>
      <c r="D188" s="67" t="n"/>
      <c r="E188" s="67" t="n"/>
      <c r="F188" s="67" t="n"/>
      <c r="G188" s="67" t="n"/>
      <c r="H188" s="67" t="n"/>
      <c r="I188" s="67" t="n"/>
      <c r="J188" s="67" t="n"/>
      <c r="L188" s="67" t="n"/>
      <c r="M188" s="67" t="n"/>
      <c r="N188" s="67" t="n"/>
    </row>
    <row r="189">
      <c r="B189" s="67" t="n"/>
      <c r="C189" s="67" t="n"/>
      <c r="D189" s="67" t="n"/>
      <c r="E189" s="67" t="n"/>
      <c r="F189" s="67" t="n"/>
      <c r="G189" s="67" t="n"/>
      <c r="H189" s="67" t="n"/>
      <c r="I189" s="67" t="n"/>
      <c r="J189" s="67" t="n"/>
      <c r="L189" s="67" t="n"/>
      <c r="M189" s="67" t="n"/>
      <c r="N189" s="67" t="n"/>
    </row>
    <row r="190">
      <c r="B190" s="67" t="n"/>
      <c r="C190" s="67" t="n"/>
      <c r="D190" s="67" t="n"/>
      <c r="E190" s="67" t="n"/>
      <c r="F190" s="67" t="n"/>
      <c r="G190" s="67" t="n"/>
      <c r="H190" s="67" t="n"/>
      <c r="I190" s="67" t="n"/>
      <c r="J190" s="67" t="n"/>
      <c r="L190" s="67" t="n"/>
      <c r="M190" s="67" t="n"/>
      <c r="N190" s="67" t="n"/>
    </row>
    <row r="191">
      <c r="B191" s="67" t="n"/>
      <c r="C191" s="67" t="n"/>
      <c r="D191" s="67" t="n"/>
      <c r="E191" s="67" t="n"/>
      <c r="F191" s="67" t="n"/>
      <c r="G191" s="67" t="n"/>
      <c r="H191" s="67" t="n"/>
      <c r="I191" s="67" t="n"/>
      <c r="J191" s="67" t="n"/>
      <c r="L191" s="67" t="n"/>
      <c r="M191" s="67" t="n"/>
      <c r="N191" s="67" t="n"/>
    </row>
    <row r="192">
      <c r="B192" s="67" t="n"/>
      <c r="C192" s="67" t="n"/>
      <c r="D192" s="67" t="n"/>
      <c r="E192" s="67" t="n"/>
      <c r="F192" s="67" t="n"/>
      <c r="G192" s="67" t="n"/>
      <c r="H192" s="67" t="n"/>
      <c r="I192" s="67" t="n"/>
      <c r="J192" s="67" t="n"/>
      <c r="L192" s="67" t="n"/>
      <c r="M192" s="67" t="n"/>
      <c r="N192" s="67" t="n"/>
    </row>
    <row r="193">
      <c r="B193" s="67" t="n"/>
      <c r="C193" s="67" t="n"/>
      <c r="D193" s="67" t="n"/>
      <c r="E193" s="67" t="n"/>
      <c r="F193" s="67" t="n"/>
      <c r="G193" s="67" t="n"/>
      <c r="H193" s="67" t="n"/>
      <c r="I193" s="67" t="n"/>
      <c r="J193" s="67" t="n"/>
      <c r="L193" s="67" t="n"/>
      <c r="M193" s="67" t="n"/>
      <c r="N193" s="67" t="n"/>
    </row>
    <row r="194">
      <c r="B194" s="67" t="n"/>
      <c r="C194" s="67" t="n"/>
      <c r="D194" s="67" t="n"/>
      <c r="E194" s="67" t="n"/>
      <c r="F194" s="67" t="n"/>
      <c r="G194" s="67" t="n"/>
      <c r="H194" s="67" t="n"/>
      <c r="I194" s="67" t="n"/>
      <c r="J194" s="67" t="n"/>
      <c r="L194" s="67" t="n"/>
      <c r="M194" s="67" t="n"/>
      <c r="N194" s="67" t="n"/>
    </row>
    <row r="195">
      <c r="B195" s="67" t="n"/>
      <c r="C195" s="67" t="n"/>
      <c r="D195" s="67" t="n"/>
      <c r="E195" s="67" t="n"/>
      <c r="F195" s="67" t="n"/>
      <c r="G195" s="67" t="n"/>
      <c r="H195" s="67" t="n"/>
      <c r="I195" s="67" t="n"/>
      <c r="J195" s="67" t="n"/>
      <c r="L195" s="67" t="n"/>
      <c r="M195" s="67" t="n"/>
      <c r="N195" s="67" t="n"/>
    </row>
    <row r="196">
      <c r="B196" s="67" t="n"/>
      <c r="C196" s="67" t="n"/>
      <c r="D196" s="67" t="n"/>
      <c r="E196" s="67" t="n"/>
      <c r="F196" s="67" t="n"/>
      <c r="G196" s="67" t="n"/>
      <c r="H196" s="67" t="n"/>
      <c r="I196" s="67" t="n"/>
      <c r="J196" s="67" t="n"/>
      <c r="L196" s="67" t="n"/>
      <c r="M196" s="67" t="n"/>
      <c r="N196" s="67" t="n"/>
    </row>
    <row r="197">
      <c r="B197" s="67" t="n"/>
      <c r="C197" s="67" t="n"/>
      <c r="D197" s="67" t="n"/>
      <c r="E197" s="67" t="n"/>
      <c r="F197" s="67" t="n"/>
      <c r="G197" s="67" t="n"/>
      <c r="H197" s="67" t="n"/>
      <c r="I197" s="67" t="n"/>
      <c r="J197" s="67" t="n"/>
      <c r="L197" s="67" t="n"/>
      <c r="M197" s="67" t="n"/>
      <c r="N197" s="67" t="n"/>
    </row>
    <row r="198">
      <c r="B198" s="67" t="n"/>
      <c r="C198" s="67" t="n"/>
      <c r="D198" s="67" t="n"/>
      <c r="E198" s="67" t="n"/>
      <c r="F198" s="67" t="n"/>
      <c r="G198" s="67" t="n"/>
      <c r="H198" s="67" t="n"/>
      <c r="I198" s="67" t="n"/>
      <c r="J198" s="67" t="n"/>
      <c r="L198" s="67" t="n"/>
      <c r="M198" s="67" t="n"/>
      <c r="N198" s="67" t="n"/>
    </row>
    <row r="199">
      <c r="B199" s="67" t="n"/>
      <c r="C199" s="67" t="n"/>
      <c r="D199" s="67" t="n"/>
      <c r="E199" s="67" t="n"/>
      <c r="F199" s="67" t="n"/>
      <c r="G199" s="67" t="n"/>
      <c r="H199" s="67" t="n"/>
      <c r="I199" s="67" t="n"/>
      <c r="J199" s="67" t="n"/>
      <c r="L199" s="67" t="n"/>
      <c r="M199" s="67" t="n"/>
      <c r="N199" s="67" t="n"/>
    </row>
    <row r="200">
      <c r="B200" s="67" t="n"/>
      <c r="C200" s="67" t="n"/>
      <c r="D200" s="67" t="n"/>
      <c r="E200" s="67" t="n"/>
      <c r="F200" s="67" t="n"/>
      <c r="G200" s="67" t="n"/>
      <c r="H200" s="67" t="n"/>
      <c r="I200" s="67" t="n"/>
      <c r="J200" s="67" t="n"/>
      <c r="L200" s="67" t="n"/>
      <c r="M200" s="67" t="n"/>
      <c r="N200" s="67" t="n"/>
    </row>
    <row r="201">
      <c r="B201" s="67" t="n"/>
      <c r="C201" s="67" t="n"/>
      <c r="D201" s="67" t="n"/>
      <c r="E201" s="67" t="n"/>
      <c r="F201" s="67" t="n"/>
      <c r="G201" s="67" t="n"/>
      <c r="H201" s="67" t="n"/>
      <c r="I201" s="67" t="n"/>
      <c r="J201" s="67" t="n"/>
      <c r="L201" s="67" t="n"/>
      <c r="M201" s="67" t="n"/>
      <c r="N201" s="67" t="n"/>
    </row>
    <row r="202">
      <c r="B202" s="67" t="n"/>
      <c r="C202" s="67" t="n"/>
      <c r="D202" s="67" t="n"/>
      <c r="E202" s="67" t="n"/>
      <c r="F202" s="67" t="n"/>
      <c r="G202" s="67" t="n"/>
      <c r="H202" s="67" t="n"/>
      <c r="I202" s="67" t="n"/>
      <c r="J202" s="67" t="n"/>
      <c r="L202" s="67" t="n"/>
      <c r="M202" s="67" t="n"/>
      <c r="N202" s="67" t="n"/>
    </row>
    <row r="203">
      <c r="B203" s="67" t="n"/>
      <c r="C203" s="67" t="n"/>
      <c r="D203" s="67" t="n"/>
      <c r="E203" s="67" t="n"/>
      <c r="F203" s="67" t="n"/>
      <c r="G203" s="67" t="n"/>
      <c r="H203" s="67" t="n"/>
      <c r="I203" s="67" t="n"/>
      <c r="J203" s="67" t="n"/>
      <c r="L203" s="67" t="n"/>
      <c r="M203" s="67" t="n"/>
      <c r="N203" s="67" t="n"/>
    </row>
    <row r="204">
      <c r="B204" s="67" t="n"/>
      <c r="C204" s="67" t="n"/>
      <c r="D204" s="67" t="n"/>
      <c r="E204" s="67" t="n"/>
      <c r="F204" s="67" t="n"/>
      <c r="G204" s="67" t="n"/>
      <c r="H204" s="67" t="n"/>
      <c r="I204" s="67" t="n"/>
      <c r="J204" s="67" t="n"/>
      <c r="L204" s="67" t="n"/>
      <c r="M204" s="67" t="n"/>
      <c r="N204" s="67" t="n"/>
    </row>
    <row r="205">
      <c r="B205" s="67" t="n"/>
      <c r="C205" s="67" t="n"/>
      <c r="D205" s="67" t="n"/>
      <c r="E205" s="67" t="n"/>
      <c r="F205" s="67" t="n"/>
      <c r="G205" s="67" t="n"/>
      <c r="H205" s="67" t="n"/>
      <c r="I205" s="67" t="n"/>
      <c r="J205" s="67" t="n"/>
      <c r="L205" s="67" t="n"/>
      <c r="M205" s="67" t="n"/>
      <c r="N205" s="67" t="n"/>
    </row>
    <row r="206">
      <c r="B206" s="67" t="n"/>
      <c r="C206" s="67" t="n"/>
      <c r="D206" s="67" t="n"/>
      <c r="E206" s="67" t="n"/>
      <c r="F206" s="67" t="n"/>
      <c r="G206" s="67" t="n"/>
      <c r="H206" s="67" t="n"/>
      <c r="I206" s="67" t="n"/>
      <c r="J206" s="67" t="n"/>
      <c r="L206" s="67" t="n"/>
      <c r="M206" s="67" t="n"/>
      <c r="N206" s="67" t="n"/>
    </row>
    <row r="207">
      <c r="B207" s="67" t="n"/>
      <c r="C207" s="67" t="n"/>
      <c r="D207" s="67" t="n"/>
      <c r="E207" s="67" t="n"/>
      <c r="F207" s="67" t="n"/>
      <c r="G207" s="67" t="n"/>
      <c r="H207" s="67" t="n"/>
      <c r="I207" s="67" t="n"/>
      <c r="J207" s="67" t="n"/>
      <c r="L207" s="67" t="n"/>
      <c r="M207" s="67" t="n"/>
      <c r="N207" s="67" t="n"/>
    </row>
    <row r="208">
      <c r="B208" s="67" t="n"/>
      <c r="C208" s="67" t="n"/>
      <c r="D208" s="67" t="n"/>
      <c r="E208" s="67" t="n"/>
      <c r="F208" s="67" t="n"/>
      <c r="G208" s="67" t="n"/>
      <c r="H208" s="67" t="n"/>
      <c r="I208" s="67" t="n"/>
      <c r="J208" s="67" t="n"/>
      <c r="L208" s="67" t="n"/>
      <c r="M208" s="67" t="n"/>
      <c r="N208" s="67" t="n"/>
    </row>
    <row r="209">
      <c r="B209" s="67" t="n"/>
      <c r="C209" s="67" t="n"/>
      <c r="D209" s="67" t="n"/>
      <c r="E209" s="67" t="n"/>
      <c r="F209" s="67" t="n"/>
      <c r="G209" s="67" t="n"/>
      <c r="H209" s="67" t="n"/>
      <c r="I209" s="67" t="n"/>
      <c r="J209" s="67" t="n"/>
      <c r="L209" s="67" t="n"/>
      <c r="M209" s="67" t="n"/>
      <c r="N209" s="67" t="n"/>
    </row>
    <row r="210">
      <c r="B210" s="67" t="n"/>
      <c r="C210" s="67" t="n"/>
      <c r="D210" s="67" t="n"/>
      <c r="E210" s="67" t="n"/>
      <c r="F210" s="67" t="n"/>
      <c r="G210" s="67" t="n"/>
      <c r="H210" s="67" t="n"/>
      <c r="I210" s="67" t="n"/>
      <c r="J210" s="67" t="n"/>
      <c r="L210" s="67" t="n"/>
      <c r="M210" s="67" t="n"/>
      <c r="N210" s="67" t="n"/>
    </row>
    <row r="211">
      <c r="B211" s="67" t="n"/>
      <c r="C211" s="67" t="n"/>
      <c r="D211" s="67" t="n"/>
      <c r="E211" s="67" t="n"/>
      <c r="F211" s="67" t="n"/>
      <c r="G211" s="67" t="n"/>
      <c r="H211" s="67" t="n"/>
      <c r="I211" s="67" t="n"/>
      <c r="J211" s="67" t="n"/>
      <c r="L211" s="67" t="n"/>
      <c r="M211" s="67" t="n"/>
      <c r="N211" s="67" t="n"/>
    </row>
    <row r="212">
      <c r="B212" s="67" t="n"/>
      <c r="C212" s="67" t="n"/>
      <c r="D212" s="67" t="n"/>
      <c r="E212" s="67" t="n"/>
      <c r="F212" s="67" t="n"/>
      <c r="G212" s="67" t="n"/>
      <c r="H212" s="67" t="n"/>
      <c r="I212" s="67" t="n"/>
      <c r="J212" s="67" t="n"/>
      <c r="L212" s="67" t="n"/>
      <c r="M212" s="67" t="n"/>
      <c r="N212" s="67" t="n"/>
    </row>
    <row r="213">
      <c r="B213" s="67" t="n"/>
      <c r="C213" s="67" t="n"/>
      <c r="D213" s="67" t="n"/>
      <c r="E213" s="67" t="n"/>
      <c r="F213" s="67" t="n"/>
      <c r="G213" s="67" t="n"/>
      <c r="H213" s="67" t="n"/>
      <c r="I213" s="67" t="n"/>
      <c r="J213" s="67" t="n"/>
      <c r="L213" s="67" t="n"/>
      <c r="M213" s="67" t="n"/>
      <c r="N213" s="67" t="n"/>
    </row>
    <row r="214">
      <c r="B214" s="67" t="n"/>
      <c r="C214" s="67" t="n"/>
      <c r="D214" s="67" t="n"/>
      <c r="E214" s="67" t="n"/>
      <c r="F214" s="67" t="n"/>
      <c r="G214" s="67" t="n"/>
      <c r="H214" s="67" t="n"/>
      <c r="I214" s="67" t="n"/>
      <c r="J214" s="67" t="n"/>
      <c r="L214" s="67" t="n"/>
      <c r="M214" s="67" t="n"/>
      <c r="N214" s="67" t="n"/>
    </row>
    <row r="215">
      <c r="B215" s="67" t="n"/>
      <c r="C215" s="67" t="n"/>
      <c r="D215" s="67" t="n"/>
      <c r="E215" s="67" t="n"/>
      <c r="F215" s="67" t="n"/>
      <c r="G215" s="67" t="n"/>
      <c r="H215" s="67" t="n"/>
      <c r="I215" s="67" t="n"/>
      <c r="J215" s="67" t="n"/>
      <c r="L215" s="67" t="n"/>
      <c r="M215" s="67" t="n"/>
      <c r="N215" s="67" t="n"/>
    </row>
    <row r="216">
      <c r="B216" s="67" t="n"/>
      <c r="C216" s="67" t="n"/>
      <c r="D216" s="67" t="n"/>
      <c r="E216" s="67" t="n"/>
      <c r="F216" s="67" t="n"/>
      <c r="G216" s="67" t="n"/>
      <c r="H216" s="67" t="n"/>
      <c r="I216" s="67" t="n"/>
      <c r="J216" s="67" t="n"/>
      <c r="L216" s="67" t="n"/>
      <c r="M216" s="67" t="n"/>
      <c r="N216" s="67" t="n"/>
    </row>
    <row r="217">
      <c r="B217" s="67" t="n"/>
      <c r="C217" s="67" t="n"/>
      <c r="D217" s="67" t="n"/>
      <c r="E217" s="67" t="n"/>
      <c r="F217" s="67" t="n"/>
      <c r="G217" s="67" t="n"/>
      <c r="H217" s="67" t="n"/>
      <c r="I217" s="67" t="n"/>
      <c r="J217" s="67" t="n"/>
      <c r="L217" s="67" t="n"/>
      <c r="M217" s="67" t="n"/>
      <c r="N217" s="67" t="n"/>
    </row>
    <row r="218">
      <c r="B218" s="67" t="n"/>
      <c r="C218" s="67" t="n"/>
      <c r="D218" s="67" t="n"/>
      <c r="E218" s="67" t="n"/>
      <c r="F218" s="67" t="n"/>
      <c r="G218" s="67" t="n"/>
      <c r="H218" s="67" t="n"/>
      <c r="I218" s="67" t="n"/>
      <c r="J218" s="67" t="n"/>
      <c r="L218" s="67" t="n"/>
      <c r="M218" s="67" t="n"/>
      <c r="N218" s="67" t="n"/>
    </row>
    <row r="219">
      <c r="B219" s="67" t="n"/>
      <c r="C219" s="67" t="n"/>
      <c r="D219" s="67" t="n"/>
      <c r="E219" s="67" t="n"/>
      <c r="F219" s="67" t="n"/>
      <c r="G219" s="67" t="n"/>
      <c r="H219" s="67" t="n"/>
      <c r="I219" s="67" t="n"/>
      <c r="J219" s="67" t="n"/>
      <c r="L219" s="67" t="n"/>
      <c r="M219" s="67" t="n"/>
      <c r="N219" s="67" t="n"/>
    </row>
    <row r="220">
      <c r="B220" s="67" t="n"/>
      <c r="C220" s="67" t="n"/>
      <c r="D220" s="67" t="n"/>
      <c r="E220" s="67" t="n"/>
      <c r="F220" s="67" t="n"/>
      <c r="G220" s="67" t="n"/>
      <c r="H220" s="67" t="n"/>
      <c r="I220" s="67" t="n"/>
      <c r="J220" s="67" t="n"/>
      <c r="L220" s="67" t="n"/>
      <c r="M220" s="67" t="n"/>
      <c r="N220" s="67" t="n"/>
    </row>
  </sheetData>
  <mergeCells count="8">
    <mergeCell ref="B8:C8"/>
    <mergeCell ref="B5:N5"/>
    <mergeCell ref="D8:N8"/>
    <mergeCell ref="B4:N4"/>
    <mergeCell ref="B10:C10"/>
    <mergeCell ref="B7:N7"/>
    <mergeCell ref="B6:N6"/>
    <mergeCell ref="B3:N3"/>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AND(LEN($B20&amp;$C20&amp;$D20&amp;$E20&amp;$F20&amp;$G20&amp;$H20&amp;$I20&amp;$J20&amp;$K20&amp;$L20&amp;$M20&amp;$N20)&gt;0,B20="")</formula>
    </cfRule>
  </conditionalFormatting>
  <conditionalFormatting sqref="C20:C220">
    <cfRule type="expression" priority="3" dxfId="6">
      <formula>AND(LEN($B20&amp;$C20&amp;$D20&amp;$E20&amp;$F20&amp;$G20&amp;$H20&amp;$I20&amp;$J20&amp;$K20&amp;$L20&amp;$M20&amp;$N20)&gt;0,C20="")</formula>
    </cfRule>
  </conditionalFormatting>
  <conditionalFormatting sqref="D20:D220">
    <cfRule type="expression" priority="4" dxfId="6">
      <formula>AND(LEN($B20&amp;$C20&amp;$D20&amp;$E20&amp;$F20&amp;$G20&amp;$H20&amp;$I20&amp;$J20&amp;$K20&amp;$L20&amp;$M20&amp;$N20)&gt;0,D20="")</formula>
    </cfRule>
  </conditionalFormatting>
  <conditionalFormatting sqref="E20:E220">
    <cfRule type="expression" priority="5" dxfId="6">
      <formula>AND(LEN($B20&amp;$C20&amp;$D20&amp;$E20&amp;$F20&amp;$G20&amp;$H20&amp;$I20&amp;$J20&amp;$K20&amp;$L20&amp;$M20&amp;$N20)&gt;0,E20="")</formula>
    </cfRule>
  </conditionalFormatting>
  <conditionalFormatting sqref="G20:G220">
    <cfRule type="expression" priority="6" dxfId="6">
      <formula>AND(LEN($B20&amp;$C20&amp;$D20&amp;$E20&amp;$F20&amp;$G20&amp;$H20&amp;$I20&amp;$J20&amp;$K20&amp;$L20&amp;$M20&amp;$N20)&gt;0,G20="")</formula>
    </cfRule>
  </conditionalFormatting>
  <conditionalFormatting sqref="M20:M220">
    <cfRule type="expression" priority="7" dxfId="6">
      <formula>AND(LEN($B20&amp;$C20&amp;$D20&amp;$E20&amp;$F20&amp;$G20&amp;$H20&amp;$I20&amp;$J20&amp;$K20&amp;$L20&amp;$M20&amp;$N20)&gt;0,M20="")</formula>
    </cfRule>
  </conditionalFormatting>
  <dataValidations count="15">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N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policy_ref" error="At most 60 characters." promptTitle="legacy_policy_ref" prompt="Yes. Legacy reference of the expiring policy term Allowed: legacy_policy_ref of P01" type="textLength" operator="lessThanOrEqual">
      <formula1>60</formula1>
    </dataValidation>
    <dataValidation sqref="C20:C220" showDropDown="0" showInputMessage="1" showErrorMessage="1" allowBlank="1" errorTitle="cover_no" error="At most 40 characters." promptTitle="cover_no" prompt="Yes. Legacy cover number of the expiring term Allowed: Free entry, up to 40 characters" type="textLength" operator="lessThanOrEqual">
      <formula1>40</formula1>
    </dataValidation>
    <dataValidation sqref="D20:D220" showDropDown="0" showInputMessage="1" showErrorMessage="0" allowBlank="1" promptTitle="expiry_date" prompt="Yes. Expiry of the expiring term"/>
    <dataValidation sqref="E20:E220" showDropDown="0" showInputMessage="1" showErrorMessage="0" allowBlank="1" promptTitle="ra_sent_date" prompt="Yes. Date the RA was sent"/>
    <dataValidation sqref="F20:F220" showDropDown="0" showInputMessage="1" showErrorMessage="1" allowBlank="1" errorTitle="ra_ref" error="At most 30 characters." promptTitle="ra_ref" prompt="No. RA reference, if the tracker gives one Allowed: Free entry, up to 30 characters" type="textLength" operator="lessThanOrEqual">
      <formula1>30</formula1>
    </dataValidation>
    <dataValidation sqref="G20:G220" showDropDown="0" showInputMessage="1" showErrorMessage="1" allowBlank="1" errorTitle="ra_channel" error="Choose a value of the list P03 ra_channel (sheet Reference lists)." promptTitle="ra_channel" prompt="Yes. How the RA was sent Allowed: EMAIL, COURIER, HAND, OTHER (list P03 ra_channel)" type="list" errorStyle="stop">
      <formula1>=LIST_P03_RA_CHANNEL</formula1>
    </dataValidation>
    <dataValidation sqref="H20:H220" showDropDown="0" showInputMessage="1" showErrorMessage="1" allowBlank="1" errorTitle="sent_to" error="At most 250 characters." promptTitle="sent_to" prompt="No. Recipient (client name or e-mail address) Allowed: Free entry, up to 250 characters" type="textLength" operator="lessThanOrEqual">
      <formula1>250</formula1>
    </dataValidation>
    <dataValidation sqref="I20:I220" showDropDown="0" showInputMessage="1" showErrorMessage="1" allowBlank="1" errorTitle="proposed_insurer_code" error="At most 30 characters." promptTitle="proposed_insurer_code" prompt="No. Insurer quoted on the RA Allowed: The legacy code; mapped by the code map INSURER (sheet Code maps)" type="textLength" operator="lessThanOrEqual">
      <formula1>30</formula1>
    </dataValidation>
    <dataValidation sqref="J20:J220" showDropDown="0" showInputMessage="1" showErrorMessage="1" allowBlank="1" errorTitle="currency" error="At most 3 characters." promptTitle="currency" prompt="Conditional: Mandatory with proposed_premium. Currency of the quoted premium Allowed: ISO 4217" type="textLength" operator="lessThanOrEqual">
      <formula1>3</formula1>
    </dataValidation>
    <dataValidation sqref="K20:K220" showDropDown="0" showInputMessage="1" showErrorMessage="1" allowBlank="1" errorTitle="proposed_premium" error="Enter a number." promptTitle="proposed_premium" prompt="No. Gross premium quoted on the RA Allowed: A number" type="decimal" operator="greaterThanOrEqual">
      <formula1>-1E+15</formula1>
    </dataValidation>
    <dataValidation sqref="L20:L220" showDropDown="0" showInputMessage="1" showErrorMessage="1" allowBlank="1" errorTitle="sent_by_user_id" error="At most 50 characters." promptTitle="sent_by_user_id" prompt="No. Renewal processor who sent the RA Allowed: The legacy code; mapped by the code map USER (sheet Code maps)" type="textLength" operator="lessThanOrEqual">
      <formula1>50</formula1>
    </dataValidation>
    <dataValidation sqref="M20:M220" showDropDown="0" showInputMessage="1" showErrorMessage="1" allowBlank="1" errorTitle="tracker_name" error="At most 120 characters." promptTitle="tracker_name" prompt="Yes. Tracker file and sheet the row comes from Allowed: Free entry, up to 120 characters" type="textLength" operator="lessThanOrEqual">
      <formula1>120</formula1>
    </dataValidation>
    <dataValidation sqref="N20:N220" showDropDown="0" showInputMessage="1" showErrorMessage="1" allowBlank="1" errorTitle="remarks" error="At most 500 characters." promptTitle="remarks" prompt="No. Remarks of the processor Allowed: Free entry, up to 500 characters" type="textLength" operator="lessThanOrEqual">
      <formula1>500</formula1>
    </dataValidation>
  </dataValidations>
  <hyperlinks>
    <hyperlink ref="A2" location="'Load templates'!A1"/>
    <hyperlink ref="N2" location="'Comments log'!A1"/>
    <hyperlink ref="B8" location="'P01 In-force policy headers'!A1"/>
    <hyperlink ref="D8" location="'P01S Policy insurer shares'!A1"/>
    <hyperlink ref="G17" location="'Reference lists'!A57"/>
    <hyperlink ref="I17" location="'Code maps'!A1"/>
    <hyperlink ref="L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5.xml><?xml version="1.0" encoding="utf-8"?>
<worksheet xmlns="http://schemas.openxmlformats.org/spreadsheetml/2006/main">
  <sheetPr>
    <tabColor rgb="00004EA8"/>
    <outlinePr summaryBelow="0" summaryRight="1"/>
    <pageSetUpPr fitToPage="1"/>
  </sheetPr>
  <dimension ref="A1:P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90909090909091" customWidth="1" min="3" max="3"/>
    <col width="21" customWidth="1" min="4" max="4"/>
    <col width="16" customWidth="1" min="5" max="5"/>
    <col width="18" customWidth="1" min="6" max="6"/>
    <col width="15.90909090909091" customWidth="1" min="7" max="7"/>
    <col width="15" customWidth="1" min="8" max="8"/>
    <col width="16" customWidth="1" min="9" max="9"/>
    <col width="18" customWidth="1" min="10" max="10"/>
    <col width="16" customWidth="1" min="11" max="11"/>
    <col width="14" customWidth="1" min="12" max="12"/>
    <col width="13" customWidth="1" min="13" max="13"/>
    <col width="19.54545454545454" customWidth="1" min="14" max="14"/>
    <col width="15.90909090909091" customWidth="1" min="15" max="15"/>
    <col width="40" customWidth="1" min="16" max="16"/>
  </cols>
  <sheetData>
    <row r="1" ht="26" customHeight="1">
      <c r="A1" s="44" t="inlineStr">
        <is>
          <t>H01 Archive records (closed transactions and history)</t>
        </is>
      </c>
      <c r="P1" s="45" t="inlineStr">
        <is>
          <t>Step 26 of 29</t>
        </is>
      </c>
    </row>
    <row r="2">
      <c r="A2" s="46" t="inlineStr">
        <is>
          <t>← Back to Load templates</t>
        </is>
      </c>
      <c r="B2" s="47" t="inlineStr">
        <is>
          <t>Step 26 of 29. Fill in one row per record below the column headers; the guide above each column says what to enter.</t>
        </is>
      </c>
      <c r="P2" s="48" t="inlineStr">
        <is>
          <t>Ask a question →</t>
        </is>
      </c>
    </row>
    <row r="3" outlineLevel="1" ht="28" customHeight="1">
      <c r="A3" s="49" t="inlineStr">
        <is>
          <t>Purpose</t>
        </is>
      </c>
      <c r="B3" s="50" t="inlineStr">
        <is>
          <t>One row per record of Closed transactions (paid and remitted invoices, receipts, remittances, endorsements, claims, renewal advices, letters) as extracted from EBIX, QPS, ISYS. Key record_type, legacy_key. Sent as the file H01_template.csv (CSV, header row as below) with its control file (row count, count of distinct keys; amount totals per currency: amount).</t>
        </is>
      </c>
    </row>
    <row r="4" outlineLevel="1" ht="15.5" customHeight="1">
      <c r="A4" s="49" t="inlineStr">
        <is>
          <t>Provided by</t>
        </is>
      </c>
      <c r="B4" s="50" t="inlineStr">
        <is>
          <t>Compliance data steward (to name); approved by Audit / Compliance; legacy system owners; extracted by BDOI IT</t>
        </is>
      </c>
    </row>
    <row r="5" outlineLevel="1" ht="15.5" customHeight="1">
      <c r="A5" s="49" t="inlineStr">
        <is>
          <t>Due</t>
        </is>
      </c>
      <c r="B5" s="51" t="inlineStr">
        <is>
          <t>Before decommissioning</t>
        </is>
      </c>
    </row>
    <row r="6" outlineLevel="1" ht="15.5" customHeight="1">
      <c r="A6" s="49" t="inlineStr">
        <is>
          <t>How it is loaded</t>
        </is>
      </c>
      <c r="B6" s="50" t="inlineStr">
        <is>
          <t>Data migration object H01 (Archive), layout H01 version 1, through the Migration Console; lands in: BIBS archive (Legacy Inquiry)</t>
        </is>
      </c>
    </row>
    <row r="7" outlineLevel="1" ht="15.5" customHeight="1">
      <c r="A7" s="49" t="inlineStr">
        <is>
          <t>Source</t>
        </is>
      </c>
      <c r="B7" s="50" t="inlineStr">
        <is>
          <t>EBIX, QPS, ISYS</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INVOICE")&gt;0)*(LEN($B$20:$B$220&amp;$C$20:$C$220&amp;$D$20:$D$220&amp;$E$20:$E$220&amp;$F$20:$F$220&amp;$G$20:$G$220&amp;$H$20:$H$220&amp;$I$20:$I$220&amp;$J$20:$J$220&amp;$K$20:$K$220&amp;$L$20:$L$220&amp;$M$20:$M$220&amp;$N$20:$N$220&amp;$O$20:$O$220&amp;$P$20:$P$220)&gt;0))</f>
        <v/>
      </c>
      <c r="D9" s="54" t="inlineStr">
        <is>
          <t>Mandatory cells missing</t>
        </is>
      </c>
      <c r="E9" s="55">
        <f>SUMPRODUCT(((ROW($B$20:$B$220)&gt;20)+($B$20&lt;&gt;"INVOICE")&gt;0)*(LEN($B$20:$B$220&amp;$C$20:$C$220&amp;$D$20:$D$220&amp;$E$20:$E$220&amp;$F$20:$F$220&amp;$G$20:$G$220&amp;$H$20:$H$220&amp;$I$20:$I$220&amp;$J$20:$J$220&amp;$K$20:$K$220&amp;$L$20:$L$220&amp;$M$20:$M$220&amp;$N$20:$N$220&amp;$O$20:$O$220&amp;$P$20:$P$220)&gt;0)*(($B$20:$B$220="")+($C$20:$C$220="")+($J$20:$J$220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c r="P11" s="23" t="n"/>
    </row>
    <row r="12" ht="30" customHeight="1">
      <c r="A12" s="59" t="inlineStr">
        <is>
          <t>BU review</t>
        </is>
      </c>
      <c r="B12" s="60" t="n"/>
      <c r="C12" s="60" t="n"/>
      <c r="D12" s="60" t="n"/>
      <c r="E12" s="60" t="n"/>
      <c r="F12" s="60" t="n"/>
      <c r="G12" s="60" t="n"/>
      <c r="H12" s="60" t="n"/>
      <c r="I12" s="60" t="n"/>
      <c r="J12" s="60" t="n"/>
      <c r="K12" s="60" t="n"/>
      <c r="L12" s="60" t="n"/>
      <c r="M12" s="60" t="n"/>
      <c r="N12" s="60" t="n"/>
      <c r="O12" s="60" t="n"/>
      <c r="P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c r="P13" s="60" t="n"/>
    </row>
    <row r="14" ht="30" customHeight="1">
      <c r="A14" s="59" t="inlineStr">
        <is>
          <t>Check when loaded</t>
        </is>
      </c>
      <c r="B14" s="61" t="inlineStr">
        <is>
          <t>In the list</t>
        </is>
      </c>
      <c r="C14" s="61" t="inlineStr">
        <is>
          <t>Unique per record type</t>
        </is>
      </c>
      <c r="D14" s="61" t="inlineStr">
        <is>
          <t>-</t>
        </is>
      </c>
      <c r="E14" s="61" t="inlineStr">
        <is>
          <t>-</t>
        </is>
      </c>
      <c r="F14" s="61" t="inlineStr">
        <is>
          <t>-</t>
        </is>
      </c>
      <c r="G14" s="61" t="inlineStr">
        <is>
          <t>-</t>
        </is>
      </c>
      <c r="H14" s="61" t="inlineStr">
        <is>
          <t>-</t>
        </is>
      </c>
      <c r="I14" s="61" t="inlineStr">
        <is>
          <t>-</t>
        </is>
      </c>
      <c r="J14" s="61" t="inlineStr">
        <is>
          <t>Valid date</t>
        </is>
      </c>
      <c r="K14" s="61" t="inlineStr">
        <is>
          <t>Valid date</t>
        </is>
      </c>
      <c r="L14" s="61" t="inlineStr">
        <is>
          <t>Not before period_from</t>
        </is>
      </c>
      <c r="M14" s="61" t="inlineStr">
        <is>
          <t>Valid code</t>
        </is>
      </c>
      <c r="N14" s="61" t="inlineStr">
        <is>
          <t>-</t>
        </is>
      </c>
      <c r="O14" s="61" t="inlineStr">
        <is>
          <t>-</t>
        </is>
      </c>
      <c r="P14" s="61" t="inlineStr">
        <is>
          <t>Every pair has a label and a value</t>
        </is>
      </c>
    </row>
    <row r="15" ht="17" customHeight="1">
      <c r="A15" s="59" t="inlineStr">
        <is>
          <t>Mandatory</t>
        </is>
      </c>
      <c r="B15" s="62" t="inlineStr">
        <is>
          <t>Yes</t>
        </is>
      </c>
      <c r="C15" s="62" t="inlineStr">
        <is>
          <t>Yes</t>
        </is>
      </c>
      <c r="D15" s="61" t="inlineStr">
        <is>
          <t>No</t>
        </is>
      </c>
      <c r="E15" s="61" t="inlineStr">
        <is>
          <t>No</t>
        </is>
      </c>
      <c r="F15" s="61" t="inlineStr">
        <is>
          <t>No</t>
        </is>
      </c>
      <c r="G15" s="61" t="inlineStr">
        <is>
          <t>No</t>
        </is>
      </c>
      <c r="H15" s="61" t="inlineStr">
        <is>
          <t>No</t>
        </is>
      </c>
      <c r="I15" s="61" t="inlineStr">
        <is>
          <t>No</t>
        </is>
      </c>
      <c r="J15" s="62" t="inlineStr">
        <is>
          <t>Yes</t>
        </is>
      </c>
      <c r="K15" s="61" t="inlineStr">
        <is>
          <t>No</t>
        </is>
      </c>
      <c r="L15" s="61" t="inlineStr">
        <is>
          <t>No</t>
        </is>
      </c>
      <c r="M15" s="61" t="inlineStr">
        <is>
          <t>No</t>
        </is>
      </c>
      <c r="N15" s="61" t="inlineStr">
        <is>
          <t>No</t>
        </is>
      </c>
      <c r="O15" s="61" t="inlineStr">
        <is>
          <t>No</t>
        </is>
      </c>
      <c r="P15" s="61" t="inlineStr">
        <is>
          <t>No</t>
        </is>
      </c>
    </row>
    <row r="16" ht="30" customHeight="1">
      <c r="A16" s="59" t="inlineStr">
        <is>
          <t>Format</t>
        </is>
      </c>
      <c r="B16" s="61" t="inlineStr">
        <is>
          <t>Code, up to 20; Upper case</t>
        </is>
      </c>
      <c r="C16" s="61" t="inlineStr">
        <is>
          <t>Code, up to 80; As stored in legacy</t>
        </is>
      </c>
      <c r="D16" s="61" t="inlineStr">
        <is>
          <t>Code, up to 30; As stored in legacy</t>
        </is>
      </c>
      <c r="E16" s="61" t="inlineStr">
        <is>
          <t>Text, up to 250; Free text</t>
        </is>
      </c>
      <c r="F16" s="61" t="inlineStr">
        <is>
          <t>Text, up to 60; As stored in legacy</t>
        </is>
      </c>
      <c r="G16" s="61" t="inlineStr">
        <is>
          <t>Text, up to 40; As stored in legacy</t>
        </is>
      </c>
      <c r="H16" s="61" t="inlineStr">
        <is>
          <t>Text, up to 40; As printed</t>
        </is>
      </c>
      <c r="I16" s="61" t="inlineStr">
        <is>
          <t>Text, up to 40; As stored in legacy</t>
        </is>
      </c>
      <c r="J16" s="61" t="inlineStr">
        <is>
          <t>Date, up to 10; yyyy-MM-dd</t>
        </is>
      </c>
      <c r="K16" s="61" t="inlineStr">
        <is>
          <t>Date, up to 10; yyyy-MM-dd</t>
        </is>
      </c>
      <c r="L16" s="61" t="inlineStr">
        <is>
          <t>Date, up to 10; yyyy-MM-dd</t>
        </is>
      </c>
      <c r="M16" s="61" t="inlineStr">
        <is>
          <t>Code, up to 3; Upper case</t>
        </is>
      </c>
      <c r="N16" s="61" t="inlineStr">
        <is>
          <t>Amount, up to 19,2; Dot decimal, 2 decimals</t>
        </is>
      </c>
      <c r="O16" s="61" t="inlineStr">
        <is>
          <t>Text, up to 40; As stored in legacy</t>
        </is>
      </c>
      <c r="P16" s="61" t="inlineStr">
        <is>
          <t>Text, up to 20000; Label: value pairs separated by ;</t>
        </is>
      </c>
    </row>
    <row r="17" ht="43" customHeight="1">
      <c r="A17" s="59" t="inlineStr">
        <is>
          <t>Allowed values</t>
        </is>
      </c>
      <c r="B17" s="69" t="inlineStr">
        <is>
          <t>List H01 record_type: 11 values, see Reference lists</t>
        </is>
      </c>
      <c r="C17" s="61" t="inlineStr">
        <is>
          <t>Free entry, up to 80 characters</t>
        </is>
      </c>
      <c r="D17" s="61" t="inlineStr">
        <is>
          <t>Free entry, up to 30 characters</t>
        </is>
      </c>
      <c r="E17" s="61" t="inlineStr">
        <is>
          <t>Free entry, up to 250 characters</t>
        </is>
      </c>
      <c r="F17" s="61" t="inlineStr">
        <is>
          <t>Free entry, up to 60 characters</t>
        </is>
      </c>
      <c r="G17" s="61" t="inlineStr">
        <is>
          <t>Free entry, up to 40 characters</t>
        </is>
      </c>
      <c r="H17" s="61" t="inlineStr">
        <is>
          <t>Free entry, up to 40 characters</t>
        </is>
      </c>
      <c r="I17" s="61" t="inlineStr">
        <is>
          <t>Free entry, up to 40 characters</t>
        </is>
      </c>
      <c r="J17" s="61" t="inlineStr">
        <is>
          <t>Free entry</t>
        </is>
      </c>
      <c r="K17" s="61" t="inlineStr">
        <is>
          <t>Free entry</t>
        </is>
      </c>
      <c r="L17" s="61" t="inlineStr">
        <is>
          <t>Free entry</t>
        </is>
      </c>
      <c r="M17" s="61" t="inlineStr">
        <is>
          <t>ISO 4217</t>
        </is>
      </c>
      <c r="N17" s="61" t="inlineStr">
        <is>
          <t>A number</t>
        </is>
      </c>
      <c r="O17" s="61" t="inlineStr">
        <is>
          <t>Free entry, up to 40 characters</t>
        </is>
      </c>
      <c r="P17" s="61" t="inlineStr">
        <is>
          <t>Free entry, up to 20000 characters</t>
        </is>
      </c>
    </row>
    <row r="18" ht="43" customHeight="1">
      <c r="A18" s="59" t="inlineStr">
        <is>
          <t>What to enter</t>
        </is>
      </c>
      <c r="B18" s="61" t="inlineStr">
        <is>
          <t>Kind of record</t>
        </is>
      </c>
      <c r="C18" s="61" t="inlineStr">
        <is>
          <t>Unique key of the record in the source</t>
        </is>
      </c>
      <c r="D18" s="61" t="inlineStr">
        <is>
          <t>Client number</t>
        </is>
      </c>
      <c r="E18" s="61" t="inlineStr">
        <is>
          <t>Client name</t>
        </is>
      </c>
      <c r="F18" s="61" t="inlineStr">
        <is>
          <t>Policy or cover number</t>
        </is>
      </c>
      <c r="G18" s="61" t="inlineStr">
        <is>
          <t>Invoice number</t>
        </is>
      </c>
      <c r="H18" s="61" t="inlineStr">
        <is>
          <t>AR or OR number</t>
        </is>
      </c>
      <c r="I18" s="61" t="inlineStr">
        <is>
          <t>Claim number</t>
        </is>
      </c>
      <c r="J18" s="61" t="inlineStr">
        <is>
          <t>Date of the record</t>
        </is>
      </c>
      <c r="K18" s="61" t="inlineStr">
        <is>
          <t>Period from</t>
        </is>
      </c>
      <c r="L18" s="61" t="inlineStr">
        <is>
          <t>Period to</t>
        </is>
      </c>
      <c r="M18" s="61" t="inlineStr">
        <is>
          <t>Currency</t>
        </is>
      </c>
      <c r="N18" s="61" t="inlineStr">
        <is>
          <t>Main amount of the record</t>
        </is>
      </c>
      <c r="O18" s="61" t="inlineStr">
        <is>
          <t>Status in legacy</t>
        </is>
      </c>
      <c r="P18" s="61" t="inlineStr">
        <is>
          <t>Other legacy fields of the record, each as a label and its value</t>
        </is>
      </c>
    </row>
    <row r="19" ht="30" customHeight="1">
      <c r="A19" s="63" t="inlineStr">
        <is>
          <t>Row</t>
        </is>
      </c>
      <c r="B19" s="24" t="inlineStr">
        <is>
          <t>record_type *</t>
        </is>
      </c>
      <c r="C19" s="24" t="inlineStr">
        <is>
          <t>legacy_key *</t>
        </is>
      </c>
      <c r="D19" s="24" t="inlineStr">
        <is>
          <t>legacy_client_no</t>
        </is>
      </c>
      <c r="E19" s="24" t="inlineStr">
        <is>
          <t>client_name</t>
        </is>
      </c>
      <c r="F19" s="24" t="inlineStr">
        <is>
          <t>policy_no</t>
        </is>
      </c>
      <c r="G19" s="24" t="inlineStr">
        <is>
          <t>invoice_no</t>
        </is>
      </c>
      <c r="H19" s="24" t="inlineStr">
        <is>
          <t>receipt_no</t>
        </is>
      </c>
      <c r="I19" s="24" t="inlineStr">
        <is>
          <t>claim_no</t>
        </is>
      </c>
      <c r="J19" s="24" t="inlineStr">
        <is>
          <t>document_date *</t>
        </is>
      </c>
      <c r="K19" s="24" t="inlineStr">
        <is>
          <t>period_from</t>
        </is>
      </c>
      <c r="L19" s="24" t="inlineStr">
        <is>
          <t>period_to</t>
        </is>
      </c>
      <c r="M19" s="24" t="inlineStr">
        <is>
          <t>currency</t>
        </is>
      </c>
      <c r="N19" s="24" t="inlineStr">
        <is>
          <t>amount</t>
        </is>
      </c>
      <c r="O19" s="24" t="inlineStr">
        <is>
          <t>status</t>
        </is>
      </c>
      <c r="P19" s="24" t="inlineStr">
        <is>
          <t>detail_json</t>
        </is>
      </c>
    </row>
    <row r="20" ht="18" customHeight="1">
      <c r="A20" s="64" t="inlineStr">
        <is>
          <t>Example – overwrite or delete</t>
        </is>
      </c>
      <c r="B20" s="65" t="inlineStr">
        <is>
          <t>INVOICE</t>
        </is>
      </c>
      <c r="C20" s="65" t="inlineStr">
        <is>
          <t>I00098765</t>
        </is>
      </c>
      <c r="D20" s="65" t="inlineStr">
        <is>
          <t>Q-0012345</t>
        </is>
      </c>
      <c r="E20" s="65" t="inlineStr">
        <is>
          <t>Ana C. Reyes</t>
        </is>
      </c>
      <c r="F20" s="65" t="inlineStr">
        <is>
          <t>MC-PC-22-0004567</t>
        </is>
      </c>
      <c r="G20" s="65" t="inlineStr">
        <is>
          <t>I00098765</t>
        </is>
      </c>
      <c r="H20" s="65" t="inlineStr">
        <is>
          <t>AR-MKT-098001</t>
        </is>
      </c>
      <c r="I20" s="65" t="inlineStr">
        <is>
          <t>CL-2023-000456</t>
        </is>
      </c>
      <c r="J20" s="65" t="inlineStr">
        <is>
          <t>2022-05-10</t>
        </is>
      </c>
      <c r="K20" s="65" t="inlineStr">
        <is>
          <t>2022-05-15</t>
        </is>
      </c>
      <c r="L20" s="65" t="inlineStr">
        <is>
          <t>2023-05-15</t>
        </is>
      </c>
      <c r="M20" s="65" t="inlineStr">
        <is>
          <t>PHP</t>
        </is>
      </c>
      <c r="N20" s="66" t="n">
        <v>18450</v>
      </c>
      <c r="O20" s="65" t="inlineStr">
        <is>
          <t>PAID_REMITTED</t>
        </is>
      </c>
      <c r="P20" s="65" t="inlineStr">
        <is>
          <t>Insurer: MAL; Remitted on: 01-Jul-2022</t>
        </is>
      </c>
    </row>
    <row r="21">
      <c r="B21" s="67" t="n"/>
      <c r="C21" s="67" t="n"/>
      <c r="D21" s="67" t="n"/>
      <c r="E21" s="67" t="n"/>
      <c r="F21" s="67" t="n"/>
      <c r="G21" s="67" t="n"/>
      <c r="H21" s="67" t="n"/>
      <c r="I21" s="67" t="n"/>
      <c r="J21" s="67" t="n"/>
      <c r="K21" s="67" t="n"/>
      <c r="L21" s="67" t="n"/>
      <c r="M21" s="67" t="n"/>
      <c r="O21" s="67" t="n"/>
      <c r="P21" s="67" t="n"/>
    </row>
    <row r="22">
      <c r="B22" s="67" t="n"/>
      <c r="C22" s="67" t="n"/>
      <c r="D22" s="67" t="n"/>
      <c r="E22" s="67" t="n"/>
      <c r="F22" s="67" t="n"/>
      <c r="G22" s="67" t="n"/>
      <c r="H22" s="67" t="n"/>
      <c r="I22" s="67" t="n"/>
      <c r="J22" s="67" t="n"/>
      <c r="K22" s="67" t="n"/>
      <c r="L22" s="67" t="n"/>
      <c r="M22" s="67" t="n"/>
      <c r="O22" s="67" t="n"/>
      <c r="P22" s="67" t="n"/>
    </row>
    <row r="23">
      <c r="B23" s="67" t="n"/>
      <c r="C23" s="67" t="n"/>
      <c r="D23" s="67" t="n"/>
      <c r="E23" s="67" t="n"/>
      <c r="F23" s="67" t="n"/>
      <c r="G23" s="67" t="n"/>
      <c r="H23" s="67" t="n"/>
      <c r="I23" s="67" t="n"/>
      <c r="J23" s="67" t="n"/>
      <c r="K23" s="67" t="n"/>
      <c r="L23" s="67" t="n"/>
      <c r="M23" s="67" t="n"/>
      <c r="O23" s="67" t="n"/>
      <c r="P23" s="67" t="n"/>
    </row>
    <row r="24">
      <c r="B24" s="67" t="n"/>
      <c r="C24" s="67" t="n"/>
      <c r="D24" s="67" t="n"/>
      <c r="E24" s="67" t="n"/>
      <c r="F24" s="67" t="n"/>
      <c r="G24" s="67" t="n"/>
      <c r="H24" s="67" t="n"/>
      <c r="I24" s="67" t="n"/>
      <c r="J24" s="67" t="n"/>
      <c r="K24" s="67" t="n"/>
      <c r="L24" s="67" t="n"/>
      <c r="M24" s="67" t="n"/>
      <c r="O24" s="67" t="n"/>
      <c r="P24" s="67" t="n"/>
    </row>
    <row r="25">
      <c r="B25" s="67" t="n"/>
      <c r="C25" s="67" t="n"/>
      <c r="D25" s="67" t="n"/>
      <c r="E25" s="67" t="n"/>
      <c r="F25" s="67" t="n"/>
      <c r="G25" s="67" t="n"/>
      <c r="H25" s="67" t="n"/>
      <c r="I25" s="67" t="n"/>
      <c r="J25" s="67" t="n"/>
      <c r="K25" s="67" t="n"/>
      <c r="L25" s="67" t="n"/>
      <c r="M25" s="67" t="n"/>
      <c r="O25" s="67" t="n"/>
      <c r="P25" s="67" t="n"/>
    </row>
    <row r="26">
      <c r="B26" s="67" t="n"/>
      <c r="C26" s="67" t="n"/>
      <c r="D26" s="67" t="n"/>
      <c r="E26" s="67" t="n"/>
      <c r="F26" s="67" t="n"/>
      <c r="G26" s="67" t="n"/>
      <c r="H26" s="67" t="n"/>
      <c r="I26" s="67" t="n"/>
      <c r="J26" s="67" t="n"/>
      <c r="K26" s="67" t="n"/>
      <c r="L26" s="67" t="n"/>
      <c r="M26" s="67" t="n"/>
      <c r="O26" s="67" t="n"/>
      <c r="P26" s="67" t="n"/>
    </row>
    <row r="27">
      <c r="B27" s="67" t="n"/>
      <c r="C27" s="67" t="n"/>
      <c r="D27" s="67" t="n"/>
      <c r="E27" s="67" t="n"/>
      <c r="F27" s="67" t="n"/>
      <c r="G27" s="67" t="n"/>
      <c r="H27" s="67" t="n"/>
      <c r="I27" s="67" t="n"/>
      <c r="J27" s="67" t="n"/>
      <c r="K27" s="67" t="n"/>
      <c r="L27" s="67" t="n"/>
      <c r="M27" s="67" t="n"/>
      <c r="O27" s="67" t="n"/>
      <c r="P27" s="67" t="n"/>
    </row>
    <row r="28">
      <c r="B28" s="67" t="n"/>
      <c r="C28" s="67" t="n"/>
      <c r="D28" s="67" t="n"/>
      <c r="E28" s="67" t="n"/>
      <c r="F28" s="67" t="n"/>
      <c r="G28" s="67" t="n"/>
      <c r="H28" s="67" t="n"/>
      <c r="I28" s="67" t="n"/>
      <c r="J28" s="67" t="n"/>
      <c r="K28" s="67" t="n"/>
      <c r="L28" s="67" t="n"/>
      <c r="M28" s="67" t="n"/>
      <c r="O28" s="67" t="n"/>
      <c r="P28" s="67" t="n"/>
    </row>
    <row r="29">
      <c r="B29" s="67" t="n"/>
      <c r="C29" s="67" t="n"/>
      <c r="D29" s="67" t="n"/>
      <c r="E29" s="67" t="n"/>
      <c r="F29" s="67" t="n"/>
      <c r="G29" s="67" t="n"/>
      <c r="H29" s="67" t="n"/>
      <c r="I29" s="67" t="n"/>
      <c r="J29" s="67" t="n"/>
      <c r="K29" s="67" t="n"/>
      <c r="L29" s="67" t="n"/>
      <c r="M29" s="67" t="n"/>
      <c r="O29" s="67" t="n"/>
      <c r="P29" s="67" t="n"/>
    </row>
    <row r="30">
      <c r="B30" s="67" t="n"/>
      <c r="C30" s="67" t="n"/>
      <c r="D30" s="67" t="n"/>
      <c r="E30" s="67" t="n"/>
      <c r="F30" s="67" t="n"/>
      <c r="G30" s="67" t="n"/>
      <c r="H30" s="67" t="n"/>
      <c r="I30" s="67" t="n"/>
      <c r="J30" s="67" t="n"/>
      <c r="K30" s="67" t="n"/>
      <c r="L30" s="67" t="n"/>
      <c r="M30" s="67" t="n"/>
      <c r="O30" s="67" t="n"/>
      <c r="P30" s="67" t="n"/>
    </row>
    <row r="31">
      <c r="B31" s="67" t="n"/>
      <c r="C31" s="67" t="n"/>
      <c r="D31" s="67" t="n"/>
      <c r="E31" s="67" t="n"/>
      <c r="F31" s="67" t="n"/>
      <c r="G31" s="67" t="n"/>
      <c r="H31" s="67" t="n"/>
      <c r="I31" s="67" t="n"/>
      <c r="J31" s="67" t="n"/>
      <c r="K31" s="67" t="n"/>
      <c r="L31" s="67" t="n"/>
      <c r="M31" s="67" t="n"/>
      <c r="O31" s="67" t="n"/>
      <c r="P31" s="67" t="n"/>
    </row>
    <row r="32">
      <c r="B32" s="67" t="n"/>
      <c r="C32" s="67" t="n"/>
      <c r="D32" s="67" t="n"/>
      <c r="E32" s="67" t="n"/>
      <c r="F32" s="67" t="n"/>
      <c r="G32" s="67" t="n"/>
      <c r="H32" s="67" t="n"/>
      <c r="I32" s="67" t="n"/>
      <c r="J32" s="67" t="n"/>
      <c r="K32" s="67" t="n"/>
      <c r="L32" s="67" t="n"/>
      <c r="M32" s="67" t="n"/>
      <c r="O32" s="67" t="n"/>
      <c r="P32" s="67" t="n"/>
    </row>
    <row r="33">
      <c r="B33" s="67" t="n"/>
      <c r="C33" s="67" t="n"/>
      <c r="D33" s="67" t="n"/>
      <c r="E33" s="67" t="n"/>
      <c r="F33" s="67" t="n"/>
      <c r="G33" s="67" t="n"/>
      <c r="H33" s="67" t="n"/>
      <c r="I33" s="67" t="n"/>
      <c r="J33" s="67" t="n"/>
      <c r="K33" s="67" t="n"/>
      <c r="L33" s="67" t="n"/>
      <c r="M33" s="67" t="n"/>
      <c r="O33" s="67" t="n"/>
      <c r="P33" s="67" t="n"/>
    </row>
    <row r="34">
      <c r="B34" s="67" t="n"/>
      <c r="C34" s="67" t="n"/>
      <c r="D34" s="67" t="n"/>
      <c r="E34" s="67" t="n"/>
      <c r="F34" s="67" t="n"/>
      <c r="G34" s="67" t="n"/>
      <c r="H34" s="67" t="n"/>
      <c r="I34" s="67" t="n"/>
      <c r="J34" s="67" t="n"/>
      <c r="K34" s="67" t="n"/>
      <c r="L34" s="67" t="n"/>
      <c r="M34" s="67" t="n"/>
      <c r="O34" s="67" t="n"/>
      <c r="P34" s="67" t="n"/>
    </row>
    <row r="35">
      <c r="B35" s="67" t="n"/>
      <c r="C35" s="67" t="n"/>
      <c r="D35" s="67" t="n"/>
      <c r="E35" s="67" t="n"/>
      <c r="F35" s="67" t="n"/>
      <c r="G35" s="67" t="n"/>
      <c r="H35" s="67" t="n"/>
      <c r="I35" s="67" t="n"/>
      <c r="J35" s="67" t="n"/>
      <c r="K35" s="67" t="n"/>
      <c r="L35" s="67" t="n"/>
      <c r="M35" s="67" t="n"/>
      <c r="O35" s="67" t="n"/>
      <c r="P35" s="67" t="n"/>
    </row>
    <row r="36">
      <c r="B36" s="67" t="n"/>
      <c r="C36" s="67" t="n"/>
      <c r="D36" s="67" t="n"/>
      <c r="E36" s="67" t="n"/>
      <c r="F36" s="67" t="n"/>
      <c r="G36" s="67" t="n"/>
      <c r="H36" s="67" t="n"/>
      <c r="I36" s="67" t="n"/>
      <c r="J36" s="67" t="n"/>
      <c r="K36" s="67" t="n"/>
      <c r="L36" s="67" t="n"/>
      <c r="M36" s="67" t="n"/>
      <c r="O36" s="67" t="n"/>
      <c r="P36" s="67" t="n"/>
    </row>
    <row r="37">
      <c r="B37" s="67" t="n"/>
      <c r="C37" s="67" t="n"/>
      <c r="D37" s="67" t="n"/>
      <c r="E37" s="67" t="n"/>
      <c r="F37" s="67" t="n"/>
      <c r="G37" s="67" t="n"/>
      <c r="H37" s="67" t="n"/>
      <c r="I37" s="67" t="n"/>
      <c r="J37" s="67" t="n"/>
      <c r="K37" s="67" t="n"/>
      <c r="L37" s="67" t="n"/>
      <c r="M37" s="67" t="n"/>
      <c r="O37" s="67" t="n"/>
      <c r="P37" s="67" t="n"/>
    </row>
    <row r="38">
      <c r="B38" s="67" t="n"/>
      <c r="C38" s="67" t="n"/>
      <c r="D38" s="67" t="n"/>
      <c r="E38" s="67" t="n"/>
      <c r="F38" s="67" t="n"/>
      <c r="G38" s="67" t="n"/>
      <c r="H38" s="67" t="n"/>
      <c r="I38" s="67" t="n"/>
      <c r="J38" s="67" t="n"/>
      <c r="K38" s="67" t="n"/>
      <c r="L38" s="67" t="n"/>
      <c r="M38" s="67" t="n"/>
      <c r="O38" s="67" t="n"/>
      <c r="P38" s="67" t="n"/>
    </row>
    <row r="39">
      <c r="B39" s="67" t="n"/>
      <c r="C39" s="67" t="n"/>
      <c r="D39" s="67" t="n"/>
      <c r="E39" s="67" t="n"/>
      <c r="F39" s="67" t="n"/>
      <c r="G39" s="67" t="n"/>
      <c r="H39" s="67" t="n"/>
      <c r="I39" s="67" t="n"/>
      <c r="J39" s="67" t="n"/>
      <c r="K39" s="67" t="n"/>
      <c r="L39" s="67" t="n"/>
      <c r="M39" s="67" t="n"/>
      <c r="O39" s="67" t="n"/>
      <c r="P39" s="67" t="n"/>
    </row>
    <row r="40">
      <c r="B40" s="67" t="n"/>
      <c r="C40" s="67" t="n"/>
      <c r="D40" s="67" t="n"/>
      <c r="E40" s="67" t="n"/>
      <c r="F40" s="67" t="n"/>
      <c r="G40" s="67" t="n"/>
      <c r="H40" s="67" t="n"/>
      <c r="I40" s="67" t="n"/>
      <c r="J40" s="67" t="n"/>
      <c r="K40" s="67" t="n"/>
      <c r="L40" s="67" t="n"/>
      <c r="M40" s="67" t="n"/>
      <c r="O40" s="67" t="n"/>
      <c r="P40" s="67" t="n"/>
    </row>
    <row r="41">
      <c r="B41" s="67" t="n"/>
      <c r="C41" s="67" t="n"/>
      <c r="D41" s="67" t="n"/>
      <c r="E41" s="67" t="n"/>
      <c r="F41" s="67" t="n"/>
      <c r="G41" s="67" t="n"/>
      <c r="H41" s="67" t="n"/>
      <c r="I41" s="67" t="n"/>
      <c r="J41" s="67" t="n"/>
      <c r="K41" s="67" t="n"/>
      <c r="L41" s="67" t="n"/>
      <c r="M41" s="67" t="n"/>
      <c r="O41" s="67" t="n"/>
      <c r="P41" s="67" t="n"/>
    </row>
    <row r="42">
      <c r="B42" s="67" t="n"/>
      <c r="C42" s="67" t="n"/>
      <c r="D42" s="67" t="n"/>
      <c r="E42" s="67" t="n"/>
      <c r="F42" s="67" t="n"/>
      <c r="G42" s="67" t="n"/>
      <c r="H42" s="67" t="n"/>
      <c r="I42" s="67" t="n"/>
      <c r="J42" s="67" t="n"/>
      <c r="K42" s="67" t="n"/>
      <c r="L42" s="67" t="n"/>
      <c r="M42" s="67" t="n"/>
      <c r="O42" s="67" t="n"/>
      <c r="P42" s="67" t="n"/>
    </row>
    <row r="43">
      <c r="B43" s="67" t="n"/>
      <c r="C43" s="67" t="n"/>
      <c r="D43" s="67" t="n"/>
      <c r="E43" s="67" t="n"/>
      <c r="F43" s="67" t="n"/>
      <c r="G43" s="67" t="n"/>
      <c r="H43" s="67" t="n"/>
      <c r="I43" s="67" t="n"/>
      <c r="J43" s="67" t="n"/>
      <c r="K43" s="67" t="n"/>
      <c r="L43" s="67" t="n"/>
      <c r="M43" s="67" t="n"/>
      <c r="O43" s="67" t="n"/>
      <c r="P43" s="67" t="n"/>
    </row>
    <row r="44">
      <c r="B44" s="67" t="n"/>
      <c r="C44" s="67" t="n"/>
      <c r="D44" s="67" t="n"/>
      <c r="E44" s="67" t="n"/>
      <c r="F44" s="67" t="n"/>
      <c r="G44" s="67" t="n"/>
      <c r="H44" s="67" t="n"/>
      <c r="I44" s="67" t="n"/>
      <c r="J44" s="67" t="n"/>
      <c r="K44" s="67" t="n"/>
      <c r="L44" s="67" t="n"/>
      <c r="M44" s="67" t="n"/>
      <c r="O44" s="67" t="n"/>
      <c r="P44" s="67" t="n"/>
    </row>
    <row r="45">
      <c r="B45" s="67" t="n"/>
      <c r="C45" s="67" t="n"/>
      <c r="D45" s="67" t="n"/>
      <c r="E45" s="67" t="n"/>
      <c r="F45" s="67" t="n"/>
      <c r="G45" s="67" t="n"/>
      <c r="H45" s="67" t="n"/>
      <c r="I45" s="67" t="n"/>
      <c r="J45" s="67" t="n"/>
      <c r="K45" s="67" t="n"/>
      <c r="L45" s="67" t="n"/>
      <c r="M45" s="67" t="n"/>
      <c r="O45" s="67" t="n"/>
      <c r="P45" s="67" t="n"/>
    </row>
    <row r="46">
      <c r="B46" s="67" t="n"/>
      <c r="C46" s="67" t="n"/>
      <c r="D46" s="67" t="n"/>
      <c r="E46" s="67" t="n"/>
      <c r="F46" s="67" t="n"/>
      <c r="G46" s="67" t="n"/>
      <c r="H46" s="67" t="n"/>
      <c r="I46" s="67" t="n"/>
      <c r="J46" s="67" t="n"/>
      <c r="K46" s="67" t="n"/>
      <c r="L46" s="67" t="n"/>
      <c r="M46" s="67" t="n"/>
      <c r="O46" s="67" t="n"/>
      <c r="P46" s="67" t="n"/>
    </row>
    <row r="47">
      <c r="B47" s="67" t="n"/>
      <c r="C47" s="67" t="n"/>
      <c r="D47" s="67" t="n"/>
      <c r="E47" s="67" t="n"/>
      <c r="F47" s="67" t="n"/>
      <c r="G47" s="67" t="n"/>
      <c r="H47" s="67" t="n"/>
      <c r="I47" s="67" t="n"/>
      <c r="J47" s="67" t="n"/>
      <c r="K47" s="67" t="n"/>
      <c r="L47" s="67" t="n"/>
      <c r="M47" s="67" t="n"/>
      <c r="O47" s="67" t="n"/>
      <c r="P47" s="67" t="n"/>
    </row>
    <row r="48">
      <c r="B48" s="67" t="n"/>
      <c r="C48" s="67" t="n"/>
      <c r="D48" s="67" t="n"/>
      <c r="E48" s="67" t="n"/>
      <c r="F48" s="67" t="n"/>
      <c r="G48" s="67" t="n"/>
      <c r="H48" s="67" t="n"/>
      <c r="I48" s="67" t="n"/>
      <c r="J48" s="67" t="n"/>
      <c r="K48" s="67" t="n"/>
      <c r="L48" s="67" t="n"/>
      <c r="M48" s="67" t="n"/>
      <c r="O48" s="67" t="n"/>
      <c r="P48" s="67" t="n"/>
    </row>
    <row r="49">
      <c r="B49" s="67" t="n"/>
      <c r="C49" s="67" t="n"/>
      <c r="D49" s="67" t="n"/>
      <c r="E49" s="67" t="n"/>
      <c r="F49" s="67" t="n"/>
      <c r="G49" s="67" t="n"/>
      <c r="H49" s="67" t="n"/>
      <c r="I49" s="67" t="n"/>
      <c r="J49" s="67" t="n"/>
      <c r="K49" s="67" t="n"/>
      <c r="L49" s="67" t="n"/>
      <c r="M49" s="67" t="n"/>
      <c r="O49" s="67" t="n"/>
      <c r="P49" s="67" t="n"/>
    </row>
    <row r="50">
      <c r="B50" s="67" t="n"/>
      <c r="C50" s="67" t="n"/>
      <c r="D50" s="67" t="n"/>
      <c r="E50" s="67" t="n"/>
      <c r="F50" s="67" t="n"/>
      <c r="G50" s="67" t="n"/>
      <c r="H50" s="67" t="n"/>
      <c r="I50" s="67" t="n"/>
      <c r="J50" s="67" t="n"/>
      <c r="K50" s="67" t="n"/>
      <c r="L50" s="67" t="n"/>
      <c r="M50" s="67" t="n"/>
      <c r="O50" s="67" t="n"/>
      <c r="P50" s="67" t="n"/>
    </row>
    <row r="51">
      <c r="B51" s="67" t="n"/>
      <c r="C51" s="67" t="n"/>
      <c r="D51" s="67" t="n"/>
      <c r="E51" s="67" t="n"/>
      <c r="F51" s="67" t="n"/>
      <c r="G51" s="67" t="n"/>
      <c r="H51" s="67" t="n"/>
      <c r="I51" s="67" t="n"/>
      <c r="J51" s="67" t="n"/>
      <c r="K51" s="67" t="n"/>
      <c r="L51" s="67" t="n"/>
      <c r="M51" s="67" t="n"/>
      <c r="O51" s="67" t="n"/>
      <c r="P51" s="67" t="n"/>
    </row>
    <row r="52">
      <c r="B52" s="67" t="n"/>
      <c r="C52" s="67" t="n"/>
      <c r="D52" s="67" t="n"/>
      <c r="E52" s="67" t="n"/>
      <c r="F52" s="67" t="n"/>
      <c r="G52" s="67" t="n"/>
      <c r="H52" s="67" t="n"/>
      <c r="I52" s="67" t="n"/>
      <c r="J52" s="67" t="n"/>
      <c r="K52" s="67" t="n"/>
      <c r="L52" s="67" t="n"/>
      <c r="M52" s="67" t="n"/>
      <c r="O52" s="67" t="n"/>
      <c r="P52" s="67" t="n"/>
    </row>
    <row r="53">
      <c r="B53" s="67" t="n"/>
      <c r="C53" s="67" t="n"/>
      <c r="D53" s="67" t="n"/>
      <c r="E53" s="67" t="n"/>
      <c r="F53" s="67" t="n"/>
      <c r="G53" s="67" t="n"/>
      <c r="H53" s="67" t="n"/>
      <c r="I53" s="67" t="n"/>
      <c r="J53" s="67" t="n"/>
      <c r="K53" s="67" t="n"/>
      <c r="L53" s="67" t="n"/>
      <c r="M53" s="67" t="n"/>
      <c r="O53" s="67" t="n"/>
      <c r="P53" s="67" t="n"/>
    </row>
    <row r="54">
      <c r="B54" s="67" t="n"/>
      <c r="C54" s="67" t="n"/>
      <c r="D54" s="67" t="n"/>
      <c r="E54" s="67" t="n"/>
      <c r="F54" s="67" t="n"/>
      <c r="G54" s="67" t="n"/>
      <c r="H54" s="67" t="n"/>
      <c r="I54" s="67" t="n"/>
      <c r="J54" s="67" t="n"/>
      <c r="K54" s="67" t="n"/>
      <c r="L54" s="67" t="n"/>
      <c r="M54" s="67" t="n"/>
      <c r="O54" s="67" t="n"/>
      <c r="P54" s="67" t="n"/>
    </row>
    <row r="55">
      <c r="B55" s="67" t="n"/>
      <c r="C55" s="67" t="n"/>
      <c r="D55" s="67" t="n"/>
      <c r="E55" s="67" t="n"/>
      <c r="F55" s="67" t="n"/>
      <c r="G55" s="67" t="n"/>
      <c r="H55" s="67" t="n"/>
      <c r="I55" s="67" t="n"/>
      <c r="J55" s="67" t="n"/>
      <c r="K55" s="67" t="n"/>
      <c r="L55" s="67" t="n"/>
      <c r="M55" s="67" t="n"/>
      <c r="O55" s="67" t="n"/>
      <c r="P55" s="67" t="n"/>
    </row>
    <row r="56">
      <c r="B56" s="67" t="n"/>
      <c r="C56" s="67" t="n"/>
      <c r="D56" s="67" t="n"/>
      <c r="E56" s="67" t="n"/>
      <c r="F56" s="67" t="n"/>
      <c r="G56" s="67" t="n"/>
      <c r="H56" s="67" t="n"/>
      <c r="I56" s="67" t="n"/>
      <c r="J56" s="67" t="n"/>
      <c r="K56" s="67" t="n"/>
      <c r="L56" s="67" t="n"/>
      <c r="M56" s="67" t="n"/>
      <c r="O56" s="67" t="n"/>
      <c r="P56" s="67" t="n"/>
    </row>
    <row r="57">
      <c r="B57" s="67" t="n"/>
      <c r="C57" s="67" t="n"/>
      <c r="D57" s="67" t="n"/>
      <c r="E57" s="67" t="n"/>
      <c r="F57" s="67" t="n"/>
      <c r="G57" s="67" t="n"/>
      <c r="H57" s="67" t="n"/>
      <c r="I57" s="67" t="n"/>
      <c r="J57" s="67" t="n"/>
      <c r="K57" s="67" t="n"/>
      <c r="L57" s="67" t="n"/>
      <c r="M57" s="67" t="n"/>
      <c r="O57" s="67" t="n"/>
      <c r="P57" s="67" t="n"/>
    </row>
    <row r="58">
      <c r="B58" s="67" t="n"/>
      <c r="C58" s="67" t="n"/>
      <c r="D58" s="67" t="n"/>
      <c r="E58" s="67" t="n"/>
      <c r="F58" s="67" t="n"/>
      <c r="G58" s="67" t="n"/>
      <c r="H58" s="67" t="n"/>
      <c r="I58" s="67" t="n"/>
      <c r="J58" s="67" t="n"/>
      <c r="K58" s="67" t="n"/>
      <c r="L58" s="67" t="n"/>
      <c r="M58" s="67" t="n"/>
      <c r="O58" s="67" t="n"/>
      <c r="P58" s="67" t="n"/>
    </row>
    <row r="59">
      <c r="B59" s="67" t="n"/>
      <c r="C59" s="67" t="n"/>
      <c r="D59" s="67" t="n"/>
      <c r="E59" s="67" t="n"/>
      <c r="F59" s="67" t="n"/>
      <c r="G59" s="67" t="n"/>
      <c r="H59" s="67" t="n"/>
      <c r="I59" s="67" t="n"/>
      <c r="J59" s="67" t="n"/>
      <c r="K59" s="67" t="n"/>
      <c r="L59" s="67" t="n"/>
      <c r="M59" s="67" t="n"/>
      <c r="O59" s="67" t="n"/>
      <c r="P59" s="67" t="n"/>
    </row>
    <row r="60">
      <c r="B60" s="67" t="n"/>
      <c r="C60" s="67" t="n"/>
      <c r="D60" s="67" t="n"/>
      <c r="E60" s="67" t="n"/>
      <c r="F60" s="67" t="n"/>
      <c r="G60" s="67" t="n"/>
      <c r="H60" s="67" t="n"/>
      <c r="I60" s="67" t="n"/>
      <c r="J60" s="67" t="n"/>
      <c r="K60" s="67" t="n"/>
      <c r="L60" s="67" t="n"/>
      <c r="M60" s="67" t="n"/>
      <c r="O60" s="67" t="n"/>
      <c r="P60" s="67" t="n"/>
    </row>
    <row r="61">
      <c r="B61" s="67" t="n"/>
      <c r="C61" s="67" t="n"/>
      <c r="D61" s="67" t="n"/>
      <c r="E61" s="67" t="n"/>
      <c r="F61" s="67" t="n"/>
      <c r="G61" s="67" t="n"/>
      <c r="H61" s="67" t="n"/>
      <c r="I61" s="67" t="n"/>
      <c r="J61" s="67" t="n"/>
      <c r="K61" s="67" t="n"/>
      <c r="L61" s="67" t="n"/>
      <c r="M61" s="67" t="n"/>
      <c r="O61" s="67" t="n"/>
      <c r="P61" s="67" t="n"/>
    </row>
    <row r="62">
      <c r="B62" s="67" t="n"/>
      <c r="C62" s="67" t="n"/>
      <c r="D62" s="67" t="n"/>
      <c r="E62" s="67" t="n"/>
      <c r="F62" s="67" t="n"/>
      <c r="G62" s="67" t="n"/>
      <c r="H62" s="67" t="n"/>
      <c r="I62" s="67" t="n"/>
      <c r="J62" s="67" t="n"/>
      <c r="K62" s="67" t="n"/>
      <c r="L62" s="67" t="n"/>
      <c r="M62" s="67" t="n"/>
      <c r="O62" s="67" t="n"/>
      <c r="P62" s="67" t="n"/>
    </row>
    <row r="63">
      <c r="B63" s="67" t="n"/>
      <c r="C63" s="67" t="n"/>
      <c r="D63" s="67" t="n"/>
      <c r="E63" s="67" t="n"/>
      <c r="F63" s="67" t="n"/>
      <c r="G63" s="67" t="n"/>
      <c r="H63" s="67" t="n"/>
      <c r="I63" s="67" t="n"/>
      <c r="J63" s="67" t="n"/>
      <c r="K63" s="67" t="n"/>
      <c r="L63" s="67" t="n"/>
      <c r="M63" s="67" t="n"/>
      <c r="O63" s="67" t="n"/>
      <c r="P63" s="67" t="n"/>
    </row>
    <row r="64">
      <c r="B64" s="67" t="n"/>
      <c r="C64" s="67" t="n"/>
      <c r="D64" s="67" t="n"/>
      <c r="E64" s="67" t="n"/>
      <c r="F64" s="67" t="n"/>
      <c r="G64" s="67" t="n"/>
      <c r="H64" s="67" t="n"/>
      <c r="I64" s="67" t="n"/>
      <c r="J64" s="67" t="n"/>
      <c r="K64" s="67" t="n"/>
      <c r="L64" s="67" t="n"/>
      <c r="M64" s="67" t="n"/>
      <c r="O64" s="67" t="n"/>
      <c r="P64" s="67" t="n"/>
    </row>
    <row r="65">
      <c r="B65" s="67" t="n"/>
      <c r="C65" s="67" t="n"/>
      <c r="D65" s="67" t="n"/>
      <c r="E65" s="67" t="n"/>
      <c r="F65" s="67" t="n"/>
      <c r="G65" s="67" t="n"/>
      <c r="H65" s="67" t="n"/>
      <c r="I65" s="67" t="n"/>
      <c r="J65" s="67" t="n"/>
      <c r="K65" s="67" t="n"/>
      <c r="L65" s="67" t="n"/>
      <c r="M65" s="67" t="n"/>
      <c r="O65" s="67" t="n"/>
      <c r="P65" s="67" t="n"/>
    </row>
    <row r="66">
      <c r="B66" s="67" t="n"/>
      <c r="C66" s="67" t="n"/>
      <c r="D66" s="67" t="n"/>
      <c r="E66" s="67" t="n"/>
      <c r="F66" s="67" t="n"/>
      <c r="G66" s="67" t="n"/>
      <c r="H66" s="67" t="n"/>
      <c r="I66" s="67" t="n"/>
      <c r="J66" s="67" t="n"/>
      <c r="K66" s="67" t="n"/>
      <c r="L66" s="67" t="n"/>
      <c r="M66" s="67" t="n"/>
      <c r="O66" s="67" t="n"/>
      <c r="P66" s="67" t="n"/>
    </row>
    <row r="67">
      <c r="B67" s="67" t="n"/>
      <c r="C67" s="67" t="n"/>
      <c r="D67" s="67" t="n"/>
      <c r="E67" s="67" t="n"/>
      <c r="F67" s="67" t="n"/>
      <c r="G67" s="67" t="n"/>
      <c r="H67" s="67" t="n"/>
      <c r="I67" s="67" t="n"/>
      <c r="J67" s="67" t="n"/>
      <c r="K67" s="67" t="n"/>
      <c r="L67" s="67" t="n"/>
      <c r="M67" s="67" t="n"/>
      <c r="O67" s="67" t="n"/>
      <c r="P67" s="67" t="n"/>
    </row>
    <row r="68">
      <c r="B68" s="67" t="n"/>
      <c r="C68" s="67" t="n"/>
      <c r="D68" s="67" t="n"/>
      <c r="E68" s="67" t="n"/>
      <c r="F68" s="67" t="n"/>
      <c r="G68" s="67" t="n"/>
      <c r="H68" s="67" t="n"/>
      <c r="I68" s="67" t="n"/>
      <c r="J68" s="67" t="n"/>
      <c r="K68" s="67" t="n"/>
      <c r="L68" s="67" t="n"/>
      <c r="M68" s="67" t="n"/>
      <c r="O68" s="67" t="n"/>
      <c r="P68" s="67" t="n"/>
    </row>
    <row r="69">
      <c r="B69" s="67" t="n"/>
      <c r="C69" s="67" t="n"/>
      <c r="D69" s="67" t="n"/>
      <c r="E69" s="67" t="n"/>
      <c r="F69" s="67" t="n"/>
      <c r="G69" s="67" t="n"/>
      <c r="H69" s="67" t="n"/>
      <c r="I69" s="67" t="n"/>
      <c r="J69" s="67" t="n"/>
      <c r="K69" s="67" t="n"/>
      <c r="L69" s="67" t="n"/>
      <c r="M69" s="67" t="n"/>
      <c r="O69" s="67" t="n"/>
      <c r="P69" s="67" t="n"/>
    </row>
    <row r="70">
      <c r="B70" s="67" t="n"/>
      <c r="C70" s="67" t="n"/>
      <c r="D70" s="67" t="n"/>
      <c r="E70" s="67" t="n"/>
      <c r="F70" s="67" t="n"/>
      <c r="G70" s="67" t="n"/>
      <c r="H70" s="67" t="n"/>
      <c r="I70" s="67" t="n"/>
      <c r="J70" s="67" t="n"/>
      <c r="K70" s="67" t="n"/>
      <c r="L70" s="67" t="n"/>
      <c r="M70" s="67" t="n"/>
      <c r="O70" s="67" t="n"/>
      <c r="P70" s="67" t="n"/>
    </row>
    <row r="71">
      <c r="B71" s="67" t="n"/>
      <c r="C71" s="67" t="n"/>
      <c r="D71" s="67" t="n"/>
      <c r="E71" s="67" t="n"/>
      <c r="F71" s="67" t="n"/>
      <c r="G71" s="67" t="n"/>
      <c r="H71" s="67" t="n"/>
      <c r="I71" s="67" t="n"/>
      <c r="J71" s="67" t="n"/>
      <c r="K71" s="67" t="n"/>
      <c r="L71" s="67" t="n"/>
      <c r="M71" s="67" t="n"/>
      <c r="O71" s="67" t="n"/>
      <c r="P71" s="67" t="n"/>
    </row>
    <row r="72">
      <c r="B72" s="67" t="n"/>
      <c r="C72" s="67" t="n"/>
      <c r="D72" s="67" t="n"/>
      <c r="E72" s="67" t="n"/>
      <c r="F72" s="67" t="n"/>
      <c r="G72" s="67" t="n"/>
      <c r="H72" s="67" t="n"/>
      <c r="I72" s="67" t="n"/>
      <c r="J72" s="67" t="n"/>
      <c r="K72" s="67" t="n"/>
      <c r="L72" s="67" t="n"/>
      <c r="M72" s="67" t="n"/>
      <c r="O72" s="67" t="n"/>
      <c r="P72" s="67" t="n"/>
    </row>
    <row r="73">
      <c r="B73" s="67" t="n"/>
      <c r="C73" s="67" t="n"/>
      <c r="D73" s="67" t="n"/>
      <c r="E73" s="67" t="n"/>
      <c r="F73" s="67" t="n"/>
      <c r="G73" s="67" t="n"/>
      <c r="H73" s="67" t="n"/>
      <c r="I73" s="67" t="n"/>
      <c r="J73" s="67" t="n"/>
      <c r="K73" s="67" t="n"/>
      <c r="L73" s="67" t="n"/>
      <c r="M73" s="67" t="n"/>
      <c r="O73" s="67" t="n"/>
      <c r="P73" s="67" t="n"/>
    </row>
    <row r="74">
      <c r="B74" s="67" t="n"/>
      <c r="C74" s="67" t="n"/>
      <c r="D74" s="67" t="n"/>
      <c r="E74" s="67" t="n"/>
      <c r="F74" s="67" t="n"/>
      <c r="G74" s="67" t="n"/>
      <c r="H74" s="67" t="n"/>
      <c r="I74" s="67" t="n"/>
      <c r="J74" s="67" t="n"/>
      <c r="K74" s="67" t="n"/>
      <c r="L74" s="67" t="n"/>
      <c r="M74" s="67" t="n"/>
      <c r="O74" s="67" t="n"/>
      <c r="P74" s="67" t="n"/>
    </row>
    <row r="75">
      <c r="B75" s="67" t="n"/>
      <c r="C75" s="67" t="n"/>
      <c r="D75" s="67" t="n"/>
      <c r="E75" s="67" t="n"/>
      <c r="F75" s="67" t="n"/>
      <c r="G75" s="67" t="n"/>
      <c r="H75" s="67" t="n"/>
      <c r="I75" s="67" t="n"/>
      <c r="J75" s="67" t="n"/>
      <c r="K75" s="67" t="n"/>
      <c r="L75" s="67" t="n"/>
      <c r="M75" s="67" t="n"/>
      <c r="O75" s="67" t="n"/>
      <c r="P75" s="67" t="n"/>
    </row>
    <row r="76">
      <c r="B76" s="67" t="n"/>
      <c r="C76" s="67" t="n"/>
      <c r="D76" s="67" t="n"/>
      <c r="E76" s="67" t="n"/>
      <c r="F76" s="67" t="n"/>
      <c r="G76" s="67" t="n"/>
      <c r="H76" s="67" t="n"/>
      <c r="I76" s="67" t="n"/>
      <c r="J76" s="67" t="n"/>
      <c r="K76" s="67" t="n"/>
      <c r="L76" s="67" t="n"/>
      <c r="M76" s="67" t="n"/>
      <c r="O76" s="67" t="n"/>
      <c r="P76" s="67" t="n"/>
    </row>
    <row r="77">
      <c r="B77" s="67" t="n"/>
      <c r="C77" s="67" t="n"/>
      <c r="D77" s="67" t="n"/>
      <c r="E77" s="67" t="n"/>
      <c r="F77" s="67" t="n"/>
      <c r="G77" s="67" t="n"/>
      <c r="H77" s="67" t="n"/>
      <c r="I77" s="67" t="n"/>
      <c r="J77" s="67" t="n"/>
      <c r="K77" s="67" t="n"/>
      <c r="L77" s="67" t="n"/>
      <c r="M77" s="67" t="n"/>
      <c r="O77" s="67" t="n"/>
      <c r="P77" s="67" t="n"/>
    </row>
    <row r="78">
      <c r="B78" s="67" t="n"/>
      <c r="C78" s="67" t="n"/>
      <c r="D78" s="67" t="n"/>
      <c r="E78" s="67" t="n"/>
      <c r="F78" s="67" t="n"/>
      <c r="G78" s="67" t="n"/>
      <c r="H78" s="67" t="n"/>
      <c r="I78" s="67" t="n"/>
      <c r="J78" s="67" t="n"/>
      <c r="K78" s="67" t="n"/>
      <c r="L78" s="67" t="n"/>
      <c r="M78" s="67" t="n"/>
      <c r="O78" s="67" t="n"/>
      <c r="P78" s="67" t="n"/>
    </row>
    <row r="79">
      <c r="B79" s="67" t="n"/>
      <c r="C79" s="67" t="n"/>
      <c r="D79" s="67" t="n"/>
      <c r="E79" s="67" t="n"/>
      <c r="F79" s="67" t="n"/>
      <c r="G79" s="67" t="n"/>
      <c r="H79" s="67" t="n"/>
      <c r="I79" s="67" t="n"/>
      <c r="J79" s="67" t="n"/>
      <c r="K79" s="67" t="n"/>
      <c r="L79" s="67" t="n"/>
      <c r="M79" s="67" t="n"/>
      <c r="O79" s="67" t="n"/>
      <c r="P79" s="67" t="n"/>
    </row>
    <row r="80">
      <c r="B80" s="67" t="n"/>
      <c r="C80" s="67" t="n"/>
      <c r="D80" s="67" t="n"/>
      <c r="E80" s="67" t="n"/>
      <c r="F80" s="67" t="n"/>
      <c r="G80" s="67" t="n"/>
      <c r="H80" s="67" t="n"/>
      <c r="I80" s="67" t="n"/>
      <c r="J80" s="67" t="n"/>
      <c r="K80" s="67" t="n"/>
      <c r="L80" s="67" t="n"/>
      <c r="M80" s="67" t="n"/>
      <c r="O80" s="67" t="n"/>
      <c r="P80" s="67" t="n"/>
    </row>
    <row r="81">
      <c r="B81" s="67" t="n"/>
      <c r="C81" s="67" t="n"/>
      <c r="D81" s="67" t="n"/>
      <c r="E81" s="67" t="n"/>
      <c r="F81" s="67" t="n"/>
      <c r="G81" s="67" t="n"/>
      <c r="H81" s="67" t="n"/>
      <c r="I81" s="67" t="n"/>
      <c r="J81" s="67" t="n"/>
      <c r="K81" s="67" t="n"/>
      <c r="L81" s="67" t="n"/>
      <c r="M81" s="67" t="n"/>
      <c r="O81" s="67" t="n"/>
      <c r="P81" s="67" t="n"/>
    </row>
    <row r="82">
      <c r="B82" s="67" t="n"/>
      <c r="C82" s="67" t="n"/>
      <c r="D82" s="67" t="n"/>
      <c r="E82" s="67" t="n"/>
      <c r="F82" s="67" t="n"/>
      <c r="G82" s="67" t="n"/>
      <c r="H82" s="67" t="n"/>
      <c r="I82" s="67" t="n"/>
      <c r="J82" s="67" t="n"/>
      <c r="K82" s="67" t="n"/>
      <c r="L82" s="67" t="n"/>
      <c r="M82" s="67" t="n"/>
      <c r="O82" s="67" t="n"/>
      <c r="P82" s="67" t="n"/>
    </row>
    <row r="83">
      <c r="B83" s="67" t="n"/>
      <c r="C83" s="67" t="n"/>
      <c r="D83" s="67" t="n"/>
      <c r="E83" s="67" t="n"/>
      <c r="F83" s="67" t="n"/>
      <c r="G83" s="67" t="n"/>
      <c r="H83" s="67" t="n"/>
      <c r="I83" s="67" t="n"/>
      <c r="J83" s="67" t="n"/>
      <c r="K83" s="67" t="n"/>
      <c r="L83" s="67" t="n"/>
      <c r="M83" s="67" t="n"/>
      <c r="O83" s="67" t="n"/>
      <c r="P83" s="67" t="n"/>
    </row>
    <row r="84">
      <c r="B84" s="67" t="n"/>
      <c r="C84" s="67" t="n"/>
      <c r="D84" s="67" t="n"/>
      <c r="E84" s="67" t="n"/>
      <c r="F84" s="67" t="n"/>
      <c r="G84" s="67" t="n"/>
      <c r="H84" s="67" t="n"/>
      <c r="I84" s="67" t="n"/>
      <c r="J84" s="67" t="n"/>
      <c r="K84" s="67" t="n"/>
      <c r="L84" s="67" t="n"/>
      <c r="M84" s="67" t="n"/>
      <c r="O84" s="67" t="n"/>
      <c r="P84" s="67" t="n"/>
    </row>
    <row r="85">
      <c r="B85" s="67" t="n"/>
      <c r="C85" s="67" t="n"/>
      <c r="D85" s="67" t="n"/>
      <c r="E85" s="67" t="n"/>
      <c r="F85" s="67" t="n"/>
      <c r="G85" s="67" t="n"/>
      <c r="H85" s="67" t="n"/>
      <c r="I85" s="67" t="n"/>
      <c r="J85" s="67" t="n"/>
      <c r="K85" s="67" t="n"/>
      <c r="L85" s="67" t="n"/>
      <c r="M85" s="67" t="n"/>
      <c r="O85" s="67" t="n"/>
      <c r="P85" s="67" t="n"/>
    </row>
    <row r="86">
      <c r="B86" s="67" t="n"/>
      <c r="C86" s="67" t="n"/>
      <c r="D86" s="67" t="n"/>
      <c r="E86" s="67" t="n"/>
      <c r="F86" s="67" t="n"/>
      <c r="G86" s="67" t="n"/>
      <c r="H86" s="67" t="n"/>
      <c r="I86" s="67" t="n"/>
      <c r="J86" s="67" t="n"/>
      <c r="K86" s="67" t="n"/>
      <c r="L86" s="67" t="n"/>
      <c r="M86" s="67" t="n"/>
      <c r="O86" s="67" t="n"/>
      <c r="P86" s="67" t="n"/>
    </row>
    <row r="87">
      <c r="B87" s="67" t="n"/>
      <c r="C87" s="67" t="n"/>
      <c r="D87" s="67" t="n"/>
      <c r="E87" s="67" t="n"/>
      <c r="F87" s="67" t="n"/>
      <c r="G87" s="67" t="n"/>
      <c r="H87" s="67" t="n"/>
      <c r="I87" s="67" t="n"/>
      <c r="J87" s="67" t="n"/>
      <c r="K87" s="67" t="n"/>
      <c r="L87" s="67" t="n"/>
      <c r="M87" s="67" t="n"/>
      <c r="O87" s="67" t="n"/>
      <c r="P87" s="67" t="n"/>
    </row>
    <row r="88">
      <c r="B88" s="67" t="n"/>
      <c r="C88" s="67" t="n"/>
      <c r="D88" s="67" t="n"/>
      <c r="E88" s="67" t="n"/>
      <c r="F88" s="67" t="n"/>
      <c r="G88" s="67" t="n"/>
      <c r="H88" s="67" t="n"/>
      <c r="I88" s="67" t="n"/>
      <c r="J88" s="67" t="n"/>
      <c r="K88" s="67" t="n"/>
      <c r="L88" s="67" t="n"/>
      <c r="M88" s="67" t="n"/>
      <c r="O88" s="67" t="n"/>
      <c r="P88" s="67" t="n"/>
    </row>
    <row r="89">
      <c r="B89" s="67" t="n"/>
      <c r="C89" s="67" t="n"/>
      <c r="D89" s="67" t="n"/>
      <c r="E89" s="67" t="n"/>
      <c r="F89" s="67" t="n"/>
      <c r="G89" s="67" t="n"/>
      <c r="H89" s="67" t="n"/>
      <c r="I89" s="67" t="n"/>
      <c r="J89" s="67" t="n"/>
      <c r="K89" s="67" t="n"/>
      <c r="L89" s="67" t="n"/>
      <c r="M89" s="67" t="n"/>
      <c r="O89" s="67" t="n"/>
      <c r="P89" s="67" t="n"/>
    </row>
    <row r="90">
      <c r="B90" s="67" t="n"/>
      <c r="C90" s="67" t="n"/>
      <c r="D90" s="67" t="n"/>
      <c r="E90" s="67" t="n"/>
      <c r="F90" s="67" t="n"/>
      <c r="G90" s="67" t="n"/>
      <c r="H90" s="67" t="n"/>
      <c r="I90" s="67" t="n"/>
      <c r="J90" s="67" t="n"/>
      <c r="K90" s="67" t="n"/>
      <c r="L90" s="67" t="n"/>
      <c r="M90" s="67" t="n"/>
      <c r="O90" s="67" t="n"/>
      <c r="P90" s="67" t="n"/>
    </row>
    <row r="91">
      <c r="B91" s="67" t="n"/>
      <c r="C91" s="67" t="n"/>
      <c r="D91" s="67" t="n"/>
      <c r="E91" s="67" t="n"/>
      <c r="F91" s="67" t="n"/>
      <c r="G91" s="67" t="n"/>
      <c r="H91" s="67" t="n"/>
      <c r="I91" s="67" t="n"/>
      <c r="J91" s="67" t="n"/>
      <c r="K91" s="67" t="n"/>
      <c r="L91" s="67" t="n"/>
      <c r="M91" s="67" t="n"/>
      <c r="O91" s="67" t="n"/>
      <c r="P91" s="67" t="n"/>
    </row>
    <row r="92">
      <c r="B92" s="67" t="n"/>
      <c r="C92" s="67" t="n"/>
      <c r="D92" s="67" t="n"/>
      <c r="E92" s="67" t="n"/>
      <c r="F92" s="67" t="n"/>
      <c r="G92" s="67" t="n"/>
      <c r="H92" s="67" t="n"/>
      <c r="I92" s="67" t="n"/>
      <c r="J92" s="67" t="n"/>
      <c r="K92" s="67" t="n"/>
      <c r="L92" s="67" t="n"/>
      <c r="M92" s="67" t="n"/>
      <c r="O92" s="67" t="n"/>
      <c r="P92" s="67" t="n"/>
    </row>
    <row r="93">
      <c r="B93" s="67" t="n"/>
      <c r="C93" s="67" t="n"/>
      <c r="D93" s="67" t="n"/>
      <c r="E93" s="67" t="n"/>
      <c r="F93" s="67" t="n"/>
      <c r="G93" s="67" t="n"/>
      <c r="H93" s="67" t="n"/>
      <c r="I93" s="67" t="n"/>
      <c r="J93" s="67" t="n"/>
      <c r="K93" s="67" t="n"/>
      <c r="L93" s="67" t="n"/>
      <c r="M93" s="67" t="n"/>
      <c r="O93" s="67" t="n"/>
      <c r="P93" s="67" t="n"/>
    </row>
    <row r="94">
      <c r="B94" s="67" t="n"/>
      <c r="C94" s="67" t="n"/>
      <c r="D94" s="67" t="n"/>
      <c r="E94" s="67" t="n"/>
      <c r="F94" s="67" t="n"/>
      <c r="G94" s="67" t="n"/>
      <c r="H94" s="67" t="n"/>
      <c r="I94" s="67" t="n"/>
      <c r="J94" s="67" t="n"/>
      <c r="K94" s="67" t="n"/>
      <c r="L94" s="67" t="n"/>
      <c r="M94" s="67" t="n"/>
      <c r="O94" s="67" t="n"/>
      <c r="P94" s="67" t="n"/>
    </row>
    <row r="95">
      <c r="B95" s="67" t="n"/>
      <c r="C95" s="67" t="n"/>
      <c r="D95" s="67" t="n"/>
      <c r="E95" s="67" t="n"/>
      <c r="F95" s="67" t="n"/>
      <c r="G95" s="67" t="n"/>
      <c r="H95" s="67" t="n"/>
      <c r="I95" s="67" t="n"/>
      <c r="J95" s="67" t="n"/>
      <c r="K95" s="67" t="n"/>
      <c r="L95" s="67" t="n"/>
      <c r="M95" s="67" t="n"/>
      <c r="O95" s="67" t="n"/>
      <c r="P95" s="67" t="n"/>
    </row>
    <row r="96">
      <c r="B96" s="67" t="n"/>
      <c r="C96" s="67" t="n"/>
      <c r="D96" s="67" t="n"/>
      <c r="E96" s="67" t="n"/>
      <c r="F96" s="67" t="n"/>
      <c r="G96" s="67" t="n"/>
      <c r="H96" s="67" t="n"/>
      <c r="I96" s="67" t="n"/>
      <c r="J96" s="67" t="n"/>
      <c r="K96" s="67" t="n"/>
      <c r="L96" s="67" t="n"/>
      <c r="M96" s="67" t="n"/>
      <c r="O96" s="67" t="n"/>
      <c r="P96" s="67" t="n"/>
    </row>
    <row r="97">
      <c r="B97" s="67" t="n"/>
      <c r="C97" s="67" t="n"/>
      <c r="D97" s="67" t="n"/>
      <c r="E97" s="67" t="n"/>
      <c r="F97" s="67" t="n"/>
      <c r="G97" s="67" t="n"/>
      <c r="H97" s="67" t="n"/>
      <c r="I97" s="67" t="n"/>
      <c r="J97" s="67" t="n"/>
      <c r="K97" s="67" t="n"/>
      <c r="L97" s="67" t="n"/>
      <c r="M97" s="67" t="n"/>
      <c r="O97" s="67" t="n"/>
      <c r="P97" s="67" t="n"/>
    </row>
    <row r="98">
      <c r="B98" s="67" t="n"/>
      <c r="C98" s="67" t="n"/>
      <c r="D98" s="67" t="n"/>
      <c r="E98" s="67" t="n"/>
      <c r="F98" s="67" t="n"/>
      <c r="G98" s="67" t="n"/>
      <c r="H98" s="67" t="n"/>
      <c r="I98" s="67" t="n"/>
      <c r="J98" s="67" t="n"/>
      <c r="K98" s="67" t="n"/>
      <c r="L98" s="67" t="n"/>
      <c r="M98" s="67" t="n"/>
      <c r="O98" s="67" t="n"/>
      <c r="P98" s="67" t="n"/>
    </row>
    <row r="99">
      <c r="B99" s="67" t="n"/>
      <c r="C99" s="67" t="n"/>
      <c r="D99" s="67" t="n"/>
      <c r="E99" s="67" t="n"/>
      <c r="F99" s="67" t="n"/>
      <c r="G99" s="67" t="n"/>
      <c r="H99" s="67" t="n"/>
      <c r="I99" s="67" t="n"/>
      <c r="J99" s="67" t="n"/>
      <c r="K99" s="67" t="n"/>
      <c r="L99" s="67" t="n"/>
      <c r="M99" s="67" t="n"/>
      <c r="O99" s="67" t="n"/>
      <c r="P99" s="67" t="n"/>
    </row>
    <row r="100">
      <c r="B100" s="67" t="n"/>
      <c r="C100" s="67" t="n"/>
      <c r="D100" s="67" t="n"/>
      <c r="E100" s="67" t="n"/>
      <c r="F100" s="67" t="n"/>
      <c r="G100" s="67" t="n"/>
      <c r="H100" s="67" t="n"/>
      <c r="I100" s="67" t="n"/>
      <c r="J100" s="67" t="n"/>
      <c r="K100" s="67" t="n"/>
      <c r="L100" s="67" t="n"/>
      <c r="M100" s="67" t="n"/>
      <c r="O100" s="67" t="n"/>
      <c r="P100" s="67" t="n"/>
    </row>
    <row r="101">
      <c r="B101" s="67" t="n"/>
      <c r="C101" s="67" t="n"/>
      <c r="D101" s="67" t="n"/>
      <c r="E101" s="67" t="n"/>
      <c r="F101" s="67" t="n"/>
      <c r="G101" s="67" t="n"/>
      <c r="H101" s="67" t="n"/>
      <c r="I101" s="67" t="n"/>
      <c r="J101" s="67" t="n"/>
      <c r="K101" s="67" t="n"/>
      <c r="L101" s="67" t="n"/>
      <c r="M101" s="67" t="n"/>
      <c r="O101" s="67" t="n"/>
      <c r="P101" s="67" t="n"/>
    </row>
    <row r="102">
      <c r="B102" s="67" t="n"/>
      <c r="C102" s="67" t="n"/>
      <c r="D102" s="67" t="n"/>
      <c r="E102" s="67" t="n"/>
      <c r="F102" s="67" t="n"/>
      <c r="G102" s="67" t="n"/>
      <c r="H102" s="67" t="n"/>
      <c r="I102" s="67" t="n"/>
      <c r="J102" s="67" t="n"/>
      <c r="K102" s="67" t="n"/>
      <c r="L102" s="67" t="n"/>
      <c r="M102" s="67" t="n"/>
      <c r="O102" s="67" t="n"/>
      <c r="P102" s="67" t="n"/>
    </row>
    <row r="103">
      <c r="B103" s="67" t="n"/>
      <c r="C103" s="67" t="n"/>
      <c r="D103" s="67" t="n"/>
      <c r="E103" s="67" t="n"/>
      <c r="F103" s="67" t="n"/>
      <c r="G103" s="67" t="n"/>
      <c r="H103" s="67" t="n"/>
      <c r="I103" s="67" t="n"/>
      <c r="J103" s="67" t="n"/>
      <c r="K103" s="67" t="n"/>
      <c r="L103" s="67" t="n"/>
      <c r="M103" s="67" t="n"/>
      <c r="O103" s="67" t="n"/>
      <c r="P103" s="67" t="n"/>
    </row>
    <row r="104">
      <c r="B104" s="67" t="n"/>
      <c r="C104" s="67" t="n"/>
      <c r="D104" s="67" t="n"/>
      <c r="E104" s="67" t="n"/>
      <c r="F104" s="67" t="n"/>
      <c r="G104" s="67" t="n"/>
      <c r="H104" s="67" t="n"/>
      <c r="I104" s="67" t="n"/>
      <c r="J104" s="67" t="n"/>
      <c r="K104" s="67" t="n"/>
      <c r="L104" s="67" t="n"/>
      <c r="M104" s="67" t="n"/>
      <c r="O104" s="67" t="n"/>
      <c r="P104" s="67" t="n"/>
    </row>
    <row r="105">
      <c r="B105" s="67" t="n"/>
      <c r="C105" s="67" t="n"/>
      <c r="D105" s="67" t="n"/>
      <c r="E105" s="67" t="n"/>
      <c r="F105" s="67" t="n"/>
      <c r="G105" s="67" t="n"/>
      <c r="H105" s="67" t="n"/>
      <c r="I105" s="67" t="n"/>
      <c r="J105" s="67" t="n"/>
      <c r="K105" s="67" t="n"/>
      <c r="L105" s="67" t="n"/>
      <c r="M105" s="67" t="n"/>
      <c r="O105" s="67" t="n"/>
      <c r="P105" s="67" t="n"/>
    </row>
    <row r="106">
      <c r="B106" s="67" t="n"/>
      <c r="C106" s="67" t="n"/>
      <c r="D106" s="67" t="n"/>
      <c r="E106" s="67" t="n"/>
      <c r="F106" s="67" t="n"/>
      <c r="G106" s="67" t="n"/>
      <c r="H106" s="67" t="n"/>
      <c r="I106" s="67" t="n"/>
      <c r="J106" s="67" t="n"/>
      <c r="K106" s="67" t="n"/>
      <c r="L106" s="67" t="n"/>
      <c r="M106" s="67" t="n"/>
      <c r="O106" s="67" t="n"/>
      <c r="P106" s="67" t="n"/>
    </row>
    <row r="107">
      <c r="B107" s="67" t="n"/>
      <c r="C107" s="67" t="n"/>
      <c r="D107" s="67" t="n"/>
      <c r="E107" s="67" t="n"/>
      <c r="F107" s="67" t="n"/>
      <c r="G107" s="67" t="n"/>
      <c r="H107" s="67" t="n"/>
      <c r="I107" s="67" t="n"/>
      <c r="J107" s="67" t="n"/>
      <c r="K107" s="67" t="n"/>
      <c r="L107" s="67" t="n"/>
      <c r="M107" s="67" t="n"/>
      <c r="O107" s="67" t="n"/>
      <c r="P107" s="67" t="n"/>
    </row>
    <row r="108">
      <c r="B108" s="67" t="n"/>
      <c r="C108" s="67" t="n"/>
      <c r="D108" s="67" t="n"/>
      <c r="E108" s="67" t="n"/>
      <c r="F108" s="67" t="n"/>
      <c r="G108" s="67" t="n"/>
      <c r="H108" s="67" t="n"/>
      <c r="I108" s="67" t="n"/>
      <c r="J108" s="67" t="n"/>
      <c r="K108" s="67" t="n"/>
      <c r="L108" s="67" t="n"/>
      <c r="M108" s="67" t="n"/>
      <c r="O108" s="67" t="n"/>
      <c r="P108" s="67" t="n"/>
    </row>
    <row r="109">
      <c r="B109" s="67" t="n"/>
      <c r="C109" s="67" t="n"/>
      <c r="D109" s="67" t="n"/>
      <c r="E109" s="67" t="n"/>
      <c r="F109" s="67" t="n"/>
      <c r="G109" s="67" t="n"/>
      <c r="H109" s="67" t="n"/>
      <c r="I109" s="67" t="n"/>
      <c r="J109" s="67" t="n"/>
      <c r="K109" s="67" t="n"/>
      <c r="L109" s="67" t="n"/>
      <c r="M109" s="67" t="n"/>
      <c r="O109" s="67" t="n"/>
      <c r="P109" s="67" t="n"/>
    </row>
    <row r="110">
      <c r="B110" s="67" t="n"/>
      <c r="C110" s="67" t="n"/>
      <c r="D110" s="67" t="n"/>
      <c r="E110" s="67" t="n"/>
      <c r="F110" s="67" t="n"/>
      <c r="G110" s="67" t="n"/>
      <c r="H110" s="67" t="n"/>
      <c r="I110" s="67" t="n"/>
      <c r="J110" s="67" t="n"/>
      <c r="K110" s="67" t="n"/>
      <c r="L110" s="67" t="n"/>
      <c r="M110" s="67" t="n"/>
      <c r="O110" s="67" t="n"/>
      <c r="P110" s="67" t="n"/>
    </row>
    <row r="111">
      <c r="B111" s="67" t="n"/>
      <c r="C111" s="67" t="n"/>
      <c r="D111" s="67" t="n"/>
      <c r="E111" s="67" t="n"/>
      <c r="F111" s="67" t="n"/>
      <c r="G111" s="67" t="n"/>
      <c r="H111" s="67" t="n"/>
      <c r="I111" s="67" t="n"/>
      <c r="J111" s="67" t="n"/>
      <c r="K111" s="67" t="n"/>
      <c r="L111" s="67" t="n"/>
      <c r="M111" s="67" t="n"/>
      <c r="O111" s="67" t="n"/>
      <c r="P111" s="67" t="n"/>
    </row>
    <row r="112">
      <c r="B112" s="67" t="n"/>
      <c r="C112" s="67" t="n"/>
      <c r="D112" s="67" t="n"/>
      <c r="E112" s="67" t="n"/>
      <c r="F112" s="67" t="n"/>
      <c r="G112" s="67" t="n"/>
      <c r="H112" s="67" t="n"/>
      <c r="I112" s="67" t="n"/>
      <c r="J112" s="67" t="n"/>
      <c r="K112" s="67" t="n"/>
      <c r="L112" s="67" t="n"/>
      <c r="M112" s="67" t="n"/>
      <c r="O112" s="67" t="n"/>
      <c r="P112" s="67" t="n"/>
    </row>
    <row r="113">
      <c r="B113" s="67" t="n"/>
      <c r="C113" s="67" t="n"/>
      <c r="D113" s="67" t="n"/>
      <c r="E113" s="67" t="n"/>
      <c r="F113" s="67" t="n"/>
      <c r="G113" s="67" t="n"/>
      <c r="H113" s="67" t="n"/>
      <c r="I113" s="67" t="n"/>
      <c r="J113" s="67" t="n"/>
      <c r="K113" s="67" t="n"/>
      <c r="L113" s="67" t="n"/>
      <c r="M113" s="67" t="n"/>
      <c r="O113" s="67" t="n"/>
      <c r="P113" s="67" t="n"/>
    </row>
    <row r="114">
      <c r="B114" s="67" t="n"/>
      <c r="C114" s="67" t="n"/>
      <c r="D114" s="67" t="n"/>
      <c r="E114" s="67" t="n"/>
      <c r="F114" s="67" t="n"/>
      <c r="G114" s="67" t="n"/>
      <c r="H114" s="67" t="n"/>
      <c r="I114" s="67" t="n"/>
      <c r="J114" s="67" t="n"/>
      <c r="K114" s="67" t="n"/>
      <c r="L114" s="67" t="n"/>
      <c r="M114" s="67" t="n"/>
      <c r="O114" s="67" t="n"/>
      <c r="P114" s="67" t="n"/>
    </row>
    <row r="115">
      <c r="B115" s="67" t="n"/>
      <c r="C115" s="67" t="n"/>
      <c r="D115" s="67" t="n"/>
      <c r="E115" s="67" t="n"/>
      <c r="F115" s="67" t="n"/>
      <c r="G115" s="67" t="n"/>
      <c r="H115" s="67" t="n"/>
      <c r="I115" s="67" t="n"/>
      <c r="J115" s="67" t="n"/>
      <c r="K115" s="67" t="n"/>
      <c r="L115" s="67" t="n"/>
      <c r="M115" s="67" t="n"/>
      <c r="O115" s="67" t="n"/>
      <c r="P115" s="67" t="n"/>
    </row>
    <row r="116">
      <c r="B116" s="67" t="n"/>
      <c r="C116" s="67" t="n"/>
      <c r="D116" s="67" t="n"/>
      <c r="E116" s="67" t="n"/>
      <c r="F116" s="67" t="n"/>
      <c r="G116" s="67" t="n"/>
      <c r="H116" s="67" t="n"/>
      <c r="I116" s="67" t="n"/>
      <c r="J116" s="67" t="n"/>
      <c r="K116" s="67" t="n"/>
      <c r="L116" s="67" t="n"/>
      <c r="M116" s="67" t="n"/>
      <c r="O116" s="67" t="n"/>
      <c r="P116" s="67" t="n"/>
    </row>
    <row r="117">
      <c r="B117" s="67" t="n"/>
      <c r="C117" s="67" t="n"/>
      <c r="D117" s="67" t="n"/>
      <c r="E117" s="67" t="n"/>
      <c r="F117" s="67" t="n"/>
      <c r="G117" s="67" t="n"/>
      <c r="H117" s="67" t="n"/>
      <c r="I117" s="67" t="n"/>
      <c r="J117" s="67" t="n"/>
      <c r="K117" s="67" t="n"/>
      <c r="L117" s="67" t="n"/>
      <c r="M117" s="67" t="n"/>
      <c r="O117" s="67" t="n"/>
      <c r="P117" s="67" t="n"/>
    </row>
    <row r="118">
      <c r="B118" s="67" t="n"/>
      <c r="C118" s="67" t="n"/>
      <c r="D118" s="67" t="n"/>
      <c r="E118" s="67" t="n"/>
      <c r="F118" s="67" t="n"/>
      <c r="G118" s="67" t="n"/>
      <c r="H118" s="67" t="n"/>
      <c r="I118" s="67" t="n"/>
      <c r="J118" s="67" t="n"/>
      <c r="K118" s="67" t="n"/>
      <c r="L118" s="67" t="n"/>
      <c r="M118" s="67" t="n"/>
      <c r="O118" s="67" t="n"/>
      <c r="P118" s="67" t="n"/>
    </row>
    <row r="119">
      <c r="B119" s="67" t="n"/>
      <c r="C119" s="67" t="n"/>
      <c r="D119" s="67" t="n"/>
      <c r="E119" s="67" t="n"/>
      <c r="F119" s="67" t="n"/>
      <c r="G119" s="67" t="n"/>
      <c r="H119" s="67" t="n"/>
      <c r="I119" s="67" t="n"/>
      <c r="J119" s="67" t="n"/>
      <c r="K119" s="67" t="n"/>
      <c r="L119" s="67" t="n"/>
      <c r="M119" s="67" t="n"/>
      <c r="O119" s="67" t="n"/>
      <c r="P119" s="67" t="n"/>
    </row>
    <row r="120">
      <c r="B120" s="67" t="n"/>
      <c r="C120" s="67" t="n"/>
      <c r="D120" s="67" t="n"/>
      <c r="E120" s="67" t="n"/>
      <c r="F120" s="67" t="n"/>
      <c r="G120" s="67" t="n"/>
      <c r="H120" s="67" t="n"/>
      <c r="I120" s="67" t="n"/>
      <c r="J120" s="67" t="n"/>
      <c r="K120" s="67" t="n"/>
      <c r="L120" s="67" t="n"/>
      <c r="M120" s="67" t="n"/>
      <c r="O120" s="67" t="n"/>
      <c r="P120" s="67" t="n"/>
    </row>
    <row r="121">
      <c r="B121" s="67" t="n"/>
      <c r="C121" s="67" t="n"/>
      <c r="D121" s="67" t="n"/>
      <c r="E121" s="67" t="n"/>
      <c r="F121" s="67" t="n"/>
      <c r="G121" s="67" t="n"/>
      <c r="H121" s="67" t="n"/>
      <c r="I121" s="67" t="n"/>
      <c r="J121" s="67" t="n"/>
      <c r="K121" s="67" t="n"/>
      <c r="L121" s="67" t="n"/>
      <c r="M121" s="67" t="n"/>
      <c r="O121" s="67" t="n"/>
      <c r="P121" s="67" t="n"/>
    </row>
    <row r="122">
      <c r="B122" s="67" t="n"/>
      <c r="C122" s="67" t="n"/>
      <c r="D122" s="67" t="n"/>
      <c r="E122" s="67" t="n"/>
      <c r="F122" s="67" t="n"/>
      <c r="G122" s="67" t="n"/>
      <c r="H122" s="67" t="n"/>
      <c r="I122" s="67" t="n"/>
      <c r="J122" s="67" t="n"/>
      <c r="K122" s="67" t="n"/>
      <c r="L122" s="67" t="n"/>
      <c r="M122" s="67" t="n"/>
      <c r="O122" s="67" t="n"/>
      <c r="P122" s="67" t="n"/>
    </row>
    <row r="123">
      <c r="B123" s="67" t="n"/>
      <c r="C123" s="67" t="n"/>
      <c r="D123" s="67" t="n"/>
      <c r="E123" s="67" t="n"/>
      <c r="F123" s="67" t="n"/>
      <c r="G123" s="67" t="n"/>
      <c r="H123" s="67" t="n"/>
      <c r="I123" s="67" t="n"/>
      <c r="J123" s="67" t="n"/>
      <c r="K123" s="67" t="n"/>
      <c r="L123" s="67" t="n"/>
      <c r="M123" s="67" t="n"/>
      <c r="O123" s="67" t="n"/>
      <c r="P123" s="67" t="n"/>
    </row>
    <row r="124">
      <c r="B124" s="67" t="n"/>
      <c r="C124" s="67" t="n"/>
      <c r="D124" s="67" t="n"/>
      <c r="E124" s="67" t="n"/>
      <c r="F124" s="67" t="n"/>
      <c r="G124" s="67" t="n"/>
      <c r="H124" s="67" t="n"/>
      <c r="I124" s="67" t="n"/>
      <c r="J124" s="67" t="n"/>
      <c r="K124" s="67" t="n"/>
      <c r="L124" s="67" t="n"/>
      <c r="M124" s="67" t="n"/>
      <c r="O124" s="67" t="n"/>
      <c r="P124" s="67" t="n"/>
    </row>
    <row r="125">
      <c r="B125" s="67" t="n"/>
      <c r="C125" s="67" t="n"/>
      <c r="D125" s="67" t="n"/>
      <c r="E125" s="67" t="n"/>
      <c r="F125" s="67" t="n"/>
      <c r="G125" s="67" t="n"/>
      <c r="H125" s="67" t="n"/>
      <c r="I125" s="67" t="n"/>
      <c r="J125" s="67" t="n"/>
      <c r="K125" s="67" t="n"/>
      <c r="L125" s="67" t="n"/>
      <c r="M125" s="67" t="n"/>
      <c r="O125" s="67" t="n"/>
      <c r="P125" s="67" t="n"/>
    </row>
    <row r="126">
      <c r="B126" s="67" t="n"/>
      <c r="C126" s="67" t="n"/>
      <c r="D126" s="67" t="n"/>
      <c r="E126" s="67" t="n"/>
      <c r="F126" s="67" t="n"/>
      <c r="G126" s="67" t="n"/>
      <c r="H126" s="67" t="n"/>
      <c r="I126" s="67" t="n"/>
      <c r="J126" s="67" t="n"/>
      <c r="K126" s="67" t="n"/>
      <c r="L126" s="67" t="n"/>
      <c r="M126" s="67" t="n"/>
      <c r="O126" s="67" t="n"/>
      <c r="P126" s="67" t="n"/>
    </row>
    <row r="127">
      <c r="B127" s="67" t="n"/>
      <c r="C127" s="67" t="n"/>
      <c r="D127" s="67" t="n"/>
      <c r="E127" s="67" t="n"/>
      <c r="F127" s="67" t="n"/>
      <c r="G127" s="67" t="n"/>
      <c r="H127" s="67" t="n"/>
      <c r="I127" s="67" t="n"/>
      <c r="J127" s="67" t="n"/>
      <c r="K127" s="67" t="n"/>
      <c r="L127" s="67" t="n"/>
      <c r="M127" s="67" t="n"/>
      <c r="O127" s="67" t="n"/>
      <c r="P127" s="67" t="n"/>
    </row>
    <row r="128">
      <c r="B128" s="67" t="n"/>
      <c r="C128" s="67" t="n"/>
      <c r="D128" s="67" t="n"/>
      <c r="E128" s="67" t="n"/>
      <c r="F128" s="67" t="n"/>
      <c r="G128" s="67" t="n"/>
      <c r="H128" s="67" t="n"/>
      <c r="I128" s="67" t="n"/>
      <c r="J128" s="67" t="n"/>
      <c r="K128" s="67" t="n"/>
      <c r="L128" s="67" t="n"/>
      <c r="M128" s="67" t="n"/>
      <c r="O128" s="67" t="n"/>
      <c r="P128" s="67" t="n"/>
    </row>
    <row r="129">
      <c r="B129" s="67" t="n"/>
      <c r="C129" s="67" t="n"/>
      <c r="D129" s="67" t="n"/>
      <c r="E129" s="67" t="n"/>
      <c r="F129" s="67" t="n"/>
      <c r="G129" s="67" t="n"/>
      <c r="H129" s="67" t="n"/>
      <c r="I129" s="67" t="n"/>
      <c r="J129" s="67" t="n"/>
      <c r="K129" s="67" t="n"/>
      <c r="L129" s="67" t="n"/>
      <c r="M129" s="67" t="n"/>
      <c r="O129" s="67" t="n"/>
      <c r="P129" s="67" t="n"/>
    </row>
    <row r="130">
      <c r="B130" s="67" t="n"/>
      <c r="C130" s="67" t="n"/>
      <c r="D130" s="67" t="n"/>
      <c r="E130" s="67" t="n"/>
      <c r="F130" s="67" t="n"/>
      <c r="G130" s="67" t="n"/>
      <c r="H130" s="67" t="n"/>
      <c r="I130" s="67" t="n"/>
      <c r="J130" s="67" t="n"/>
      <c r="K130" s="67" t="n"/>
      <c r="L130" s="67" t="n"/>
      <c r="M130" s="67" t="n"/>
      <c r="O130" s="67" t="n"/>
      <c r="P130" s="67" t="n"/>
    </row>
    <row r="131">
      <c r="B131" s="67" t="n"/>
      <c r="C131" s="67" t="n"/>
      <c r="D131" s="67" t="n"/>
      <c r="E131" s="67" t="n"/>
      <c r="F131" s="67" t="n"/>
      <c r="G131" s="67" t="n"/>
      <c r="H131" s="67" t="n"/>
      <c r="I131" s="67" t="n"/>
      <c r="J131" s="67" t="n"/>
      <c r="K131" s="67" t="n"/>
      <c r="L131" s="67" t="n"/>
      <c r="M131" s="67" t="n"/>
      <c r="O131" s="67" t="n"/>
      <c r="P131" s="67" t="n"/>
    </row>
    <row r="132">
      <c r="B132" s="67" t="n"/>
      <c r="C132" s="67" t="n"/>
      <c r="D132" s="67" t="n"/>
      <c r="E132" s="67" t="n"/>
      <c r="F132" s="67" t="n"/>
      <c r="G132" s="67" t="n"/>
      <c r="H132" s="67" t="n"/>
      <c r="I132" s="67" t="n"/>
      <c r="J132" s="67" t="n"/>
      <c r="K132" s="67" t="n"/>
      <c r="L132" s="67" t="n"/>
      <c r="M132" s="67" t="n"/>
      <c r="O132" s="67" t="n"/>
      <c r="P132" s="67" t="n"/>
    </row>
    <row r="133">
      <c r="B133" s="67" t="n"/>
      <c r="C133" s="67" t="n"/>
      <c r="D133" s="67" t="n"/>
      <c r="E133" s="67" t="n"/>
      <c r="F133" s="67" t="n"/>
      <c r="G133" s="67" t="n"/>
      <c r="H133" s="67" t="n"/>
      <c r="I133" s="67" t="n"/>
      <c r="J133" s="67" t="n"/>
      <c r="K133" s="67" t="n"/>
      <c r="L133" s="67" t="n"/>
      <c r="M133" s="67" t="n"/>
      <c r="O133" s="67" t="n"/>
      <c r="P133" s="67" t="n"/>
    </row>
    <row r="134">
      <c r="B134" s="67" t="n"/>
      <c r="C134" s="67" t="n"/>
      <c r="D134" s="67" t="n"/>
      <c r="E134" s="67" t="n"/>
      <c r="F134" s="67" t="n"/>
      <c r="G134" s="67" t="n"/>
      <c r="H134" s="67" t="n"/>
      <c r="I134" s="67" t="n"/>
      <c r="J134" s="67" t="n"/>
      <c r="K134" s="67" t="n"/>
      <c r="L134" s="67" t="n"/>
      <c r="M134" s="67" t="n"/>
      <c r="O134" s="67" t="n"/>
      <c r="P134" s="67" t="n"/>
    </row>
    <row r="135">
      <c r="B135" s="67" t="n"/>
      <c r="C135" s="67" t="n"/>
      <c r="D135" s="67" t="n"/>
      <c r="E135" s="67" t="n"/>
      <c r="F135" s="67" t="n"/>
      <c r="G135" s="67" t="n"/>
      <c r="H135" s="67" t="n"/>
      <c r="I135" s="67" t="n"/>
      <c r="J135" s="67" t="n"/>
      <c r="K135" s="67" t="n"/>
      <c r="L135" s="67" t="n"/>
      <c r="M135" s="67" t="n"/>
      <c r="O135" s="67" t="n"/>
      <c r="P135" s="67" t="n"/>
    </row>
    <row r="136">
      <c r="B136" s="67" t="n"/>
      <c r="C136" s="67" t="n"/>
      <c r="D136" s="67" t="n"/>
      <c r="E136" s="67" t="n"/>
      <c r="F136" s="67" t="n"/>
      <c r="G136" s="67" t="n"/>
      <c r="H136" s="67" t="n"/>
      <c r="I136" s="67" t="n"/>
      <c r="J136" s="67" t="n"/>
      <c r="K136" s="67" t="n"/>
      <c r="L136" s="67" t="n"/>
      <c r="M136" s="67" t="n"/>
      <c r="O136" s="67" t="n"/>
      <c r="P136" s="67" t="n"/>
    </row>
    <row r="137">
      <c r="B137" s="67" t="n"/>
      <c r="C137" s="67" t="n"/>
      <c r="D137" s="67" t="n"/>
      <c r="E137" s="67" t="n"/>
      <c r="F137" s="67" t="n"/>
      <c r="G137" s="67" t="n"/>
      <c r="H137" s="67" t="n"/>
      <c r="I137" s="67" t="n"/>
      <c r="J137" s="67" t="n"/>
      <c r="K137" s="67" t="n"/>
      <c r="L137" s="67" t="n"/>
      <c r="M137" s="67" t="n"/>
      <c r="O137" s="67" t="n"/>
      <c r="P137" s="67" t="n"/>
    </row>
    <row r="138">
      <c r="B138" s="67" t="n"/>
      <c r="C138" s="67" t="n"/>
      <c r="D138" s="67" t="n"/>
      <c r="E138" s="67" t="n"/>
      <c r="F138" s="67" t="n"/>
      <c r="G138" s="67" t="n"/>
      <c r="H138" s="67" t="n"/>
      <c r="I138" s="67" t="n"/>
      <c r="J138" s="67" t="n"/>
      <c r="K138" s="67" t="n"/>
      <c r="L138" s="67" t="n"/>
      <c r="M138" s="67" t="n"/>
      <c r="O138" s="67" t="n"/>
      <c r="P138" s="67" t="n"/>
    </row>
    <row r="139">
      <c r="B139" s="67" t="n"/>
      <c r="C139" s="67" t="n"/>
      <c r="D139" s="67" t="n"/>
      <c r="E139" s="67" t="n"/>
      <c r="F139" s="67" t="n"/>
      <c r="G139" s="67" t="n"/>
      <c r="H139" s="67" t="n"/>
      <c r="I139" s="67" t="n"/>
      <c r="J139" s="67" t="n"/>
      <c r="K139" s="67" t="n"/>
      <c r="L139" s="67" t="n"/>
      <c r="M139" s="67" t="n"/>
      <c r="O139" s="67" t="n"/>
      <c r="P139" s="67" t="n"/>
    </row>
    <row r="140">
      <c r="B140" s="67" t="n"/>
      <c r="C140" s="67" t="n"/>
      <c r="D140" s="67" t="n"/>
      <c r="E140" s="67" t="n"/>
      <c r="F140" s="67" t="n"/>
      <c r="G140" s="67" t="n"/>
      <c r="H140" s="67" t="n"/>
      <c r="I140" s="67" t="n"/>
      <c r="J140" s="67" t="n"/>
      <c r="K140" s="67" t="n"/>
      <c r="L140" s="67" t="n"/>
      <c r="M140" s="67" t="n"/>
      <c r="O140" s="67" t="n"/>
      <c r="P140" s="67" t="n"/>
    </row>
    <row r="141">
      <c r="B141" s="67" t="n"/>
      <c r="C141" s="67" t="n"/>
      <c r="D141" s="67" t="n"/>
      <c r="E141" s="67" t="n"/>
      <c r="F141" s="67" t="n"/>
      <c r="G141" s="67" t="n"/>
      <c r="H141" s="67" t="n"/>
      <c r="I141" s="67" t="n"/>
      <c r="J141" s="67" t="n"/>
      <c r="K141" s="67" t="n"/>
      <c r="L141" s="67" t="n"/>
      <c r="M141" s="67" t="n"/>
      <c r="O141" s="67" t="n"/>
      <c r="P141" s="67" t="n"/>
    </row>
    <row r="142">
      <c r="B142" s="67" t="n"/>
      <c r="C142" s="67" t="n"/>
      <c r="D142" s="67" t="n"/>
      <c r="E142" s="67" t="n"/>
      <c r="F142" s="67" t="n"/>
      <c r="G142" s="67" t="n"/>
      <c r="H142" s="67" t="n"/>
      <c r="I142" s="67" t="n"/>
      <c r="J142" s="67" t="n"/>
      <c r="K142" s="67" t="n"/>
      <c r="L142" s="67" t="n"/>
      <c r="M142" s="67" t="n"/>
      <c r="O142" s="67" t="n"/>
      <c r="P142" s="67" t="n"/>
    </row>
    <row r="143">
      <c r="B143" s="67" t="n"/>
      <c r="C143" s="67" t="n"/>
      <c r="D143" s="67" t="n"/>
      <c r="E143" s="67" t="n"/>
      <c r="F143" s="67" t="n"/>
      <c r="G143" s="67" t="n"/>
      <c r="H143" s="67" t="n"/>
      <c r="I143" s="67" t="n"/>
      <c r="J143" s="67" t="n"/>
      <c r="K143" s="67" t="n"/>
      <c r="L143" s="67" t="n"/>
      <c r="M143" s="67" t="n"/>
      <c r="O143" s="67" t="n"/>
      <c r="P143" s="67" t="n"/>
    </row>
    <row r="144">
      <c r="B144" s="67" t="n"/>
      <c r="C144" s="67" t="n"/>
      <c r="D144" s="67" t="n"/>
      <c r="E144" s="67" t="n"/>
      <c r="F144" s="67" t="n"/>
      <c r="G144" s="67" t="n"/>
      <c r="H144" s="67" t="n"/>
      <c r="I144" s="67" t="n"/>
      <c r="J144" s="67" t="n"/>
      <c r="K144" s="67" t="n"/>
      <c r="L144" s="67" t="n"/>
      <c r="M144" s="67" t="n"/>
      <c r="O144" s="67" t="n"/>
      <c r="P144" s="67" t="n"/>
    </row>
    <row r="145">
      <c r="B145" s="67" t="n"/>
      <c r="C145" s="67" t="n"/>
      <c r="D145" s="67" t="n"/>
      <c r="E145" s="67" t="n"/>
      <c r="F145" s="67" t="n"/>
      <c r="G145" s="67" t="n"/>
      <c r="H145" s="67" t="n"/>
      <c r="I145" s="67" t="n"/>
      <c r="J145" s="67" t="n"/>
      <c r="K145" s="67" t="n"/>
      <c r="L145" s="67" t="n"/>
      <c r="M145" s="67" t="n"/>
      <c r="O145" s="67" t="n"/>
      <c r="P145" s="67" t="n"/>
    </row>
    <row r="146">
      <c r="B146" s="67" t="n"/>
      <c r="C146" s="67" t="n"/>
      <c r="D146" s="67" t="n"/>
      <c r="E146" s="67" t="n"/>
      <c r="F146" s="67" t="n"/>
      <c r="G146" s="67" t="n"/>
      <c r="H146" s="67" t="n"/>
      <c r="I146" s="67" t="n"/>
      <c r="J146" s="67" t="n"/>
      <c r="K146" s="67" t="n"/>
      <c r="L146" s="67" t="n"/>
      <c r="M146" s="67" t="n"/>
      <c r="O146" s="67" t="n"/>
      <c r="P146" s="67" t="n"/>
    </row>
    <row r="147">
      <c r="B147" s="67" t="n"/>
      <c r="C147" s="67" t="n"/>
      <c r="D147" s="67" t="n"/>
      <c r="E147" s="67" t="n"/>
      <c r="F147" s="67" t="n"/>
      <c r="G147" s="67" t="n"/>
      <c r="H147" s="67" t="n"/>
      <c r="I147" s="67" t="n"/>
      <c r="J147" s="67" t="n"/>
      <c r="K147" s="67" t="n"/>
      <c r="L147" s="67" t="n"/>
      <c r="M147" s="67" t="n"/>
      <c r="O147" s="67" t="n"/>
      <c r="P147" s="67" t="n"/>
    </row>
    <row r="148">
      <c r="B148" s="67" t="n"/>
      <c r="C148" s="67" t="n"/>
      <c r="D148" s="67" t="n"/>
      <c r="E148" s="67" t="n"/>
      <c r="F148" s="67" t="n"/>
      <c r="G148" s="67" t="n"/>
      <c r="H148" s="67" t="n"/>
      <c r="I148" s="67" t="n"/>
      <c r="J148" s="67" t="n"/>
      <c r="K148" s="67" t="n"/>
      <c r="L148" s="67" t="n"/>
      <c r="M148" s="67" t="n"/>
      <c r="O148" s="67" t="n"/>
      <c r="P148" s="67" t="n"/>
    </row>
    <row r="149">
      <c r="B149" s="67" t="n"/>
      <c r="C149" s="67" t="n"/>
      <c r="D149" s="67" t="n"/>
      <c r="E149" s="67" t="n"/>
      <c r="F149" s="67" t="n"/>
      <c r="G149" s="67" t="n"/>
      <c r="H149" s="67" t="n"/>
      <c r="I149" s="67" t="n"/>
      <c r="J149" s="67" t="n"/>
      <c r="K149" s="67" t="n"/>
      <c r="L149" s="67" t="n"/>
      <c r="M149" s="67" t="n"/>
      <c r="O149" s="67" t="n"/>
      <c r="P149" s="67" t="n"/>
    </row>
    <row r="150">
      <c r="B150" s="67" t="n"/>
      <c r="C150" s="67" t="n"/>
      <c r="D150" s="67" t="n"/>
      <c r="E150" s="67" t="n"/>
      <c r="F150" s="67" t="n"/>
      <c r="G150" s="67" t="n"/>
      <c r="H150" s="67" t="n"/>
      <c r="I150" s="67" t="n"/>
      <c r="J150" s="67" t="n"/>
      <c r="K150" s="67" t="n"/>
      <c r="L150" s="67" t="n"/>
      <c r="M150" s="67" t="n"/>
      <c r="O150" s="67" t="n"/>
      <c r="P150" s="67" t="n"/>
    </row>
    <row r="151">
      <c r="B151" s="67" t="n"/>
      <c r="C151" s="67" t="n"/>
      <c r="D151" s="67" t="n"/>
      <c r="E151" s="67" t="n"/>
      <c r="F151" s="67" t="n"/>
      <c r="G151" s="67" t="n"/>
      <c r="H151" s="67" t="n"/>
      <c r="I151" s="67" t="n"/>
      <c r="J151" s="67" t="n"/>
      <c r="K151" s="67" t="n"/>
      <c r="L151" s="67" t="n"/>
      <c r="M151" s="67" t="n"/>
      <c r="O151" s="67" t="n"/>
      <c r="P151" s="67" t="n"/>
    </row>
    <row r="152">
      <c r="B152" s="67" t="n"/>
      <c r="C152" s="67" t="n"/>
      <c r="D152" s="67" t="n"/>
      <c r="E152" s="67" t="n"/>
      <c r="F152" s="67" t="n"/>
      <c r="G152" s="67" t="n"/>
      <c r="H152" s="67" t="n"/>
      <c r="I152" s="67" t="n"/>
      <c r="J152" s="67" t="n"/>
      <c r="K152" s="67" t="n"/>
      <c r="L152" s="67" t="n"/>
      <c r="M152" s="67" t="n"/>
      <c r="O152" s="67" t="n"/>
      <c r="P152" s="67" t="n"/>
    </row>
    <row r="153">
      <c r="B153" s="67" t="n"/>
      <c r="C153" s="67" t="n"/>
      <c r="D153" s="67" t="n"/>
      <c r="E153" s="67" t="n"/>
      <c r="F153" s="67" t="n"/>
      <c r="G153" s="67" t="n"/>
      <c r="H153" s="67" t="n"/>
      <c r="I153" s="67" t="n"/>
      <c r="J153" s="67" t="n"/>
      <c r="K153" s="67" t="n"/>
      <c r="L153" s="67" t="n"/>
      <c r="M153" s="67" t="n"/>
      <c r="O153" s="67" t="n"/>
      <c r="P153" s="67" t="n"/>
    </row>
    <row r="154">
      <c r="B154" s="67" t="n"/>
      <c r="C154" s="67" t="n"/>
      <c r="D154" s="67" t="n"/>
      <c r="E154" s="67" t="n"/>
      <c r="F154" s="67" t="n"/>
      <c r="G154" s="67" t="n"/>
      <c r="H154" s="67" t="n"/>
      <c r="I154" s="67" t="n"/>
      <c r="J154" s="67" t="n"/>
      <c r="K154" s="67" t="n"/>
      <c r="L154" s="67" t="n"/>
      <c r="M154" s="67" t="n"/>
      <c r="O154" s="67" t="n"/>
      <c r="P154" s="67" t="n"/>
    </row>
    <row r="155">
      <c r="B155" s="67" t="n"/>
      <c r="C155" s="67" t="n"/>
      <c r="D155" s="67" t="n"/>
      <c r="E155" s="67" t="n"/>
      <c r="F155" s="67" t="n"/>
      <c r="G155" s="67" t="n"/>
      <c r="H155" s="67" t="n"/>
      <c r="I155" s="67" t="n"/>
      <c r="J155" s="67" t="n"/>
      <c r="K155" s="67" t="n"/>
      <c r="L155" s="67" t="n"/>
      <c r="M155" s="67" t="n"/>
      <c r="O155" s="67" t="n"/>
      <c r="P155" s="67" t="n"/>
    </row>
    <row r="156">
      <c r="B156" s="67" t="n"/>
      <c r="C156" s="67" t="n"/>
      <c r="D156" s="67" t="n"/>
      <c r="E156" s="67" t="n"/>
      <c r="F156" s="67" t="n"/>
      <c r="G156" s="67" t="n"/>
      <c r="H156" s="67" t="n"/>
      <c r="I156" s="67" t="n"/>
      <c r="J156" s="67" t="n"/>
      <c r="K156" s="67" t="n"/>
      <c r="L156" s="67" t="n"/>
      <c r="M156" s="67" t="n"/>
      <c r="O156" s="67" t="n"/>
      <c r="P156" s="67" t="n"/>
    </row>
    <row r="157">
      <c r="B157" s="67" t="n"/>
      <c r="C157" s="67" t="n"/>
      <c r="D157" s="67" t="n"/>
      <c r="E157" s="67" t="n"/>
      <c r="F157" s="67" t="n"/>
      <c r="G157" s="67" t="n"/>
      <c r="H157" s="67" t="n"/>
      <c r="I157" s="67" t="n"/>
      <c r="J157" s="67" t="n"/>
      <c r="K157" s="67" t="n"/>
      <c r="L157" s="67" t="n"/>
      <c r="M157" s="67" t="n"/>
      <c r="O157" s="67" t="n"/>
      <c r="P157" s="67" t="n"/>
    </row>
    <row r="158">
      <c r="B158" s="67" t="n"/>
      <c r="C158" s="67" t="n"/>
      <c r="D158" s="67" t="n"/>
      <c r="E158" s="67" t="n"/>
      <c r="F158" s="67" t="n"/>
      <c r="G158" s="67" t="n"/>
      <c r="H158" s="67" t="n"/>
      <c r="I158" s="67" t="n"/>
      <c r="J158" s="67" t="n"/>
      <c r="K158" s="67" t="n"/>
      <c r="L158" s="67" t="n"/>
      <c r="M158" s="67" t="n"/>
      <c r="O158" s="67" t="n"/>
      <c r="P158" s="67" t="n"/>
    </row>
    <row r="159">
      <c r="B159" s="67" t="n"/>
      <c r="C159" s="67" t="n"/>
      <c r="D159" s="67" t="n"/>
      <c r="E159" s="67" t="n"/>
      <c r="F159" s="67" t="n"/>
      <c r="G159" s="67" t="n"/>
      <c r="H159" s="67" t="n"/>
      <c r="I159" s="67" t="n"/>
      <c r="J159" s="67" t="n"/>
      <c r="K159" s="67" t="n"/>
      <c r="L159" s="67" t="n"/>
      <c r="M159" s="67" t="n"/>
      <c r="O159" s="67" t="n"/>
      <c r="P159" s="67" t="n"/>
    </row>
    <row r="160">
      <c r="B160" s="67" t="n"/>
      <c r="C160" s="67" t="n"/>
      <c r="D160" s="67" t="n"/>
      <c r="E160" s="67" t="n"/>
      <c r="F160" s="67" t="n"/>
      <c r="G160" s="67" t="n"/>
      <c r="H160" s="67" t="n"/>
      <c r="I160" s="67" t="n"/>
      <c r="J160" s="67" t="n"/>
      <c r="K160" s="67" t="n"/>
      <c r="L160" s="67" t="n"/>
      <c r="M160" s="67" t="n"/>
      <c r="O160" s="67" t="n"/>
      <c r="P160" s="67" t="n"/>
    </row>
    <row r="161">
      <c r="B161" s="67" t="n"/>
      <c r="C161" s="67" t="n"/>
      <c r="D161" s="67" t="n"/>
      <c r="E161" s="67" t="n"/>
      <c r="F161" s="67" t="n"/>
      <c r="G161" s="67" t="n"/>
      <c r="H161" s="67" t="n"/>
      <c r="I161" s="67" t="n"/>
      <c r="J161" s="67" t="n"/>
      <c r="K161" s="67" t="n"/>
      <c r="L161" s="67" t="n"/>
      <c r="M161" s="67" t="n"/>
      <c r="O161" s="67" t="n"/>
      <c r="P161" s="67" t="n"/>
    </row>
    <row r="162">
      <c r="B162" s="67" t="n"/>
      <c r="C162" s="67" t="n"/>
      <c r="D162" s="67" t="n"/>
      <c r="E162" s="67" t="n"/>
      <c r="F162" s="67" t="n"/>
      <c r="G162" s="67" t="n"/>
      <c r="H162" s="67" t="n"/>
      <c r="I162" s="67" t="n"/>
      <c r="J162" s="67" t="n"/>
      <c r="K162" s="67" t="n"/>
      <c r="L162" s="67" t="n"/>
      <c r="M162" s="67" t="n"/>
      <c r="O162" s="67" t="n"/>
      <c r="P162" s="67" t="n"/>
    </row>
    <row r="163">
      <c r="B163" s="67" t="n"/>
      <c r="C163" s="67" t="n"/>
      <c r="D163" s="67" t="n"/>
      <c r="E163" s="67" t="n"/>
      <c r="F163" s="67" t="n"/>
      <c r="G163" s="67" t="n"/>
      <c r="H163" s="67" t="n"/>
      <c r="I163" s="67" t="n"/>
      <c r="J163" s="67" t="n"/>
      <c r="K163" s="67" t="n"/>
      <c r="L163" s="67" t="n"/>
      <c r="M163" s="67" t="n"/>
      <c r="O163" s="67" t="n"/>
      <c r="P163" s="67" t="n"/>
    </row>
    <row r="164">
      <c r="B164" s="67" t="n"/>
      <c r="C164" s="67" t="n"/>
      <c r="D164" s="67" t="n"/>
      <c r="E164" s="67" t="n"/>
      <c r="F164" s="67" t="n"/>
      <c r="G164" s="67" t="n"/>
      <c r="H164" s="67" t="n"/>
      <c r="I164" s="67" t="n"/>
      <c r="J164" s="67" t="n"/>
      <c r="K164" s="67" t="n"/>
      <c r="L164" s="67" t="n"/>
      <c r="M164" s="67" t="n"/>
      <c r="O164" s="67" t="n"/>
      <c r="P164" s="67" t="n"/>
    </row>
    <row r="165">
      <c r="B165" s="67" t="n"/>
      <c r="C165" s="67" t="n"/>
      <c r="D165" s="67" t="n"/>
      <c r="E165" s="67" t="n"/>
      <c r="F165" s="67" t="n"/>
      <c r="G165" s="67" t="n"/>
      <c r="H165" s="67" t="n"/>
      <c r="I165" s="67" t="n"/>
      <c r="J165" s="67" t="n"/>
      <c r="K165" s="67" t="n"/>
      <c r="L165" s="67" t="n"/>
      <c r="M165" s="67" t="n"/>
      <c r="O165" s="67" t="n"/>
      <c r="P165" s="67" t="n"/>
    </row>
    <row r="166">
      <c r="B166" s="67" t="n"/>
      <c r="C166" s="67" t="n"/>
      <c r="D166" s="67" t="n"/>
      <c r="E166" s="67" t="n"/>
      <c r="F166" s="67" t="n"/>
      <c r="G166" s="67" t="n"/>
      <c r="H166" s="67" t="n"/>
      <c r="I166" s="67" t="n"/>
      <c r="J166" s="67" t="n"/>
      <c r="K166" s="67" t="n"/>
      <c r="L166" s="67" t="n"/>
      <c r="M166" s="67" t="n"/>
      <c r="O166" s="67" t="n"/>
      <c r="P166" s="67" t="n"/>
    </row>
    <row r="167">
      <c r="B167" s="67" t="n"/>
      <c r="C167" s="67" t="n"/>
      <c r="D167" s="67" t="n"/>
      <c r="E167" s="67" t="n"/>
      <c r="F167" s="67" t="n"/>
      <c r="G167" s="67" t="n"/>
      <c r="H167" s="67" t="n"/>
      <c r="I167" s="67" t="n"/>
      <c r="J167" s="67" t="n"/>
      <c r="K167" s="67" t="n"/>
      <c r="L167" s="67" t="n"/>
      <c r="M167" s="67" t="n"/>
      <c r="O167" s="67" t="n"/>
      <c r="P167" s="67" t="n"/>
    </row>
    <row r="168">
      <c r="B168" s="67" t="n"/>
      <c r="C168" s="67" t="n"/>
      <c r="D168" s="67" t="n"/>
      <c r="E168" s="67" t="n"/>
      <c r="F168" s="67" t="n"/>
      <c r="G168" s="67" t="n"/>
      <c r="H168" s="67" t="n"/>
      <c r="I168" s="67" t="n"/>
      <c r="J168" s="67" t="n"/>
      <c r="K168" s="67" t="n"/>
      <c r="L168" s="67" t="n"/>
      <c r="M168" s="67" t="n"/>
      <c r="O168" s="67" t="n"/>
      <c r="P168" s="67" t="n"/>
    </row>
    <row r="169">
      <c r="B169" s="67" t="n"/>
      <c r="C169" s="67" t="n"/>
      <c r="D169" s="67" t="n"/>
      <c r="E169" s="67" t="n"/>
      <c r="F169" s="67" t="n"/>
      <c r="G169" s="67" t="n"/>
      <c r="H169" s="67" t="n"/>
      <c r="I169" s="67" t="n"/>
      <c r="J169" s="67" t="n"/>
      <c r="K169" s="67" t="n"/>
      <c r="L169" s="67" t="n"/>
      <c r="M169" s="67" t="n"/>
      <c r="O169" s="67" t="n"/>
      <c r="P169" s="67" t="n"/>
    </row>
    <row r="170">
      <c r="B170" s="67" t="n"/>
      <c r="C170" s="67" t="n"/>
      <c r="D170" s="67" t="n"/>
      <c r="E170" s="67" t="n"/>
      <c r="F170" s="67" t="n"/>
      <c r="G170" s="67" t="n"/>
      <c r="H170" s="67" t="n"/>
      <c r="I170" s="67" t="n"/>
      <c r="J170" s="67" t="n"/>
      <c r="K170" s="67" t="n"/>
      <c r="L170" s="67" t="n"/>
      <c r="M170" s="67" t="n"/>
      <c r="O170" s="67" t="n"/>
      <c r="P170" s="67" t="n"/>
    </row>
    <row r="171">
      <c r="B171" s="67" t="n"/>
      <c r="C171" s="67" t="n"/>
      <c r="D171" s="67" t="n"/>
      <c r="E171" s="67" t="n"/>
      <c r="F171" s="67" t="n"/>
      <c r="G171" s="67" t="n"/>
      <c r="H171" s="67" t="n"/>
      <c r="I171" s="67" t="n"/>
      <c r="J171" s="67" t="n"/>
      <c r="K171" s="67" t="n"/>
      <c r="L171" s="67" t="n"/>
      <c r="M171" s="67" t="n"/>
      <c r="O171" s="67" t="n"/>
      <c r="P171" s="67" t="n"/>
    </row>
    <row r="172">
      <c r="B172" s="67" t="n"/>
      <c r="C172" s="67" t="n"/>
      <c r="D172" s="67" t="n"/>
      <c r="E172" s="67" t="n"/>
      <c r="F172" s="67" t="n"/>
      <c r="G172" s="67" t="n"/>
      <c r="H172" s="67" t="n"/>
      <c r="I172" s="67" t="n"/>
      <c r="J172" s="67" t="n"/>
      <c r="K172" s="67" t="n"/>
      <c r="L172" s="67" t="n"/>
      <c r="M172" s="67" t="n"/>
      <c r="O172" s="67" t="n"/>
      <c r="P172" s="67" t="n"/>
    </row>
    <row r="173">
      <c r="B173" s="67" t="n"/>
      <c r="C173" s="67" t="n"/>
      <c r="D173" s="67" t="n"/>
      <c r="E173" s="67" t="n"/>
      <c r="F173" s="67" t="n"/>
      <c r="G173" s="67" t="n"/>
      <c r="H173" s="67" t="n"/>
      <c r="I173" s="67" t="n"/>
      <c r="J173" s="67" t="n"/>
      <c r="K173" s="67" t="n"/>
      <c r="L173" s="67" t="n"/>
      <c r="M173" s="67" t="n"/>
      <c r="O173" s="67" t="n"/>
      <c r="P173" s="67" t="n"/>
    </row>
    <row r="174">
      <c r="B174" s="67" t="n"/>
      <c r="C174" s="67" t="n"/>
      <c r="D174" s="67" t="n"/>
      <c r="E174" s="67" t="n"/>
      <c r="F174" s="67" t="n"/>
      <c r="G174" s="67" t="n"/>
      <c r="H174" s="67" t="n"/>
      <c r="I174" s="67" t="n"/>
      <c r="J174" s="67" t="n"/>
      <c r="K174" s="67" t="n"/>
      <c r="L174" s="67" t="n"/>
      <c r="M174" s="67" t="n"/>
      <c r="O174" s="67" t="n"/>
      <c r="P174" s="67" t="n"/>
    </row>
    <row r="175">
      <c r="B175" s="67" t="n"/>
      <c r="C175" s="67" t="n"/>
      <c r="D175" s="67" t="n"/>
      <c r="E175" s="67" t="n"/>
      <c r="F175" s="67" t="n"/>
      <c r="G175" s="67" t="n"/>
      <c r="H175" s="67" t="n"/>
      <c r="I175" s="67" t="n"/>
      <c r="J175" s="67" t="n"/>
      <c r="K175" s="67" t="n"/>
      <c r="L175" s="67" t="n"/>
      <c r="M175" s="67" t="n"/>
      <c r="O175" s="67" t="n"/>
      <c r="P175" s="67" t="n"/>
    </row>
    <row r="176">
      <c r="B176" s="67" t="n"/>
      <c r="C176" s="67" t="n"/>
      <c r="D176" s="67" t="n"/>
      <c r="E176" s="67" t="n"/>
      <c r="F176" s="67" t="n"/>
      <c r="G176" s="67" t="n"/>
      <c r="H176" s="67" t="n"/>
      <c r="I176" s="67" t="n"/>
      <c r="J176" s="67" t="n"/>
      <c r="K176" s="67" t="n"/>
      <c r="L176" s="67" t="n"/>
      <c r="M176" s="67" t="n"/>
      <c r="O176" s="67" t="n"/>
      <c r="P176" s="67" t="n"/>
    </row>
    <row r="177">
      <c r="B177" s="67" t="n"/>
      <c r="C177" s="67" t="n"/>
      <c r="D177" s="67" t="n"/>
      <c r="E177" s="67" t="n"/>
      <c r="F177" s="67" t="n"/>
      <c r="G177" s="67" t="n"/>
      <c r="H177" s="67" t="n"/>
      <c r="I177" s="67" t="n"/>
      <c r="J177" s="67" t="n"/>
      <c r="K177" s="67" t="n"/>
      <c r="L177" s="67" t="n"/>
      <c r="M177" s="67" t="n"/>
      <c r="O177" s="67" t="n"/>
      <c r="P177" s="67" t="n"/>
    </row>
    <row r="178">
      <c r="B178" s="67" t="n"/>
      <c r="C178" s="67" t="n"/>
      <c r="D178" s="67" t="n"/>
      <c r="E178" s="67" t="n"/>
      <c r="F178" s="67" t="n"/>
      <c r="G178" s="67" t="n"/>
      <c r="H178" s="67" t="n"/>
      <c r="I178" s="67" t="n"/>
      <c r="J178" s="67" t="n"/>
      <c r="K178" s="67" t="n"/>
      <c r="L178" s="67" t="n"/>
      <c r="M178" s="67" t="n"/>
      <c r="O178" s="67" t="n"/>
      <c r="P178" s="67" t="n"/>
    </row>
    <row r="179">
      <c r="B179" s="67" t="n"/>
      <c r="C179" s="67" t="n"/>
      <c r="D179" s="67" t="n"/>
      <c r="E179" s="67" t="n"/>
      <c r="F179" s="67" t="n"/>
      <c r="G179" s="67" t="n"/>
      <c r="H179" s="67" t="n"/>
      <c r="I179" s="67" t="n"/>
      <c r="J179" s="67" t="n"/>
      <c r="K179" s="67" t="n"/>
      <c r="L179" s="67" t="n"/>
      <c r="M179" s="67" t="n"/>
      <c r="O179" s="67" t="n"/>
      <c r="P179" s="67" t="n"/>
    </row>
    <row r="180">
      <c r="B180" s="67" t="n"/>
      <c r="C180" s="67" t="n"/>
      <c r="D180" s="67" t="n"/>
      <c r="E180" s="67" t="n"/>
      <c r="F180" s="67" t="n"/>
      <c r="G180" s="67" t="n"/>
      <c r="H180" s="67" t="n"/>
      <c r="I180" s="67" t="n"/>
      <c r="J180" s="67" t="n"/>
      <c r="K180" s="67" t="n"/>
      <c r="L180" s="67" t="n"/>
      <c r="M180" s="67" t="n"/>
      <c r="O180" s="67" t="n"/>
      <c r="P180" s="67" t="n"/>
    </row>
    <row r="181">
      <c r="B181" s="67" t="n"/>
      <c r="C181" s="67" t="n"/>
      <c r="D181" s="67" t="n"/>
      <c r="E181" s="67" t="n"/>
      <c r="F181" s="67" t="n"/>
      <c r="G181" s="67" t="n"/>
      <c r="H181" s="67" t="n"/>
      <c r="I181" s="67" t="n"/>
      <c r="J181" s="67" t="n"/>
      <c r="K181" s="67" t="n"/>
      <c r="L181" s="67" t="n"/>
      <c r="M181" s="67" t="n"/>
      <c r="O181" s="67" t="n"/>
      <c r="P181" s="67" t="n"/>
    </row>
    <row r="182">
      <c r="B182" s="67" t="n"/>
      <c r="C182" s="67" t="n"/>
      <c r="D182" s="67" t="n"/>
      <c r="E182" s="67" t="n"/>
      <c r="F182" s="67" t="n"/>
      <c r="G182" s="67" t="n"/>
      <c r="H182" s="67" t="n"/>
      <c r="I182" s="67" t="n"/>
      <c r="J182" s="67" t="n"/>
      <c r="K182" s="67" t="n"/>
      <c r="L182" s="67" t="n"/>
      <c r="M182" s="67" t="n"/>
      <c r="O182" s="67" t="n"/>
      <c r="P182" s="67" t="n"/>
    </row>
    <row r="183">
      <c r="B183" s="67" t="n"/>
      <c r="C183" s="67" t="n"/>
      <c r="D183" s="67" t="n"/>
      <c r="E183" s="67" t="n"/>
      <c r="F183" s="67" t="n"/>
      <c r="G183" s="67" t="n"/>
      <c r="H183" s="67" t="n"/>
      <c r="I183" s="67" t="n"/>
      <c r="J183" s="67" t="n"/>
      <c r="K183" s="67" t="n"/>
      <c r="L183" s="67" t="n"/>
      <c r="M183" s="67" t="n"/>
      <c r="O183" s="67" t="n"/>
      <c r="P183" s="67" t="n"/>
    </row>
    <row r="184">
      <c r="B184" s="67" t="n"/>
      <c r="C184" s="67" t="n"/>
      <c r="D184" s="67" t="n"/>
      <c r="E184" s="67" t="n"/>
      <c r="F184" s="67" t="n"/>
      <c r="G184" s="67" t="n"/>
      <c r="H184" s="67" t="n"/>
      <c r="I184" s="67" t="n"/>
      <c r="J184" s="67" t="n"/>
      <c r="K184" s="67" t="n"/>
      <c r="L184" s="67" t="n"/>
      <c r="M184" s="67" t="n"/>
      <c r="O184" s="67" t="n"/>
      <c r="P184" s="67" t="n"/>
    </row>
    <row r="185">
      <c r="B185" s="67" t="n"/>
      <c r="C185" s="67" t="n"/>
      <c r="D185" s="67" t="n"/>
      <c r="E185" s="67" t="n"/>
      <c r="F185" s="67" t="n"/>
      <c r="G185" s="67" t="n"/>
      <c r="H185" s="67" t="n"/>
      <c r="I185" s="67" t="n"/>
      <c r="J185" s="67" t="n"/>
      <c r="K185" s="67" t="n"/>
      <c r="L185" s="67" t="n"/>
      <c r="M185" s="67" t="n"/>
      <c r="O185" s="67" t="n"/>
      <c r="P185" s="67" t="n"/>
    </row>
    <row r="186">
      <c r="B186" s="67" t="n"/>
      <c r="C186" s="67" t="n"/>
      <c r="D186" s="67" t="n"/>
      <c r="E186" s="67" t="n"/>
      <c r="F186" s="67" t="n"/>
      <c r="G186" s="67" t="n"/>
      <c r="H186" s="67" t="n"/>
      <c r="I186" s="67" t="n"/>
      <c r="J186" s="67" t="n"/>
      <c r="K186" s="67" t="n"/>
      <c r="L186" s="67" t="n"/>
      <c r="M186" s="67" t="n"/>
      <c r="O186" s="67" t="n"/>
      <c r="P186" s="67" t="n"/>
    </row>
    <row r="187">
      <c r="B187" s="67" t="n"/>
      <c r="C187" s="67" t="n"/>
      <c r="D187" s="67" t="n"/>
      <c r="E187" s="67" t="n"/>
      <c r="F187" s="67" t="n"/>
      <c r="G187" s="67" t="n"/>
      <c r="H187" s="67" t="n"/>
      <c r="I187" s="67" t="n"/>
      <c r="J187" s="67" t="n"/>
      <c r="K187" s="67" t="n"/>
      <c r="L187" s="67" t="n"/>
      <c r="M187" s="67" t="n"/>
      <c r="O187" s="67" t="n"/>
      <c r="P187" s="67" t="n"/>
    </row>
    <row r="188">
      <c r="B188" s="67" t="n"/>
      <c r="C188" s="67" t="n"/>
      <c r="D188" s="67" t="n"/>
      <c r="E188" s="67" t="n"/>
      <c r="F188" s="67" t="n"/>
      <c r="G188" s="67" t="n"/>
      <c r="H188" s="67" t="n"/>
      <c r="I188" s="67" t="n"/>
      <c r="J188" s="67" t="n"/>
      <c r="K188" s="67" t="n"/>
      <c r="L188" s="67" t="n"/>
      <c r="M188" s="67" t="n"/>
      <c r="O188" s="67" t="n"/>
      <c r="P188" s="67" t="n"/>
    </row>
    <row r="189">
      <c r="B189" s="67" t="n"/>
      <c r="C189" s="67" t="n"/>
      <c r="D189" s="67" t="n"/>
      <c r="E189" s="67" t="n"/>
      <c r="F189" s="67" t="n"/>
      <c r="G189" s="67" t="n"/>
      <c r="H189" s="67" t="n"/>
      <c r="I189" s="67" t="n"/>
      <c r="J189" s="67" t="n"/>
      <c r="K189" s="67" t="n"/>
      <c r="L189" s="67" t="n"/>
      <c r="M189" s="67" t="n"/>
      <c r="O189" s="67" t="n"/>
      <c r="P189" s="67" t="n"/>
    </row>
    <row r="190">
      <c r="B190" s="67" t="n"/>
      <c r="C190" s="67" t="n"/>
      <c r="D190" s="67" t="n"/>
      <c r="E190" s="67" t="n"/>
      <c r="F190" s="67" t="n"/>
      <c r="G190" s="67" t="n"/>
      <c r="H190" s="67" t="n"/>
      <c r="I190" s="67" t="n"/>
      <c r="J190" s="67" t="n"/>
      <c r="K190" s="67" t="n"/>
      <c r="L190" s="67" t="n"/>
      <c r="M190" s="67" t="n"/>
      <c r="O190" s="67" t="n"/>
      <c r="P190" s="67" t="n"/>
    </row>
    <row r="191">
      <c r="B191" s="67" t="n"/>
      <c r="C191" s="67" t="n"/>
      <c r="D191" s="67" t="n"/>
      <c r="E191" s="67" t="n"/>
      <c r="F191" s="67" t="n"/>
      <c r="G191" s="67" t="n"/>
      <c r="H191" s="67" t="n"/>
      <c r="I191" s="67" t="n"/>
      <c r="J191" s="67" t="n"/>
      <c r="K191" s="67" t="n"/>
      <c r="L191" s="67" t="n"/>
      <c r="M191" s="67" t="n"/>
      <c r="O191" s="67" t="n"/>
      <c r="P191" s="67" t="n"/>
    </row>
    <row r="192">
      <c r="B192" s="67" t="n"/>
      <c r="C192" s="67" t="n"/>
      <c r="D192" s="67" t="n"/>
      <c r="E192" s="67" t="n"/>
      <c r="F192" s="67" t="n"/>
      <c r="G192" s="67" t="n"/>
      <c r="H192" s="67" t="n"/>
      <c r="I192" s="67" t="n"/>
      <c r="J192" s="67" t="n"/>
      <c r="K192" s="67" t="n"/>
      <c r="L192" s="67" t="n"/>
      <c r="M192" s="67" t="n"/>
      <c r="O192" s="67" t="n"/>
      <c r="P192" s="67" t="n"/>
    </row>
    <row r="193">
      <c r="B193" s="67" t="n"/>
      <c r="C193" s="67" t="n"/>
      <c r="D193" s="67" t="n"/>
      <c r="E193" s="67" t="n"/>
      <c r="F193" s="67" t="n"/>
      <c r="G193" s="67" t="n"/>
      <c r="H193" s="67" t="n"/>
      <c r="I193" s="67" t="n"/>
      <c r="J193" s="67" t="n"/>
      <c r="K193" s="67" t="n"/>
      <c r="L193" s="67" t="n"/>
      <c r="M193" s="67" t="n"/>
      <c r="O193" s="67" t="n"/>
      <c r="P193" s="67" t="n"/>
    </row>
    <row r="194">
      <c r="B194" s="67" t="n"/>
      <c r="C194" s="67" t="n"/>
      <c r="D194" s="67" t="n"/>
      <c r="E194" s="67" t="n"/>
      <c r="F194" s="67" t="n"/>
      <c r="G194" s="67" t="n"/>
      <c r="H194" s="67" t="n"/>
      <c r="I194" s="67" t="n"/>
      <c r="J194" s="67" t="n"/>
      <c r="K194" s="67" t="n"/>
      <c r="L194" s="67" t="n"/>
      <c r="M194" s="67" t="n"/>
      <c r="O194" s="67" t="n"/>
      <c r="P194" s="67" t="n"/>
    </row>
    <row r="195">
      <c r="B195" s="67" t="n"/>
      <c r="C195" s="67" t="n"/>
      <c r="D195" s="67" t="n"/>
      <c r="E195" s="67" t="n"/>
      <c r="F195" s="67" t="n"/>
      <c r="G195" s="67" t="n"/>
      <c r="H195" s="67" t="n"/>
      <c r="I195" s="67" t="n"/>
      <c r="J195" s="67" t="n"/>
      <c r="K195" s="67" t="n"/>
      <c r="L195" s="67" t="n"/>
      <c r="M195" s="67" t="n"/>
      <c r="O195" s="67" t="n"/>
      <c r="P195" s="67" t="n"/>
    </row>
    <row r="196">
      <c r="B196" s="67" t="n"/>
      <c r="C196" s="67" t="n"/>
      <c r="D196" s="67" t="n"/>
      <c r="E196" s="67" t="n"/>
      <c r="F196" s="67" t="n"/>
      <c r="G196" s="67" t="n"/>
      <c r="H196" s="67" t="n"/>
      <c r="I196" s="67" t="n"/>
      <c r="J196" s="67" t="n"/>
      <c r="K196" s="67" t="n"/>
      <c r="L196" s="67" t="n"/>
      <c r="M196" s="67" t="n"/>
      <c r="O196" s="67" t="n"/>
      <c r="P196" s="67" t="n"/>
    </row>
    <row r="197">
      <c r="B197" s="67" t="n"/>
      <c r="C197" s="67" t="n"/>
      <c r="D197" s="67" t="n"/>
      <c r="E197" s="67" t="n"/>
      <c r="F197" s="67" t="n"/>
      <c r="G197" s="67" t="n"/>
      <c r="H197" s="67" t="n"/>
      <c r="I197" s="67" t="n"/>
      <c r="J197" s="67" t="n"/>
      <c r="K197" s="67" t="n"/>
      <c r="L197" s="67" t="n"/>
      <c r="M197" s="67" t="n"/>
      <c r="O197" s="67" t="n"/>
      <c r="P197" s="67" t="n"/>
    </row>
    <row r="198">
      <c r="B198" s="67" t="n"/>
      <c r="C198" s="67" t="n"/>
      <c r="D198" s="67" t="n"/>
      <c r="E198" s="67" t="n"/>
      <c r="F198" s="67" t="n"/>
      <c r="G198" s="67" t="n"/>
      <c r="H198" s="67" t="n"/>
      <c r="I198" s="67" t="n"/>
      <c r="J198" s="67" t="n"/>
      <c r="K198" s="67" t="n"/>
      <c r="L198" s="67" t="n"/>
      <c r="M198" s="67" t="n"/>
      <c r="O198" s="67" t="n"/>
      <c r="P198" s="67" t="n"/>
    </row>
    <row r="199">
      <c r="B199" s="67" t="n"/>
      <c r="C199" s="67" t="n"/>
      <c r="D199" s="67" t="n"/>
      <c r="E199" s="67" t="n"/>
      <c r="F199" s="67" t="n"/>
      <c r="G199" s="67" t="n"/>
      <c r="H199" s="67" t="n"/>
      <c r="I199" s="67" t="n"/>
      <c r="J199" s="67" t="n"/>
      <c r="K199" s="67" t="n"/>
      <c r="L199" s="67" t="n"/>
      <c r="M199" s="67" t="n"/>
      <c r="O199" s="67" t="n"/>
      <c r="P199" s="67" t="n"/>
    </row>
    <row r="200">
      <c r="B200" s="67" t="n"/>
      <c r="C200" s="67" t="n"/>
      <c r="D200" s="67" t="n"/>
      <c r="E200" s="67" t="n"/>
      <c r="F200" s="67" t="n"/>
      <c r="G200" s="67" t="n"/>
      <c r="H200" s="67" t="n"/>
      <c r="I200" s="67" t="n"/>
      <c r="J200" s="67" t="n"/>
      <c r="K200" s="67" t="n"/>
      <c r="L200" s="67" t="n"/>
      <c r="M200" s="67" t="n"/>
      <c r="O200" s="67" t="n"/>
      <c r="P200" s="67" t="n"/>
    </row>
    <row r="201">
      <c r="B201" s="67" t="n"/>
      <c r="C201" s="67" t="n"/>
      <c r="D201" s="67" t="n"/>
      <c r="E201" s="67" t="n"/>
      <c r="F201" s="67" t="n"/>
      <c r="G201" s="67" t="n"/>
      <c r="H201" s="67" t="n"/>
      <c r="I201" s="67" t="n"/>
      <c r="J201" s="67" t="n"/>
      <c r="K201" s="67" t="n"/>
      <c r="L201" s="67" t="n"/>
      <c r="M201" s="67" t="n"/>
      <c r="O201" s="67" t="n"/>
      <c r="P201" s="67" t="n"/>
    </row>
    <row r="202">
      <c r="B202" s="67" t="n"/>
      <c r="C202" s="67" t="n"/>
      <c r="D202" s="67" t="n"/>
      <c r="E202" s="67" t="n"/>
      <c r="F202" s="67" t="n"/>
      <c r="G202" s="67" t="n"/>
      <c r="H202" s="67" t="n"/>
      <c r="I202" s="67" t="n"/>
      <c r="J202" s="67" t="n"/>
      <c r="K202" s="67" t="n"/>
      <c r="L202" s="67" t="n"/>
      <c r="M202" s="67" t="n"/>
      <c r="O202" s="67" t="n"/>
      <c r="P202" s="67" t="n"/>
    </row>
    <row r="203">
      <c r="B203" s="67" t="n"/>
      <c r="C203" s="67" t="n"/>
      <c r="D203" s="67" t="n"/>
      <c r="E203" s="67" t="n"/>
      <c r="F203" s="67" t="n"/>
      <c r="G203" s="67" t="n"/>
      <c r="H203" s="67" t="n"/>
      <c r="I203" s="67" t="n"/>
      <c r="J203" s="67" t="n"/>
      <c r="K203" s="67" t="n"/>
      <c r="L203" s="67" t="n"/>
      <c r="M203" s="67" t="n"/>
      <c r="O203" s="67" t="n"/>
      <c r="P203" s="67" t="n"/>
    </row>
    <row r="204">
      <c r="B204" s="67" t="n"/>
      <c r="C204" s="67" t="n"/>
      <c r="D204" s="67" t="n"/>
      <c r="E204" s="67" t="n"/>
      <c r="F204" s="67" t="n"/>
      <c r="G204" s="67" t="n"/>
      <c r="H204" s="67" t="n"/>
      <c r="I204" s="67" t="n"/>
      <c r="J204" s="67" t="n"/>
      <c r="K204" s="67" t="n"/>
      <c r="L204" s="67" t="n"/>
      <c r="M204" s="67" t="n"/>
      <c r="O204" s="67" t="n"/>
      <c r="P204" s="67" t="n"/>
    </row>
    <row r="205">
      <c r="B205" s="67" t="n"/>
      <c r="C205" s="67" t="n"/>
      <c r="D205" s="67" t="n"/>
      <c r="E205" s="67" t="n"/>
      <c r="F205" s="67" t="n"/>
      <c r="G205" s="67" t="n"/>
      <c r="H205" s="67" t="n"/>
      <c r="I205" s="67" t="n"/>
      <c r="J205" s="67" t="n"/>
      <c r="K205" s="67" t="n"/>
      <c r="L205" s="67" t="n"/>
      <c r="M205" s="67" t="n"/>
      <c r="O205" s="67" t="n"/>
      <c r="P205" s="67" t="n"/>
    </row>
    <row r="206">
      <c r="B206" s="67" t="n"/>
      <c r="C206" s="67" t="n"/>
      <c r="D206" s="67" t="n"/>
      <c r="E206" s="67" t="n"/>
      <c r="F206" s="67" t="n"/>
      <c r="G206" s="67" t="n"/>
      <c r="H206" s="67" t="n"/>
      <c r="I206" s="67" t="n"/>
      <c r="J206" s="67" t="n"/>
      <c r="K206" s="67" t="n"/>
      <c r="L206" s="67" t="n"/>
      <c r="M206" s="67" t="n"/>
      <c r="O206" s="67" t="n"/>
      <c r="P206" s="67" t="n"/>
    </row>
    <row r="207">
      <c r="B207" s="67" t="n"/>
      <c r="C207" s="67" t="n"/>
      <c r="D207" s="67" t="n"/>
      <c r="E207" s="67" t="n"/>
      <c r="F207" s="67" t="n"/>
      <c r="G207" s="67" t="n"/>
      <c r="H207" s="67" t="n"/>
      <c r="I207" s="67" t="n"/>
      <c r="J207" s="67" t="n"/>
      <c r="K207" s="67" t="n"/>
      <c r="L207" s="67" t="n"/>
      <c r="M207" s="67" t="n"/>
      <c r="O207" s="67" t="n"/>
      <c r="P207" s="67" t="n"/>
    </row>
    <row r="208">
      <c r="B208" s="67" t="n"/>
      <c r="C208" s="67" t="n"/>
      <c r="D208" s="67" t="n"/>
      <c r="E208" s="67" t="n"/>
      <c r="F208" s="67" t="n"/>
      <c r="G208" s="67" t="n"/>
      <c r="H208" s="67" t="n"/>
      <c r="I208" s="67" t="n"/>
      <c r="J208" s="67" t="n"/>
      <c r="K208" s="67" t="n"/>
      <c r="L208" s="67" t="n"/>
      <c r="M208" s="67" t="n"/>
      <c r="O208" s="67" t="n"/>
      <c r="P208" s="67" t="n"/>
    </row>
    <row r="209">
      <c r="B209" s="67" t="n"/>
      <c r="C209" s="67" t="n"/>
      <c r="D209" s="67" t="n"/>
      <c r="E209" s="67" t="n"/>
      <c r="F209" s="67" t="n"/>
      <c r="G209" s="67" t="n"/>
      <c r="H209" s="67" t="n"/>
      <c r="I209" s="67" t="n"/>
      <c r="J209" s="67" t="n"/>
      <c r="K209" s="67" t="n"/>
      <c r="L209" s="67" t="n"/>
      <c r="M209" s="67" t="n"/>
      <c r="O209" s="67" t="n"/>
      <c r="P209" s="67" t="n"/>
    </row>
    <row r="210">
      <c r="B210" s="67" t="n"/>
      <c r="C210" s="67" t="n"/>
      <c r="D210" s="67" t="n"/>
      <c r="E210" s="67" t="n"/>
      <c r="F210" s="67" t="n"/>
      <c r="G210" s="67" t="n"/>
      <c r="H210" s="67" t="n"/>
      <c r="I210" s="67" t="n"/>
      <c r="J210" s="67" t="n"/>
      <c r="K210" s="67" t="n"/>
      <c r="L210" s="67" t="n"/>
      <c r="M210" s="67" t="n"/>
      <c r="O210" s="67" t="n"/>
      <c r="P210" s="67" t="n"/>
    </row>
    <row r="211">
      <c r="B211" s="67" t="n"/>
      <c r="C211" s="67" t="n"/>
      <c r="D211" s="67" t="n"/>
      <c r="E211" s="67" t="n"/>
      <c r="F211" s="67" t="n"/>
      <c r="G211" s="67" t="n"/>
      <c r="H211" s="67" t="n"/>
      <c r="I211" s="67" t="n"/>
      <c r="J211" s="67" t="n"/>
      <c r="K211" s="67" t="n"/>
      <c r="L211" s="67" t="n"/>
      <c r="M211" s="67" t="n"/>
      <c r="O211" s="67" t="n"/>
      <c r="P211" s="67" t="n"/>
    </row>
    <row r="212">
      <c r="B212" s="67" t="n"/>
      <c r="C212" s="67" t="n"/>
      <c r="D212" s="67" t="n"/>
      <c r="E212" s="67" t="n"/>
      <c r="F212" s="67" t="n"/>
      <c r="G212" s="67" t="n"/>
      <c r="H212" s="67" t="n"/>
      <c r="I212" s="67" t="n"/>
      <c r="J212" s="67" t="n"/>
      <c r="K212" s="67" t="n"/>
      <c r="L212" s="67" t="n"/>
      <c r="M212" s="67" t="n"/>
      <c r="O212" s="67" t="n"/>
      <c r="P212" s="67" t="n"/>
    </row>
    <row r="213">
      <c r="B213" s="67" t="n"/>
      <c r="C213" s="67" t="n"/>
      <c r="D213" s="67" t="n"/>
      <c r="E213" s="67" t="n"/>
      <c r="F213" s="67" t="n"/>
      <c r="G213" s="67" t="n"/>
      <c r="H213" s="67" t="n"/>
      <c r="I213" s="67" t="n"/>
      <c r="J213" s="67" t="n"/>
      <c r="K213" s="67" t="n"/>
      <c r="L213" s="67" t="n"/>
      <c r="M213" s="67" t="n"/>
      <c r="O213" s="67" t="n"/>
      <c r="P213" s="67" t="n"/>
    </row>
    <row r="214">
      <c r="B214" s="67" t="n"/>
      <c r="C214" s="67" t="n"/>
      <c r="D214" s="67" t="n"/>
      <c r="E214" s="67" t="n"/>
      <c r="F214" s="67" t="n"/>
      <c r="G214" s="67" t="n"/>
      <c r="H214" s="67" t="n"/>
      <c r="I214" s="67" t="n"/>
      <c r="J214" s="67" t="n"/>
      <c r="K214" s="67" t="n"/>
      <c r="L214" s="67" t="n"/>
      <c r="M214" s="67" t="n"/>
      <c r="O214" s="67" t="n"/>
      <c r="P214" s="67" t="n"/>
    </row>
    <row r="215">
      <c r="B215" s="67" t="n"/>
      <c r="C215" s="67" t="n"/>
      <c r="D215" s="67" t="n"/>
      <c r="E215" s="67" t="n"/>
      <c r="F215" s="67" t="n"/>
      <c r="G215" s="67" t="n"/>
      <c r="H215" s="67" t="n"/>
      <c r="I215" s="67" t="n"/>
      <c r="J215" s="67" t="n"/>
      <c r="K215" s="67" t="n"/>
      <c r="L215" s="67" t="n"/>
      <c r="M215" s="67" t="n"/>
      <c r="O215" s="67" t="n"/>
      <c r="P215" s="67" t="n"/>
    </row>
    <row r="216">
      <c r="B216" s="67" t="n"/>
      <c r="C216" s="67" t="n"/>
      <c r="D216" s="67" t="n"/>
      <c r="E216" s="67" t="n"/>
      <c r="F216" s="67" t="n"/>
      <c r="G216" s="67" t="n"/>
      <c r="H216" s="67" t="n"/>
      <c r="I216" s="67" t="n"/>
      <c r="J216" s="67" t="n"/>
      <c r="K216" s="67" t="n"/>
      <c r="L216" s="67" t="n"/>
      <c r="M216" s="67" t="n"/>
      <c r="O216" s="67" t="n"/>
      <c r="P216" s="67" t="n"/>
    </row>
    <row r="217">
      <c r="B217" s="67" t="n"/>
      <c r="C217" s="67" t="n"/>
      <c r="D217" s="67" t="n"/>
      <c r="E217" s="67" t="n"/>
      <c r="F217" s="67" t="n"/>
      <c r="G217" s="67" t="n"/>
      <c r="H217" s="67" t="n"/>
      <c r="I217" s="67" t="n"/>
      <c r="J217" s="67" t="n"/>
      <c r="K217" s="67" t="n"/>
      <c r="L217" s="67" t="n"/>
      <c r="M217" s="67" t="n"/>
      <c r="O217" s="67" t="n"/>
      <c r="P217" s="67" t="n"/>
    </row>
    <row r="218">
      <c r="B218" s="67" t="n"/>
      <c r="C218" s="67" t="n"/>
      <c r="D218" s="67" t="n"/>
      <c r="E218" s="67" t="n"/>
      <c r="F218" s="67" t="n"/>
      <c r="G218" s="67" t="n"/>
      <c r="H218" s="67" t="n"/>
      <c r="I218" s="67" t="n"/>
      <c r="J218" s="67" t="n"/>
      <c r="K218" s="67" t="n"/>
      <c r="L218" s="67" t="n"/>
      <c r="M218" s="67" t="n"/>
      <c r="O218" s="67" t="n"/>
      <c r="P218" s="67" t="n"/>
    </row>
    <row r="219">
      <c r="B219" s="67" t="n"/>
      <c r="C219" s="67" t="n"/>
      <c r="D219" s="67" t="n"/>
      <c r="E219" s="67" t="n"/>
      <c r="F219" s="67" t="n"/>
      <c r="G219" s="67" t="n"/>
      <c r="H219" s="67" t="n"/>
      <c r="I219" s="67" t="n"/>
      <c r="J219" s="67" t="n"/>
      <c r="K219" s="67" t="n"/>
      <c r="L219" s="67" t="n"/>
      <c r="M219" s="67" t="n"/>
      <c r="O219" s="67" t="n"/>
      <c r="P219" s="67" t="n"/>
    </row>
    <row r="220">
      <c r="B220" s="67" t="n"/>
      <c r="C220" s="67" t="n"/>
      <c r="D220" s="67" t="n"/>
      <c r="E220" s="67" t="n"/>
      <c r="F220" s="67" t="n"/>
      <c r="G220" s="67" t="n"/>
      <c r="H220" s="67" t="n"/>
      <c r="I220" s="67" t="n"/>
      <c r="J220" s="67" t="n"/>
      <c r="K220" s="67" t="n"/>
      <c r="L220" s="67" t="n"/>
      <c r="M220" s="67" t="n"/>
      <c r="O220" s="67" t="n"/>
      <c r="P220" s="67" t="n"/>
    </row>
  </sheetData>
  <mergeCells count="7">
    <mergeCell ref="B7:P7"/>
    <mergeCell ref="B6:P6"/>
    <mergeCell ref="B3:P3"/>
    <mergeCell ref="B5:P5"/>
    <mergeCell ref="B10:C10"/>
    <mergeCell ref="B8:P8"/>
    <mergeCell ref="B4:P4"/>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AND(LEN($B20&amp;$C20&amp;$D20&amp;$E20&amp;$F20&amp;$G20&amp;$H20&amp;$I20&amp;$J20&amp;$K20&amp;$L20&amp;$M20&amp;$N20&amp;$O20&amp;$P20)&gt;0,B20="")</formula>
    </cfRule>
  </conditionalFormatting>
  <conditionalFormatting sqref="C20:C220">
    <cfRule type="expression" priority="3" dxfId="6">
      <formula>AND(LEN($B20&amp;$C20&amp;$D20&amp;$E20&amp;$F20&amp;$G20&amp;$H20&amp;$I20&amp;$J20&amp;$K20&amp;$L20&amp;$M20&amp;$N20&amp;$O20&amp;$P20)&gt;0,C20="")</formula>
    </cfRule>
  </conditionalFormatting>
  <conditionalFormatting sqref="J20:J220">
    <cfRule type="expression" priority="4" dxfId="6">
      <formula>AND(LEN($B20&amp;$C20&amp;$D20&amp;$E20&amp;$F20&amp;$G20&amp;$H20&amp;$I20&amp;$J20&amp;$K20&amp;$L20&amp;$M20&amp;$N20&amp;$O20&amp;$P20)&gt;0,J20="")</formula>
    </cfRule>
  </conditionalFormatting>
  <dataValidations count="17">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P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record_type" error="Choose a value of the list H01 record_type (sheet Reference lists)." promptTitle="record_type" prompt="Yes. Kind of record Allowed: List H01 record_type: 11 values, see Reference lists" type="list" errorStyle="stop">
      <formula1>=LIST_H01_RECORD_TYPE</formula1>
    </dataValidation>
    <dataValidation sqref="C20:C220" showDropDown="0" showInputMessage="1" showErrorMessage="1" allowBlank="1" errorTitle="legacy_key" error="At most 80 characters." promptTitle="legacy_key" prompt="Yes. Unique key of the record in the source Allowed: Free entry, up to 80 characters" type="textLength" operator="lessThanOrEqual">
      <formula1>80</formula1>
    </dataValidation>
    <dataValidation sqref="D20:D220" showDropDown="0" showInputMessage="1" showErrorMessage="1" allowBlank="1" errorTitle="legacy_client_no" error="At most 30 characters." promptTitle="legacy_client_no" prompt="No. Client number Allowed: Free entry, up to 30 characters" type="textLength" operator="lessThanOrEqual">
      <formula1>30</formula1>
    </dataValidation>
    <dataValidation sqref="E20:E220" showDropDown="0" showInputMessage="1" showErrorMessage="1" allowBlank="1" errorTitle="client_name" error="At most 250 characters." promptTitle="client_name" prompt="No. Client name Allowed: Free entry, up to 250 characters" type="textLength" operator="lessThanOrEqual">
      <formula1>250</formula1>
    </dataValidation>
    <dataValidation sqref="F20:F220" showDropDown="0" showInputMessage="1" showErrorMessage="1" allowBlank="1" errorTitle="policy_no" error="At most 60 characters." promptTitle="policy_no" prompt="No. Policy or cover number Allowed: Free entry, up to 60 characters" type="textLength" operator="lessThanOrEqual">
      <formula1>60</formula1>
    </dataValidation>
    <dataValidation sqref="G20:G220" showDropDown="0" showInputMessage="1" showErrorMessage="1" allowBlank="1" errorTitle="invoice_no" error="At most 40 characters." promptTitle="invoice_no" prompt="No. Invoice number Allowed: Free entry, up to 40 characters" type="textLength" operator="lessThanOrEqual">
      <formula1>40</formula1>
    </dataValidation>
    <dataValidation sqref="H20:H220" showDropDown="0" showInputMessage="1" showErrorMessage="1" allowBlank="1" errorTitle="receipt_no" error="At most 40 characters." promptTitle="receipt_no" prompt="No. AR or OR number Allowed: Free entry, up to 40 characters" type="textLength" operator="lessThanOrEqual">
      <formula1>40</formula1>
    </dataValidation>
    <dataValidation sqref="I20:I220" showDropDown="0" showInputMessage="1" showErrorMessage="1" allowBlank="1" errorTitle="claim_no" error="At most 40 characters." promptTitle="claim_no" prompt="No. Claim number Allowed: Free entry, up to 40 characters" type="textLength" operator="lessThanOrEqual">
      <formula1>40</formula1>
    </dataValidation>
    <dataValidation sqref="J20:J220" showDropDown="0" showInputMessage="1" showErrorMessage="0" allowBlank="1" promptTitle="document_date" prompt="Yes. Date of the record"/>
    <dataValidation sqref="K20:K220" showDropDown="0" showInputMessage="1" showErrorMessage="0" allowBlank="1" promptTitle="period_from" prompt="No. Period from"/>
    <dataValidation sqref="L20:L220" showDropDown="0" showInputMessage="1" showErrorMessage="0" allowBlank="1" promptTitle="period_to" prompt="No. Period to"/>
    <dataValidation sqref="M20:M220" showDropDown="0" showInputMessage="1" showErrorMessage="1" allowBlank="1" errorTitle="currency" error="At most 3 characters." promptTitle="currency" prompt="No. Currency Allowed: ISO 4217" type="textLength" operator="lessThanOrEqual">
      <formula1>3</formula1>
    </dataValidation>
    <dataValidation sqref="N20:N220" showDropDown="0" showInputMessage="1" showErrorMessage="1" allowBlank="1" errorTitle="amount" error="Enter a number." promptTitle="amount" prompt="No. Main amount of the record Allowed: A number" type="decimal" operator="greaterThanOrEqual">
      <formula1>-1E+15</formula1>
    </dataValidation>
    <dataValidation sqref="O20:O220" showDropDown="0" showInputMessage="1" showErrorMessage="1" allowBlank="1" errorTitle="status" error="At most 40 characters." promptTitle="status" prompt="No. Status in legacy Allowed: Free entry, up to 40 characters" type="textLength" operator="lessThanOrEqual">
      <formula1>40</formula1>
    </dataValidation>
    <dataValidation sqref="P20:P220" showDropDown="0" showInputMessage="1" showErrorMessage="1" allowBlank="1" errorTitle="detail_json" error="At most 20000 characters." promptTitle="detail_json" prompt="No. Other legacy fields of the record, each as a label and its value Allowed: Free entry, up to 20000 characters" type="textLength" operator="lessThanOrEqual">
      <formula1>20000</formula1>
    </dataValidation>
  </dataValidations>
  <hyperlinks>
    <hyperlink ref="A2" location="'Load templates'!A1"/>
    <hyperlink ref="P2" location="'Comments log'!A1"/>
    <hyperlink ref="B17" location="'Reference lists'!A129"/>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6.xml><?xml version="1.0" encoding="utf-8"?>
<worksheet xmlns="http://schemas.openxmlformats.org/spreadsheetml/2006/main">
  <sheetPr>
    <tabColor rgb="00004EA8"/>
    <outlinePr summaryBelow="0" summaryRight="1"/>
    <pageSetUpPr fitToPage="1"/>
  </sheetPr>
  <dimension ref="A1:I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 customWidth="1" min="3" max="3"/>
    <col width="18" customWidth="1" min="4" max="4"/>
    <col width="16" customWidth="1" min="5" max="5"/>
    <col width="18" customWidth="1" min="6" max="6"/>
    <col width="24" customWidth="1" min="7" max="7"/>
    <col width="20" customWidth="1" min="8" max="8"/>
    <col width="40" customWidth="1" min="9" max="9"/>
  </cols>
  <sheetData>
    <row r="1" ht="26" customHeight="1">
      <c r="A1" s="44" t="inlineStr">
        <is>
          <t>H02 Archive documents index</t>
        </is>
      </c>
      <c r="I1" s="45" t="inlineStr">
        <is>
          <t>Step 27 of 29</t>
        </is>
      </c>
    </row>
    <row r="2">
      <c r="A2" s="46" t="inlineStr">
        <is>
          <t>← Back to Load templates</t>
        </is>
      </c>
      <c r="B2" s="47" t="inlineStr">
        <is>
          <t>Step 27 of 29. Fill in one row per record below the column headers; the guide above each column says what to enter.</t>
        </is>
      </c>
      <c r="I2" s="48" t="inlineStr">
        <is>
          <t>Ask a question →</t>
        </is>
      </c>
    </row>
    <row r="3" outlineLevel="1" ht="28" customHeight="1">
      <c r="A3" s="49" t="inlineStr">
        <is>
          <t>Purpose</t>
        </is>
      </c>
      <c r="B3" s="50" t="inlineStr">
        <is>
          <t>One row per record of Legacy documents (policies, SOAs, ORs, certificates, letters) as extracted from File shares, EBIX. Key record_type, legacy_key, file_name. Sent as the file H02_template.csv (CSV, header row as below) with its control file (row count, row count).</t>
        </is>
      </c>
    </row>
    <row r="4" outlineLevel="1" ht="15.5" customHeight="1">
      <c r="A4" s="49" t="inlineStr">
        <is>
          <t>Provided by</t>
        </is>
      </c>
      <c r="B4" s="50" t="inlineStr">
        <is>
          <t>Compliance data steward (to name); approved by Audit / Compliance; extracted by BDOI IT</t>
        </is>
      </c>
    </row>
    <row r="5" outlineLevel="1" ht="15.5" customHeight="1">
      <c r="A5" s="49" t="inlineStr">
        <is>
          <t>Due</t>
        </is>
      </c>
      <c r="B5" s="51" t="inlineStr">
        <is>
          <t>Before decommissioning</t>
        </is>
      </c>
    </row>
    <row r="6" outlineLevel="1" ht="15.5" customHeight="1">
      <c r="A6" s="49" t="inlineStr">
        <is>
          <t>How it is loaded</t>
        </is>
      </c>
      <c r="B6" s="50" t="inlineStr">
        <is>
          <t>Data migration object H02 (Archive), layout H02 version 1, through the Migration Console; lands in: Legacy documents attached to the archive records</t>
        </is>
      </c>
    </row>
    <row r="7" outlineLevel="1" ht="15.5" customHeight="1">
      <c r="A7" s="49" t="inlineStr">
        <is>
          <t>Source</t>
        </is>
      </c>
      <c r="B7" s="50" t="inlineStr">
        <is>
          <t>File shares, EBIX</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SUMPRODUCT(((ROW($B$20:$B$220)&gt;20)+($B$20&lt;&gt;"CLIENT")&gt;0)*(LEN($B$20:$B$220&amp;$C$20:$C$220&amp;$D$20:$D$220&amp;$E$20:$E$220&amp;$F$20:$F$220&amp;$G$20:$G$220&amp;$H$20:$H$220&amp;$I$20:$I$220)&gt;0))</f>
        <v/>
      </c>
      <c r="D9" s="54" t="inlineStr">
        <is>
          <t>Mandatory cells missing</t>
        </is>
      </c>
      <c r="E9" s="55">
        <f>SUMPRODUCT(((ROW($B$20:$B$220)&gt;20)+($B$20&lt;&gt;"CLIENT")&gt;0)*(LEN($B$20:$B$220&amp;$C$20:$C$220&amp;$D$20:$D$220&amp;$E$20:$E$220&amp;$F$20:$F$220&amp;$G$20:$G$220&amp;$H$20:$H$220&amp;$I$20:$I$220)&gt;0)*(($B$20:$B$220="")+($C$20:$C$220="")+($D$20:$D$220="")+($G$20:$G$220="")+($H$20:$H$220="")+($I$20:$I$220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row>
    <row r="12" ht="30" customHeight="1">
      <c r="A12" s="59" t="inlineStr">
        <is>
          <t>BU review</t>
        </is>
      </c>
      <c r="B12" s="60" t="n"/>
      <c r="C12" s="60" t="n"/>
      <c r="D12" s="60" t="n"/>
      <c r="E12" s="60" t="n"/>
      <c r="F12" s="60" t="n"/>
      <c r="G12" s="60" t="n"/>
      <c r="H12" s="60" t="n"/>
      <c r="I12" s="60" t="n"/>
    </row>
    <row r="13" ht="30" customHeight="1">
      <c r="A13" s="59" t="inlineStr">
        <is>
          <t>BU comment</t>
        </is>
      </c>
      <c r="B13" s="60" t="n"/>
      <c r="C13" s="60" t="n"/>
      <c r="D13" s="60" t="n"/>
      <c r="E13" s="60" t="n"/>
      <c r="F13" s="60" t="n"/>
      <c r="G13" s="60" t="n"/>
      <c r="H13" s="60" t="n"/>
      <c r="I13" s="60" t="n"/>
    </row>
    <row r="14" ht="30" customHeight="1">
      <c r="A14" s="59" t="inlineStr">
        <is>
          <t>Check when loaded</t>
        </is>
      </c>
      <c r="B14" s="61" t="inlineStr">
        <is>
          <t>In the list</t>
        </is>
      </c>
      <c r="C14" s="61" t="inlineStr">
        <is>
          <t>Record exists in H01 or C01</t>
        </is>
      </c>
      <c r="D14" s="61" t="inlineStr">
        <is>
          <t>Mapped</t>
        </is>
      </c>
      <c r="E14" s="61" t="inlineStr">
        <is>
          <t>-</t>
        </is>
      </c>
      <c r="F14" s="61" t="inlineStr">
        <is>
          <t>Valid date</t>
        </is>
      </c>
      <c r="G14" s="61" t="inlineStr">
        <is>
          <t>File present in the transfer</t>
        </is>
      </c>
      <c r="H14" s="61">
        <f> size of the received file</f>
        <v/>
      </c>
      <c r="I14" s="61">
        <f> checksum computed at intake</f>
        <v/>
      </c>
    </row>
    <row r="15" ht="17" customHeight="1">
      <c r="A15" s="59" t="inlineStr">
        <is>
          <t>Mandatory</t>
        </is>
      </c>
      <c r="B15" s="62" t="inlineStr">
        <is>
          <t>Yes</t>
        </is>
      </c>
      <c r="C15" s="62" t="inlineStr">
        <is>
          <t>Yes</t>
        </is>
      </c>
      <c r="D15" s="62" t="inlineStr">
        <is>
          <t>Yes</t>
        </is>
      </c>
      <c r="E15" s="61" t="inlineStr">
        <is>
          <t>No</t>
        </is>
      </c>
      <c r="F15" s="61" t="inlineStr">
        <is>
          <t>No</t>
        </is>
      </c>
      <c r="G15" s="62" t="inlineStr">
        <is>
          <t>Yes</t>
        </is>
      </c>
      <c r="H15" s="62" t="inlineStr">
        <is>
          <t>Yes</t>
        </is>
      </c>
      <c r="I15" s="62" t="inlineStr">
        <is>
          <t>Yes</t>
        </is>
      </c>
    </row>
    <row r="16" ht="30" customHeight="1">
      <c r="A16" s="59" t="inlineStr">
        <is>
          <t>Format</t>
        </is>
      </c>
      <c r="B16" s="61" t="inlineStr">
        <is>
          <t>Code, up to 20; Upper case</t>
        </is>
      </c>
      <c r="C16" s="61" t="inlineStr">
        <is>
          <t>Code, up to 80; As in H01</t>
        </is>
      </c>
      <c r="D16" s="61" t="inlineStr">
        <is>
          <t>Code, up to 40; As stored in legacy</t>
        </is>
      </c>
      <c r="E16" s="61" t="inlineStr">
        <is>
          <t>Text, up to 60; As printed</t>
        </is>
      </c>
      <c r="F16" s="61" t="inlineStr">
        <is>
          <t>Date, up to 10; yyyy-MM-dd</t>
        </is>
      </c>
      <c r="G16" s="61" t="inlineStr">
        <is>
          <t>Text, up to 255; name.ext</t>
        </is>
      </c>
      <c r="H16" s="61" t="inlineStr">
        <is>
          <t>Integer, up to 12; Digits</t>
        </is>
      </c>
      <c r="I16" s="61" t="inlineStr">
        <is>
          <t>Text, up to 64; Lower-case hex</t>
        </is>
      </c>
    </row>
    <row r="17" ht="56" customHeight="1">
      <c r="A17" s="59" t="inlineStr">
        <is>
          <t>Allowed values</t>
        </is>
      </c>
      <c r="B17" s="61" t="inlineStr">
        <is>
          <t>Same list as H01 record_type</t>
        </is>
      </c>
      <c r="C17" s="61" t="inlineStr">
        <is>
          <t>legacy_key of H01</t>
        </is>
      </c>
      <c r="D17" s="69" t="inlineStr">
        <is>
          <t>The legacy code; mapped by the code map DOCUMENT_TYPE (sheet Code maps)</t>
        </is>
      </c>
      <c r="E17" s="61" t="inlineStr">
        <is>
          <t>Free entry, up to 60 characters</t>
        </is>
      </c>
      <c r="F17" s="61" t="inlineStr">
        <is>
          <t>Free entry</t>
        </is>
      </c>
      <c r="G17" s="61" t="inlineStr">
        <is>
          <t>Free entry, up to 255 characters</t>
        </is>
      </c>
      <c r="H17" s="61" t="inlineStr">
        <is>
          <t>A whole number</t>
        </is>
      </c>
      <c r="I17" s="61" t="inlineStr">
        <is>
          <t>Free entry, up to 64 characters</t>
        </is>
      </c>
    </row>
    <row r="18" ht="56" customHeight="1">
      <c r="A18" s="59" t="inlineStr">
        <is>
          <t>What to enter</t>
        </is>
      </c>
      <c r="B18" s="61" t="inlineStr">
        <is>
          <t>Kind of the archive record the document belongs to</t>
        </is>
      </c>
      <c r="C18" s="61" t="inlineStr">
        <is>
          <t>Key of the archive record (or legacy_client_no for KYC documents)</t>
        </is>
      </c>
      <c r="D18" s="61" t="inlineStr">
        <is>
          <t>Kind of document</t>
        </is>
      </c>
      <c r="E18" s="61" t="inlineStr">
        <is>
          <t>Document number (ID number, policy number)</t>
        </is>
      </c>
      <c r="F18" s="61" t="inlineStr">
        <is>
          <t>Date of the document</t>
        </is>
      </c>
      <c r="G18" s="61" t="inlineStr">
        <is>
          <t>File name in the transfer folder</t>
        </is>
      </c>
      <c r="H18" s="61" t="inlineStr">
        <is>
          <t>File size</t>
        </is>
      </c>
      <c r="I18" s="61" t="inlineStr">
        <is>
          <t>SHA-256 of the file, 64 hexadecimal characters</t>
        </is>
      </c>
    </row>
    <row r="19" ht="30" customHeight="1">
      <c r="A19" s="63" t="inlineStr">
        <is>
          <t>Row</t>
        </is>
      </c>
      <c r="B19" s="24" t="inlineStr">
        <is>
          <t>record_type *</t>
        </is>
      </c>
      <c r="C19" s="24" t="inlineStr">
        <is>
          <t>legacy_key *</t>
        </is>
      </c>
      <c r="D19" s="24" t="inlineStr">
        <is>
          <t>document_type *</t>
        </is>
      </c>
      <c r="E19" s="24" t="inlineStr">
        <is>
          <t>document_no</t>
        </is>
      </c>
      <c r="F19" s="24" t="inlineStr">
        <is>
          <t>document_date</t>
        </is>
      </c>
      <c r="G19" s="24" t="inlineStr">
        <is>
          <t>file_name *</t>
        </is>
      </c>
      <c r="H19" s="24" t="inlineStr">
        <is>
          <t>file_size_bytes *</t>
        </is>
      </c>
      <c r="I19" s="24" t="inlineStr">
        <is>
          <t>sha256 *</t>
        </is>
      </c>
    </row>
    <row r="20" ht="30" customHeight="1">
      <c r="A20" s="64" t="inlineStr">
        <is>
          <t>Example – overwrite or delete</t>
        </is>
      </c>
      <c r="B20" s="65" t="inlineStr">
        <is>
          <t>CLIENT</t>
        </is>
      </c>
      <c r="C20" s="65" t="inlineStr">
        <is>
          <t>Q-0012345</t>
        </is>
      </c>
      <c r="D20" s="65" t="inlineStr">
        <is>
          <t>KYC_ID</t>
        </is>
      </c>
      <c r="E20" s="65" t="inlineStr">
        <is>
          <t>P1234567A</t>
        </is>
      </c>
      <c r="F20" s="65" t="inlineStr">
        <is>
          <t>2021-07-02</t>
        </is>
      </c>
      <c r="G20" s="65" t="inlineStr">
        <is>
          <t>Q-0012345_KYC_ID_1.pdf</t>
        </is>
      </c>
      <c r="H20" s="66" t="n">
        <v>245760</v>
      </c>
      <c r="I20" s="65" t="inlineStr">
        <is>
          <t>9f86d081884c7d659a2feaa0c55ad015a3bf4f1b2b0b822cd15d6c15b0f00a08</t>
        </is>
      </c>
    </row>
    <row r="21">
      <c r="B21" s="67" t="n"/>
      <c r="C21" s="67" t="n"/>
      <c r="D21" s="67" t="n"/>
      <c r="E21" s="67" t="n"/>
      <c r="F21" s="67" t="n"/>
      <c r="G21" s="67" t="n"/>
      <c r="I21" s="67" t="n"/>
    </row>
    <row r="22">
      <c r="B22" s="67" t="n"/>
      <c r="C22" s="67" t="n"/>
      <c r="D22" s="67" t="n"/>
      <c r="E22" s="67" t="n"/>
      <c r="F22" s="67" t="n"/>
      <c r="G22" s="67" t="n"/>
      <c r="I22" s="67" t="n"/>
    </row>
    <row r="23">
      <c r="B23" s="67" t="n"/>
      <c r="C23" s="67" t="n"/>
      <c r="D23" s="67" t="n"/>
      <c r="E23" s="67" t="n"/>
      <c r="F23" s="67" t="n"/>
      <c r="G23" s="67" t="n"/>
      <c r="I23" s="67" t="n"/>
    </row>
    <row r="24">
      <c r="B24" s="67" t="n"/>
      <c r="C24" s="67" t="n"/>
      <c r="D24" s="67" t="n"/>
      <c r="E24" s="67" t="n"/>
      <c r="F24" s="67" t="n"/>
      <c r="G24" s="67" t="n"/>
      <c r="I24" s="67" t="n"/>
    </row>
    <row r="25">
      <c r="B25" s="67" t="n"/>
      <c r="C25" s="67" t="n"/>
      <c r="D25" s="67" t="n"/>
      <c r="E25" s="67" t="n"/>
      <c r="F25" s="67" t="n"/>
      <c r="G25" s="67" t="n"/>
      <c r="I25" s="67" t="n"/>
    </row>
    <row r="26">
      <c r="B26" s="67" t="n"/>
      <c r="C26" s="67" t="n"/>
      <c r="D26" s="67" t="n"/>
      <c r="E26" s="67" t="n"/>
      <c r="F26" s="67" t="n"/>
      <c r="G26" s="67" t="n"/>
      <c r="I26" s="67" t="n"/>
    </row>
    <row r="27">
      <c r="B27" s="67" t="n"/>
      <c r="C27" s="67" t="n"/>
      <c r="D27" s="67" t="n"/>
      <c r="E27" s="67" t="n"/>
      <c r="F27" s="67" t="n"/>
      <c r="G27" s="67" t="n"/>
      <c r="I27" s="67" t="n"/>
    </row>
    <row r="28">
      <c r="B28" s="67" t="n"/>
      <c r="C28" s="67" t="n"/>
      <c r="D28" s="67" t="n"/>
      <c r="E28" s="67" t="n"/>
      <c r="F28" s="67" t="n"/>
      <c r="G28" s="67" t="n"/>
      <c r="I28" s="67" t="n"/>
    </row>
    <row r="29">
      <c r="B29" s="67" t="n"/>
      <c r="C29" s="67" t="n"/>
      <c r="D29" s="67" t="n"/>
      <c r="E29" s="67" t="n"/>
      <c r="F29" s="67" t="n"/>
      <c r="G29" s="67" t="n"/>
      <c r="I29" s="67" t="n"/>
    </row>
    <row r="30">
      <c r="B30" s="67" t="n"/>
      <c r="C30" s="67" t="n"/>
      <c r="D30" s="67" t="n"/>
      <c r="E30" s="67" t="n"/>
      <c r="F30" s="67" t="n"/>
      <c r="G30" s="67" t="n"/>
      <c r="I30" s="67" t="n"/>
    </row>
    <row r="31">
      <c r="B31" s="67" t="n"/>
      <c r="C31" s="67" t="n"/>
      <c r="D31" s="67" t="n"/>
      <c r="E31" s="67" t="n"/>
      <c r="F31" s="67" t="n"/>
      <c r="G31" s="67" t="n"/>
      <c r="I31" s="67" t="n"/>
    </row>
    <row r="32">
      <c r="B32" s="67" t="n"/>
      <c r="C32" s="67" t="n"/>
      <c r="D32" s="67" t="n"/>
      <c r="E32" s="67" t="n"/>
      <c r="F32" s="67" t="n"/>
      <c r="G32" s="67" t="n"/>
      <c r="I32" s="67" t="n"/>
    </row>
    <row r="33">
      <c r="B33" s="67" t="n"/>
      <c r="C33" s="67" t="n"/>
      <c r="D33" s="67" t="n"/>
      <c r="E33" s="67" t="n"/>
      <c r="F33" s="67" t="n"/>
      <c r="G33" s="67" t="n"/>
      <c r="I33" s="67" t="n"/>
    </row>
    <row r="34">
      <c r="B34" s="67" t="n"/>
      <c r="C34" s="67" t="n"/>
      <c r="D34" s="67" t="n"/>
      <c r="E34" s="67" t="n"/>
      <c r="F34" s="67" t="n"/>
      <c r="G34" s="67" t="n"/>
      <c r="I34" s="67" t="n"/>
    </row>
    <row r="35">
      <c r="B35" s="67" t="n"/>
      <c r="C35" s="67" t="n"/>
      <c r="D35" s="67" t="n"/>
      <c r="E35" s="67" t="n"/>
      <c r="F35" s="67" t="n"/>
      <c r="G35" s="67" t="n"/>
      <c r="I35" s="67" t="n"/>
    </row>
    <row r="36">
      <c r="B36" s="67" t="n"/>
      <c r="C36" s="67" t="n"/>
      <c r="D36" s="67" t="n"/>
      <c r="E36" s="67" t="n"/>
      <c r="F36" s="67" t="n"/>
      <c r="G36" s="67" t="n"/>
      <c r="I36" s="67" t="n"/>
    </row>
    <row r="37">
      <c r="B37" s="67" t="n"/>
      <c r="C37" s="67" t="n"/>
      <c r="D37" s="67" t="n"/>
      <c r="E37" s="67" t="n"/>
      <c r="F37" s="67" t="n"/>
      <c r="G37" s="67" t="n"/>
      <c r="I37" s="67" t="n"/>
    </row>
    <row r="38">
      <c r="B38" s="67" t="n"/>
      <c r="C38" s="67" t="n"/>
      <c r="D38" s="67" t="n"/>
      <c r="E38" s="67" t="n"/>
      <c r="F38" s="67" t="n"/>
      <c r="G38" s="67" t="n"/>
      <c r="I38" s="67" t="n"/>
    </row>
    <row r="39">
      <c r="B39" s="67" t="n"/>
      <c r="C39" s="67" t="n"/>
      <c r="D39" s="67" t="n"/>
      <c r="E39" s="67" t="n"/>
      <c r="F39" s="67" t="n"/>
      <c r="G39" s="67" t="n"/>
      <c r="I39" s="67" t="n"/>
    </row>
    <row r="40">
      <c r="B40" s="67" t="n"/>
      <c r="C40" s="67" t="n"/>
      <c r="D40" s="67" t="n"/>
      <c r="E40" s="67" t="n"/>
      <c r="F40" s="67" t="n"/>
      <c r="G40" s="67" t="n"/>
      <c r="I40" s="67" t="n"/>
    </row>
    <row r="41">
      <c r="B41" s="67" t="n"/>
      <c r="C41" s="67" t="n"/>
      <c r="D41" s="67" t="n"/>
      <c r="E41" s="67" t="n"/>
      <c r="F41" s="67" t="n"/>
      <c r="G41" s="67" t="n"/>
      <c r="I41" s="67" t="n"/>
    </row>
    <row r="42">
      <c r="B42" s="67" t="n"/>
      <c r="C42" s="67" t="n"/>
      <c r="D42" s="67" t="n"/>
      <c r="E42" s="67" t="n"/>
      <c r="F42" s="67" t="n"/>
      <c r="G42" s="67" t="n"/>
      <c r="I42" s="67" t="n"/>
    </row>
    <row r="43">
      <c r="B43" s="67" t="n"/>
      <c r="C43" s="67" t="n"/>
      <c r="D43" s="67" t="n"/>
      <c r="E43" s="67" t="n"/>
      <c r="F43" s="67" t="n"/>
      <c r="G43" s="67" t="n"/>
      <c r="I43" s="67" t="n"/>
    </row>
    <row r="44">
      <c r="B44" s="67" t="n"/>
      <c r="C44" s="67" t="n"/>
      <c r="D44" s="67" t="n"/>
      <c r="E44" s="67" t="n"/>
      <c r="F44" s="67" t="n"/>
      <c r="G44" s="67" t="n"/>
      <c r="I44" s="67" t="n"/>
    </row>
    <row r="45">
      <c r="B45" s="67" t="n"/>
      <c r="C45" s="67" t="n"/>
      <c r="D45" s="67" t="n"/>
      <c r="E45" s="67" t="n"/>
      <c r="F45" s="67" t="n"/>
      <c r="G45" s="67" t="n"/>
      <c r="I45" s="67" t="n"/>
    </row>
    <row r="46">
      <c r="B46" s="67" t="n"/>
      <c r="C46" s="67" t="n"/>
      <c r="D46" s="67" t="n"/>
      <c r="E46" s="67" t="n"/>
      <c r="F46" s="67" t="n"/>
      <c r="G46" s="67" t="n"/>
      <c r="I46" s="67" t="n"/>
    </row>
    <row r="47">
      <c r="B47" s="67" t="n"/>
      <c r="C47" s="67" t="n"/>
      <c r="D47" s="67" t="n"/>
      <c r="E47" s="67" t="n"/>
      <c r="F47" s="67" t="n"/>
      <c r="G47" s="67" t="n"/>
      <c r="I47" s="67" t="n"/>
    </row>
    <row r="48">
      <c r="B48" s="67" t="n"/>
      <c r="C48" s="67" t="n"/>
      <c r="D48" s="67" t="n"/>
      <c r="E48" s="67" t="n"/>
      <c r="F48" s="67" t="n"/>
      <c r="G48" s="67" t="n"/>
      <c r="I48" s="67" t="n"/>
    </row>
    <row r="49">
      <c r="B49" s="67" t="n"/>
      <c r="C49" s="67" t="n"/>
      <c r="D49" s="67" t="n"/>
      <c r="E49" s="67" t="n"/>
      <c r="F49" s="67" t="n"/>
      <c r="G49" s="67" t="n"/>
      <c r="I49" s="67" t="n"/>
    </row>
    <row r="50">
      <c r="B50" s="67" t="n"/>
      <c r="C50" s="67" t="n"/>
      <c r="D50" s="67" t="n"/>
      <c r="E50" s="67" t="n"/>
      <c r="F50" s="67" t="n"/>
      <c r="G50" s="67" t="n"/>
      <c r="I50" s="67" t="n"/>
    </row>
    <row r="51">
      <c r="B51" s="67" t="n"/>
      <c r="C51" s="67" t="n"/>
      <c r="D51" s="67" t="n"/>
      <c r="E51" s="67" t="n"/>
      <c r="F51" s="67" t="n"/>
      <c r="G51" s="67" t="n"/>
      <c r="I51" s="67" t="n"/>
    </row>
    <row r="52">
      <c r="B52" s="67" t="n"/>
      <c r="C52" s="67" t="n"/>
      <c r="D52" s="67" t="n"/>
      <c r="E52" s="67" t="n"/>
      <c r="F52" s="67" t="n"/>
      <c r="G52" s="67" t="n"/>
      <c r="I52" s="67" t="n"/>
    </row>
    <row r="53">
      <c r="B53" s="67" t="n"/>
      <c r="C53" s="67" t="n"/>
      <c r="D53" s="67" t="n"/>
      <c r="E53" s="67" t="n"/>
      <c r="F53" s="67" t="n"/>
      <c r="G53" s="67" t="n"/>
      <c r="I53" s="67" t="n"/>
    </row>
    <row r="54">
      <c r="B54" s="67" t="n"/>
      <c r="C54" s="67" t="n"/>
      <c r="D54" s="67" t="n"/>
      <c r="E54" s="67" t="n"/>
      <c r="F54" s="67" t="n"/>
      <c r="G54" s="67" t="n"/>
      <c r="I54" s="67" t="n"/>
    </row>
    <row r="55">
      <c r="B55" s="67" t="n"/>
      <c r="C55" s="67" t="n"/>
      <c r="D55" s="67" t="n"/>
      <c r="E55" s="67" t="n"/>
      <c r="F55" s="67" t="n"/>
      <c r="G55" s="67" t="n"/>
      <c r="I55" s="67" t="n"/>
    </row>
    <row r="56">
      <c r="B56" s="67" t="n"/>
      <c r="C56" s="67" t="n"/>
      <c r="D56" s="67" t="n"/>
      <c r="E56" s="67" t="n"/>
      <c r="F56" s="67" t="n"/>
      <c r="G56" s="67" t="n"/>
      <c r="I56" s="67" t="n"/>
    </row>
    <row r="57">
      <c r="B57" s="67" t="n"/>
      <c r="C57" s="67" t="n"/>
      <c r="D57" s="67" t="n"/>
      <c r="E57" s="67" t="n"/>
      <c r="F57" s="67" t="n"/>
      <c r="G57" s="67" t="n"/>
      <c r="I57" s="67" t="n"/>
    </row>
    <row r="58">
      <c r="B58" s="67" t="n"/>
      <c r="C58" s="67" t="n"/>
      <c r="D58" s="67" t="n"/>
      <c r="E58" s="67" t="n"/>
      <c r="F58" s="67" t="n"/>
      <c r="G58" s="67" t="n"/>
      <c r="I58" s="67" t="n"/>
    </row>
    <row r="59">
      <c r="B59" s="67" t="n"/>
      <c r="C59" s="67" t="n"/>
      <c r="D59" s="67" t="n"/>
      <c r="E59" s="67" t="n"/>
      <c r="F59" s="67" t="n"/>
      <c r="G59" s="67" t="n"/>
      <c r="I59" s="67" t="n"/>
    </row>
    <row r="60">
      <c r="B60" s="67" t="n"/>
      <c r="C60" s="67" t="n"/>
      <c r="D60" s="67" t="n"/>
      <c r="E60" s="67" t="n"/>
      <c r="F60" s="67" t="n"/>
      <c r="G60" s="67" t="n"/>
      <c r="I60" s="67" t="n"/>
    </row>
    <row r="61">
      <c r="B61" s="67" t="n"/>
      <c r="C61" s="67" t="n"/>
      <c r="D61" s="67" t="n"/>
      <c r="E61" s="67" t="n"/>
      <c r="F61" s="67" t="n"/>
      <c r="G61" s="67" t="n"/>
      <c r="I61" s="67" t="n"/>
    </row>
    <row r="62">
      <c r="B62" s="67" t="n"/>
      <c r="C62" s="67" t="n"/>
      <c r="D62" s="67" t="n"/>
      <c r="E62" s="67" t="n"/>
      <c r="F62" s="67" t="n"/>
      <c r="G62" s="67" t="n"/>
      <c r="I62" s="67" t="n"/>
    </row>
    <row r="63">
      <c r="B63" s="67" t="n"/>
      <c r="C63" s="67" t="n"/>
      <c r="D63" s="67" t="n"/>
      <c r="E63" s="67" t="n"/>
      <c r="F63" s="67" t="n"/>
      <c r="G63" s="67" t="n"/>
      <c r="I63" s="67" t="n"/>
    </row>
    <row r="64">
      <c r="B64" s="67" t="n"/>
      <c r="C64" s="67" t="n"/>
      <c r="D64" s="67" t="n"/>
      <c r="E64" s="67" t="n"/>
      <c r="F64" s="67" t="n"/>
      <c r="G64" s="67" t="n"/>
      <c r="I64" s="67" t="n"/>
    </row>
    <row r="65">
      <c r="B65" s="67" t="n"/>
      <c r="C65" s="67" t="n"/>
      <c r="D65" s="67" t="n"/>
      <c r="E65" s="67" t="n"/>
      <c r="F65" s="67" t="n"/>
      <c r="G65" s="67" t="n"/>
      <c r="I65" s="67" t="n"/>
    </row>
    <row r="66">
      <c r="B66" s="67" t="n"/>
      <c r="C66" s="67" t="n"/>
      <c r="D66" s="67" t="n"/>
      <c r="E66" s="67" t="n"/>
      <c r="F66" s="67" t="n"/>
      <c r="G66" s="67" t="n"/>
      <c r="I66" s="67" t="n"/>
    </row>
    <row r="67">
      <c r="B67" s="67" t="n"/>
      <c r="C67" s="67" t="n"/>
      <c r="D67" s="67" t="n"/>
      <c r="E67" s="67" t="n"/>
      <c r="F67" s="67" t="n"/>
      <c r="G67" s="67" t="n"/>
      <c r="I67" s="67" t="n"/>
    </row>
    <row r="68">
      <c r="B68" s="67" t="n"/>
      <c r="C68" s="67" t="n"/>
      <c r="D68" s="67" t="n"/>
      <c r="E68" s="67" t="n"/>
      <c r="F68" s="67" t="n"/>
      <c r="G68" s="67" t="n"/>
      <c r="I68" s="67" t="n"/>
    </row>
    <row r="69">
      <c r="B69" s="67" t="n"/>
      <c r="C69" s="67" t="n"/>
      <c r="D69" s="67" t="n"/>
      <c r="E69" s="67" t="n"/>
      <c r="F69" s="67" t="n"/>
      <c r="G69" s="67" t="n"/>
      <c r="I69" s="67" t="n"/>
    </row>
    <row r="70">
      <c r="B70" s="67" t="n"/>
      <c r="C70" s="67" t="n"/>
      <c r="D70" s="67" t="n"/>
      <c r="E70" s="67" t="n"/>
      <c r="F70" s="67" t="n"/>
      <c r="G70" s="67" t="n"/>
      <c r="I70" s="67" t="n"/>
    </row>
    <row r="71">
      <c r="B71" s="67" t="n"/>
      <c r="C71" s="67" t="n"/>
      <c r="D71" s="67" t="n"/>
      <c r="E71" s="67" t="n"/>
      <c r="F71" s="67" t="n"/>
      <c r="G71" s="67" t="n"/>
      <c r="I71" s="67" t="n"/>
    </row>
    <row r="72">
      <c r="B72" s="67" t="n"/>
      <c r="C72" s="67" t="n"/>
      <c r="D72" s="67" t="n"/>
      <c r="E72" s="67" t="n"/>
      <c r="F72" s="67" t="n"/>
      <c r="G72" s="67" t="n"/>
      <c r="I72" s="67" t="n"/>
    </row>
    <row r="73">
      <c r="B73" s="67" t="n"/>
      <c r="C73" s="67" t="n"/>
      <c r="D73" s="67" t="n"/>
      <c r="E73" s="67" t="n"/>
      <c r="F73" s="67" t="n"/>
      <c r="G73" s="67" t="n"/>
      <c r="I73" s="67" t="n"/>
    </row>
    <row r="74">
      <c r="B74" s="67" t="n"/>
      <c r="C74" s="67" t="n"/>
      <c r="D74" s="67" t="n"/>
      <c r="E74" s="67" t="n"/>
      <c r="F74" s="67" t="n"/>
      <c r="G74" s="67" t="n"/>
      <c r="I74" s="67" t="n"/>
    </row>
    <row r="75">
      <c r="B75" s="67" t="n"/>
      <c r="C75" s="67" t="n"/>
      <c r="D75" s="67" t="n"/>
      <c r="E75" s="67" t="n"/>
      <c r="F75" s="67" t="n"/>
      <c r="G75" s="67" t="n"/>
      <c r="I75" s="67" t="n"/>
    </row>
    <row r="76">
      <c r="B76" s="67" t="n"/>
      <c r="C76" s="67" t="n"/>
      <c r="D76" s="67" t="n"/>
      <c r="E76" s="67" t="n"/>
      <c r="F76" s="67" t="n"/>
      <c r="G76" s="67" t="n"/>
      <c r="I76" s="67" t="n"/>
    </row>
    <row r="77">
      <c r="B77" s="67" t="n"/>
      <c r="C77" s="67" t="n"/>
      <c r="D77" s="67" t="n"/>
      <c r="E77" s="67" t="n"/>
      <c r="F77" s="67" t="n"/>
      <c r="G77" s="67" t="n"/>
      <c r="I77" s="67" t="n"/>
    </row>
    <row r="78">
      <c r="B78" s="67" t="n"/>
      <c r="C78" s="67" t="n"/>
      <c r="D78" s="67" t="n"/>
      <c r="E78" s="67" t="n"/>
      <c r="F78" s="67" t="n"/>
      <c r="G78" s="67" t="n"/>
      <c r="I78" s="67" t="n"/>
    </row>
    <row r="79">
      <c r="B79" s="67" t="n"/>
      <c r="C79" s="67" t="n"/>
      <c r="D79" s="67" t="n"/>
      <c r="E79" s="67" t="n"/>
      <c r="F79" s="67" t="n"/>
      <c r="G79" s="67" t="n"/>
      <c r="I79" s="67" t="n"/>
    </row>
    <row r="80">
      <c r="B80" s="67" t="n"/>
      <c r="C80" s="67" t="n"/>
      <c r="D80" s="67" t="n"/>
      <c r="E80" s="67" t="n"/>
      <c r="F80" s="67" t="n"/>
      <c r="G80" s="67" t="n"/>
      <c r="I80" s="67" t="n"/>
    </row>
    <row r="81">
      <c r="B81" s="67" t="n"/>
      <c r="C81" s="67" t="n"/>
      <c r="D81" s="67" t="n"/>
      <c r="E81" s="67" t="n"/>
      <c r="F81" s="67" t="n"/>
      <c r="G81" s="67" t="n"/>
      <c r="I81" s="67" t="n"/>
    </row>
    <row r="82">
      <c r="B82" s="67" t="n"/>
      <c r="C82" s="67" t="n"/>
      <c r="D82" s="67" t="n"/>
      <c r="E82" s="67" t="n"/>
      <c r="F82" s="67" t="n"/>
      <c r="G82" s="67" t="n"/>
      <c r="I82" s="67" t="n"/>
    </row>
    <row r="83">
      <c r="B83" s="67" t="n"/>
      <c r="C83" s="67" t="n"/>
      <c r="D83" s="67" t="n"/>
      <c r="E83" s="67" t="n"/>
      <c r="F83" s="67" t="n"/>
      <c r="G83" s="67" t="n"/>
      <c r="I83" s="67" t="n"/>
    </row>
    <row r="84">
      <c r="B84" s="67" t="n"/>
      <c r="C84" s="67" t="n"/>
      <c r="D84" s="67" t="n"/>
      <c r="E84" s="67" t="n"/>
      <c r="F84" s="67" t="n"/>
      <c r="G84" s="67" t="n"/>
      <c r="I84" s="67" t="n"/>
    </row>
    <row r="85">
      <c r="B85" s="67" t="n"/>
      <c r="C85" s="67" t="n"/>
      <c r="D85" s="67" t="n"/>
      <c r="E85" s="67" t="n"/>
      <c r="F85" s="67" t="n"/>
      <c r="G85" s="67" t="n"/>
      <c r="I85" s="67" t="n"/>
    </row>
    <row r="86">
      <c r="B86" s="67" t="n"/>
      <c r="C86" s="67" t="n"/>
      <c r="D86" s="67" t="n"/>
      <c r="E86" s="67" t="n"/>
      <c r="F86" s="67" t="n"/>
      <c r="G86" s="67" t="n"/>
      <c r="I86" s="67" t="n"/>
    </row>
    <row r="87">
      <c r="B87" s="67" t="n"/>
      <c r="C87" s="67" t="n"/>
      <c r="D87" s="67" t="n"/>
      <c r="E87" s="67" t="n"/>
      <c r="F87" s="67" t="n"/>
      <c r="G87" s="67" t="n"/>
      <c r="I87" s="67" t="n"/>
    </row>
    <row r="88">
      <c r="B88" s="67" t="n"/>
      <c r="C88" s="67" t="n"/>
      <c r="D88" s="67" t="n"/>
      <c r="E88" s="67" t="n"/>
      <c r="F88" s="67" t="n"/>
      <c r="G88" s="67" t="n"/>
      <c r="I88" s="67" t="n"/>
    </row>
    <row r="89">
      <c r="B89" s="67" t="n"/>
      <c r="C89" s="67" t="n"/>
      <c r="D89" s="67" t="n"/>
      <c r="E89" s="67" t="n"/>
      <c r="F89" s="67" t="n"/>
      <c r="G89" s="67" t="n"/>
      <c r="I89" s="67" t="n"/>
    </row>
    <row r="90">
      <c r="B90" s="67" t="n"/>
      <c r="C90" s="67" t="n"/>
      <c r="D90" s="67" t="n"/>
      <c r="E90" s="67" t="n"/>
      <c r="F90" s="67" t="n"/>
      <c r="G90" s="67" t="n"/>
      <c r="I90" s="67" t="n"/>
    </row>
    <row r="91">
      <c r="B91" s="67" t="n"/>
      <c r="C91" s="67" t="n"/>
      <c r="D91" s="67" t="n"/>
      <c r="E91" s="67" t="n"/>
      <c r="F91" s="67" t="n"/>
      <c r="G91" s="67" t="n"/>
      <c r="I91" s="67" t="n"/>
    </row>
    <row r="92">
      <c r="B92" s="67" t="n"/>
      <c r="C92" s="67" t="n"/>
      <c r="D92" s="67" t="n"/>
      <c r="E92" s="67" t="n"/>
      <c r="F92" s="67" t="n"/>
      <c r="G92" s="67" t="n"/>
      <c r="I92" s="67" t="n"/>
    </row>
    <row r="93">
      <c r="B93" s="67" t="n"/>
      <c r="C93" s="67" t="n"/>
      <c r="D93" s="67" t="n"/>
      <c r="E93" s="67" t="n"/>
      <c r="F93" s="67" t="n"/>
      <c r="G93" s="67" t="n"/>
      <c r="I93" s="67" t="n"/>
    </row>
    <row r="94">
      <c r="B94" s="67" t="n"/>
      <c r="C94" s="67" t="n"/>
      <c r="D94" s="67" t="n"/>
      <c r="E94" s="67" t="n"/>
      <c r="F94" s="67" t="n"/>
      <c r="G94" s="67" t="n"/>
      <c r="I94" s="67" t="n"/>
    </row>
    <row r="95">
      <c r="B95" s="67" t="n"/>
      <c r="C95" s="67" t="n"/>
      <c r="D95" s="67" t="n"/>
      <c r="E95" s="67" t="n"/>
      <c r="F95" s="67" t="n"/>
      <c r="G95" s="67" t="n"/>
      <c r="I95" s="67" t="n"/>
    </row>
    <row r="96">
      <c r="B96" s="67" t="n"/>
      <c r="C96" s="67" t="n"/>
      <c r="D96" s="67" t="n"/>
      <c r="E96" s="67" t="n"/>
      <c r="F96" s="67" t="n"/>
      <c r="G96" s="67" t="n"/>
      <c r="I96" s="67" t="n"/>
    </row>
    <row r="97">
      <c r="B97" s="67" t="n"/>
      <c r="C97" s="67" t="n"/>
      <c r="D97" s="67" t="n"/>
      <c r="E97" s="67" t="n"/>
      <c r="F97" s="67" t="n"/>
      <c r="G97" s="67" t="n"/>
      <c r="I97" s="67" t="n"/>
    </row>
    <row r="98">
      <c r="B98" s="67" t="n"/>
      <c r="C98" s="67" t="n"/>
      <c r="D98" s="67" t="n"/>
      <c r="E98" s="67" t="n"/>
      <c r="F98" s="67" t="n"/>
      <c r="G98" s="67" t="n"/>
      <c r="I98" s="67" t="n"/>
    </row>
    <row r="99">
      <c r="B99" s="67" t="n"/>
      <c r="C99" s="67" t="n"/>
      <c r="D99" s="67" t="n"/>
      <c r="E99" s="67" t="n"/>
      <c r="F99" s="67" t="n"/>
      <c r="G99" s="67" t="n"/>
      <c r="I99" s="67" t="n"/>
    </row>
    <row r="100">
      <c r="B100" s="67" t="n"/>
      <c r="C100" s="67" t="n"/>
      <c r="D100" s="67" t="n"/>
      <c r="E100" s="67" t="n"/>
      <c r="F100" s="67" t="n"/>
      <c r="G100" s="67" t="n"/>
      <c r="I100" s="67" t="n"/>
    </row>
    <row r="101">
      <c r="B101" s="67" t="n"/>
      <c r="C101" s="67" t="n"/>
      <c r="D101" s="67" t="n"/>
      <c r="E101" s="67" t="n"/>
      <c r="F101" s="67" t="n"/>
      <c r="G101" s="67" t="n"/>
      <c r="I101" s="67" t="n"/>
    </row>
    <row r="102">
      <c r="B102" s="67" t="n"/>
      <c r="C102" s="67" t="n"/>
      <c r="D102" s="67" t="n"/>
      <c r="E102" s="67" t="n"/>
      <c r="F102" s="67" t="n"/>
      <c r="G102" s="67" t="n"/>
      <c r="I102" s="67" t="n"/>
    </row>
    <row r="103">
      <c r="B103" s="67" t="n"/>
      <c r="C103" s="67" t="n"/>
      <c r="D103" s="67" t="n"/>
      <c r="E103" s="67" t="n"/>
      <c r="F103" s="67" t="n"/>
      <c r="G103" s="67" t="n"/>
      <c r="I103" s="67" t="n"/>
    </row>
    <row r="104">
      <c r="B104" s="67" t="n"/>
      <c r="C104" s="67" t="n"/>
      <c r="D104" s="67" t="n"/>
      <c r="E104" s="67" t="n"/>
      <c r="F104" s="67" t="n"/>
      <c r="G104" s="67" t="n"/>
      <c r="I104" s="67" t="n"/>
    </row>
    <row r="105">
      <c r="B105" s="67" t="n"/>
      <c r="C105" s="67" t="n"/>
      <c r="D105" s="67" t="n"/>
      <c r="E105" s="67" t="n"/>
      <c r="F105" s="67" t="n"/>
      <c r="G105" s="67" t="n"/>
      <c r="I105" s="67" t="n"/>
    </row>
    <row r="106">
      <c r="B106" s="67" t="n"/>
      <c r="C106" s="67" t="n"/>
      <c r="D106" s="67" t="n"/>
      <c r="E106" s="67" t="n"/>
      <c r="F106" s="67" t="n"/>
      <c r="G106" s="67" t="n"/>
      <c r="I106" s="67" t="n"/>
    </row>
    <row r="107">
      <c r="B107" s="67" t="n"/>
      <c r="C107" s="67" t="n"/>
      <c r="D107" s="67" t="n"/>
      <c r="E107" s="67" t="n"/>
      <c r="F107" s="67" t="n"/>
      <c r="G107" s="67" t="n"/>
      <c r="I107" s="67" t="n"/>
    </row>
    <row r="108">
      <c r="B108" s="67" t="n"/>
      <c r="C108" s="67" t="n"/>
      <c r="D108" s="67" t="n"/>
      <c r="E108" s="67" t="n"/>
      <c r="F108" s="67" t="n"/>
      <c r="G108" s="67" t="n"/>
      <c r="I108" s="67" t="n"/>
    </row>
    <row r="109">
      <c r="B109" s="67" t="n"/>
      <c r="C109" s="67" t="n"/>
      <c r="D109" s="67" t="n"/>
      <c r="E109" s="67" t="n"/>
      <c r="F109" s="67" t="n"/>
      <c r="G109" s="67" t="n"/>
      <c r="I109" s="67" t="n"/>
    </row>
    <row r="110">
      <c r="B110" s="67" t="n"/>
      <c r="C110" s="67" t="n"/>
      <c r="D110" s="67" t="n"/>
      <c r="E110" s="67" t="n"/>
      <c r="F110" s="67" t="n"/>
      <c r="G110" s="67" t="n"/>
      <c r="I110" s="67" t="n"/>
    </row>
    <row r="111">
      <c r="B111" s="67" t="n"/>
      <c r="C111" s="67" t="n"/>
      <c r="D111" s="67" t="n"/>
      <c r="E111" s="67" t="n"/>
      <c r="F111" s="67" t="n"/>
      <c r="G111" s="67" t="n"/>
      <c r="I111" s="67" t="n"/>
    </row>
    <row r="112">
      <c r="B112" s="67" t="n"/>
      <c r="C112" s="67" t="n"/>
      <c r="D112" s="67" t="n"/>
      <c r="E112" s="67" t="n"/>
      <c r="F112" s="67" t="n"/>
      <c r="G112" s="67" t="n"/>
      <c r="I112" s="67" t="n"/>
    </row>
    <row r="113">
      <c r="B113" s="67" t="n"/>
      <c r="C113" s="67" t="n"/>
      <c r="D113" s="67" t="n"/>
      <c r="E113" s="67" t="n"/>
      <c r="F113" s="67" t="n"/>
      <c r="G113" s="67" t="n"/>
      <c r="I113" s="67" t="n"/>
    </row>
    <row r="114">
      <c r="B114" s="67" t="n"/>
      <c r="C114" s="67" t="n"/>
      <c r="D114" s="67" t="n"/>
      <c r="E114" s="67" t="n"/>
      <c r="F114" s="67" t="n"/>
      <c r="G114" s="67" t="n"/>
      <c r="I114" s="67" t="n"/>
    </row>
    <row r="115">
      <c r="B115" s="67" t="n"/>
      <c r="C115" s="67" t="n"/>
      <c r="D115" s="67" t="n"/>
      <c r="E115" s="67" t="n"/>
      <c r="F115" s="67" t="n"/>
      <c r="G115" s="67" t="n"/>
      <c r="I115" s="67" t="n"/>
    </row>
    <row r="116">
      <c r="B116" s="67" t="n"/>
      <c r="C116" s="67" t="n"/>
      <c r="D116" s="67" t="n"/>
      <c r="E116" s="67" t="n"/>
      <c r="F116" s="67" t="n"/>
      <c r="G116" s="67" t="n"/>
      <c r="I116" s="67" t="n"/>
    </row>
    <row r="117">
      <c r="B117" s="67" t="n"/>
      <c r="C117" s="67" t="n"/>
      <c r="D117" s="67" t="n"/>
      <c r="E117" s="67" t="n"/>
      <c r="F117" s="67" t="n"/>
      <c r="G117" s="67" t="n"/>
      <c r="I117" s="67" t="n"/>
    </row>
    <row r="118">
      <c r="B118" s="67" t="n"/>
      <c r="C118" s="67" t="n"/>
      <c r="D118" s="67" t="n"/>
      <c r="E118" s="67" t="n"/>
      <c r="F118" s="67" t="n"/>
      <c r="G118" s="67" t="n"/>
      <c r="I118" s="67" t="n"/>
    </row>
    <row r="119">
      <c r="B119" s="67" t="n"/>
      <c r="C119" s="67" t="n"/>
      <c r="D119" s="67" t="n"/>
      <c r="E119" s="67" t="n"/>
      <c r="F119" s="67" t="n"/>
      <c r="G119" s="67" t="n"/>
      <c r="I119" s="67" t="n"/>
    </row>
    <row r="120">
      <c r="B120" s="67" t="n"/>
      <c r="C120" s="67" t="n"/>
      <c r="D120" s="67" t="n"/>
      <c r="E120" s="67" t="n"/>
      <c r="F120" s="67" t="n"/>
      <c r="G120" s="67" t="n"/>
      <c r="I120" s="67" t="n"/>
    </row>
    <row r="121">
      <c r="B121" s="67" t="n"/>
      <c r="C121" s="67" t="n"/>
      <c r="D121" s="67" t="n"/>
      <c r="E121" s="67" t="n"/>
      <c r="F121" s="67" t="n"/>
      <c r="G121" s="67" t="n"/>
      <c r="I121" s="67" t="n"/>
    </row>
    <row r="122">
      <c r="B122" s="67" t="n"/>
      <c r="C122" s="67" t="n"/>
      <c r="D122" s="67" t="n"/>
      <c r="E122" s="67" t="n"/>
      <c r="F122" s="67" t="n"/>
      <c r="G122" s="67" t="n"/>
      <c r="I122" s="67" t="n"/>
    </row>
    <row r="123">
      <c r="B123" s="67" t="n"/>
      <c r="C123" s="67" t="n"/>
      <c r="D123" s="67" t="n"/>
      <c r="E123" s="67" t="n"/>
      <c r="F123" s="67" t="n"/>
      <c r="G123" s="67" t="n"/>
      <c r="I123" s="67" t="n"/>
    </row>
    <row r="124">
      <c r="B124" s="67" t="n"/>
      <c r="C124" s="67" t="n"/>
      <c r="D124" s="67" t="n"/>
      <c r="E124" s="67" t="n"/>
      <c r="F124" s="67" t="n"/>
      <c r="G124" s="67" t="n"/>
      <c r="I124" s="67" t="n"/>
    </row>
    <row r="125">
      <c r="B125" s="67" t="n"/>
      <c r="C125" s="67" t="n"/>
      <c r="D125" s="67" t="n"/>
      <c r="E125" s="67" t="n"/>
      <c r="F125" s="67" t="n"/>
      <c r="G125" s="67" t="n"/>
      <c r="I125" s="67" t="n"/>
    </row>
    <row r="126">
      <c r="B126" s="67" t="n"/>
      <c r="C126" s="67" t="n"/>
      <c r="D126" s="67" t="n"/>
      <c r="E126" s="67" t="n"/>
      <c r="F126" s="67" t="n"/>
      <c r="G126" s="67" t="n"/>
      <c r="I126" s="67" t="n"/>
    </row>
    <row r="127">
      <c r="B127" s="67" t="n"/>
      <c r="C127" s="67" t="n"/>
      <c r="D127" s="67" t="n"/>
      <c r="E127" s="67" t="n"/>
      <c r="F127" s="67" t="n"/>
      <c r="G127" s="67" t="n"/>
      <c r="I127" s="67" t="n"/>
    </row>
    <row r="128">
      <c r="B128" s="67" t="n"/>
      <c r="C128" s="67" t="n"/>
      <c r="D128" s="67" t="n"/>
      <c r="E128" s="67" t="n"/>
      <c r="F128" s="67" t="n"/>
      <c r="G128" s="67" t="n"/>
      <c r="I128" s="67" t="n"/>
    </row>
    <row r="129">
      <c r="B129" s="67" t="n"/>
      <c r="C129" s="67" t="n"/>
      <c r="D129" s="67" t="n"/>
      <c r="E129" s="67" t="n"/>
      <c r="F129" s="67" t="n"/>
      <c r="G129" s="67" t="n"/>
      <c r="I129" s="67" t="n"/>
    </row>
    <row r="130">
      <c r="B130" s="67" t="n"/>
      <c r="C130" s="67" t="n"/>
      <c r="D130" s="67" t="n"/>
      <c r="E130" s="67" t="n"/>
      <c r="F130" s="67" t="n"/>
      <c r="G130" s="67" t="n"/>
      <c r="I130" s="67" t="n"/>
    </row>
    <row r="131">
      <c r="B131" s="67" t="n"/>
      <c r="C131" s="67" t="n"/>
      <c r="D131" s="67" t="n"/>
      <c r="E131" s="67" t="n"/>
      <c r="F131" s="67" t="n"/>
      <c r="G131" s="67" t="n"/>
      <c r="I131" s="67" t="n"/>
    </row>
    <row r="132">
      <c r="B132" s="67" t="n"/>
      <c r="C132" s="67" t="n"/>
      <c r="D132" s="67" t="n"/>
      <c r="E132" s="67" t="n"/>
      <c r="F132" s="67" t="n"/>
      <c r="G132" s="67" t="n"/>
      <c r="I132" s="67" t="n"/>
    </row>
    <row r="133">
      <c r="B133" s="67" t="n"/>
      <c r="C133" s="67" t="n"/>
      <c r="D133" s="67" t="n"/>
      <c r="E133" s="67" t="n"/>
      <c r="F133" s="67" t="n"/>
      <c r="G133" s="67" t="n"/>
      <c r="I133" s="67" t="n"/>
    </row>
    <row r="134">
      <c r="B134" s="67" t="n"/>
      <c r="C134" s="67" t="n"/>
      <c r="D134" s="67" t="n"/>
      <c r="E134" s="67" t="n"/>
      <c r="F134" s="67" t="n"/>
      <c r="G134" s="67" t="n"/>
      <c r="I134" s="67" t="n"/>
    </row>
    <row r="135">
      <c r="B135" s="67" t="n"/>
      <c r="C135" s="67" t="n"/>
      <c r="D135" s="67" t="n"/>
      <c r="E135" s="67" t="n"/>
      <c r="F135" s="67" t="n"/>
      <c r="G135" s="67" t="n"/>
      <c r="I135" s="67" t="n"/>
    </row>
    <row r="136">
      <c r="B136" s="67" t="n"/>
      <c r="C136" s="67" t="n"/>
      <c r="D136" s="67" t="n"/>
      <c r="E136" s="67" t="n"/>
      <c r="F136" s="67" t="n"/>
      <c r="G136" s="67" t="n"/>
      <c r="I136" s="67" t="n"/>
    </row>
    <row r="137">
      <c r="B137" s="67" t="n"/>
      <c r="C137" s="67" t="n"/>
      <c r="D137" s="67" t="n"/>
      <c r="E137" s="67" t="n"/>
      <c r="F137" s="67" t="n"/>
      <c r="G137" s="67" t="n"/>
      <c r="I137" s="67" t="n"/>
    </row>
    <row r="138">
      <c r="B138" s="67" t="n"/>
      <c r="C138" s="67" t="n"/>
      <c r="D138" s="67" t="n"/>
      <c r="E138" s="67" t="n"/>
      <c r="F138" s="67" t="n"/>
      <c r="G138" s="67" t="n"/>
      <c r="I138" s="67" t="n"/>
    </row>
    <row r="139">
      <c r="B139" s="67" t="n"/>
      <c r="C139" s="67" t="n"/>
      <c r="D139" s="67" t="n"/>
      <c r="E139" s="67" t="n"/>
      <c r="F139" s="67" t="n"/>
      <c r="G139" s="67" t="n"/>
      <c r="I139" s="67" t="n"/>
    </row>
    <row r="140">
      <c r="B140" s="67" t="n"/>
      <c r="C140" s="67" t="n"/>
      <c r="D140" s="67" t="n"/>
      <c r="E140" s="67" t="n"/>
      <c r="F140" s="67" t="n"/>
      <c r="G140" s="67" t="n"/>
      <c r="I140" s="67" t="n"/>
    </row>
    <row r="141">
      <c r="B141" s="67" t="n"/>
      <c r="C141" s="67" t="n"/>
      <c r="D141" s="67" t="n"/>
      <c r="E141" s="67" t="n"/>
      <c r="F141" s="67" t="n"/>
      <c r="G141" s="67" t="n"/>
      <c r="I141" s="67" t="n"/>
    </row>
    <row r="142">
      <c r="B142" s="67" t="n"/>
      <c r="C142" s="67" t="n"/>
      <c r="D142" s="67" t="n"/>
      <c r="E142" s="67" t="n"/>
      <c r="F142" s="67" t="n"/>
      <c r="G142" s="67" t="n"/>
      <c r="I142" s="67" t="n"/>
    </row>
    <row r="143">
      <c r="B143" s="67" t="n"/>
      <c r="C143" s="67" t="n"/>
      <c r="D143" s="67" t="n"/>
      <c r="E143" s="67" t="n"/>
      <c r="F143" s="67" t="n"/>
      <c r="G143" s="67" t="n"/>
      <c r="I143" s="67" t="n"/>
    </row>
    <row r="144">
      <c r="B144" s="67" t="n"/>
      <c r="C144" s="67" t="n"/>
      <c r="D144" s="67" t="n"/>
      <c r="E144" s="67" t="n"/>
      <c r="F144" s="67" t="n"/>
      <c r="G144" s="67" t="n"/>
      <c r="I144" s="67" t="n"/>
    </row>
    <row r="145">
      <c r="B145" s="67" t="n"/>
      <c r="C145" s="67" t="n"/>
      <c r="D145" s="67" t="n"/>
      <c r="E145" s="67" t="n"/>
      <c r="F145" s="67" t="n"/>
      <c r="G145" s="67" t="n"/>
      <c r="I145" s="67" t="n"/>
    </row>
    <row r="146">
      <c r="B146" s="67" t="n"/>
      <c r="C146" s="67" t="n"/>
      <c r="D146" s="67" t="n"/>
      <c r="E146" s="67" t="n"/>
      <c r="F146" s="67" t="n"/>
      <c r="G146" s="67" t="n"/>
      <c r="I146" s="67" t="n"/>
    </row>
    <row r="147">
      <c r="B147" s="67" t="n"/>
      <c r="C147" s="67" t="n"/>
      <c r="D147" s="67" t="n"/>
      <c r="E147" s="67" t="n"/>
      <c r="F147" s="67" t="n"/>
      <c r="G147" s="67" t="n"/>
      <c r="I147" s="67" t="n"/>
    </row>
    <row r="148">
      <c r="B148" s="67" t="n"/>
      <c r="C148" s="67" t="n"/>
      <c r="D148" s="67" t="n"/>
      <c r="E148" s="67" t="n"/>
      <c r="F148" s="67" t="n"/>
      <c r="G148" s="67" t="n"/>
      <c r="I148" s="67" t="n"/>
    </row>
    <row r="149">
      <c r="B149" s="67" t="n"/>
      <c r="C149" s="67" t="n"/>
      <c r="D149" s="67" t="n"/>
      <c r="E149" s="67" t="n"/>
      <c r="F149" s="67" t="n"/>
      <c r="G149" s="67" t="n"/>
      <c r="I149" s="67" t="n"/>
    </row>
    <row r="150">
      <c r="B150" s="67" t="n"/>
      <c r="C150" s="67" t="n"/>
      <c r="D150" s="67" t="n"/>
      <c r="E150" s="67" t="n"/>
      <c r="F150" s="67" t="n"/>
      <c r="G150" s="67" t="n"/>
      <c r="I150" s="67" t="n"/>
    </row>
    <row r="151">
      <c r="B151" s="67" t="n"/>
      <c r="C151" s="67" t="n"/>
      <c r="D151" s="67" t="n"/>
      <c r="E151" s="67" t="n"/>
      <c r="F151" s="67" t="n"/>
      <c r="G151" s="67" t="n"/>
      <c r="I151" s="67" t="n"/>
    </row>
    <row r="152">
      <c r="B152" s="67" t="n"/>
      <c r="C152" s="67" t="n"/>
      <c r="D152" s="67" t="n"/>
      <c r="E152" s="67" t="n"/>
      <c r="F152" s="67" t="n"/>
      <c r="G152" s="67" t="n"/>
      <c r="I152" s="67" t="n"/>
    </row>
    <row r="153">
      <c r="B153" s="67" t="n"/>
      <c r="C153" s="67" t="n"/>
      <c r="D153" s="67" t="n"/>
      <c r="E153" s="67" t="n"/>
      <c r="F153" s="67" t="n"/>
      <c r="G153" s="67" t="n"/>
      <c r="I153" s="67" t="n"/>
    </row>
    <row r="154">
      <c r="B154" s="67" t="n"/>
      <c r="C154" s="67" t="n"/>
      <c r="D154" s="67" t="n"/>
      <c r="E154" s="67" t="n"/>
      <c r="F154" s="67" t="n"/>
      <c r="G154" s="67" t="n"/>
      <c r="I154" s="67" t="n"/>
    </row>
    <row r="155">
      <c r="B155" s="67" t="n"/>
      <c r="C155" s="67" t="n"/>
      <c r="D155" s="67" t="n"/>
      <c r="E155" s="67" t="n"/>
      <c r="F155" s="67" t="n"/>
      <c r="G155" s="67" t="n"/>
      <c r="I155" s="67" t="n"/>
    </row>
    <row r="156">
      <c r="B156" s="67" t="n"/>
      <c r="C156" s="67" t="n"/>
      <c r="D156" s="67" t="n"/>
      <c r="E156" s="67" t="n"/>
      <c r="F156" s="67" t="n"/>
      <c r="G156" s="67" t="n"/>
      <c r="I156" s="67" t="n"/>
    </row>
    <row r="157">
      <c r="B157" s="67" t="n"/>
      <c r="C157" s="67" t="n"/>
      <c r="D157" s="67" t="n"/>
      <c r="E157" s="67" t="n"/>
      <c r="F157" s="67" t="n"/>
      <c r="G157" s="67" t="n"/>
      <c r="I157" s="67" t="n"/>
    </row>
    <row r="158">
      <c r="B158" s="67" t="n"/>
      <c r="C158" s="67" t="n"/>
      <c r="D158" s="67" t="n"/>
      <c r="E158" s="67" t="n"/>
      <c r="F158" s="67" t="n"/>
      <c r="G158" s="67" t="n"/>
      <c r="I158" s="67" t="n"/>
    </row>
    <row r="159">
      <c r="B159" s="67" t="n"/>
      <c r="C159" s="67" t="n"/>
      <c r="D159" s="67" t="n"/>
      <c r="E159" s="67" t="n"/>
      <c r="F159" s="67" t="n"/>
      <c r="G159" s="67" t="n"/>
      <c r="I159" s="67" t="n"/>
    </row>
    <row r="160">
      <c r="B160" s="67" t="n"/>
      <c r="C160" s="67" t="n"/>
      <c r="D160" s="67" t="n"/>
      <c r="E160" s="67" t="n"/>
      <c r="F160" s="67" t="n"/>
      <c r="G160" s="67" t="n"/>
      <c r="I160" s="67" t="n"/>
    </row>
    <row r="161">
      <c r="B161" s="67" t="n"/>
      <c r="C161" s="67" t="n"/>
      <c r="D161" s="67" t="n"/>
      <c r="E161" s="67" t="n"/>
      <c r="F161" s="67" t="n"/>
      <c r="G161" s="67" t="n"/>
      <c r="I161" s="67" t="n"/>
    </row>
    <row r="162">
      <c r="B162" s="67" t="n"/>
      <c r="C162" s="67" t="n"/>
      <c r="D162" s="67" t="n"/>
      <c r="E162" s="67" t="n"/>
      <c r="F162" s="67" t="n"/>
      <c r="G162" s="67" t="n"/>
      <c r="I162" s="67" t="n"/>
    </row>
    <row r="163">
      <c r="B163" s="67" t="n"/>
      <c r="C163" s="67" t="n"/>
      <c r="D163" s="67" t="n"/>
      <c r="E163" s="67" t="n"/>
      <c r="F163" s="67" t="n"/>
      <c r="G163" s="67" t="n"/>
      <c r="I163" s="67" t="n"/>
    </row>
    <row r="164">
      <c r="B164" s="67" t="n"/>
      <c r="C164" s="67" t="n"/>
      <c r="D164" s="67" t="n"/>
      <c r="E164" s="67" t="n"/>
      <c r="F164" s="67" t="n"/>
      <c r="G164" s="67" t="n"/>
      <c r="I164" s="67" t="n"/>
    </row>
    <row r="165">
      <c r="B165" s="67" t="n"/>
      <c r="C165" s="67" t="n"/>
      <c r="D165" s="67" t="n"/>
      <c r="E165" s="67" t="n"/>
      <c r="F165" s="67" t="n"/>
      <c r="G165" s="67" t="n"/>
      <c r="I165" s="67" t="n"/>
    </row>
    <row r="166">
      <c r="B166" s="67" t="n"/>
      <c r="C166" s="67" t="n"/>
      <c r="D166" s="67" t="n"/>
      <c r="E166" s="67" t="n"/>
      <c r="F166" s="67" t="n"/>
      <c r="G166" s="67" t="n"/>
      <c r="I166" s="67" t="n"/>
    </row>
    <row r="167">
      <c r="B167" s="67" t="n"/>
      <c r="C167" s="67" t="n"/>
      <c r="D167" s="67" t="n"/>
      <c r="E167" s="67" t="n"/>
      <c r="F167" s="67" t="n"/>
      <c r="G167" s="67" t="n"/>
      <c r="I167" s="67" t="n"/>
    </row>
    <row r="168">
      <c r="B168" s="67" t="n"/>
      <c r="C168" s="67" t="n"/>
      <c r="D168" s="67" t="n"/>
      <c r="E168" s="67" t="n"/>
      <c r="F168" s="67" t="n"/>
      <c r="G168" s="67" t="n"/>
      <c r="I168" s="67" t="n"/>
    </row>
    <row r="169">
      <c r="B169" s="67" t="n"/>
      <c r="C169" s="67" t="n"/>
      <c r="D169" s="67" t="n"/>
      <c r="E169" s="67" t="n"/>
      <c r="F169" s="67" t="n"/>
      <c r="G169" s="67" t="n"/>
      <c r="I169" s="67" t="n"/>
    </row>
    <row r="170">
      <c r="B170" s="67" t="n"/>
      <c r="C170" s="67" t="n"/>
      <c r="D170" s="67" t="n"/>
      <c r="E170" s="67" t="n"/>
      <c r="F170" s="67" t="n"/>
      <c r="G170" s="67" t="n"/>
      <c r="I170" s="67" t="n"/>
    </row>
    <row r="171">
      <c r="B171" s="67" t="n"/>
      <c r="C171" s="67" t="n"/>
      <c r="D171" s="67" t="n"/>
      <c r="E171" s="67" t="n"/>
      <c r="F171" s="67" t="n"/>
      <c r="G171" s="67" t="n"/>
      <c r="I171" s="67" t="n"/>
    </row>
    <row r="172">
      <c r="B172" s="67" t="n"/>
      <c r="C172" s="67" t="n"/>
      <c r="D172" s="67" t="n"/>
      <c r="E172" s="67" t="n"/>
      <c r="F172" s="67" t="n"/>
      <c r="G172" s="67" t="n"/>
      <c r="I172" s="67" t="n"/>
    </row>
    <row r="173">
      <c r="B173" s="67" t="n"/>
      <c r="C173" s="67" t="n"/>
      <c r="D173" s="67" t="n"/>
      <c r="E173" s="67" t="n"/>
      <c r="F173" s="67" t="n"/>
      <c r="G173" s="67" t="n"/>
      <c r="I173" s="67" t="n"/>
    </row>
    <row r="174">
      <c r="B174" s="67" t="n"/>
      <c r="C174" s="67" t="n"/>
      <c r="D174" s="67" t="n"/>
      <c r="E174" s="67" t="n"/>
      <c r="F174" s="67" t="n"/>
      <c r="G174" s="67" t="n"/>
      <c r="I174" s="67" t="n"/>
    </row>
    <row r="175">
      <c r="B175" s="67" t="n"/>
      <c r="C175" s="67" t="n"/>
      <c r="D175" s="67" t="n"/>
      <c r="E175" s="67" t="n"/>
      <c r="F175" s="67" t="n"/>
      <c r="G175" s="67" t="n"/>
      <c r="I175" s="67" t="n"/>
    </row>
    <row r="176">
      <c r="B176" s="67" t="n"/>
      <c r="C176" s="67" t="n"/>
      <c r="D176" s="67" t="n"/>
      <c r="E176" s="67" t="n"/>
      <c r="F176" s="67" t="n"/>
      <c r="G176" s="67" t="n"/>
      <c r="I176" s="67" t="n"/>
    </row>
    <row r="177">
      <c r="B177" s="67" t="n"/>
      <c r="C177" s="67" t="n"/>
      <c r="D177" s="67" t="n"/>
      <c r="E177" s="67" t="n"/>
      <c r="F177" s="67" t="n"/>
      <c r="G177" s="67" t="n"/>
      <c r="I177" s="67" t="n"/>
    </row>
    <row r="178">
      <c r="B178" s="67" t="n"/>
      <c r="C178" s="67" t="n"/>
      <c r="D178" s="67" t="n"/>
      <c r="E178" s="67" t="n"/>
      <c r="F178" s="67" t="n"/>
      <c r="G178" s="67" t="n"/>
      <c r="I178" s="67" t="n"/>
    </row>
    <row r="179">
      <c r="B179" s="67" t="n"/>
      <c r="C179" s="67" t="n"/>
      <c r="D179" s="67" t="n"/>
      <c r="E179" s="67" t="n"/>
      <c r="F179" s="67" t="n"/>
      <c r="G179" s="67" t="n"/>
      <c r="I179" s="67" t="n"/>
    </row>
    <row r="180">
      <c r="B180" s="67" t="n"/>
      <c r="C180" s="67" t="n"/>
      <c r="D180" s="67" t="n"/>
      <c r="E180" s="67" t="n"/>
      <c r="F180" s="67" t="n"/>
      <c r="G180" s="67" t="n"/>
      <c r="I180" s="67" t="n"/>
    </row>
    <row r="181">
      <c r="B181" s="67" t="n"/>
      <c r="C181" s="67" t="n"/>
      <c r="D181" s="67" t="n"/>
      <c r="E181" s="67" t="n"/>
      <c r="F181" s="67" t="n"/>
      <c r="G181" s="67" t="n"/>
      <c r="I181" s="67" t="n"/>
    </row>
    <row r="182">
      <c r="B182" s="67" t="n"/>
      <c r="C182" s="67" t="n"/>
      <c r="D182" s="67" t="n"/>
      <c r="E182" s="67" t="n"/>
      <c r="F182" s="67" t="n"/>
      <c r="G182" s="67" t="n"/>
      <c r="I182" s="67" t="n"/>
    </row>
    <row r="183">
      <c r="B183" s="67" t="n"/>
      <c r="C183" s="67" t="n"/>
      <c r="D183" s="67" t="n"/>
      <c r="E183" s="67" t="n"/>
      <c r="F183" s="67" t="n"/>
      <c r="G183" s="67" t="n"/>
      <c r="I183" s="67" t="n"/>
    </row>
    <row r="184">
      <c r="B184" s="67" t="n"/>
      <c r="C184" s="67" t="n"/>
      <c r="D184" s="67" t="n"/>
      <c r="E184" s="67" t="n"/>
      <c r="F184" s="67" t="n"/>
      <c r="G184" s="67" t="n"/>
      <c r="I184" s="67" t="n"/>
    </row>
    <row r="185">
      <c r="B185" s="67" t="n"/>
      <c r="C185" s="67" t="n"/>
      <c r="D185" s="67" t="n"/>
      <c r="E185" s="67" t="n"/>
      <c r="F185" s="67" t="n"/>
      <c r="G185" s="67" t="n"/>
      <c r="I185" s="67" t="n"/>
    </row>
    <row r="186">
      <c r="B186" s="67" t="n"/>
      <c r="C186" s="67" t="n"/>
      <c r="D186" s="67" t="n"/>
      <c r="E186" s="67" t="n"/>
      <c r="F186" s="67" t="n"/>
      <c r="G186" s="67" t="n"/>
      <c r="I186" s="67" t="n"/>
    </row>
    <row r="187">
      <c r="B187" s="67" t="n"/>
      <c r="C187" s="67" t="n"/>
      <c r="D187" s="67" t="n"/>
      <c r="E187" s="67" t="n"/>
      <c r="F187" s="67" t="n"/>
      <c r="G187" s="67" t="n"/>
      <c r="I187" s="67" t="n"/>
    </row>
    <row r="188">
      <c r="B188" s="67" t="n"/>
      <c r="C188" s="67" t="n"/>
      <c r="D188" s="67" t="n"/>
      <c r="E188" s="67" t="n"/>
      <c r="F188" s="67" t="n"/>
      <c r="G188" s="67" t="n"/>
      <c r="I188" s="67" t="n"/>
    </row>
    <row r="189">
      <c r="B189" s="67" t="n"/>
      <c r="C189" s="67" t="n"/>
      <c r="D189" s="67" t="n"/>
      <c r="E189" s="67" t="n"/>
      <c r="F189" s="67" t="n"/>
      <c r="G189" s="67" t="n"/>
      <c r="I189" s="67" t="n"/>
    </row>
    <row r="190">
      <c r="B190" s="67" t="n"/>
      <c r="C190" s="67" t="n"/>
      <c r="D190" s="67" t="n"/>
      <c r="E190" s="67" t="n"/>
      <c r="F190" s="67" t="n"/>
      <c r="G190" s="67" t="n"/>
      <c r="I190" s="67" t="n"/>
    </row>
    <row r="191">
      <c r="B191" s="67" t="n"/>
      <c r="C191" s="67" t="n"/>
      <c r="D191" s="67" t="n"/>
      <c r="E191" s="67" t="n"/>
      <c r="F191" s="67" t="n"/>
      <c r="G191" s="67" t="n"/>
      <c r="I191" s="67" t="n"/>
    </row>
    <row r="192">
      <c r="B192" s="67" t="n"/>
      <c r="C192" s="67" t="n"/>
      <c r="D192" s="67" t="n"/>
      <c r="E192" s="67" t="n"/>
      <c r="F192" s="67" t="n"/>
      <c r="G192" s="67" t="n"/>
      <c r="I192" s="67" t="n"/>
    </row>
    <row r="193">
      <c r="B193" s="67" t="n"/>
      <c r="C193" s="67" t="n"/>
      <c r="D193" s="67" t="n"/>
      <c r="E193" s="67" t="n"/>
      <c r="F193" s="67" t="n"/>
      <c r="G193" s="67" t="n"/>
      <c r="I193" s="67" t="n"/>
    </row>
    <row r="194">
      <c r="B194" s="67" t="n"/>
      <c r="C194" s="67" t="n"/>
      <c r="D194" s="67" t="n"/>
      <c r="E194" s="67" t="n"/>
      <c r="F194" s="67" t="n"/>
      <c r="G194" s="67" t="n"/>
      <c r="I194" s="67" t="n"/>
    </row>
    <row r="195">
      <c r="B195" s="67" t="n"/>
      <c r="C195" s="67" t="n"/>
      <c r="D195" s="67" t="n"/>
      <c r="E195" s="67" t="n"/>
      <c r="F195" s="67" t="n"/>
      <c r="G195" s="67" t="n"/>
      <c r="I195" s="67" t="n"/>
    </row>
    <row r="196">
      <c r="B196" s="67" t="n"/>
      <c r="C196" s="67" t="n"/>
      <c r="D196" s="67" t="n"/>
      <c r="E196" s="67" t="n"/>
      <c r="F196" s="67" t="n"/>
      <c r="G196" s="67" t="n"/>
      <c r="I196" s="67" t="n"/>
    </row>
    <row r="197">
      <c r="B197" s="67" t="n"/>
      <c r="C197" s="67" t="n"/>
      <c r="D197" s="67" t="n"/>
      <c r="E197" s="67" t="n"/>
      <c r="F197" s="67" t="n"/>
      <c r="G197" s="67" t="n"/>
      <c r="I197" s="67" t="n"/>
    </row>
    <row r="198">
      <c r="B198" s="67" t="n"/>
      <c r="C198" s="67" t="n"/>
      <c r="D198" s="67" t="n"/>
      <c r="E198" s="67" t="n"/>
      <c r="F198" s="67" t="n"/>
      <c r="G198" s="67" t="n"/>
      <c r="I198" s="67" t="n"/>
    </row>
    <row r="199">
      <c r="B199" s="67" t="n"/>
      <c r="C199" s="67" t="n"/>
      <c r="D199" s="67" t="n"/>
      <c r="E199" s="67" t="n"/>
      <c r="F199" s="67" t="n"/>
      <c r="G199" s="67" t="n"/>
      <c r="I199" s="67" t="n"/>
    </row>
    <row r="200">
      <c r="B200" s="67" t="n"/>
      <c r="C200" s="67" t="n"/>
      <c r="D200" s="67" t="n"/>
      <c r="E200" s="67" t="n"/>
      <c r="F200" s="67" t="n"/>
      <c r="G200" s="67" t="n"/>
      <c r="I200" s="67" t="n"/>
    </row>
    <row r="201">
      <c r="B201" s="67" t="n"/>
      <c r="C201" s="67" t="n"/>
      <c r="D201" s="67" t="n"/>
      <c r="E201" s="67" t="n"/>
      <c r="F201" s="67" t="n"/>
      <c r="G201" s="67" t="n"/>
      <c r="I201" s="67" t="n"/>
    </row>
    <row r="202">
      <c r="B202" s="67" t="n"/>
      <c r="C202" s="67" t="n"/>
      <c r="D202" s="67" t="n"/>
      <c r="E202" s="67" t="n"/>
      <c r="F202" s="67" t="n"/>
      <c r="G202" s="67" t="n"/>
      <c r="I202" s="67" t="n"/>
    </row>
    <row r="203">
      <c r="B203" s="67" t="n"/>
      <c r="C203" s="67" t="n"/>
      <c r="D203" s="67" t="n"/>
      <c r="E203" s="67" t="n"/>
      <c r="F203" s="67" t="n"/>
      <c r="G203" s="67" t="n"/>
      <c r="I203" s="67" t="n"/>
    </row>
    <row r="204">
      <c r="B204" s="67" t="n"/>
      <c r="C204" s="67" t="n"/>
      <c r="D204" s="67" t="n"/>
      <c r="E204" s="67" t="n"/>
      <c r="F204" s="67" t="n"/>
      <c r="G204" s="67" t="n"/>
      <c r="I204" s="67" t="n"/>
    </row>
    <row r="205">
      <c r="B205" s="67" t="n"/>
      <c r="C205" s="67" t="n"/>
      <c r="D205" s="67" t="n"/>
      <c r="E205" s="67" t="n"/>
      <c r="F205" s="67" t="n"/>
      <c r="G205" s="67" t="n"/>
      <c r="I205" s="67" t="n"/>
    </row>
    <row r="206">
      <c r="B206" s="67" t="n"/>
      <c r="C206" s="67" t="n"/>
      <c r="D206" s="67" t="n"/>
      <c r="E206" s="67" t="n"/>
      <c r="F206" s="67" t="n"/>
      <c r="G206" s="67" t="n"/>
      <c r="I206" s="67" t="n"/>
    </row>
    <row r="207">
      <c r="B207" s="67" t="n"/>
      <c r="C207" s="67" t="n"/>
      <c r="D207" s="67" t="n"/>
      <c r="E207" s="67" t="n"/>
      <c r="F207" s="67" t="n"/>
      <c r="G207" s="67" t="n"/>
      <c r="I207" s="67" t="n"/>
    </row>
    <row r="208">
      <c r="B208" s="67" t="n"/>
      <c r="C208" s="67" t="n"/>
      <c r="D208" s="67" t="n"/>
      <c r="E208" s="67" t="n"/>
      <c r="F208" s="67" t="n"/>
      <c r="G208" s="67" t="n"/>
      <c r="I208" s="67" t="n"/>
    </row>
    <row r="209">
      <c r="B209" s="67" t="n"/>
      <c r="C209" s="67" t="n"/>
      <c r="D209" s="67" t="n"/>
      <c r="E209" s="67" t="n"/>
      <c r="F209" s="67" t="n"/>
      <c r="G209" s="67" t="n"/>
      <c r="I209" s="67" t="n"/>
    </row>
    <row r="210">
      <c r="B210" s="67" t="n"/>
      <c r="C210" s="67" t="n"/>
      <c r="D210" s="67" t="n"/>
      <c r="E210" s="67" t="n"/>
      <c r="F210" s="67" t="n"/>
      <c r="G210" s="67" t="n"/>
      <c r="I210" s="67" t="n"/>
    </row>
    <row r="211">
      <c r="B211" s="67" t="n"/>
      <c r="C211" s="67" t="n"/>
      <c r="D211" s="67" t="n"/>
      <c r="E211" s="67" t="n"/>
      <c r="F211" s="67" t="n"/>
      <c r="G211" s="67" t="n"/>
      <c r="I211" s="67" t="n"/>
    </row>
    <row r="212">
      <c r="B212" s="67" t="n"/>
      <c r="C212" s="67" t="n"/>
      <c r="D212" s="67" t="n"/>
      <c r="E212" s="67" t="n"/>
      <c r="F212" s="67" t="n"/>
      <c r="G212" s="67" t="n"/>
      <c r="I212" s="67" t="n"/>
    </row>
    <row r="213">
      <c r="B213" s="67" t="n"/>
      <c r="C213" s="67" t="n"/>
      <c r="D213" s="67" t="n"/>
      <c r="E213" s="67" t="n"/>
      <c r="F213" s="67" t="n"/>
      <c r="G213" s="67" t="n"/>
      <c r="I213" s="67" t="n"/>
    </row>
    <row r="214">
      <c r="B214" s="67" t="n"/>
      <c r="C214" s="67" t="n"/>
      <c r="D214" s="67" t="n"/>
      <c r="E214" s="67" t="n"/>
      <c r="F214" s="67" t="n"/>
      <c r="G214" s="67" t="n"/>
      <c r="I214" s="67" t="n"/>
    </row>
    <row r="215">
      <c r="B215" s="67" t="n"/>
      <c r="C215" s="67" t="n"/>
      <c r="D215" s="67" t="n"/>
      <c r="E215" s="67" t="n"/>
      <c r="F215" s="67" t="n"/>
      <c r="G215" s="67" t="n"/>
      <c r="I215" s="67" t="n"/>
    </row>
    <row r="216">
      <c r="B216" s="67" t="n"/>
      <c r="C216" s="67" t="n"/>
      <c r="D216" s="67" t="n"/>
      <c r="E216" s="67" t="n"/>
      <c r="F216" s="67" t="n"/>
      <c r="G216" s="67" t="n"/>
      <c r="I216" s="67" t="n"/>
    </row>
    <row r="217">
      <c r="B217" s="67" t="n"/>
      <c r="C217" s="67" t="n"/>
      <c r="D217" s="67" t="n"/>
      <c r="E217" s="67" t="n"/>
      <c r="F217" s="67" t="n"/>
      <c r="G217" s="67" t="n"/>
      <c r="I217" s="67" t="n"/>
    </row>
    <row r="218">
      <c r="B218" s="67" t="n"/>
      <c r="C218" s="67" t="n"/>
      <c r="D218" s="67" t="n"/>
      <c r="E218" s="67" t="n"/>
      <c r="F218" s="67" t="n"/>
      <c r="G218" s="67" t="n"/>
      <c r="I218" s="67" t="n"/>
    </row>
    <row r="219">
      <c r="B219" s="67" t="n"/>
      <c r="C219" s="67" t="n"/>
      <c r="D219" s="67" t="n"/>
      <c r="E219" s="67" t="n"/>
      <c r="F219" s="67" t="n"/>
      <c r="G219" s="67" t="n"/>
      <c r="I219" s="67" t="n"/>
    </row>
    <row r="220">
      <c r="B220" s="67" t="n"/>
      <c r="C220" s="67" t="n"/>
      <c r="D220" s="67" t="n"/>
      <c r="E220" s="67" t="n"/>
      <c r="F220" s="67" t="n"/>
      <c r="G220" s="67" t="n"/>
      <c r="I220" s="67"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20:B220">
    <cfRule type="expression" priority="2" dxfId="6">
      <formula>AND(LEN($B20&amp;$C20&amp;$D20&amp;$E20&amp;$F20&amp;$G20&amp;$H20&amp;$I20)&gt;0,B20="")</formula>
    </cfRule>
  </conditionalFormatting>
  <conditionalFormatting sqref="C20:C220">
    <cfRule type="expression" priority="3" dxfId="6">
      <formula>AND(LEN($B20&amp;$C20&amp;$D20&amp;$E20&amp;$F20&amp;$G20&amp;$H20&amp;$I20)&gt;0,C20="")</formula>
    </cfRule>
  </conditionalFormatting>
  <conditionalFormatting sqref="D20:D220">
    <cfRule type="expression" priority="4" dxfId="6">
      <formula>AND(LEN($B20&amp;$C20&amp;$D20&amp;$E20&amp;$F20&amp;$G20&amp;$H20&amp;$I20)&gt;0,D20="")</formula>
    </cfRule>
  </conditionalFormatting>
  <conditionalFormatting sqref="G20:G220">
    <cfRule type="expression" priority="5" dxfId="6">
      <formula>AND(LEN($B20&amp;$C20&amp;$D20&amp;$E20&amp;$F20&amp;$G20&amp;$H20&amp;$I20)&gt;0,G20="")</formula>
    </cfRule>
  </conditionalFormatting>
  <conditionalFormatting sqref="H20:H220">
    <cfRule type="expression" priority="6" dxfId="6">
      <formula>AND(LEN($B20&amp;$C20&amp;$D20&amp;$E20&amp;$F20&amp;$G20&amp;$H20&amp;$I20)&gt;0,H20="")</formula>
    </cfRule>
  </conditionalFormatting>
  <conditionalFormatting sqref="I20:I220">
    <cfRule type="expression" priority="7" dxfId="6">
      <formula>AND(LEN($B20&amp;$C20&amp;$D20&amp;$E20&amp;$F20&amp;$G20&amp;$H20&amp;$I20)&gt;0,I20="")</formula>
    </cfRule>
  </conditionalFormatting>
  <dataValidations count="1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I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record_type" error="At most 20 characters." promptTitle="record_type" prompt="Yes. Kind of the archive record the document belongs to Allowed: Same list as H01 record_type" type="textLength" operator="lessThanOrEqual">
      <formula1>20</formula1>
    </dataValidation>
    <dataValidation sqref="C20:C220" showDropDown="0" showInputMessage="1" showErrorMessage="1" allowBlank="1" errorTitle="legacy_key" error="At most 80 characters." promptTitle="legacy_key" prompt="Yes. Key of the archive record (or legacy_client_no for KYC documents) Allowed: legacy_key of H01" type="textLength" operator="lessThanOrEqual">
      <formula1>80</formula1>
    </dataValidation>
    <dataValidation sqref="D20:D220" showDropDown="0" showInputMessage="1" showErrorMessage="1" allowBlank="1" errorTitle="document_type" error="At most 40 characters." promptTitle="document_type" prompt="Yes. Kind of document Allowed: The legacy code; mapped by the code map DOCUMENT_TYPE (sheet Code maps)" type="textLength" operator="lessThanOrEqual">
      <formula1>40</formula1>
    </dataValidation>
    <dataValidation sqref="E20:E220" showDropDown="0" showInputMessage="1" showErrorMessage="1" allowBlank="1" errorTitle="document_no" error="At most 60 characters." promptTitle="document_no" prompt="No. Document number (ID number, policy number) Allowed: Free entry, up to 60 characters" type="textLength" operator="lessThanOrEqual">
      <formula1>60</formula1>
    </dataValidation>
    <dataValidation sqref="F20:F220" showDropDown="0" showInputMessage="1" showErrorMessage="0" allowBlank="1" promptTitle="document_date" prompt="No. Date of the document"/>
    <dataValidation sqref="G20:G220" showDropDown="0" showInputMessage="1" showErrorMessage="1" allowBlank="1" errorTitle="file_name" error="At most 255 characters." promptTitle="file_name" prompt="Yes. File name in the transfer folder Allowed: Free entry, up to 255 characters" type="textLength" operator="lessThanOrEqual">
      <formula1>255</formula1>
    </dataValidation>
    <dataValidation sqref="H20:H220" showDropDown="0" showInputMessage="1" showErrorMessage="1" allowBlank="1" errorTitle="file_size_bytes" error="Enter a whole number." promptTitle="file_size_bytes" prompt="Yes. File size Allowed: A whole number" type="whole" operator="greaterThanOrEqual">
      <formula1>-1E+15</formula1>
    </dataValidation>
    <dataValidation sqref="I20:I220" showDropDown="0" showInputMessage="1" showErrorMessage="1" allowBlank="1" errorTitle="sha256" error="At most 64 characters." promptTitle="sha256" prompt="Yes. SHA-256 of the file, 64 hexadecimal characters Allowed: Free entry, up to 64 characters" type="textLength" operator="lessThanOrEqual">
      <formula1>64</formula1>
    </dataValidation>
  </dataValidations>
  <hyperlinks>
    <hyperlink ref="A2" location="'Load templates'!A1"/>
    <hyperlink ref="I2" location="'Comments log'!A1"/>
    <hyperlink ref="D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7.xml><?xml version="1.0" encoding="utf-8"?>
<worksheet xmlns="http://schemas.openxmlformats.org/spreadsheetml/2006/main">
  <sheetPr>
    <tabColor rgb="00004EA8"/>
    <outlinePr summaryBelow="0" summaryRight="1"/>
    <pageSetUpPr fitToPage="1"/>
  </sheetPr>
  <dimension ref="A1:T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22" customWidth="1" min="3" max="3"/>
    <col width="12" customWidth="1" min="4" max="4"/>
    <col width="24" customWidth="1" min="5" max="5"/>
    <col width="21" customWidth="1" min="6" max="6"/>
    <col width="20" customWidth="1" min="7" max="7"/>
    <col width="17" customWidth="1" min="8" max="8"/>
    <col width="16" customWidth="1" min="9" max="9"/>
    <col width="13" customWidth="1" min="10" max="10"/>
    <col width="24" customWidth="1" min="11" max="11"/>
    <col width="16" customWidth="1" min="12" max="12"/>
    <col width="19.54545454545454" customWidth="1" min="13" max="13"/>
    <col width="19.54545454545454" customWidth="1" min="14" max="14"/>
    <col width="19.54545454545454" customWidth="1" min="15" max="15"/>
    <col width="19.54545454545454" customWidth="1" min="16" max="16"/>
    <col width="14.54545454545454" customWidth="1" min="17" max="17"/>
    <col width="40" customWidth="1" min="18" max="18"/>
    <col width="16" customWidth="1" min="19" max="19"/>
    <col width="16" customWidth="1" min="20" max="20"/>
  </cols>
  <sheetData>
    <row r="1" ht="26" customHeight="1">
      <c r="A1" s="44" t="inlineStr">
        <is>
          <t>G03 FY2027 true-up - legacy adjustment journal lines after the freeze</t>
        </is>
      </c>
      <c r="T1" s="45" t="inlineStr">
        <is>
          <t>Step 28 of 29</t>
        </is>
      </c>
    </row>
    <row r="2">
      <c r="A2" s="46" t="inlineStr">
        <is>
          <t>← Back to Load templates</t>
        </is>
      </c>
      <c r="B2" s="47" t="inlineStr">
        <is>
          <t>Step 28 of 29. Fill in one row per record below the column headers; the guide above each column says what to enter.</t>
        </is>
      </c>
      <c r="T2" s="48" t="inlineStr">
        <is>
          <t>Ask a question →</t>
        </is>
      </c>
    </row>
    <row r="3" outlineLevel="1" ht="15.5" customHeight="1">
      <c r="A3" s="49" t="inlineStr">
        <is>
          <t>Purpose</t>
        </is>
      </c>
      <c r="B3" s="50" t="inlineStr">
        <is>
          <t>One row per record of FY2027 opening-balance true-ups (legacy adjustment journals after the freeze and their open-item detail) as extracted from EBIX GL, ISYS GL; FY2027 adjustment register of Comptrollership. Key legacy_journal_no, line_no. Sent as the file G03_template.csv (CSV, header row as below) with its control file (row count, count of distinct keys; amount totals per currency: debit_fc, credit_fc, debit_php, credit_php).</t>
        </is>
      </c>
    </row>
    <row r="4" outlineLevel="1" ht="15.5" customHeight="1">
      <c r="A4" s="49" t="inlineStr">
        <is>
          <t>Provided by</t>
        </is>
      </c>
      <c r="B4" s="50" t="inlineStr">
        <is>
          <t>Comptrollership GL lead (prepares each true-up); approved by Head, Comptrollership; extracted by BDOI IT</t>
        </is>
      </c>
    </row>
    <row r="5" outlineLevel="1" ht="15.5" customHeight="1">
      <c r="A5" s="49" t="inlineStr">
        <is>
          <t>Due</t>
        </is>
      </c>
      <c r="B5" s="51" t="inlineStr">
        <is>
          <t>T+16 (true-up 1); T+92 (final)</t>
        </is>
      </c>
    </row>
    <row r="6" outlineLevel="1" ht="15.5" customHeight="1">
      <c r="A6" s="49" t="inlineStr">
        <is>
          <t>How it is loaded</t>
        </is>
      </c>
      <c r="B6" s="50" t="inlineStr">
        <is>
          <t>Data migration object G03 (Migrate), layout G03 version 1, through the Migration Console; lands in: General ledger journals of type OPENING (reference MIG-TU-&lt;n&gt;); opening adjustments of the legacy open items and unapplied payments</t>
        </is>
      </c>
    </row>
    <row r="7" outlineLevel="1" ht="15.5" customHeight="1">
      <c r="A7" s="49" t="inlineStr">
        <is>
          <t>Source</t>
        </is>
      </c>
      <c r="B7" s="50" t="inlineStr">
        <is>
          <t>EBIX GL, ISYS GL; FY2027 adjustment register of Comptrollership</t>
        </is>
      </c>
    </row>
    <row r="8" outlineLevel="1" ht="26" customHeight="1">
      <c r="A8" s="49" t="inlineStr">
        <is>
          <t>Depends on</t>
        </is>
      </c>
      <c r="B8" s="68" t="inlineStr">
        <is>
          <t>G01 GL opening trial balance →</t>
        </is>
      </c>
    </row>
    <row r="9" ht="26" customHeight="1">
      <c r="A9" s="53" t="inlineStr">
        <is>
          <t>Progress</t>
        </is>
      </c>
      <c r="B9" s="54" t="inlineStr">
        <is>
          <t>Rows entered</t>
        </is>
      </c>
      <c r="C9" s="55">
        <f>SUMPRODUCT(((ROW($B$20:$B$220)&gt;20)+($B$20&lt;&gt;"1")&gt;0)*(LEN($B$20:$B$220&amp;$C$20:$C$220&amp;$D$20:$D$220&amp;$E$20:$E$220&amp;$F$20:$F$220&amp;$G$20:$G$220&amp;$H$20:$H$220&amp;$I$20:$I$220&amp;$J$20:$J$220&amp;$K$20:$K$220&amp;$L$20:$L$220&amp;$M$20:$M$220&amp;$N$20:$N$220&amp;$O$20:$O$220&amp;$P$20:$P$220&amp;$Q$20:$Q$220&amp;$R$20:$R$220&amp;$S$20:$S$220&amp;$T$20:$T$220)&gt;0))</f>
        <v/>
      </c>
      <c r="D9" s="54" t="inlineStr">
        <is>
          <t>Mandatory cells missing</t>
        </is>
      </c>
      <c r="E9" s="55">
        <f>SUMPRODUCT(((ROW($B$20:$B$220)&gt;20)+($B$20&lt;&gt;"1")&gt;0)*(LEN($B$20:$B$220&amp;$C$20:$C$220&amp;$D$20:$D$220&amp;$E$20:$E$220&amp;$F$20:$F$220&amp;$G$20:$G$220&amp;$H$20:$H$220&amp;$I$20:$I$220&amp;$J$20:$J$220&amp;$K$20:$K$220&amp;$L$20:$L$220&amp;$M$20:$M$220&amp;$N$20:$N$220&amp;$O$20:$O$220&amp;$P$20:$P$220&amp;$Q$20:$Q$220&amp;$R$20:$R$220&amp;$S$20:$S$220&amp;$T$20:$T$220)&gt;0)*(($B$20:$B$220="")+($C$20:$C$220="")+($D$20:$D$220="")+($E$20:$E$220="")+($F$20:$F$220="")+($G$20:$G$220="")+($H$20:$H$220="")+($I$20:$I$220="")+($J$20:$J$220="")+($K$20:$K$220="")+($M$20:$M$220="")+($N$20:$N$220="")+($O$20:$O$220="")+($P$20:$P$220="")+($R$20:$R$220="")+($S$20:$S$220="")+($T$20:$T$220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c r="P11" s="23" t="n"/>
      <c r="Q11" s="23" t="n"/>
      <c r="R11" s="23" t="n"/>
      <c r="S11" s="23" t="n"/>
      <c r="T11" s="23" t="n"/>
    </row>
    <row r="12" ht="30" customHeight="1">
      <c r="A12" s="59" t="inlineStr">
        <is>
          <t>BU review</t>
        </is>
      </c>
      <c r="B12" s="60" t="n"/>
      <c r="C12" s="60" t="n"/>
      <c r="D12" s="60" t="n"/>
      <c r="E12" s="60" t="n"/>
      <c r="F12" s="60" t="n"/>
      <c r="G12" s="60" t="n"/>
      <c r="H12" s="60" t="n"/>
      <c r="I12" s="60" t="n"/>
      <c r="J12" s="60" t="n"/>
      <c r="K12" s="60" t="n"/>
      <c r="L12" s="60" t="n"/>
      <c r="M12" s="60" t="n"/>
      <c r="N12" s="60" t="n"/>
      <c r="O12" s="60" t="n"/>
      <c r="P12" s="60" t="n"/>
      <c r="Q12" s="60" t="n"/>
      <c r="R12" s="60" t="n"/>
      <c r="S12" s="60" t="n"/>
      <c r="T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c r="P13" s="60" t="n"/>
      <c r="Q13" s="60" t="n"/>
      <c r="R13" s="60" t="n"/>
      <c r="S13" s="60" t="n"/>
      <c r="T13" s="60" t="n"/>
    </row>
    <row r="14" ht="43" customHeight="1">
      <c r="A14" s="59" t="inlineStr">
        <is>
          <t>Check when loaded</t>
        </is>
      </c>
      <c r="B14" s="61" t="inlineStr">
        <is>
          <t>In the list; one true-up per file</t>
        </is>
      </c>
      <c r="C14" s="61" t="inlineStr">
        <is>
          <t>In the FY2027 adjustment register</t>
        </is>
      </c>
      <c r="D14" s="61" t="inlineStr">
        <is>
          <t>Unique per journal</t>
        </is>
      </c>
      <c r="E14" s="61" t="inlineStr">
        <is>
          <t>From 1-Jan-2027 to 31-Dec-2027</t>
        </is>
      </c>
      <c r="F14" s="61" t="inlineStr">
        <is>
          <t>After the freeze (T-3 22:00)</t>
        </is>
      </c>
      <c r="G14" s="61" t="inlineStr">
        <is>
          <t>In the list</t>
        </is>
      </c>
      <c r="H14" s="61" t="inlineStr">
        <is>
          <t>Exists in the register</t>
        </is>
      </c>
      <c r="I14" s="61" t="inlineStr">
        <is>
          <t>Mapped</t>
        </is>
      </c>
      <c r="J14" s="61" t="inlineStr">
        <is>
          <t>Valid code</t>
        </is>
      </c>
      <c r="K14" s="61" t="inlineStr">
        <is>
          <t>Mapped; a legacy control account needs G03D detail</t>
        </is>
      </c>
      <c r="L14" s="61" t="inlineStr">
        <is>
          <t>Mapped</t>
        </is>
      </c>
      <c r="M14" s="61" t="inlineStr">
        <is>
          <t>0 or more; debit or credit, not both</t>
        </is>
      </c>
      <c r="N14" s="61" t="inlineStr">
        <is>
          <t>0 or more</t>
        </is>
      </c>
      <c r="O14" s="61" t="inlineStr">
        <is>
          <t>0 or more; each journal balances per branch and currency</t>
        </is>
      </c>
      <c r="P14" s="61" t="inlineStr">
        <is>
          <t>0 or more</t>
        </is>
      </c>
      <c r="Q14" s="61" t="inlineStr">
        <is>
          <t>Mandatory when currency is not PHP</t>
        </is>
      </c>
      <c r="R14" s="61" t="inlineStr">
        <is>
          <t>Not blank</t>
        </is>
      </c>
      <c r="S14" s="61" t="inlineStr">
        <is>
          <t>On the Comptrollership access list</t>
        </is>
      </c>
      <c r="T14" s="61" t="inlineStr">
        <is>
          <t>On the access list; not the preparer</t>
        </is>
      </c>
    </row>
    <row r="15" ht="43" customHeight="1">
      <c r="A15" s="59" t="inlineStr">
        <is>
          <t>Mandatory</t>
        </is>
      </c>
      <c r="B15" s="62" t="inlineStr">
        <is>
          <t>Yes</t>
        </is>
      </c>
      <c r="C15" s="62" t="inlineStr">
        <is>
          <t>Yes</t>
        </is>
      </c>
      <c r="D15" s="62" t="inlineStr">
        <is>
          <t>Yes</t>
        </is>
      </c>
      <c r="E15" s="62" t="inlineStr">
        <is>
          <t>Yes</t>
        </is>
      </c>
      <c r="F15" s="62" t="inlineStr">
        <is>
          <t>Yes</t>
        </is>
      </c>
      <c r="G15" s="62" t="inlineStr">
        <is>
          <t>Yes</t>
        </is>
      </c>
      <c r="H15" s="62" t="inlineStr">
        <is>
          <t>Yes</t>
        </is>
      </c>
      <c r="I15" s="62" t="inlineStr">
        <is>
          <t>Yes</t>
        </is>
      </c>
      <c r="J15" s="62" t="inlineStr">
        <is>
          <t>Yes</t>
        </is>
      </c>
      <c r="K15" s="62" t="inlineStr">
        <is>
          <t>Yes</t>
        </is>
      </c>
      <c r="L15" s="61" t="inlineStr">
        <is>
          <t>No</t>
        </is>
      </c>
      <c r="M15" s="62" t="inlineStr">
        <is>
          <t>Yes</t>
        </is>
      </c>
      <c r="N15" s="62" t="inlineStr">
        <is>
          <t>Yes</t>
        </is>
      </c>
      <c r="O15" s="62" t="inlineStr">
        <is>
          <t>Yes</t>
        </is>
      </c>
      <c r="P15" s="62" t="inlineStr">
        <is>
          <t>Yes</t>
        </is>
      </c>
      <c r="Q15" s="61" t="inlineStr">
        <is>
          <t>Conditional: Mandatory when currency is not PHP</t>
        </is>
      </c>
      <c r="R15" s="62" t="inlineStr">
        <is>
          <t>Yes</t>
        </is>
      </c>
      <c r="S15" s="62" t="inlineStr">
        <is>
          <t>Yes</t>
        </is>
      </c>
      <c r="T15" s="62" t="inlineStr">
        <is>
          <t>Yes</t>
        </is>
      </c>
    </row>
    <row r="16" ht="30" customHeight="1">
      <c r="A16" s="59" t="inlineStr">
        <is>
          <t>Format</t>
        </is>
      </c>
      <c r="B16" s="61" t="inlineStr">
        <is>
          <t>Code, up to 2; As listed</t>
        </is>
      </c>
      <c r="C16" s="61" t="inlineStr">
        <is>
          <t>Code, up to 30; As stored in legacy</t>
        </is>
      </c>
      <c r="D16" s="61" t="inlineStr">
        <is>
          <t>Integer, up to 4; Digits</t>
        </is>
      </c>
      <c r="E16" s="61" t="inlineStr">
        <is>
          <t>Date, up to 10; yyyy-MM-dd</t>
        </is>
      </c>
      <c r="F16" s="61" t="inlineStr">
        <is>
          <t>Timestamp, up to 19; yyyy-MM-dd HH:mm:ss</t>
        </is>
      </c>
      <c r="G16" s="61" t="inlineStr">
        <is>
          <t>Code, up to 8; Upper case</t>
        </is>
      </c>
      <c r="H16" s="61" t="inlineStr">
        <is>
          <t>Text, up to 20; As in the register</t>
        </is>
      </c>
      <c r="I16" s="61" t="inlineStr">
        <is>
          <t>Code, up to 20; As stored in legacy</t>
        </is>
      </c>
      <c r="J16" s="61" t="inlineStr">
        <is>
          <t>Code, up to 3; Upper case</t>
        </is>
      </c>
      <c r="K16" s="61" t="inlineStr">
        <is>
          <t>Code, up to 30; As stored in legacy</t>
        </is>
      </c>
      <c r="L16" s="61" t="inlineStr">
        <is>
          <t>Code, up to 20; As stored in legacy</t>
        </is>
      </c>
      <c r="M16" s="61" t="inlineStr">
        <is>
          <t>Amount, up to 19,2; Dot decimal, 2 decimals</t>
        </is>
      </c>
      <c r="N16" s="61" t="inlineStr">
        <is>
          <t>Amount, up to 19,2; Dot decimal, 2 decimals</t>
        </is>
      </c>
      <c r="O16" s="61" t="inlineStr">
        <is>
          <t>Amount, up to 19,2; Dot decimal, 2 decimals</t>
        </is>
      </c>
      <c r="P16" s="61" t="inlineStr">
        <is>
          <t>Amount, up to 19,2; Dot decimal, 2 decimals</t>
        </is>
      </c>
      <c r="Q16" s="61" t="inlineStr">
        <is>
          <t>Decimal, up to 12,6; Dot decimal</t>
        </is>
      </c>
      <c r="R16" s="61" t="inlineStr">
        <is>
          <t>Text, up to 250; Free text</t>
        </is>
      </c>
      <c r="S16" s="61" t="inlineStr">
        <is>
          <t>Text, up to 50; As in legacy</t>
        </is>
      </c>
      <c r="T16" s="61" t="inlineStr">
        <is>
          <t>Text, up to 50; As in legacy</t>
        </is>
      </c>
    </row>
    <row r="17" ht="56" customHeight="1">
      <c r="A17" s="59" t="inlineStr">
        <is>
          <t>Allowed values</t>
        </is>
      </c>
      <c r="B17" s="69" t="inlineStr">
        <is>
          <t>1, 2, 3, F (list G03 trueup_no)</t>
        </is>
      </c>
      <c r="C17" s="61" t="inlineStr">
        <is>
          <t>Free entry, up to 30 characters</t>
        </is>
      </c>
      <c r="D17" s="61" t="inlineStr">
        <is>
          <t>A whole number</t>
        </is>
      </c>
      <c r="E17" s="61" t="inlineStr">
        <is>
          <t>Free entry</t>
        </is>
      </c>
      <c r="F17" s="61" t="inlineStr">
        <is>
          <t>Free entry</t>
        </is>
      </c>
      <c r="G17" s="69" t="inlineStr">
        <is>
          <t>CLOSING, AUDIT (list G03 adjustment_kind)</t>
        </is>
      </c>
      <c r="H17" s="61" t="inlineStr">
        <is>
          <t>Free entry, up to 20 characters</t>
        </is>
      </c>
      <c r="I17" s="69" t="inlineStr">
        <is>
          <t>The legacy code; mapped by the code map BRANCH (sheet Code maps)</t>
        </is>
      </c>
      <c r="J17" s="61" t="inlineStr">
        <is>
          <t>ISO 4217</t>
        </is>
      </c>
      <c r="K17" s="69" t="inlineStr">
        <is>
          <t>The legacy code; mapped by the code map GL_ACCOUNT (sheet Code maps)</t>
        </is>
      </c>
      <c r="L17" s="69" t="inlineStr">
        <is>
          <t>The legacy code; mapped by the code map COST_CENTER (sheet Code maps)</t>
        </is>
      </c>
      <c r="M17" s="61" t="inlineStr">
        <is>
          <t>A number</t>
        </is>
      </c>
      <c r="N17" s="61" t="inlineStr">
        <is>
          <t>A number</t>
        </is>
      </c>
      <c r="O17" s="61" t="inlineStr">
        <is>
          <t>A number</t>
        </is>
      </c>
      <c r="P17" s="61" t="inlineStr">
        <is>
          <t>A number</t>
        </is>
      </c>
      <c r="Q17" s="61" t="inlineStr">
        <is>
          <t>A number</t>
        </is>
      </c>
      <c r="R17" s="61" t="inlineStr">
        <is>
          <t>Free entry, up to 250 characters</t>
        </is>
      </c>
      <c r="S17" s="61" t="inlineStr">
        <is>
          <t>Free entry, up to 50 characters</t>
        </is>
      </c>
      <c r="T17" s="61" t="inlineStr">
        <is>
          <t>Free entry, up to 50 characters</t>
        </is>
      </c>
    </row>
    <row r="18" ht="108" customHeight="1">
      <c r="A18" s="59" t="inlineStr">
        <is>
          <t>What to enter</t>
        </is>
      </c>
      <c r="B18" s="61" t="inlineStr">
        <is>
          <t>True-up number - 1 after the legacy year-end close, 2 and 3 for interim true-ups, F for the final one after the audited FS</t>
        </is>
      </c>
      <c r="C18" s="61" t="inlineStr">
        <is>
          <t>Legacy journal voucher number</t>
        </is>
      </c>
      <c r="D18" s="61" t="inlineStr">
        <is>
          <t>Line of the legacy journal</t>
        </is>
      </c>
      <c r="E18" s="61" t="inlineStr">
        <is>
          <t>Value date of the legacy journal</t>
        </is>
      </c>
      <c r="F18" s="61" t="inlineStr">
        <is>
          <t>When the journal was posted in legacy</t>
        </is>
      </c>
      <c r="G18" s="61" t="inlineStr">
        <is>
          <t>Year-end closing or audit adjustment</t>
        </is>
      </c>
      <c r="H18" s="61" t="inlineStr">
        <is>
          <t>Reference of the journal in the FY2027 adjustment register</t>
        </is>
      </c>
      <c r="I18" s="61" t="inlineStr">
        <is>
          <t>Branch</t>
        </is>
      </c>
      <c r="J18" s="61" t="inlineStr">
        <is>
          <t>Account currency</t>
        </is>
      </c>
      <c r="K18" s="61" t="inlineStr">
        <is>
          <t>Legacy account</t>
        </is>
      </c>
      <c r="L18" s="61" t="inlineStr">
        <is>
          <t>Cost centre</t>
        </is>
      </c>
      <c r="M18" s="61" t="inlineStr">
        <is>
          <t>Debit in the account currency</t>
        </is>
      </c>
      <c r="N18" s="61" t="inlineStr">
        <is>
          <t>Credit in the account currency</t>
        </is>
      </c>
      <c r="O18" s="61" t="inlineStr">
        <is>
          <t>Debit in PHP</t>
        </is>
      </c>
      <c r="P18" s="61" t="inlineStr">
        <is>
          <t>Credit in PHP</t>
        </is>
      </c>
      <c r="Q18" s="61" t="inlineStr">
        <is>
          <t>Rate used for the PHP amount</t>
        </is>
      </c>
      <c r="R18" s="61" t="inlineStr">
        <is>
          <t>Journal line description</t>
        </is>
      </c>
      <c r="S18" s="61" t="inlineStr">
        <is>
          <t>Legacy user who prepared the journal</t>
        </is>
      </c>
      <c r="T18" s="61" t="inlineStr">
        <is>
          <t>Legacy user who approved the journal</t>
        </is>
      </c>
    </row>
    <row r="19" ht="30" customHeight="1">
      <c r="A19" s="63" t="inlineStr">
        <is>
          <t>Row</t>
        </is>
      </c>
      <c r="B19" s="24" t="inlineStr">
        <is>
          <t>trueup_no *</t>
        </is>
      </c>
      <c r="C19" s="24" t="inlineStr">
        <is>
          <t>legacy_journal_no *</t>
        </is>
      </c>
      <c r="D19" s="24" t="inlineStr">
        <is>
          <t>line_no *</t>
        </is>
      </c>
      <c r="E19" s="24" t="inlineStr">
        <is>
          <t>legacy_journal_date *</t>
        </is>
      </c>
      <c r="F19" s="24" t="inlineStr">
        <is>
          <t>posted_at *</t>
        </is>
      </c>
      <c r="G19" s="24" t="inlineStr">
        <is>
          <t>adjustment_kind *</t>
        </is>
      </c>
      <c r="H19" s="24" t="inlineStr">
        <is>
          <t>register_ref *</t>
        </is>
      </c>
      <c r="I19" s="24" t="inlineStr">
        <is>
          <t>branch_code *</t>
        </is>
      </c>
      <c r="J19" s="24" t="inlineStr">
        <is>
          <t>currency *</t>
        </is>
      </c>
      <c r="K19" s="24" t="inlineStr">
        <is>
          <t>legacy_account_code *</t>
        </is>
      </c>
      <c r="L19" s="24" t="inlineStr">
        <is>
          <t>cost_center</t>
        </is>
      </c>
      <c r="M19" s="24" t="inlineStr">
        <is>
          <t>debit_fc *</t>
        </is>
      </c>
      <c r="N19" s="24" t="inlineStr">
        <is>
          <t>credit_fc *</t>
        </is>
      </c>
      <c r="O19" s="24" t="inlineStr">
        <is>
          <t>debit_php *</t>
        </is>
      </c>
      <c r="P19" s="24" t="inlineStr">
        <is>
          <t>credit_php *</t>
        </is>
      </c>
      <c r="Q19" s="24" t="inlineStr">
        <is>
          <t>fx_rate</t>
        </is>
      </c>
      <c r="R19" s="24" t="inlineStr">
        <is>
          <t>description *</t>
        </is>
      </c>
      <c r="S19" s="24" t="inlineStr">
        <is>
          <t>prepared_by *</t>
        </is>
      </c>
      <c r="T19" s="24" t="inlineStr">
        <is>
          <t>approved_by *</t>
        </is>
      </c>
    </row>
    <row r="20" ht="30" customHeight="1">
      <c r="A20" s="64" t="inlineStr">
        <is>
          <t>Example – overwrite or delete</t>
        </is>
      </c>
      <c r="B20" s="65" t="inlineStr">
        <is>
          <t>1</t>
        </is>
      </c>
      <c r="C20" s="65" t="inlineStr">
        <is>
          <t>JV-2027-12-0457</t>
        </is>
      </c>
      <c r="D20" s="66" t="n">
        <v>1</v>
      </c>
      <c r="E20" s="65" t="inlineStr">
        <is>
          <t>2027-12-31</t>
        </is>
      </c>
      <c r="F20" s="65" t="inlineStr">
        <is>
          <t>2028-01-14 10:22:05</t>
        </is>
      </c>
      <c r="G20" s="65" t="inlineStr">
        <is>
          <t>CLOSING</t>
        </is>
      </c>
      <c r="H20" s="65" t="inlineStr">
        <is>
          <t>ADJ-2027-014</t>
        </is>
      </c>
      <c r="I20" s="65" t="inlineStr">
        <is>
          <t>MKT01</t>
        </is>
      </c>
      <c r="J20" s="65" t="inlineStr">
        <is>
          <t>PHP</t>
        </is>
      </c>
      <c r="K20" s="65" t="inlineStr">
        <is>
          <t>5120-01</t>
        </is>
      </c>
      <c r="L20" s="65" t="inlineStr">
        <is>
          <t>4100</t>
        </is>
      </c>
      <c r="M20" s="66" t="n">
        <v>80000</v>
      </c>
      <c r="N20" s="66" t="n">
        <v>0</v>
      </c>
      <c r="O20" s="66" t="n">
        <v>80000</v>
      </c>
      <c r="P20" s="66" t="n">
        <v>0</v>
      </c>
      <c r="Q20" s="66" t="n">
        <v>56.125</v>
      </c>
      <c r="R20" s="65" t="inlineStr">
        <is>
          <t>Accrual of December 2027 professional fees</t>
        </is>
      </c>
      <c r="S20" s="65" t="inlineStr">
        <is>
          <t>cmp.jdelacruz</t>
        </is>
      </c>
      <c r="T20" s="65" t="inlineStr">
        <is>
          <t>cmp.head</t>
        </is>
      </c>
    </row>
    <row r="21">
      <c r="B21" s="67" t="n"/>
      <c r="C21" s="67" t="n"/>
      <c r="E21" s="67" t="n"/>
      <c r="F21" s="67" t="n"/>
      <c r="G21" s="67" t="n"/>
      <c r="H21" s="67" t="n"/>
      <c r="I21" s="67" t="n"/>
      <c r="J21" s="67" t="n"/>
      <c r="K21" s="67" t="n"/>
      <c r="L21" s="67" t="n"/>
      <c r="R21" s="67" t="n"/>
      <c r="S21" s="67" t="n"/>
      <c r="T21" s="67" t="n"/>
    </row>
    <row r="22">
      <c r="B22" s="67" t="n"/>
      <c r="C22" s="67" t="n"/>
      <c r="E22" s="67" t="n"/>
      <c r="F22" s="67" t="n"/>
      <c r="G22" s="67" t="n"/>
      <c r="H22" s="67" t="n"/>
      <c r="I22" s="67" t="n"/>
      <c r="J22" s="67" t="n"/>
      <c r="K22" s="67" t="n"/>
      <c r="L22" s="67" t="n"/>
      <c r="R22" s="67" t="n"/>
      <c r="S22" s="67" t="n"/>
      <c r="T22" s="67" t="n"/>
    </row>
    <row r="23">
      <c r="B23" s="67" t="n"/>
      <c r="C23" s="67" t="n"/>
      <c r="E23" s="67" t="n"/>
      <c r="F23" s="67" t="n"/>
      <c r="G23" s="67" t="n"/>
      <c r="H23" s="67" t="n"/>
      <c r="I23" s="67" t="n"/>
      <c r="J23" s="67" t="n"/>
      <c r="K23" s="67" t="n"/>
      <c r="L23" s="67" t="n"/>
      <c r="R23" s="67" t="n"/>
      <c r="S23" s="67" t="n"/>
      <c r="T23" s="67" t="n"/>
    </row>
    <row r="24">
      <c r="B24" s="67" t="n"/>
      <c r="C24" s="67" t="n"/>
      <c r="E24" s="67" t="n"/>
      <c r="F24" s="67" t="n"/>
      <c r="G24" s="67" t="n"/>
      <c r="H24" s="67" t="n"/>
      <c r="I24" s="67" t="n"/>
      <c r="J24" s="67" t="n"/>
      <c r="K24" s="67" t="n"/>
      <c r="L24" s="67" t="n"/>
      <c r="R24" s="67" t="n"/>
      <c r="S24" s="67" t="n"/>
      <c r="T24" s="67" t="n"/>
    </row>
    <row r="25">
      <c r="B25" s="67" t="n"/>
      <c r="C25" s="67" t="n"/>
      <c r="E25" s="67" t="n"/>
      <c r="F25" s="67" t="n"/>
      <c r="G25" s="67" t="n"/>
      <c r="H25" s="67" t="n"/>
      <c r="I25" s="67" t="n"/>
      <c r="J25" s="67" t="n"/>
      <c r="K25" s="67" t="n"/>
      <c r="L25" s="67" t="n"/>
      <c r="R25" s="67" t="n"/>
      <c r="S25" s="67" t="n"/>
      <c r="T25" s="67" t="n"/>
    </row>
    <row r="26">
      <c r="B26" s="67" t="n"/>
      <c r="C26" s="67" t="n"/>
      <c r="E26" s="67" t="n"/>
      <c r="F26" s="67" t="n"/>
      <c r="G26" s="67" t="n"/>
      <c r="H26" s="67" t="n"/>
      <c r="I26" s="67" t="n"/>
      <c r="J26" s="67" t="n"/>
      <c r="K26" s="67" t="n"/>
      <c r="L26" s="67" t="n"/>
      <c r="R26" s="67" t="n"/>
      <c r="S26" s="67" t="n"/>
      <c r="T26" s="67" t="n"/>
    </row>
    <row r="27">
      <c r="B27" s="67" t="n"/>
      <c r="C27" s="67" t="n"/>
      <c r="E27" s="67" t="n"/>
      <c r="F27" s="67" t="n"/>
      <c r="G27" s="67" t="n"/>
      <c r="H27" s="67" t="n"/>
      <c r="I27" s="67" t="n"/>
      <c r="J27" s="67" t="n"/>
      <c r="K27" s="67" t="n"/>
      <c r="L27" s="67" t="n"/>
      <c r="R27" s="67" t="n"/>
      <c r="S27" s="67" t="n"/>
      <c r="T27" s="67" t="n"/>
    </row>
    <row r="28">
      <c r="B28" s="67" t="n"/>
      <c r="C28" s="67" t="n"/>
      <c r="E28" s="67" t="n"/>
      <c r="F28" s="67" t="n"/>
      <c r="G28" s="67" t="n"/>
      <c r="H28" s="67" t="n"/>
      <c r="I28" s="67" t="n"/>
      <c r="J28" s="67" t="n"/>
      <c r="K28" s="67" t="n"/>
      <c r="L28" s="67" t="n"/>
      <c r="R28" s="67" t="n"/>
      <c r="S28" s="67" t="n"/>
      <c r="T28" s="67" t="n"/>
    </row>
    <row r="29">
      <c r="B29" s="67" t="n"/>
      <c r="C29" s="67" t="n"/>
      <c r="E29" s="67" t="n"/>
      <c r="F29" s="67" t="n"/>
      <c r="G29" s="67" t="n"/>
      <c r="H29" s="67" t="n"/>
      <c r="I29" s="67" t="n"/>
      <c r="J29" s="67" t="n"/>
      <c r="K29" s="67" t="n"/>
      <c r="L29" s="67" t="n"/>
      <c r="R29" s="67" t="n"/>
      <c r="S29" s="67" t="n"/>
      <c r="T29" s="67" t="n"/>
    </row>
    <row r="30">
      <c r="B30" s="67" t="n"/>
      <c r="C30" s="67" t="n"/>
      <c r="E30" s="67" t="n"/>
      <c r="F30" s="67" t="n"/>
      <c r="G30" s="67" t="n"/>
      <c r="H30" s="67" t="n"/>
      <c r="I30" s="67" t="n"/>
      <c r="J30" s="67" t="n"/>
      <c r="K30" s="67" t="n"/>
      <c r="L30" s="67" t="n"/>
      <c r="R30" s="67" t="n"/>
      <c r="S30" s="67" t="n"/>
      <c r="T30" s="67" t="n"/>
    </row>
    <row r="31">
      <c r="B31" s="67" t="n"/>
      <c r="C31" s="67" t="n"/>
      <c r="E31" s="67" t="n"/>
      <c r="F31" s="67" t="n"/>
      <c r="G31" s="67" t="n"/>
      <c r="H31" s="67" t="n"/>
      <c r="I31" s="67" t="n"/>
      <c r="J31" s="67" t="n"/>
      <c r="K31" s="67" t="n"/>
      <c r="L31" s="67" t="n"/>
      <c r="R31" s="67" t="n"/>
      <c r="S31" s="67" t="n"/>
      <c r="T31" s="67" t="n"/>
    </row>
    <row r="32">
      <c r="B32" s="67" t="n"/>
      <c r="C32" s="67" t="n"/>
      <c r="E32" s="67" t="n"/>
      <c r="F32" s="67" t="n"/>
      <c r="G32" s="67" t="n"/>
      <c r="H32" s="67" t="n"/>
      <c r="I32" s="67" t="n"/>
      <c r="J32" s="67" t="n"/>
      <c r="K32" s="67" t="n"/>
      <c r="L32" s="67" t="n"/>
      <c r="R32" s="67" t="n"/>
      <c r="S32" s="67" t="n"/>
      <c r="T32" s="67" t="n"/>
    </row>
    <row r="33">
      <c r="B33" s="67" t="n"/>
      <c r="C33" s="67" t="n"/>
      <c r="E33" s="67" t="n"/>
      <c r="F33" s="67" t="n"/>
      <c r="G33" s="67" t="n"/>
      <c r="H33" s="67" t="n"/>
      <c r="I33" s="67" t="n"/>
      <c r="J33" s="67" t="n"/>
      <c r="K33" s="67" t="n"/>
      <c r="L33" s="67" t="n"/>
      <c r="R33" s="67" t="n"/>
      <c r="S33" s="67" t="n"/>
      <c r="T33" s="67" t="n"/>
    </row>
    <row r="34">
      <c r="B34" s="67" t="n"/>
      <c r="C34" s="67" t="n"/>
      <c r="E34" s="67" t="n"/>
      <c r="F34" s="67" t="n"/>
      <c r="G34" s="67" t="n"/>
      <c r="H34" s="67" t="n"/>
      <c r="I34" s="67" t="n"/>
      <c r="J34" s="67" t="n"/>
      <c r="K34" s="67" t="n"/>
      <c r="L34" s="67" t="n"/>
      <c r="R34" s="67" t="n"/>
      <c r="S34" s="67" t="n"/>
      <c r="T34" s="67" t="n"/>
    </row>
    <row r="35">
      <c r="B35" s="67" t="n"/>
      <c r="C35" s="67" t="n"/>
      <c r="E35" s="67" t="n"/>
      <c r="F35" s="67" t="n"/>
      <c r="G35" s="67" t="n"/>
      <c r="H35" s="67" t="n"/>
      <c r="I35" s="67" t="n"/>
      <c r="J35" s="67" t="n"/>
      <c r="K35" s="67" t="n"/>
      <c r="L35" s="67" t="n"/>
      <c r="R35" s="67" t="n"/>
      <c r="S35" s="67" t="n"/>
      <c r="T35" s="67" t="n"/>
    </row>
    <row r="36">
      <c r="B36" s="67" t="n"/>
      <c r="C36" s="67" t="n"/>
      <c r="E36" s="67" t="n"/>
      <c r="F36" s="67" t="n"/>
      <c r="G36" s="67" t="n"/>
      <c r="H36" s="67" t="n"/>
      <c r="I36" s="67" t="n"/>
      <c r="J36" s="67" t="n"/>
      <c r="K36" s="67" t="n"/>
      <c r="L36" s="67" t="n"/>
      <c r="R36" s="67" t="n"/>
      <c r="S36" s="67" t="n"/>
      <c r="T36" s="67" t="n"/>
    </row>
    <row r="37">
      <c r="B37" s="67" t="n"/>
      <c r="C37" s="67" t="n"/>
      <c r="E37" s="67" t="n"/>
      <c r="F37" s="67" t="n"/>
      <c r="G37" s="67" t="n"/>
      <c r="H37" s="67" t="n"/>
      <c r="I37" s="67" t="n"/>
      <c r="J37" s="67" t="n"/>
      <c r="K37" s="67" t="n"/>
      <c r="L37" s="67" t="n"/>
      <c r="R37" s="67" t="n"/>
      <c r="S37" s="67" t="n"/>
      <c r="T37" s="67" t="n"/>
    </row>
    <row r="38">
      <c r="B38" s="67" t="n"/>
      <c r="C38" s="67" t="n"/>
      <c r="E38" s="67" t="n"/>
      <c r="F38" s="67" t="n"/>
      <c r="G38" s="67" t="n"/>
      <c r="H38" s="67" t="n"/>
      <c r="I38" s="67" t="n"/>
      <c r="J38" s="67" t="n"/>
      <c r="K38" s="67" t="n"/>
      <c r="L38" s="67" t="n"/>
      <c r="R38" s="67" t="n"/>
      <c r="S38" s="67" t="n"/>
      <c r="T38" s="67" t="n"/>
    </row>
    <row r="39">
      <c r="B39" s="67" t="n"/>
      <c r="C39" s="67" t="n"/>
      <c r="E39" s="67" t="n"/>
      <c r="F39" s="67" t="n"/>
      <c r="G39" s="67" t="n"/>
      <c r="H39" s="67" t="n"/>
      <c r="I39" s="67" t="n"/>
      <c r="J39" s="67" t="n"/>
      <c r="K39" s="67" t="n"/>
      <c r="L39" s="67" t="n"/>
      <c r="R39" s="67" t="n"/>
      <c r="S39" s="67" t="n"/>
      <c r="T39" s="67" t="n"/>
    </row>
    <row r="40">
      <c r="B40" s="67" t="n"/>
      <c r="C40" s="67" t="n"/>
      <c r="E40" s="67" t="n"/>
      <c r="F40" s="67" t="n"/>
      <c r="G40" s="67" t="n"/>
      <c r="H40" s="67" t="n"/>
      <c r="I40" s="67" t="n"/>
      <c r="J40" s="67" t="n"/>
      <c r="K40" s="67" t="n"/>
      <c r="L40" s="67" t="n"/>
      <c r="R40" s="67" t="n"/>
      <c r="S40" s="67" t="n"/>
      <c r="T40" s="67" t="n"/>
    </row>
    <row r="41">
      <c r="B41" s="67" t="n"/>
      <c r="C41" s="67" t="n"/>
      <c r="E41" s="67" t="n"/>
      <c r="F41" s="67" t="n"/>
      <c r="G41" s="67" t="n"/>
      <c r="H41" s="67" t="n"/>
      <c r="I41" s="67" t="n"/>
      <c r="J41" s="67" t="n"/>
      <c r="K41" s="67" t="n"/>
      <c r="L41" s="67" t="n"/>
      <c r="R41" s="67" t="n"/>
      <c r="S41" s="67" t="n"/>
      <c r="T41" s="67" t="n"/>
    </row>
    <row r="42">
      <c r="B42" s="67" t="n"/>
      <c r="C42" s="67" t="n"/>
      <c r="E42" s="67" t="n"/>
      <c r="F42" s="67" t="n"/>
      <c r="G42" s="67" t="n"/>
      <c r="H42" s="67" t="n"/>
      <c r="I42" s="67" t="n"/>
      <c r="J42" s="67" t="n"/>
      <c r="K42" s="67" t="n"/>
      <c r="L42" s="67" t="n"/>
      <c r="R42" s="67" t="n"/>
      <c r="S42" s="67" t="n"/>
      <c r="T42" s="67" t="n"/>
    </row>
    <row r="43">
      <c r="B43" s="67" t="n"/>
      <c r="C43" s="67" t="n"/>
      <c r="E43" s="67" t="n"/>
      <c r="F43" s="67" t="n"/>
      <c r="G43" s="67" t="n"/>
      <c r="H43" s="67" t="n"/>
      <c r="I43" s="67" t="n"/>
      <c r="J43" s="67" t="n"/>
      <c r="K43" s="67" t="n"/>
      <c r="L43" s="67" t="n"/>
      <c r="R43" s="67" t="n"/>
      <c r="S43" s="67" t="n"/>
      <c r="T43" s="67" t="n"/>
    </row>
    <row r="44">
      <c r="B44" s="67" t="n"/>
      <c r="C44" s="67" t="n"/>
      <c r="E44" s="67" t="n"/>
      <c r="F44" s="67" t="n"/>
      <c r="G44" s="67" t="n"/>
      <c r="H44" s="67" t="n"/>
      <c r="I44" s="67" t="n"/>
      <c r="J44" s="67" t="n"/>
      <c r="K44" s="67" t="n"/>
      <c r="L44" s="67" t="n"/>
      <c r="R44" s="67" t="n"/>
      <c r="S44" s="67" t="n"/>
      <c r="T44" s="67" t="n"/>
    </row>
    <row r="45">
      <c r="B45" s="67" t="n"/>
      <c r="C45" s="67" t="n"/>
      <c r="E45" s="67" t="n"/>
      <c r="F45" s="67" t="n"/>
      <c r="G45" s="67" t="n"/>
      <c r="H45" s="67" t="n"/>
      <c r="I45" s="67" t="n"/>
      <c r="J45" s="67" t="n"/>
      <c r="K45" s="67" t="n"/>
      <c r="L45" s="67" t="n"/>
      <c r="R45" s="67" t="n"/>
      <c r="S45" s="67" t="n"/>
      <c r="T45" s="67" t="n"/>
    </row>
    <row r="46">
      <c r="B46" s="67" t="n"/>
      <c r="C46" s="67" t="n"/>
      <c r="E46" s="67" t="n"/>
      <c r="F46" s="67" t="n"/>
      <c r="G46" s="67" t="n"/>
      <c r="H46" s="67" t="n"/>
      <c r="I46" s="67" t="n"/>
      <c r="J46" s="67" t="n"/>
      <c r="K46" s="67" t="n"/>
      <c r="L46" s="67" t="n"/>
      <c r="R46" s="67" t="n"/>
      <c r="S46" s="67" t="n"/>
      <c r="T46" s="67" t="n"/>
    </row>
    <row r="47">
      <c r="B47" s="67" t="n"/>
      <c r="C47" s="67" t="n"/>
      <c r="E47" s="67" t="n"/>
      <c r="F47" s="67" t="n"/>
      <c r="G47" s="67" t="n"/>
      <c r="H47" s="67" t="n"/>
      <c r="I47" s="67" t="n"/>
      <c r="J47" s="67" t="n"/>
      <c r="K47" s="67" t="n"/>
      <c r="L47" s="67" t="n"/>
      <c r="R47" s="67" t="n"/>
      <c r="S47" s="67" t="n"/>
      <c r="T47" s="67" t="n"/>
    </row>
    <row r="48">
      <c r="B48" s="67" t="n"/>
      <c r="C48" s="67" t="n"/>
      <c r="E48" s="67" t="n"/>
      <c r="F48" s="67" t="n"/>
      <c r="G48" s="67" t="n"/>
      <c r="H48" s="67" t="n"/>
      <c r="I48" s="67" t="n"/>
      <c r="J48" s="67" t="n"/>
      <c r="K48" s="67" t="n"/>
      <c r="L48" s="67" t="n"/>
      <c r="R48" s="67" t="n"/>
      <c r="S48" s="67" t="n"/>
      <c r="T48" s="67" t="n"/>
    </row>
    <row r="49">
      <c r="B49" s="67" t="n"/>
      <c r="C49" s="67" t="n"/>
      <c r="E49" s="67" t="n"/>
      <c r="F49" s="67" t="n"/>
      <c r="G49" s="67" t="n"/>
      <c r="H49" s="67" t="n"/>
      <c r="I49" s="67" t="n"/>
      <c r="J49" s="67" t="n"/>
      <c r="K49" s="67" t="n"/>
      <c r="L49" s="67" t="n"/>
      <c r="R49" s="67" t="n"/>
      <c r="S49" s="67" t="n"/>
      <c r="T49" s="67" t="n"/>
    </row>
    <row r="50">
      <c r="B50" s="67" t="n"/>
      <c r="C50" s="67" t="n"/>
      <c r="E50" s="67" t="n"/>
      <c r="F50" s="67" t="n"/>
      <c r="G50" s="67" t="n"/>
      <c r="H50" s="67" t="n"/>
      <c r="I50" s="67" t="n"/>
      <c r="J50" s="67" t="n"/>
      <c r="K50" s="67" t="n"/>
      <c r="L50" s="67" t="n"/>
      <c r="R50" s="67" t="n"/>
      <c r="S50" s="67" t="n"/>
      <c r="T50" s="67" t="n"/>
    </row>
    <row r="51">
      <c r="B51" s="67" t="n"/>
      <c r="C51" s="67" t="n"/>
      <c r="E51" s="67" t="n"/>
      <c r="F51" s="67" t="n"/>
      <c r="G51" s="67" t="n"/>
      <c r="H51" s="67" t="n"/>
      <c r="I51" s="67" t="n"/>
      <c r="J51" s="67" t="n"/>
      <c r="K51" s="67" t="n"/>
      <c r="L51" s="67" t="n"/>
      <c r="R51" s="67" t="n"/>
      <c r="S51" s="67" t="n"/>
      <c r="T51" s="67" t="n"/>
    </row>
    <row r="52">
      <c r="B52" s="67" t="n"/>
      <c r="C52" s="67" t="n"/>
      <c r="E52" s="67" t="n"/>
      <c r="F52" s="67" t="n"/>
      <c r="G52" s="67" t="n"/>
      <c r="H52" s="67" t="n"/>
      <c r="I52" s="67" t="n"/>
      <c r="J52" s="67" t="n"/>
      <c r="K52" s="67" t="n"/>
      <c r="L52" s="67" t="n"/>
      <c r="R52" s="67" t="n"/>
      <c r="S52" s="67" t="n"/>
      <c r="T52" s="67" t="n"/>
    </row>
    <row r="53">
      <c r="B53" s="67" t="n"/>
      <c r="C53" s="67" t="n"/>
      <c r="E53" s="67" t="n"/>
      <c r="F53" s="67" t="n"/>
      <c r="G53" s="67" t="n"/>
      <c r="H53" s="67" t="n"/>
      <c r="I53" s="67" t="n"/>
      <c r="J53" s="67" t="n"/>
      <c r="K53" s="67" t="n"/>
      <c r="L53" s="67" t="n"/>
      <c r="R53" s="67" t="n"/>
      <c r="S53" s="67" t="n"/>
      <c r="T53" s="67" t="n"/>
    </row>
    <row r="54">
      <c r="B54" s="67" t="n"/>
      <c r="C54" s="67" t="n"/>
      <c r="E54" s="67" t="n"/>
      <c r="F54" s="67" t="n"/>
      <c r="G54" s="67" t="n"/>
      <c r="H54" s="67" t="n"/>
      <c r="I54" s="67" t="n"/>
      <c r="J54" s="67" t="n"/>
      <c r="K54" s="67" t="n"/>
      <c r="L54" s="67" t="n"/>
      <c r="R54" s="67" t="n"/>
      <c r="S54" s="67" t="n"/>
      <c r="T54" s="67" t="n"/>
    </row>
    <row r="55">
      <c r="B55" s="67" t="n"/>
      <c r="C55" s="67" t="n"/>
      <c r="E55" s="67" t="n"/>
      <c r="F55" s="67" t="n"/>
      <c r="G55" s="67" t="n"/>
      <c r="H55" s="67" t="n"/>
      <c r="I55" s="67" t="n"/>
      <c r="J55" s="67" t="n"/>
      <c r="K55" s="67" t="n"/>
      <c r="L55" s="67" t="n"/>
      <c r="R55" s="67" t="n"/>
      <c r="S55" s="67" t="n"/>
      <c r="T55" s="67" t="n"/>
    </row>
    <row r="56">
      <c r="B56" s="67" t="n"/>
      <c r="C56" s="67" t="n"/>
      <c r="E56" s="67" t="n"/>
      <c r="F56" s="67" t="n"/>
      <c r="G56" s="67" t="n"/>
      <c r="H56" s="67" t="n"/>
      <c r="I56" s="67" t="n"/>
      <c r="J56" s="67" t="n"/>
      <c r="K56" s="67" t="n"/>
      <c r="L56" s="67" t="n"/>
      <c r="R56" s="67" t="n"/>
      <c r="S56" s="67" t="n"/>
      <c r="T56" s="67" t="n"/>
    </row>
    <row r="57">
      <c r="B57" s="67" t="n"/>
      <c r="C57" s="67" t="n"/>
      <c r="E57" s="67" t="n"/>
      <c r="F57" s="67" t="n"/>
      <c r="G57" s="67" t="n"/>
      <c r="H57" s="67" t="n"/>
      <c r="I57" s="67" t="n"/>
      <c r="J57" s="67" t="n"/>
      <c r="K57" s="67" t="n"/>
      <c r="L57" s="67" t="n"/>
      <c r="R57" s="67" t="n"/>
      <c r="S57" s="67" t="n"/>
      <c r="T57" s="67" t="n"/>
    </row>
    <row r="58">
      <c r="B58" s="67" t="n"/>
      <c r="C58" s="67" t="n"/>
      <c r="E58" s="67" t="n"/>
      <c r="F58" s="67" t="n"/>
      <c r="G58" s="67" t="n"/>
      <c r="H58" s="67" t="n"/>
      <c r="I58" s="67" t="n"/>
      <c r="J58" s="67" t="n"/>
      <c r="K58" s="67" t="n"/>
      <c r="L58" s="67" t="n"/>
      <c r="R58" s="67" t="n"/>
      <c r="S58" s="67" t="n"/>
      <c r="T58" s="67" t="n"/>
    </row>
    <row r="59">
      <c r="B59" s="67" t="n"/>
      <c r="C59" s="67" t="n"/>
      <c r="E59" s="67" t="n"/>
      <c r="F59" s="67" t="n"/>
      <c r="G59" s="67" t="n"/>
      <c r="H59" s="67" t="n"/>
      <c r="I59" s="67" t="n"/>
      <c r="J59" s="67" t="n"/>
      <c r="K59" s="67" t="n"/>
      <c r="L59" s="67" t="n"/>
      <c r="R59" s="67" t="n"/>
      <c r="S59" s="67" t="n"/>
      <c r="T59" s="67" t="n"/>
    </row>
    <row r="60">
      <c r="B60" s="67" t="n"/>
      <c r="C60" s="67" t="n"/>
      <c r="E60" s="67" t="n"/>
      <c r="F60" s="67" t="n"/>
      <c r="G60" s="67" t="n"/>
      <c r="H60" s="67" t="n"/>
      <c r="I60" s="67" t="n"/>
      <c r="J60" s="67" t="n"/>
      <c r="K60" s="67" t="n"/>
      <c r="L60" s="67" t="n"/>
      <c r="R60" s="67" t="n"/>
      <c r="S60" s="67" t="n"/>
      <c r="T60" s="67" t="n"/>
    </row>
    <row r="61">
      <c r="B61" s="67" t="n"/>
      <c r="C61" s="67" t="n"/>
      <c r="E61" s="67" t="n"/>
      <c r="F61" s="67" t="n"/>
      <c r="G61" s="67" t="n"/>
      <c r="H61" s="67" t="n"/>
      <c r="I61" s="67" t="n"/>
      <c r="J61" s="67" t="n"/>
      <c r="K61" s="67" t="n"/>
      <c r="L61" s="67" t="n"/>
      <c r="R61" s="67" t="n"/>
      <c r="S61" s="67" t="n"/>
      <c r="T61" s="67" t="n"/>
    </row>
    <row r="62">
      <c r="B62" s="67" t="n"/>
      <c r="C62" s="67" t="n"/>
      <c r="E62" s="67" t="n"/>
      <c r="F62" s="67" t="n"/>
      <c r="G62" s="67" t="n"/>
      <c r="H62" s="67" t="n"/>
      <c r="I62" s="67" t="n"/>
      <c r="J62" s="67" t="n"/>
      <c r="K62" s="67" t="n"/>
      <c r="L62" s="67" t="n"/>
      <c r="R62" s="67" t="n"/>
      <c r="S62" s="67" t="n"/>
      <c r="T62" s="67" t="n"/>
    </row>
    <row r="63">
      <c r="B63" s="67" t="n"/>
      <c r="C63" s="67" t="n"/>
      <c r="E63" s="67" t="n"/>
      <c r="F63" s="67" t="n"/>
      <c r="G63" s="67" t="n"/>
      <c r="H63" s="67" t="n"/>
      <c r="I63" s="67" t="n"/>
      <c r="J63" s="67" t="n"/>
      <c r="K63" s="67" t="n"/>
      <c r="L63" s="67" t="n"/>
      <c r="R63" s="67" t="n"/>
      <c r="S63" s="67" t="n"/>
      <c r="T63" s="67" t="n"/>
    </row>
    <row r="64">
      <c r="B64" s="67" t="n"/>
      <c r="C64" s="67" t="n"/>
      <c r="E64" s="67" t="n"/>
      <c r="F64" s="67" t="n"/>
      <c r="G64" s="67" t="n"/>
      <c r="H64" s="67" t="n"/>
      <c r="I64" s="67" t="n"/>
      <c r="J64" s="67" t="n"/>
      <c r="K64" s="67" t="n"/>
      <c r="L64" s="67" t="n"/>
      <c r="R64" s="67" t="n"/>
      <c r="S64" s="67" t="n"/>
      <c r="T64" s="67" t="n"/>
    </row>
    <row r="65">
      <c r="B65" s="67" t="n"/>
      <c r="C65" s="67" t="n"/>
      <c r="E65" s="67" t="n"/>
      <c r="F65" s="67" t="n"/>
      <c r="G65" s="67" t="n"/>
      <c r="H65" s="67" t="n"/>
      <c r="I65" s="67" t="n"/>
      <c r="J65" s="67" t="n"/>
      <c r="K65" s="67" t="n"/>
      <c r="L65" s="67" t="n"/>
      <c r="R65" s="67" t="n"/>
      <c r="S65" s="67" t="n"/>
      <c r="T65" s="67" t="n"/>
    </row>
    <row r="66">
      <c r="B66" s="67" t="n"/>
      <c r="C66" s="67" t="n"/>
      <c r="E66" s="67" t="n"/>
      <c r="F66" s="67" t="n"/>
      <c r="G66" s="67" t="n"/>
      <c r="H66" s="67" t="n"/>
      <c r="I66" s="67" t="n"/>
      <c r="J66" s="67" t="n"/>
      <c r="K66" s="67" t="n"/>
      <c r="L66" s="67" t="n"/>
      <c r="R66" s="67" t="n"/>
      <c r="S66" s="67" t="n"/>
      <c r="T66" s="67" t="n"/>
    </row>
    <row r="67">
      <c r="B67" s="67" t="n"/>
      <c r="C67" s="67" t="n"/>
      <c r="E67" s="67" t="n"/>
      <c r="F67" s="67" t="n"/>
      <c r="G67" s="67" t="n"/>
      <c r="H67" s="67" t="n"/>
      <c r="I67" s="67" t="n"/>
      <c r="J67" s="67" t="n"/>
      <c r="K67" s="67" t="n"/>
      <c r="L67" s="67" t="n"/>
      <c r="R67" s="67" t="n"/>
      <c r="S67" s="67" t="n"/>
      <c r="T67" s="67" t="n"/>
    </row>
    <row r="68">
      <c r="B68" s="67" t="n"/>
      <c r="C68" s="67" t="n"/>
      <c r="E68" s="67" t="n"/>
      <c r="F68" s="67" t="n"/>
      <c r="G68" s="67" t="n"/>
      <c r="H68" s="67" t="n"/>
      <c r="I68" s="67" t="n"/>
      <c r="J68" s="67" t="n"/>
      <c r="K68" s="67" t="n"/>
      <c r="L68" s="67" t="n"/>
      <c r="R68" s="67" t="n"/>
      <c r="S68" s="67" t="n"/>
      <c r="T68" s="67" t="n"/>
    </row>
    <row r="69">
      <c r="B69" s="67" t="n"/>
      <c r="C69" s="67" t="n"/>
      <c r="E69" s="67" t="n"/>
      <c r="F69" s="67" t="n"/>
      <c r="G69" s="67" t="n"/>
      <c r="H69" s="67" t="n"/>
      <c r="I69" s="67" t="n"/>
      <c r="J69" s="67" t="n"/>
      <c r="K69" s="67" t="n"/>
      <c r="L69" s="67" t="n"/>
      <c r="R69" s="67" t="n"/>
      <c r="S69" s="67" t="n"/>
      <c r="T69" s="67" t="n"/>
    </row>
    <row r="70">
      <c r="B70" s="67" t="n"/>
      <c r="C70" s="67" t="n"/>
      <c r="E70" s="67" t="n"/>
      <c r="F70" s="67" t="n"/>
      <c r="G70" s="67" t="n"/>
      <c r="H70" s="67" t="n"/>
      <c r="I70" s="67" t="n"/>
      <c r="J70" s="67" t="n"/>
      <c r="K70" s="67" t="n"/>
      <c r="L70" s="67" t="n"/>
      <c r="R70" s="67" t="n"/>
      <c r="S70" s="67" t="n"/>
      <c r="T70" s="67" t="n"/>
    </row>
    <row r="71">
      <c r="B71" s="67" t="n"/>
      <c r="C71" s="67" t="n"/>
      <c r="E71" s="67" t="n"/>
      <c r="F71" s="67" t="n"/>
      <c r="G71" s="67" t="n"/>
      <c r="H71" s="67" t="n"/>
      <c r="I71" s="67" t="n"/>
      <c r="J71" s="67" t="n"/>
      <c r="K71" s="67" t="n"/>
      <c r="L71" s="67" t="n"/>
      <c r="R71" s="67" t="n"/>
      <c r="S71" s="67" t="n"/>
      <c r="T71" s="67" t="n"/>
    </row>
    <row r="72">
      <c r="B72" s="67" t="n"/>
      <c r="C72" s="67" t="n"/>
      <c r="E72" s="67" t="n"/>
      <c r="F72" s="67" t="n"/>
      <c r="G72" s="67" t="n"/>
      <c r="H72" s="67" t="n"/>
      <c r="I72" s="67" t="n"/>
      <c r="J72" s="67" t="n"/>
      <c r="K72" s="67" t="n"/>
      <c r="L72" s="67" t="n"/>
      <c r="R72" s="67" t="n"/>
      <c r="S72" s="67" t="n"/>
      <c r="T72" s="67" t="n"/>
    </row>
    <row r="73">
      <c r="B73" s="67" t="n"/>
      <c r="C73" s="67" t="n"/>
      <c r="E73" s="67" t="n"/>
      <c r="F73" s="67" t="n"/>
      <c r="G73" s="67" t="n"/>
      <c r="H73" s="67" t="n"/>
      <c r="I73" s="67" t="n"/>
      <c r="J73" s="67" t="n"/>
      <c r="K73" s="67" t="n"/>
      <c r="L73" s="67" t="n"/>
      <c r="R73" s="67" t="n"/>
      <c r="S73" s="67" t="n"/>
      <c r="T73" s="67" t="n"/>
    </row>
    <row r="74">
      <c r="B74" s="67" t="n"/>
      <c r="C74" s="67" t="n"/>
      <c r="E74" s="67" t="n"/>
      <c r="F74" s="67" t="n"/>
      <c r="G74" s="67" t="n"/>
      <c r="H74" s="67" t="n"/>
      <c r="I74" s="67" t="n"/>
      <c r="J74" s="67" t="n"/>
      <c r="K74" s="67" t="n"/>
      <c r="L74" s="67" t="n"/>
      <c r="R74" s="67" t="n"/>
      <c r="S74" s="67" t="n"/>
      <c r="T74" s="67" t="n"/>
    </row>
    <row r="75">
      <c r="B75" s="67" t="n"/>
      <c r="C75" s="67" t="n"/>
      <c r="E75" s="67" t="n"/>
      <c r="F75" s="67" t="n"/>
      <c r="G75" s="67" t="n"/>
      <c r="H75" s="67" t="n"/>
      <c r="I75" s="67" t="n"/>
      <c r="J75" s="67" t="n"/>
      <c r="K75" s="67" t="n"/>
      <c r="L75" s="67" t="n"/>
      <c r="R75" s="67" t="n"/>
      <c r="S75" s="67" t="n"/>
      <c r="T75" s="67" t="n"/>
    </row>
    <row r="76">
      <c r="B76" s="67" t="n"/>
      <c r="C76" s="67" t="n"/>
      <c r="E76" s="67" t="n"/>
      <c r="F76" s="67" t="n"/>
      <c r="G76" s="67" t="n"/>
      <c r="H76" s="67" t="n"/>
      <c r="I76" s="67" t="n"/>
      <c r="J76" s="67" t="n"/>
      <c r="K76" s="67" t="n"/>
      <c r="L76" s="67" t="n"/>
      <c r="R76" s="67" t="n"/>
      <c r="S76" s="67" t="n"/>
      <c r="T76" s="67" t="n"/>
    </row>
    <row r="77">
      <c r="B77" s="67" t="n"/>
      <c r="C77" s="67" t="n"/>
      <c r="E77" s="67" t="n"/>
      <c r="F77" s="67" t="n"/>
      <c r="G77" s="67" t="n"/>
      <c r="H77" s="67" t="n"/>
      <c r="I77" s="67" t="n"/>
      <c r="J77" s="67" t="n"/>
      <c r="K77" s="67" t="n"/>
      <c r="L77" s="67" t="n"/>
      <c r="R77" s="67" t="n"/>
      <c r="S77" s="67" t="n"/>
      <c r="T77" s="67" t="n"/>
    </row>
    <row r="78">
      <c r="B78" s="67" t="n"/>
      <c r="C78" s="67" t="n"/>
      <c r="E78" s="67" t="n"/>
      <c r="F78" s="67" t="n"/>
      <c r="G78" s="67" t="n"/>
      <c r="H78" s="67" t="n"/>
      <c r="I78" s="67" t="n"/>
      <c r="J78" s="67" t="n"/>
      <c r="K78" s="67" t="n"/>
      <c r="L78" s="67" t="n"/>
      <c r="R78" s="67" t="n"/>
      <c r="S78" s="67" t="n"/>
      <c r="T78" s="67" t="n"/>
    </row>
    <row r="79">
      <c r="B79" s="67" t="n"/>
      <c r="C79" s="67" t="n"/>
      <c r="E79" s="67" t="n"/>
      <c r="F79" s="67" t="n"/>
      <c r="G79" s="67" t="n"/>
      <c r="H79" s="67" t="n"/>
      <c r="I79" s="67" t="n"/>
      <c r="J79" s="67" t="n"/>
      <c r="K79" s="67" t="n"/>
      <c r="L79" s="67" t="n"/>
      <c r="R79" s="67" t="n"/>
      <c r="S79" s="67" t="n"/>
      <c r="T79" s="67" t="n"/>
    </row>
    <row r="80">
      <c r="B80" s="67" t="n"/>
      <c r="C80" s="67" t="n"/>
      <c r="E80" s="67" t="n"/>
      <c r="F80" s="67" t="n"/>
      <c r="G80" s="67" t="n"/>
      <c r="H80" s="67" t="n"/>
      <c r="I80" s="67" t="n"/>
      <c r="J80" s="67" t="n"/>
      <c r="K80" s="67" t="n"/>
      <c r="L80" s="67" t="n"/>
      <c r="R80" s="67" t="n"/>
      <c r="S80" s="67" t="n"/>
      <c r="T80" s="67" t="n"/>
    </row>
    <row r="81">
      <c r="B81" s="67" t="n"/>
      <c r="C81" s="67" t="n"/>
      <c r="E81" s="67" t="n"/>
      <c r="F81" s="67" t="n"/>
      <c r="G81" s="67" t="n"/>
      <c r="H81" s="67" t="n"/>
      <c r="I81" s="67" t="n"/>
      <c r="J81" s="67" t="n"/>
      <c r="K81" s="67" t="n"/>
      <c r="L81" s="67" t="n"/>
      <c r="R81" s="67" t="n"/>
      <c r="S81" s="67" t="n"/>
      <c r="T81" s="67" t="n"/>
    </row>
    <row r="82">
      <c r="B82" s="67" t="n"/>
      <c r="C82" s="67" t="n"/>
      <c r="E82" s="67" t="n"/>
      <c r="F82" s="67" t="n"/>
      <c r="G82" s="67" t="n"/>
      <c r="H82" s="67" t="n"/>
      <c r="I82" s="67" t="n"/>
      <c r="J82" s="67" t="n"/>
      <c r="K82" s="67" t="n"/>
      <c r="L82" s="67" t="n"/>
      <c r="R82" s="67" t="n"/>
      <c r="S82" s="67" t="n"/>
      <c r="T82" s="67" t="n"/>
    </row>
    <row r="83">
      <c r="B83" s="67" t="n"/>
      <c r="C83" s="67" t="n"/>
      <c r="E83" s="67" t="n"/>
      <c r="F83" s="67" t="n"/>
      <c r="G83" s="67" t="n"/>
      <c r="H83" s="67" t="n"/>
      <c r="I83" s="67" t="n"/>
      <c r="J83" s="67" t="n"/>
      <c r="K83" s="67" t="n"/>
      <c r="L83" s="67" t="n"/>
      <c r="R83" s="67" t="n"/>
      <c r="S83" s="67" t="n"/>
      <c r="T83" s="67" t="n"/>
    </row>
    <row r="84">
      <c r="B84" s="67" t="n"/>
      <c r="C84" s="67" t="n"/>
      <c r="E84" s="67" t="n"/>
      <c r="F84" s="67" t="n"/>
      <c r="G84" s="67" t="n"/>
      <c r="H84" s="67" t="n"/>
      <c r="I84" s="67" t="n"/>
      <c r="J84" s="67" t="n"/>
      <c r="K84" s="67" t="n"/>
      <c r="L84" s="67" t="n"/>
      <c r="R84" s="67" t="n"/>
      <c r="S84" s="67" t="n"/>
      <c r="T84" s="67" t="n"/>
    </row>
    <row r="85">
      <c r="B85" s="67" t="n"/>
      <c r="C85" s="67" t="n"/>
      <c r="E85" s="67" t="n"/>
      <c r="F85" s="67" t="n"/>
      <c r="G85" s="67" t="n"/>
      <c r="H85" s="67" t="n"/>
      <c r="I85" s="67" t="n"/>
      <c r="J85" s="67" t="n"/>
      <c r="K85" s="67" t="n"/>
      <c r="L85" s="67" t="n"/>
      <c r="R85" s="67" t="n"/>
      <c r="S85" s="67" t="n"/>
      <c r="T85" s="67" t="n"/>
    </row>
    <row r="86">
      <c r="B86" s="67" t="n"/>
      <c r="C86" s="67" t="n"/>
      <c r="E86" s="67" t="n"/>
      <c r="F86" s="67" t="n"/>
      <c r="G86" s="67" t="n"/>
      <c r="H86" s="67" t="n"/>
      <c r="I86" s="67" t="n"/>
      <c r="J86" s="67" t="n"/>
      <c r="K86" s="67" t="n"/>
      <c r="L86" s="67" t="n"/>
      <c r="R86" s="67" t="n"/>
      <c r="S86" s="67" t="n"/>
      <c r="T86" s="67" t="n"/>
    </row>
    <row r="87">
      <c r="B87" s="67" t="n"/>
      <c r="C87" s="67" t="n"/>
      <c r="E87" s="67" t="n"/>
      <c r="F87" s="67" t="n"/>
      <c r="G87" s="67" t="n"/>
      <c r="H87" s="67" t="n"/>
      <c r="I87" s="67" t="n"/>
      <c r="J87" s="67" t="n"/>
      <c r="K87" s="67" t="n"/>
      <c r="L87" s="67" t="n"/>
      <c r="R87" s="67" t="n"/>
      <c r="S87" s="67" t="n"/>
      <c r="T87" s="67" t="n"/>
    </row>
    <row r="88">
      <c r="B88" s="67" t="n"/>
      <c r="C88" s="67" t="n"/>
      <c r="E88" s="67" t="n"/>
      <c r="F88" s="67" t="n"/>
      <c r="G88" s="67" t="n"/>
      <c r="H88" s="67" t="n"/>
      <c r="I88" s="67" t="n"/>
      <c r="J88" s="67" t="n"/>
      <c r="K88" s="67" t="n"/>
      <c r="L88" s="67" t="n"/>
      <c r="R88" s="67" t="n"/>
      <c r="S88" s="67" t="n"/>
      <c r="T88" s="67" t="n"/>
    </row>
    <row r="89">
      <c r="B89" s="67" t="n"/>
      <c r="C89" s="67" t="n"/>
      <c r="E89" s="67" t="n"/>
      <c r="F89" s="67" t="n"/>
      <c r="G89" s="67" t="n"/>
      <c r="H89" s="67" t="n"/>
      <c r="I89" s="67" t="n"/>
      <c r="J89" s="67" t="n"/>
      <c r="K89" s="67" t="n"/>
      <c r="L89" s="67" t="n"/>
      <c r="R89" s="67" t="n"/>
      <c r="S89" s="67" t="n"/>
      <c r="T89" s="67" t="n"/>
    </row>
    <row r="90">
      <c r="B90" s="67" t="n"/>
      <c r="C90" s="67" t="n"/>
      <c r="E90" s="67" t="n"/>
      <c r="F90" s="67" t="n"/>
      <c r="G90" s="67" t="n"/>
      <c r="H90" s="67" t="n"/>
      <c r="I90" s="67" t="n"/>
      <c r="J90" s="67" t="n"/>
      <c r="K90" s="67" t="n"/>
      <c r="L90" s="67" t="n"/>
      <c r="R90" s="67" t="n"/>
      <c r="S90" s="67" t="n"/>
      <c r="T90" s="67" t="n"/>
    </row>
    <row r="91">
      <c r="B91" s="67" t="n"/>
      <c r="C91" s="67" t="n"/>
      <c r="E91" s="67" t="n"/>
      <c r="F91" s="67" t="n"/>
      <c r="G91" s="67" t="n"/>
      <c r="H91" s="67" t="n"/>
      <c r="I91" s="67" t="n"/>
      <c r="J91" s="67" t="n"/>
      <c r="K91" s="67" t="n"/>
      <c r="L91" s="67" t="n"/>
      <c r="R91" s="67" t="n"/>
      <c r="S91" s="67" t="n"/>
      <c r="T91" s="67" t="n"/>
    </row>
    <row r="92">
      <c r="B92" s="67" t="n"/>
      <c r="C92" s="67" t="n"/>
      <c r="E92" s="67" t="n"/>
      <c r="F92" s="67" t="n"/>
      <c r="G92" s="67" t="n"/>
      <c r="H92" s="67" t="n"/>
      <c r="I92" s="67" t="n"/>
      <c r="J92" s="67" t="n"/>
      <c r="K92" s="67" t="n"/>
      <c r="L92" s="67" t="n"/>
      <c r="R92" s="67" t="n"/>
      <c r="S92" s="67" t="n"/>
      <c r="T92" s="67" t="n"/>
    </row>
    <row r="93">
      <c r="B93" s="67" t="n"/>
      <c r="C93" s="67" t="n"/>
      <c r="E93" s="67" t="n"/>
      <c r="F93" s="67" t="n"/>
      <c r="G93" s="67" t="n"/>
      <c r="H93" s="67" t="n"/>
      <c r="I93" s="67" t="n"/>
      <c r="J93" s="67" t="n"/>
      <c r="K93" s="67" t="n"/>
      <c r="L93" s="67" t="n"/>
      <c r="R93" s="67" t="n"/>
      <c r="S93" s="67" t="n"/>
      <c r="T93" s="67" t="n"/>
    </row>
    <row r="94">
      <c r="B94" s="67" t="n"/>
      <c r="C94" s="67" t="n"/>
      <c r="E94" s="67" t="n"/>
      <c r="F94" s="67" t="n"/>
      <c r="G94" s="67" t="n"/>
      <c r="H94" s="67" t="n"/>
      <c r="I94" s="67" t="n"/>
      <c r="J94" s="67" t="n"/>
      <c r="K94" s="67" t="n"/>
      <c r="L94" s="67" t="n"/>
      <c r="R94" s="67" t="n"/>
      <c r="S94" s="67" t="n"/>
      <c r="T94" s="67" t="n"/>
    </row>
    <row r="95">
      <c r="B95" s="67" t="n"/>
      <c r="C95" s="67" t="n"/>
      <c r="E95" s="67" t="n"/>
      <c r="F95" s="67" t="n"/>
      <c r="G95" s="67" t="n"/>
      <c r="H95" s="67" t="n"/>
      <c r="I95" s="67" t="n"/>
      <c r="J95" s="67" t="n"/>
      <c r="K95" s="67" t="n"/>
      <c r="L95" s="67" t="n"/>
      <c r="R95" s="67" t="n"/>
      <c r="S95" s="67" t="n"/>
      <c r="T95" s="67" t="n"/>
    </row>
    <row r="96">
      <c r="B96" s="67" t="n"/>
      <c r="C96" s="67" t="n"/>
      <c r="E96" s="67" t="n"/>
      <c r="F96" s="67" t="n"/>
      <c r="G96" s="67" t="n"/>
      <c r="H96" s="67" t="n"/>
      <c r="I96" s="67" t="n"/>
      <c r="J96" s="67" t="n"/>
      <c r="K96" s="67" t="n"/>
      <c r="L96" s="67" t="n"/>
      <c r="R96" s="67" t="n"/>
      <c r="S96" s="67" t="n"/>
      <c r="T96" s="67" t="n"/>
    </row>
    <row r="97">
      <c r="B97" s="67" t="n"/>
      <c r="C97" s="67" t="n"/>
      <c r="E97" s="67" t="n"/>
      <c r="F97" s="67" t="n"/>
      <c r="G97" s="67" t="n"/>
      <c r="H97" s="67" t="n"/>
      <c r="I97" s="67" t="n"/>
      <c r="J97" s="67" t="n"/>
      <c r="K97" s="67" t="n"/>
      <c r="L97" s="67" t="n"/>
      <c r="R97" s="67" t="n"/>
      <c r="S97" s="67" t="n"/>
      <c r="T97" s="67" t="n"/>
    </row>
    <row r="98">
      <c r="B98" s="67" t="n"/>
      <c r="C98" s="67" t="n"/>
      <c r="E98" s="67" t="n"/>
      <c r="F98" s="67" t="n"/>
      <c r="G98" s="67" t="n"/>
      <c r="H98" s="67" t="n"/>
      <c r="I98" s="67" t="n"/>
      <c r="J98" s="67" t="n"/>
      <c r="K98" s="67" t="n"/>
      <c r="L98" s="67" t="n"/>
      <c r="R98" s="67" t="n"/>
      <c r="S98" s="67" t="n"/>
      <c r="T98" s="67" t="n"/>
    </row>
    <row r="99">
      <c r="B99" s="67" t="n"/>
      <c r="C99" s="67" t="n"/>
      <c r="E99" s="67" t="n"/>
      <c r="F99" s="67" t="n"/>
      <c r="G99" s="67" t="n"/>
      <c r="H99" s="67" t="n"/>
      <c r="I99" s="67" t="n"/>
      <c r="J99" s="67" t="n"/>
      <c r="K99" s="67" t="n"/>
      <c r="L99" s="67" t="n"/>
      <c r="R99" s="67" t="n"/>
      <c r="S99" s="67" t="n"/>
      <c r="T99" s="67" t="n"/>
    </row>
    <row r="100">
      <c r="B100" s="67" t="n"/>
      <c r="C100" s="67" t="n"/>
      <c r="E100" s="67" t="n"/>
      <c r="F100" s="67" t="n"/>
      <c r="G100" s="67" t="n"/>
      <c r="H100" s="67" t="n"/>
      <c r="I100" s="67" t="n"/>
      <c r="J100" s="67" t="n"/>
      <c r="K100" s="67" t="n"/>
      <c r="L100" s="67" t="n"/>
      <c r="R100" s="67" t="n"/>
      <c r="S100" s="67" t="n"/>
      <c r="T100" s="67" t="n"/>
    </row>
    <row r="101">
      <c r="B101" s="67" t="n"/>
      <c r="C101" s="67" t="n"/>
      <c r="E101" s="67" t="n"/>
      <c r="F101" s="67" t="n"/>
      <c r="G101" s="67" t="n"/>
      <c r="H101" s="67" t="n"/>
      <c r="I101" s="67" t="n"/>
      <c r="J101" s="67" t="n"/>
      <c r="K101" s="67" t="n"/>
      <c r="L101" s="67" t="n"/>
      <c r="R101" s="67" t="n"/>
      <c r="S101" s="67" t="n"/>
      <c r="T101" s="67" t="n"/>
    </row>
    <row r="102">
      <c r="B102" s="67" t="n"/>
      <c r="C102" s="67" t="n"/>
      <c r="E102" s="67" t="n"/>
      <c r="F102" s="67" t="n"/>
      <c r="G102" s="67" t="n"/>
      <c r="H102" s="67" t="n"/>
      <c r="I102" s="67" t="n"/>
      <c r="J102" s="67" t="n"/>
      <c r="K102" s="67" t="n"/>
      <c r="L102" s="67" t="n"/>
      <c r="R102" s="67" t="n"/>
      <c r="S102" s="67" t="n"/>
      <c r="T102" s="67" t="n"/>
    </row>
    <row r="103">
      <c r="B103" s="67" t="n"/>
      <c r="C103" s="67" t="n"/>
      <c r="E103" s="67" t="n"/>
      <c r="F103" s="67" t="n"/>
      <c r="G103" s="67" t="n"/>
      <c r="H103" s="67" t="n"/>
      <c r="I103" s="67" t="n"/>
      <c r="J103" s="67" t="n"/>
      <c r="K103" s="67" t="n"/>
      <c r="L103" s="67" t="n"/>
      <c r="R103" s="67" t="n"/>
      <c r="S103" s="67" t="n"/>
      <c r="T103" s="67" t="n"/>
    </row>
    <row r="104">
      <c r="B104" s="67" t="n"/>
      <c r="C104" s="67" t="n"/>
      <c r="E104" s="67" t="n"/>
      <c r="F104" s="67" t="n"/>
      <c r="G104" s="67" t="n"/>
      <c r="H104" s="67" t="n"/>
      <c r="I104" s="67" t="n"/>
      <c r="J104" s="67" t="n"/>
      <c r="K104" s="67" t="n"/>
      <c r="L104" s="67" t="n"/>
      <c r="R104" s="67" t="n"/>
      <c r="S104" s="67" t="n"/>
      <c r="T104" s="67" t="n"/>
    </row>
    <row r="105">
      <c r="B105" s="67" t="n"/>
      <c r="C105" s="67" t="n"/>
      <c r="E105" s="67" t="n"/>
      <c r="F105" s="67" t="n"/>
      <c r="G105" s="67" t="n"/>
      <c r="H105" s="67" t="n"/>
      <c r="I105" s="67" t="n"/>
      <c r="J105" s="67" t="n"/>
      <c r="K105" s="67" t="n"/>
      <c r="L105" s="67" t="n"/>
      <c r="R105" s="67" t="n"/>
      <c r="S105" s="67" t="n"/>
      <c r="T105" s="67" t="n"/>
    </row>
    <row r="106">
      <c r="B106" s="67" t="n"/>
      <c r="C106" s="67" t="n"/>
      <c r="E106" s="67" t="n"/>
      <c r="F106" s="67" t="n"/>
      <c r="G106" s="67" t="n"/>
      <c r="H106" s="67" t="n"/>
      <c r="I106" s="67" t="n"/>
      <c r="J106" s="67" t="n"/>
      <c r="K106" s="67" t="n"/>
      <c r="L106" s="67" t="n"/>
      <c r="R106" s="67" t="n"/>
      <c r="S106" s="67" t="n"/>
      <c r="T106" s="67" t="n"/>
    </row>
    <row r="107">
      <c r="B107" s="67" t="n"/>
      <c r="C107" s="67" t="n"/>
      <c r="E107" s="67" t="n"/>
      <c r="F107" s="67" t="n"/>
      <c r="G107" s="67" t="n"/>
      <c r="H107" s="67" t="n"/>
      <c r="I107" s="67" t="n"/>
      <c r="J107" s="67" t="n"/>
      <c r="K107" s="67" t="n"/>
      <c r="L107" s="67" t="n"/>
      <c r="R107" s="67" t="n"/>
      <c r="S107" s="67" t="n"/>
      <c r="T107" s="67" t="n"/>
    </row>
    <row r="108">
      <c r="B108" s="67" t="n"/>
      <c r="C108" s="67" t="n"/>
      <c r="E108" s="67" t="n"/>
      <c r="F108" s="67" t="n"/>
      <c r="G108" s="67" t="n"/>
      <c r="H108" s="67" t="n"/>
      <c r="I108" s="67" t="n"/>
      <c r="J108" s="67" t="n"/>
      <c r="K108" s="67" t="n"/>
      <c r="L108" s="67" t="n"/>
      <c r="R108" s="67" t="n"/>
      <c r="S108" s="67" t="n"/>
      <c r="T108" s="67" t="n"/>
    </row>
    <row r="109">
      <c r="B109" s="67" t="n"/>
      <c r="C109" s="67" t="n"/>
      <c r="E109" s="67" t="n"/>
      <c r="F109" s="67" t="n"/>
      <c r="G109" s="67" t="n"/>
      <c r="H109" s="67" t="n"/>
      <c r="I109" s="67" t="n"/>
      <c r="J109" s="67" t="n"/>
      <c r="K109" s="67" t="n"/>
      <c r="L109" s="67" t="n"/>
      <c r="R109" s="67" t="n"/>
      <c r="S109" s="67" t="n"/>
      <c r="T109" s="67" t="n"/>
    </row>
    <row r="110">
      <c r="B110" s="67" t="n"/>
      <c r="C110" s="67" t="n"/>
      <c r="E110" s="67" t="n"/>
      <c r="F110" s="67" t="n"/>
      <c r="G110" s="67" t="n"/>
      <c r="H110" s="67" t="n"/>
      <c r="I110" s="67" t="n"/>
      <c r="J110" s="67" t="n"/>
      <c r="K110" s="67" t="n"/>
      <c r="L110" s="67" t="n"/>
      <c r="R110" s="67" t="n"/>
      <c r="S110" s="67" t="n"/>
      <c r="T110" s="67" t="n"/>
    </row>
    <row r="111">
      <c r="B111" s="67" t="n"/>
      <c r="C111" s="67" t="n"/>
      <c r="E111" s="67" t="n"/>
      <c r="F111" s="67" t="n"/>
      <c r="G111" s="67" t="n"/>
      <c r="H111" s="67" t="n"/>
      <c r="I111" s="67" t="n"/>
      <c r="J111" s="67" t="n"/>
      <c r="K111" s="67" t="n"/>
      <c r="L111" s="67" t="n"/>
      <c r="R111" s="67" t="n"/>
      <c r="S111" s="67" t="n"/>
      <c r="T111" s="67" t="n"/>
    </row>
    <row r="112">
      <c r="B112" s="67" t="n"/>
      <c r="C112" s="67" t="n"/>
      <c r="E112" s="67" t="n"/>
      <c r="F112" s="67" t="n"/>
      <c r="G112" s="67" t="n"/>
      <c r="H112" s="67" t="n"/>
      <c r="I112" s="67" t="n"/>
      <c r="J112" s="67" t="n"/>
      <c r="K112" s="67" t="n"/>
      <c r="L112" s="67" t="n"/>
      <c r="R112" s="67" t="n"/>
      <c r="S112" s="67" t="n"/>
      <c r="T112" s="67" t="n"/>
    </row>
    <row r="113">
      <c r="B113" s="67" t="n"/>
      <c r="C113" s="67" t="n"/>
      <c r="E113" s="67" t="n"/>
      <c r="F113" s="67" t="n"/>
      <c r="G113" s="67" t="n"/>
      <c r="H113" s="67" t="n"/>
      <c r="I113" s="67" t="n"/>
      <c r="J113" s="67" t="n"/>
      <c r="K113" s="67" t="n"/>
      <c r="L113" s="67" t="n"/>
      <c r="R113" s="67" t="n"/>
      <c r="S113" s="67" t="n"/>
      <c r="T113" s="67" t="n"/>
    </row>
    <row r="114">
      <c r="B114" s="67" t="n"/>
      <c r="C114" s="67" t="n"/>
      <c r="E114" s="67" t="n"/>
      <c r="F114" s="67" t="n"/>
      <c r="G114" s="67" t="n"/>
      <c r="H114" s="67" t="n"/>
      <c r="I114" s="67" t="n"/>
      <c r="J114" s="67" t="n"/>
      <c r="K114" s="67" t="n"/>
      <c r="L114" s="67" t="n"/>
      <c r="R114" s="67" t="n"/>
      <c r="S114" s="67" t="n"/>
      <c r="T114" s="67" t="n"/>
    </row>
    <row r="115">
      <c r="B115" s="67" t="n"/>
      <c r="C115" s="67" t="n"/>
      <c r="E115" s="67" t="n"/>
      <c r="F115" s="67" t="n"/>
      <c r="G115" s="67" t="n"/>
      <c r="H115" s="67" t="n"/>
      <c r="I115" s="67" t="n"/>
      <c r="J115" s="67" t="n"/>
      <c r="K115" s="67" t="n"/>
      <c r="L115" s="67" t="n"/>
      <c r="R115" s="67" t="n"/>
      <c r="S115" s="67" t="n"/>
      <c r="T115" s="67" t="n"/>
    </row>
    <row r="116">
      <c r="B116" s="67" t="n"/>
      <c r="C116" s="67" t="n"/>
      <c r="E116" s="67" t="n"/>
      <c r="F116" s="67" t="n"/>
      <c r="G116" s="67" t="n"/>
      <c r="H116" s="67" t="n"/>
      <c r="I116" s="67" t="n"/>
      <c r="J116" s="67" t="n"/>
      <c r="K116" s="67" t="n"/>
      <c r="L116" s="67" t="n"/>
      <c r="R116" s="67" t="n"/>
      <c r="S116" s="67" t="n"/>
      <c r="T116" s="67" t="n"/>
    </row>
    <row r="117">
      <c r="B117" s="67" t="n"/>
      <c r="C117" s="67" t="n"/>
      <c r="E117" s="67" t="n"/>
      <c r="F117" s="67" t="n"/>
      <c r="G117" s="67" t="n"/>
      <c r="H117" s="67" t="n"/>
      <c r="I117" s="67" t="n"/>
      <c r="J117" s="67" t="n"/>
      <c r="K117" s="67" t="n"/>
      <c r="L117" s="67" t="n"/>
      <c r="R117" s="67" t="n"/>
      <c r="S117" s="67" t="n"/>
      <c r="T117" s="67" t="n"/>
    </row>
    <row r="118">
      <c r="B118" s="67" t="n"/>
      <c r="C118" s="67" t="n"/>
      <c r="E118" s="67" t="n"/>
      <c r="F118" s="67" t="n"/>
      <c r="G118" s="67" t="n"/>
      <c r="H118" s="67" t="n"/>
      <c r="I118" s="67" t="n"/>
      <c r="J118" s="67" t="n"/>
      <c r="K118" s="67" t="n"/>
      <c r="L118" s="67" t="n"/>
      <c r="R118" s="67" t="n"/>
      <c r="S118" s="67" t="n"/>
      <c r="T118" s="67" t="n"/>
    </row>
    <row r="119">
      <c r="B119" s="67" t="n"/>
      <c r="C119" s="67" t="n"/>
      <c r="E119" s="67" t="n"/>
      <c r="F119" s="67" t="n"/>
      <c r="G119" s="67" t="n"/>
      <c r="H119" s="67" t="n"/>
      <c r="I119" s="67" t="n"/>
      <c r="J119" s="67" t="n"/>
      <c r="K119" s="67" t="n"/>
      <c r="L119" s="67" t="n"/>
      <c r="R119" s="67" t="n"/>
      <c r="S119" s="67" t="n"/>
      <c r="T119" s="67" t="n"/>
    </row>
    <row r="120">
      <c r="B120" s="67" t="n"/>
      <c r="C120" s="67" t="n"/>
      <c r="E120" s="67" t="n"/>
      <c r="F120" s="67" t="n"/>
      <c r="G120" s="67" t="n"/>
      <c r="H120" s="67" t="n"/>
      <c r="I120" s="67" t="n"/>
      <c r="J120" s="67" t="n"/>
      <c r="K120" s="67" t="n"/>
      <c r="L120" s="67" t="n"/>
      <c r="R120" s="67" t="n"/>
      <c r="S120" s="67" t="n"/>
      <c r="T120" s="67" t="n"/>
    </row>
    <row r="121">
      <c r="B121" s="67" t="n"/>
      <c r="C121" s="67" t="n"/>
      <c r="E121" s="67" t="n"/>
      <c r="F121" s="67" t="n"/>
      <c r="G121" s="67" t="n"/>
      <c r="H121" s="67" t="n"/>
      <c r="I121" s="67" t="n"/>
      <c r="J121" s="67" t="n"/>
      <c r="K121" s="67" t="n"/>
      <c r="L121" s="67" t="n"/>
      <c r="R121" s="67" t="n"/>
      <c r="S121" s="67" t="n"/>
      <c r="T121" s="67" t="n"/>
    </row>
    <row r="122">
      <c r="B122" s="67" t="n"/>
      <c r="C122" s="67" t="n"/>
      <c r="E122" s="67" t="n"/>
      <c r="F122" s="67" t="n"/>
      <c r="G122" s="67" t="n"/>
      <c r="H122" s="67" t="n"/>
      <c r="I122" s="67" t="n"/>
      <c r="J122" s="67" t="n"/>
      <c r="K122" s="67" t="n"/>
      <c r="L122" s="67" t="n"/>
      <c r="R122" s="67" t="n"/>
      <c r="S122" s="67" t="n"/>
      <c r="T122" s="67" t="n"/>
    </row>
    <row r="123">
      <c r="B123" s="67" t="n"/>
      <c r="C123" s="67" t="n"/>
      <c r="E123" s="67" t="n"/>
      <c r="F123" s="67" t="n"/>
      <c r="G123" s="67" t="n"/>
      <c r="H123" s="67" t="n"/>
      <c r="I123" s="67" t="n"/>
      <c r="J123" s="67" t="n"/>
      <c r="K123" s="67" t="n"/>
      <c r="L123" s="67" t="n"/>
      <c r="R123" s="67" t="n"/>
      <c r="S123" s="67" t="n"/>
      <c r="T123" s="67" t="n"/>
    </row>
    <row r="124">
      <c r="B124" s="67" t="n"/>
      <c r="C124" s="67" t="n"/>
      <c r="E124" s="67" t="n"/>
      <c r="F124" s="67" t="n"/>
      <c r="G124" s="67" t="n"/>
      <c r="H124" s="67" t="n"/>
      <c r="I124" s="67" t="n"/>
      <c r="J124" s="67" t="n"/>
      <c r="K124" s="67" t="n"/>
      <c r="L124" s="67" t="n"/>
      <c r="R124" s="67" t="n"/>
      <c r="S124" s="67" t="n"/>
      <c r="T124" s="67" t="n"/>
    </row>
    <row r="125">
      <c r="B125" s="67" t="n"/>
      <c r="C125" s="67" t="n"/>
      <c r="E125" s="67" t="n"/>
      <c r="F125" s="67" t="n"/>
      <c r="G125" s="67" t="n"/>
      <c r="H125" s="67" t="n"/>
      <c r="I125" s="67" t="n"/>
      <c r="J125" s="67" t="n"/>
      <c r="K125" s="67" t="n"/>
      <c r="L125" s="67" t="n"/>
      <c r="R125" s="67" t="n"/>
      <c r="S125" s="67" t="n"/>
      <c r="T125" s="67" t="n"/>
    </row>
    <row r="126">
      <c r="B126" s="67" t="n"/>
      <c r="C126" s="67" t="n"/>
      <c r="E126" s="67" t="n"/>
      <c r="F126" s="67" t="n"/>
      <c r="G126" s="67" t="n"/>
      <c r="H126" s="67" t="n"/>
      <c r="I126" s="67" t="n"/>
      <c r="J126" s="67" t="n"/>
      <c r="K126" s="67" t="n"/>
      <c r="L126" s="67" t="n"/>
      <c r="R126" s="67" t="n"/>
      <c r="S126" s="67" t="n"/>
      <c r="T126" s="67" t="n"/>
    </row>
    <row r="127">
      <c r="B127" s="67" t="n"/>
      <c r="C127" s="67" t="n"/>
      <c r="E127" s="67" t="n"/>
      <c r="F127" s="67" t="n"/>
      <c r="G127" s="67" t="n"/>
      <c r="H127" s="67" t="n"/>
      <c r="I127" s="67" t="n"/>
      <c r="J127" s="67" t="n"/>
      <c r="K127" s="67" t="n"/>
      <c r="L127" s="67" t="n"/>
      <c r="R127" s="67" t="n"/>
      <c r="S127" s="67" t="n"/>
      <c r="T127" s="67" t="n"/>
    </row>
    <row r="128">
      <c r="B128" s="67" t="n"/>
      <c r="C128" s="67" t="n"/>
      <c r="E128" s="67" t="n"/>
      <c r="F128" s="67" t="n"/>
      <c r="G128" s="67" t="n"/>
      <c r="H128" s="67" t="n"/>
      <c r="I128" s="67" t="n"/>
      <c r="J128" s="67" t="n"/>
      <c r="K128" s="67" t="n"/>
      <c r="L128" s="67" t="n"/>
      <c r="R128" s="67" t="n"/>
      <c r="S128" s="67" t="n"/>
      <c r="T128" s="67" t="n"/>
    </row>
    <row r="129">
      <c r="B129" s="67" t="n"/>
      <c r="C129" s="67" t="n"/>
      <c r="E129" s="67" t="n"/>
      <c r="F129" s="67" t="n"/>
      <c r="G129" s="67" t="n"/>
      <c r="H129" s="67" t="n"/>
      <c r="I129" s="67" t="n"/>
      <c r="J129" s="67" t="n"/>
      <c r="K129" s="67" t="n"/>
      <c r="L129" s="67" t="n"/>
      <c r="R129" s="67" t="n"/>
      <c r="S129" s="67" t="n"/>
      <c r="T129" s="67" t="n"/>
    </row>
    <row r="130">
      <c r="B130" s="67" t="n"/>
      <c r="C130" s="67" t="n"/>
      <c r="E130" s="67" t="n"/>
      <c r="F130" s="67" t="n"/>
      <c r="G130" s="67" t="n"/>
      <c r="H130" s="67" t="n"/>
      <c r="I130" s="67" t="n"/>
      <c r="J130" s="67" t="n"/>
      <c r="K130" s="67" t="n"/>
      <c r="L130" s="67" t="n"/>
      <c r="R130" s="67" t="n"/>
      <c r="S130" s="67" t="n"/>
      <c r="T130" s="67" t="n"/>
    </row>
    <row r="131">
      <c r="B131" s="67" t="n"/>
      <c r="C131" s="67" t="n"/>
      <c r="E131" s="67" t="n"/>
      <c r="F131" s="67" t="n"/>
      <c r="G131" s="67" t="n"/>
      <c r="H131" s="67" t="n"/>
      <c r="I131" s="67" t="n"/>
      <c r="J131" s="67" t="n"/>
      <c r="K131" s="67" t="n"/>
      <c r="L131" s="67" t="n"/>
      <c r="R131" s="67" t="n"/>
      <c r="S131" s="67" t="n"/>
      <c r="T131" s="67" t="n"/>
    </row>
    <row r="132">
      <c r="B132" s="67" t="n"/>
      <c r="C132" s="67" t="n"/>
      <c r="E132" s="67" t="n"/>
      <c r="F132" s="67" t="n"/>
      <c r="G132" s="67" t="n"/>
      <c r="H132" s="67" t="n"/>
      <c r="I132" s="67" t="n"/>
      <c r="J132" s="67" t="n"/>
      <c r="K132" s="67" t="n"/>
      <c r="L132" s="67" t="n"/>
      <c r="R132" s="67" t="n"/>
      <c r="S132" s="67" t="n"/>
      <c r="T132" s="67" t="n"/>
    </row>
    <row r="133">
      <c r="B133" s="67" t="n"/>
      <c r="C133" s="67" t="n"/>
      <c r="E133" s="67" t="n"/>
      <c r="F133" s="67" t="n"/>
      <c r="G133" s="67" t="n"/>
      <c r="H133" s="67" t="n"/>
      <c r="I133" s="67" t="n"/>
      <c r="J133" s="67" t="n"/>
      <c r="K133" s="67" t="n"/>
      <c r="L133" s="67" t="n"/>
      <c r="R133" s="67" t="n"/>
      <c r="S133" s="67" t="n"/>
      <c r="T133" s="67" t="n"/>
    </row>
    <row r="134">
      <c r="B134" s="67" t="n"/>
      <c r="C134" s="67" t="n"/>
      <c r="E134" s="67" t="n"/>
      <c r="F134" s="67" t="n"/>
      <c r="G134" s="67" t="n"/>
      <c r="H134" s="67" t="n"/>
      <c r="I134" s="67" t="n"/>
      <c r="J134" s="67" t="n"/>
      <c r="K134" s="67" t="n"/>
      <c r="L134" s="67" t="n"/>
      <c r="R134" s="67" t="n"/>
      <c r="S134" s="67" t="n"/>
      <c r="T134" s="67" t="n"/>
    </row>
    <row r="135">
      <c r="B135" s="67" t="n"/>
      <c r="C135" s="67" t="n"/>
      <c r="E135" s="67" t="n"/>
      <c r="F135" s="67" t="n"/>
      <c r="G135" s="67" t="n"/>
      <c r="H135" s="67" t="n"/>
      <c r="I135" s="67" t="n"/>
      <c r="J135" s="67" t="n"/>
      <c r="K135" s="67" t="n"/>
      <c r="L135" s="67" t="n"/>
      <c r="R135" s="67" t="n"/>
      <c r="S135" s="67" t="n"/>
      <c r="T135" s="67" t="n"/>
    </row>
    <row r="136">
      <c r="B136" s="67" t="n"/>
      <c r="C136" s="67" t="n"/>
      <c r="E136" s="67" t="n"/>
      <c r="F136" s="67" t="n"/>
      <c r="G136" s="67" t="n"/>
      <c r="H136" s="67" t="n"/>
      <c r="I136" s="67" t="n"/>
      <c r="J136" s="67" t="n"/>
      <c r="K136" s="67" t="n"/>
      <c r="L136" s="67" t="n"/>
      <c r="R136" s="67" t="n"/>
      <c r="S136" s="67" t="n"/>
      <c r="T136" s="67" t="n"/>
    </row>
    <row r="137">
      <c r="B137" s="67" t="n"/>
      <c r="C137" s="67" t="n"/>
      <c r="E137" s="67" t="n"/>
      <c r="F137" s="67" t="n"/>
      <c r="G137" s="67" t="n"/>
      <c r="H137" s="67" t="n"/>
      <c r="I137" s="67" t="n"/>
      <c r="J137" s="67" t="n"/>
      <c r="K137" s="67" t="n"/>
      <c r="L137" s="67" t="n"/>
      <c r="R137" s="67" t="n"/>
      <c r="S137" s="67" t="n"/>
      <c r="T137" s="67" t="n"/>
    </row>
    <row r="138">
      <c r="B138" s="67" t="n"/>
      <c r="C138" s="67" t="n"/>
      <c r="E138" s="67" t="n"/>
      <c r="F138" s="67" t="n"/>
      <c r="G138" s="67" t="n"/>
      <c r="H138" s="67" t="n"/>
      <c r="I138" s="67" t="n"/>
      <c r="J138" s="67" t="n"/>
      <c r="K138" s="67" t="n"/>
      <c r="L138" s="67" t="n"/>
      <c r="R138" s="67" t="n"/>
      <c r="S138" s="67" t="n"/>
      <c r="T138" s="67" t="n"/>
    </row>
    <row r="139">
      <c r="B139" s="67" t="n"/>
      <c r="C139" s="67" t="n"/>
      <c r="E139" s="67" t="n"/>
      <c r="F139" s="67" t="n"/>
      <c r="G139" s="67" t="n"/>
      <c r="H139" s="67" t="n"/>
      <c r="I139" s="67" t="n"/>
      <c r="J139" s="67" t="n"/>
      <c r="K139" s="67" t="n"/>
      <c r="L139" s="67" t="n"/>
      <c r="R139" s="67" t="n"/>
      <c r="S139" s="67" t="n"/>
      <c r="T139" s="67" t="n"/>
    </row>
    <row r="140">
      <c r="B140" s="67" t="n"/>
      <c r="C140" s="67" t="n"/>
      <c r="E140" s="67" t="n"/>
      <c r="F140" s="67" t="n"/>
      <c r="G140" s="67" t="n"/>
      <c r="H140" s="67" t="n"/>
      <c r="I140" s="67" t="n"/>
      <c r="J140" s="67" t="n"/>
      <c r="K140" s="67" t="n"/>
      <c r="L140" s="67" t="n"/>
      <c r="R140" s="67" t="n"/>
      <c r="S140" s="67" t="n"/>
      <c r="T140" s="67" t="n"/>
    </row>
    <row r="141">
      <c r="B141" s="67" t="n"/>
      <c r="C141" s="67" t="n"/>
      <c r="E141" s="67" t="n"/>
      <c r="F141" s="67" t="n"/>
      <c r="G141" s="67" t="n"/>
      <c r="H141" s="67" t="n"/>
      <c r="I141" s="67" t="n"/>
      <c r="J141" s="67" t="n"/>
      <c r="K141" s="67" t="n"/>
      <c r="L141" s="67" t="n"/>
      <c r="R141" s="67" t="n"/>
      <c r="S141" s="67" t="n"/>
      <c r="T141" s="67" t="n"/>
    </row>
    <row r="142">
      <c r="B142" s="67" t="n"/>
      <c r="C142" s="67" t="n"/>
      <c r="E142" s="67" t="n"/>
      <c r="F142" s="67" t="n"/>
      <c r="G142" s="67" t="n"/>
      <c r="H142" s="67" t="n"/>
      <c r="I142" s="67" t="n"/>
      <c r="J142" s="67" t="n"/>
      <c r="K142" s="67" t="n"/>
      <c r="L142" s="67" t="n"/>
      <c r="R142" s="67" t="n"/>
      <c r="S142" s="67" t="n"/>
      <c r="T142" s="67" t="n"/>
    </row>
    <row r="143">
      <c r="B143" s="67" t="n"/>
      <c r="C143" s="67" t="n"/>
      <c r="E143" s="67" t="n"/>
      <c r="F143" s="67" t="n"/>
      <c r="G143" s="67" t="n"/>
      <c r="H143" s="67" t="n"/>
      <c r="I143" s="67" t="n"/>
      <c r="J143" s="67" t="n"/>
      <c r="K143" s="67" t="n"/>
      <c r="L143" s="67" t="n"/>
      <c r="R143" s="67" t="n"/>
      <c r="S143" s="67" t="n"/>
      <c r="T143" s="67" t="n"/>
    </row>
    <row r="144">
      <c r="B144" s="67" t="n"/>
      <c r="C144" s="67" t="n"/>
      <c r="E144" s="67" t="n"/>
      <c r="F144" s="67" t="n"/>
      <c r="G144" s="67" t="n"/>
      <c r="H144" s="67" t="n"/>
      <c r="I144" s="67" t="n"/>
      <c r="J144" s="67" t="n"/>
      <c r="K144" s="67" t="n"/>
      <c r="L144" s="67" t="n"/>
      <c r="R144" s="67" t="n"/>
      <c r="S144" s="67" t="n"/>
      <c r="T144" s="67" t="n"/>
    </row>
    <row r="145">
      <c r="B145" s="67" t="n"/>
      <c r="C145" s="67" t="n"/>
      <c r="E145" s="67" t="n"/>
      <c r="F145" s="67" t="n"/>
      <c r="G145" s="67" t="n"/>
      <c r="H145" s="67" t="n"/>
      <c r="I145" s="67" t="n"/>
      <c r="J145" s="67" t="n"/>
      <c r="K145" s="67" t="n"/>
      <c r="L145" s="67" t="n"/>
      <c r="R145" s="67" t="n"/>
      <c r="S145" s="67" t="n"/>
      <c r="T145" s="67" t="n"/>
    </row>
    <row r="146">
      <c r="B146" s="67" t="n"/>
      <c r="C146" s="67" t="n"/>
      <c r="E146" s="67" t="n"/>
      <c r="F146" s="67" t="n"/>
      <c r="G146" s="67" t="n"/>
      <c r="H146" s="67" t="n"/>
      <c r="I146" s="67" t="n"/>
      <c r="J146" s="67" t="n"/>
      <c r="K146" s="67" t="n"/>
      <c r="L146" s="67" t="n"/>
      <c r="R146" s="67" t="n"/>
      <c r="S146" s="67" t="n"/>
      <c r="T146" s="67" t="n"/>
    </row>
    <row r="147">
      <c r="B147" s="67" t="n"/>
      <c r="C147" s="67" t="n"/>
      <c r="E147" s="67" t="n"/>
      <c r="F147" s="67" t="n"/>
      <c r="G147" s="67" t="n"/>
      <c r="H147" s="67" t="n"/>
      <c r="I147" s="67" t="n"/>
      <c r="J147" s="67" t="n"/>
      <c r="K147" s="67" t="n"/>
      <c r="L147" s="67" t="n"/>
      <c r="R147" s="67" t="n"/>
      <c r="S147" s="67" t="n"/>
      <c r="T147" s="67" t="n"/>
    </row>
    <row r="148">
      <c r="B148" s="67" t="n"/>
      <c r="C148" s="67" t="n"/>
      <c r="E148" s="67" t="n"/>
      <c r="F148" s="67" t="n"/>
      <c r="G148" s="67" t="n"/>
      <c r="H148" s="67" t="n"/>
      <c r="I148" s="67" t="n"/>
      <c r="J148" s="67" t="n"/>
      <c r="K148" s="67" t="n"/>
      <c r="L148" s="67" t="n"/>
      <c r="R148" s="67" t="n"/>
      <c r="S148" s="67" t="n"/>
      <c r="T148" s="67" t="n"/>
    </row>
    <row r="149">
      <c r="B149" s="67" t="n"/>
      <c r="C149" s="67" t="n"/>
      <c r="E149" s="67" t="n"/>
      <c r="F149" s="67" t="n"/>
      <c r="G149" s="67" t="n"/>
      <c r="H149" s="67" t="n"/>
      <c r="I149" s="67" t="n"/>
      <c r="J149" s="67" t="n"/>
      <c r="K149" s="67" t="n"/>
      <c r="L149" s="67" t="n"/>
      <c r="R149" s="67" t="n"/>
      <c r="S149" s="67" t="n"/>
      <c r="T149" s="67" t="n"/>
    </row>
    <row r="150">
      <c r="B150" s="67" t="n"/>
      <c r="C150" s="67" t="n"/>
      <c r="E150" s="67" t="n"/>
      <c r="F150" s="67" t="n"/>
      <c r="G150" s="67" t="n"/>
      <c r="H150" s="67" t="n"/>
      <c r="I150" s="67" t="n"/>
      <c r="J150" s="67" t="n"/>
      <c r="K150" s="67" t="n"/>
      <c r="L150" s="67" t="n"/>
      <c r="R150" s="67" t="n"/>
      <c r="S150" s="67" t="n"/>
      <c r="T150" s="67" t="n"/>
    </row>
    <row r="151">
      <c r="B151" s="67" t="n"/>
      <c r="C151" s="67" t="n"/>
      <c r="E151" s="67" t="n"/>
      <c r="F151" s="67" t="n"/>
      <c r="G151" s="67" t="n"/>
      <c r="H151" s="67" t="n"/>
      <c r="I151" s="67" t="n"/>
      <c r="J151" s="67" t="n"/>
      <c r="K151" s="67" t="n"/>
      <c r="L151" s="67" t="n"/>
      <c r="R151" s="67" t="n"/>
      <c r="S151" s="67" t="n"/>
      <c r="T151" s="67" t="n"/>
    </row>
    <row r="152">
      <c r="B152" s="67" t="n"/>
      <c r="C152" s="67" t="n"/>
      <c r="E152" s="67" t="n"/>
      <c r="F152" s="67" t="n"/>
      <c r="G152" s="67" t="n"/>
      <c r="H152" s="67" t="n"/>
      <c r="I152" s="67" t="n"/>
      <c r="J152" s="67" t="n"/>
      <c r="K152" s="67" t="n"/>
      <c r="L152" s="67" t="n"/>
      <c r="R152" s="67" t="n"/>
      <c r="S152" s="67" t="n"/>
      <c r="T152" s="67" t="n"/>
    </row>
    <row r="153">
      <c r="B153" s="67" t="n"/>
      <c r="C153" s="67" t="n"/>
      <c r="E153" s="67" t="n"/>
      <c r="F153" s="67" t="n"/>
      <c r="G153" s="67" t="n"/>
      <c r="H153" s="67" t="n"/>
      <c r="I153" s="67" t="n"/>
      <c r="J153" s="67" t="n"/>
      <c r="K153" s="67" t="n"/>
      <c r="L153" s="67" t="n"/>
      <c r="R153" s="67" t="n"/>
      <c r="S153" s="67" t="n"/>
      <c r="T153" s="67" t="n"/>
    </row>
    <row r="154">
      <c r="B154" s="67" t="n"/>
      <c r="C154" s="67" t="n"/>
      <c r="E154" s="67" t="n"/>
      <c r="F154" s="67" t="n"/>
      <c r="G154" s="67" t="n"/>
      <c r="H154" s="67" t="n"/>
      <c r="I154" s="67" t="n"/>
      <c r="J154" s="67" t="n"/>
      <c r="K154" s="67" t="n"/>
      <c r="L154" s="67" t="n"/>
      <c r="R154" s="67" t="n"/>
      <c r="S154" s="67" t="n"/>
      <c r="T154" s="67" t="n"/>
    </row>
    <row r="155">
      <c r="B155" s="67" t="n"/>
      <c r="C155" s="67" t="n"/>
      <c r="E155" s="67" t="n"/>
      <c r="F155" s="67" t="n"/>
      <c r="G155" s="67" t="n"/>
      <c r="H155" s="67" t="n"/>
      <c r="I155" s="67" t="n"/>
      <c r="J155" s="67" t="n"/>
      <c r="K155" s="67" t="n"/>
      <c r="L155" s="67" t="n"/>
      <c r="R155" s="67" t="n"/>
      <c r="S155" s="67" t="n"/>
      <c r="T155" s="67" t="n"/>
    </row>
    <row r="156">
      <c r="B156" s="67" t="n"/>
      <c r="C156" s="67" t="n"/>
      <c r="E156" s="67" t="n"/>
      <c r="F156" s="67" t="n"/>
      <c r="G156" s="67" t="n"/>
      <c r="H156" s="67" t="n"/>
      <c r="I156" s="67" t="n"/>
      <c r="J156" s="67" t="n"/>
      <c r="K156" s="67" t="n"/>
      <c r="L156" s="67" t="n"/>
      <c r="R156" s="67" t="n"/>
      <c r="S156" s="67" t="n"/>
      <c r="T156" s="67" t="n"/>
    </row>
    <row r="157">
      <c r="B157" s="67" t="n"/>
      <c r="C157" s="67" t="n"/>
      <c r="E157" s="67" t="n"/>
      <c r="F157" s="67" t="n"/>
      <c r="G157" s="67" t="n"/>
      <c r="H157" s="67" t="n"/>
      <c r="I157" s="67" t="n"/>
      <c r="J157" s="67" t="n"/>
      <c r="K157" s="67" t="n"/>
      <c r="L157" s="67" t="n"/>
      <c r="R157" s="67" t="n"/>
      <c r="S157" s="67" t="n"/>
      <c r="T157" s="67" t="n"/>
    </row>
    <row r="158">
      <c r="B158" s="67" t="n"/>
      <c r="C158" s="67" t="n"/>
      <c r="E158" s="67" t="n"/>
      <c r="F158" s="67" t="n"/>
      <c r="G158" s="67" t="n"/>
      <c r="H158" s="67" t="n"/>
      <c r="I158" s="67" t="n"/>
      <c r="J158" s="67" t="n"/>
      <c r="K158" s="67" t="n"/>
      <c r="L158" s="67" t="n"/>
      <c r="R158" s="67" t="n"/>
      <c r="S158" s="67" t="n"/>
      <c r="T158" s="67" t="n"/>
    </row>
    <row r="159">
      <c r="B159" s="67" t="n"/>
      <c r="C159" s="67" t="n"/>
      <c r="E159" s="67" t="n"/>
      <c r="F159" s="67" t="n"/>
      <c r="G159" s="67" t="n"/>
      <c r="H159" s="67" t="n"/>
      <c r="I159" s="67" t="n"/>
      <c r="J159" s="67" t="n"/>
      <c r="K159" s="67" t="n"/>
      <c r="L159" s="67" t="n"/>
      <c r="R159" s="67" t="n"/>
      <c r="S159" s="67" t="n"/>
      <c r="T159" s="67" t="n"/>
    </row>
    <row r="160">
      <c r="B160" s="67" t="n"/>
      <c r="C160" s="67" t="n"/>
      <c r="E160" s="67" t="n"/>
      <c r="F160" s="67" t="n"/>
      <c r="G160" s="67" t="n"/>
      <c r="H160" s="67" t="n"/>
      <c r="I160" s="67" t="n"/>
      <c r="J160" s="67" t="n"/>
      <c r="K160" s="67" t="n"/>
      <c r="L160" s="67" t="n"/>
      <c r="R160" s="67" t="n"/>
      <c r="S160" s="67" t="n"/>
      <c r="T160" s="67" t="n"/>
    </row>
    <row r="161">
      <c r="B161" s="67" t="n"/>
      <c r="C161" s="67" t="n"/>
      <c r="E161" s="67" t="n"/>
      <c r="F161" s="67" t="n"/>
      <c r="G161" s="67" t="n"/>
      <c r="H161" s="67" t="n"/>
      <c r="I161" s="67" t="n"/>
      <c r="J161" s="67" t="n"/>
      <c r="K161" s="67" t="n"/>
      <c r="L161" s="67" t="n"/>
      <c r="R161" s="67" t="n"/>
      <c r="S161" s="67" t="n"/>
      <c r="T161" s="67" t="n"/>
    </row>
    <row r="162">
      <c r="B162" s="67" t="n"/>
      <c r="C162" s="67" t="n"/>
      <c r="E162" s="67" t="n"/>
      <c r="F162" s="67" t="n"/>
      <c r="G162" s="67" t="n"/>
      <c r="H162" s="67" t="n"/>
      <c r="I162" s="67" t="n"/>
      <c r="J162" s="67" t="n"/>
      <c r="K162" s="67" t="n"/>
      <c r="L162" s="67" t="n"/>
      <c r="R162" s="67" t="n"/>
      <c r="S162" s="67" t="n"/>
      <c r="T162" s="67" t="n"/>
    </row>
    <row r="163">
      <c r="B163" s="67" t="n"/>
      <c r="C163" s="67" t="n"/>
      <c r="E163" s="67" t="n"/>
      <c r="F163" s="67" t="n"/>
      <c r="G163" s="67" t="n"/>
      <c r="H163" s="67" t="n"/>
      <c r="I163" s="67" t="n"/>
      <c r="J163" s="67" t="n"/>
      <c r="K163" s="67" t="n"/>
      <c r="L163" s="67" t="n"/>
      <c r="R163" s="67" t="n"/>
      <c r="S163" s="67" t="n"/>
      <c r="T163" s="67" t="n"/>
    </row>
    <row r="164">
      <c r="B164" s="67" t="n"/>
      <c r="C164" s="67" t="n"/>
      <c r="E164" s="67" t="n"/>
      <c r="F164" s="67" t="n"/>
      <c r="G164" s="67" t="n"/>
      <c r="H164" s="67" t="n"/>
      <c r="I164" s="67" t="n"/>
      <c r="J164" s="67" t="n"/>
      <c r="K164" s="67" t="n"/>
      <c r="L164" s="67" t="n"/>
      <c r="R164" s="67" t="n"/>
      <c r="S164" s="67" t="n"/>
      <c r="T164" s="67" t="n"/>
    </row>
    <row r="165">
      <c r="B165" s="67" t="n"/>
      <c r="C165" s="67" t="n"/>
      <c r="E165" s="67" t="n"/>
      <c r="F165" s="67" t="n"/>
      <c r="G165" s="67" t="n"/>
      <c r="H165" s="67" t="n"/>
      <c r="I165" s="67" t="n"/>
      <c r="J165" s="67" t="n"/>
      <c r="K165" s="67" t="n"/>
      <c r="L165" s="67" t="n"/>
      <c r="R165" s="67" t="n"/>
      <c r="S165" s="67" t="n"/>
      <c r="T165" s="67" t="n"/>
    </row>
    <row r="166">
      <c r="B166" s="67" t="n"/>
      <c r="C166" s="67" t="n"/>
      <c r="E166" s="67" t="n"/>
      <c r="F166" s="67" t="n"/>
      <c r="G166" s="67" t="n"/>
      <c r="H166" s="67" t="n"/>
      <c r="I166" s="67" t="n"/>
      <c r="J166" s="67" t="n"/>
      <c r="K166" s="67" t="n"/>
      <c r="L166" s="67" t="n"/>
      <c r="R166" s="67" t="n"/>
      <c r="S166" s="67" t="n"/>
      <c r="T166" s="67" t="n"/>
    </row>
    <row r="167">
      <c r="B167" s="67" t="n"/>
      <c r="C167" s="67" t="n"/>
      <c r="E167" s="67" t="n"/>
      <c r="F167" s="67" t="n"/>
      <c r="G167" s="67" t="n"/>
      <c r="H167" s="67" t="n"/>
      <c r="I167" s="67" t="n"/>
      <c r="J167" s="67" t="n"/>
      <c r="K167" s="67" t="n"/>
      <c r="L167" s="67" t="n"/>
      <c r="R167" s="67" t="n"/>
      <c r="S167" s="67" t="n"/>
      <c r="T167" s="67" t="n"/>
    </row>
    <row r="168">
      <c r="B168" s="67" t="n"/>
      <c r="C168" s="67" t="n"/>
      <c r="E168" s="67" t="n"/>
      <c r="F168" s="67" t="n"/>
      <c r="G168" s="67" t="n"/>
      <c r="H168" s="67" t="n"/>
      <c r="I168" s="67" t="n"/>
      <c r="J168" s="67" t="n"/>
      <c r="K168" s="67" t="n"/>
      <c r="L168" s="67" t="n"/>
      <c r="R168" s="67" t="n"/>
      <c r="S168" s="67" t="n"/>
      <c r="T168" s="67" t="n"/>
    </row>
    <row r="169">
      <c r="B169" s="67" t="n"/>
      <c r="C169" s="67" t="n"/>
      <c r="E169" s="67" t="n"/>
      <c r="F169" s="67" t="n"/>
      <c r="G169" s="67" t="n"/>
      <c r="H169" s="67" t="n"/>
      <c r="I169" s="67" t="n"/>
      <c r="J169" s="67" t="n"/>
      <c r="K169" s="67" t="n"/>
      <c r="L169" s="67" t="n"/>
      <c r="R169" s="67" t="n"/>
      <c r="S169" s="67" t="n"/>
      <c r="T169" s="67" t="n"/>
    </row>
    <row r="170">
      <c r="B170" s="67" t="n"/>
      <c r="C170" s="67" t="n"/>
      <c r="E170" s="67" t="n"/>
      <c r="F170" s="67" t="n"/>
      <c r="G170" s="67" t="n"/>
      <c r="H170" s="67" t="n"/>
      <c r="I170" s="67" t="n"/>
      <c r="J170" s="67" t="n"/>
      <c r="K170" s="67" t="n"/>
      <c r="L170" s="67" t="n"/>
      <c r="R170" s="67" t="n"/>
      <c r="S170" s="67" t="n"/>
      <c r="T170" s="67" t="n"/>
    </row>
    <row r="171">
      <c r="B171" s="67" t="n"/>
      <c r="C171" s="67" t="n"/>
      <c r="E171" s="67" t="n"/>
      <c r="F171" s="67" t="n"/>
      <c r="G171" s="67" t="n"/>
      <c r="H171" s="67" t="n"/>
      <c r="I171" s="67" t="n"/>
      <c r="J171" s="67" t="n"/>
      <c r="K171" s="67" t="n"/>
      <c r="L171" s="67" t="n"/>
      <c r="R171" s="67" t="n"/>
      <c r="S171" s="67" t="n"/>
      <c r="T171" s="67" t="n"/>
    </row>
    <row r="172">
      <c r="B172" s="67" t="n"/>
      <c r="C172" s="67" t="n"/>
      <c r="E172" s="67" t="n"/>
      <c r="F172" s="67" t="n"/>
      <c r="G172" s="67" t="n"/>
      <c r="H172" s="67" t="n"/>
      <c r="I172" s="67" t="n"/>
      <c r="J172" s="67" t="n"/>
      <c r="K172" s="67" t="n"/>
      <c r="L172" s="67" t="n"/>
      <c r="R172" s="67" t="n"/>
      <c r="S172" s="67" t="n"/>
      <c r="T172" s="67" t="n"/>
    </row>
    <row r="173">
      <c r="B173" s="67" t="n"/>
      <c r="C173" s="67" t="n"/>
      <c r="E173" s="67" t="n"/>
      <c r="F173" s="67" t="n"/>
      <c r="G173" s="67" t="n"/>
      <c r="H173" s="67" t="n"/>
      <c r="I173" s="67" t="n"/>
      <c r="J173" s="67" t="n"/>
      <c r="K173" s="67" t="n"/>
      <c r="L173" s="67" t="n"/>
      <c r="R173" s="67" t="n"/>
      <c r="S173" s="67" t="n"/>
      <c r="T173" s="67" t="n"/>
    </row>
    <row r="174">
      <c r="B174" s="67" t="n"/>
      <c r="C174" s="67" t="n"/>
      <c r="E174" s="67" t="n"/>
      <c r="F174" s="67" t="n"/>
      <c r="G174" s="67" t="n"/>
      <c r="H174" s="67" t="n"/>
      <c r="I174" s="67" t="n"/>
      <c r="J174" s="67" t="n"/>
      <c r="K174" s="67" t="n"/>
      <c r="L174" s="67" t="n"/>
      <c r="R174" s="67" t="n"/>
      <c r="S174" s="67" t="n"/>
      <c r="T174" s="67" t="n"/>
    </row>
    <row r="175">
      <c r="B175" s="67" t="n"/>
      <c r="C175" s="67" t="n"/>
      <c r="E175" s="67" t="n"/>
      <c r="F175" s="67" t="n"/>
      <c r="G175" s="67" t="n"/>
      <c r="H175" s="67" t="n"/>
      <c r="I175" s="67" t="n"/>
      <c r="J175" s="67" t="n"/>
      <c r="K175" s="67" t="n"/>
      <c r="L175" s="67" t="n"/>
      <c r="R175" s="67" t="n"/>
      <c r="S175" s="67" t="n"/>
      <c r="T175" s="67" t="n"/>
    </row>
    <row r="176">
      <c r="B176" s="67" t="n"/>
      <c r="C176" s="67" t="n"/>
      <c r="E176" s="67" t="n"/>
      <c r="F176" s="67" t="n"/>
      <c r="G176" s="67" t="n"/>
      <c r="H176" s="67" t="n"/>
      <c r="I176" s="67" t="n"/>
      <c r="J176" s="67" t="n"/>
      <c r="K176" s="67" t="n"/>
      <c r="L176" s="67" t="n"/>
      <c r="R176" s="67" t="n"/>
      <c r="S176" s="67" t="n"/>
      <c r="T176" s="67" t="n"/>
    </row>
    <row r="177">
      <c r="B177" s="67" t="n"/>
      <c r="C177" s="67" t="n"/>
      <c r="E177" s="67" t="n"/>
      <c r="F177" s="67" t="n"/>
      <c r="G177" s="67" t="n"/>
      <c r="H177" s="67" t="n"/>
      <c r="I177" s="67" t="n"/>
      <c r="J177" s="67" t="n"/>
      <c r="K177" s="67" t="n"/>
      <c r="L177" s="67" t="n"/>
      <c r="R177" s="67" t="n"/>
      <c r="S177" s="67" t="n"/>
      <c r="T177" s="67" t="n"/>
    </row>
    <row r="178">
      <c r="B178" s="67" t="n"/>
      <c r="C178" s="67" t="n"/>
      <c r="E178" s="67" t="n"/>
      <c r="F178" s="67" t="n"/>
      <c r="G178" s="67" t="n"/>
      <c r="H178" s="67" t="n"/>
      <c r="I178" s="67" t="n"/>
      <c r="J178" s="67" t="n"/>
      <c r="K178" s="67" t="n"/>
      <c r="L178" s="67" t="n"/>
      <c r="R178" s="67" t="n"/>
      <c r="S178" s="67" t="n"/>
      <c r="T178" s="67" t="n"/>
    </row>
    <row r="179">
      <c r="B179" s="67" t="n"/>
      <c r="C179" s="67" t="n"/>
      <c r="E179" s="67" t="n"/>
      <c r="F179" s="67" t="n"/>
      <c r="G179" s="67" t="n"/>
      <c r="H179" s="67" t="n"/>
      <c r="I179" s="67" t="n"/>
      <c r="J179" s="67" t="n"/>
      <c r="K179" s="67" t="n"/>
      <c r="L179" s="67" t="n"/>
      <c r="R179" s="67" t="n"/>
      <c r="S179" s="67" t="n"/>
      <c r="T179" s="67" t="n"/>
    </row>
    <row r="180">
      <c r="B180" s="67" t="n"/>
      <c r="C180" s="67" t="n"/>
      <c r="E180" s="67" t="n"/>
      <c r="F180" s="67" t="n"/>
      <c r="G180" s="67" t="n"/>
      <c r="H180" s="67" t="n"/>
      <c r="I180" s="67" t="n"/>
      <c r="J180" s="67" t="n"/>
      <c r="K180" s="67" t="n"/>
      <c r="L180" s="67" t="n"/>
      <c r="R180" s="67" t="n"/>
      <c r="S180" s="67" t="n"/>
      <c r="T180" s="67" t="n"/>
    </row>
    <row r="181">
      <c r="B181" s="67" t="n"/>
      <c r="C181" s="67" t="n"/>
      <c r="E181" s="67" t="n"/>
      <c r="F181" s="67" t="n"/>
      <c r="G181" s="67" t="n"/>
      <c r="H181" s="67" t="n"/>
      <c r="I181" s="67" t="n"/>
      <c r="J181" s="67" t="n"/>
      <c r="K181" s="67" t="n"/>
      <c r="L181" s="67" t="n"/>
      <c r="R181" s="67" t="n"/>
      <c r="S181" s="67" t="n"/>
      <c r="T181" s="67" t="n"/>
    </row>
    <row r="182">
      <c r="B182" s="67" t="n"/>
      <c r="C182" s="67" t="n"/>
      <c r="E182" s="67" t="n"/>
      <c r="F182" s="67" t="n"/>
      <c r="G182" s="67" t="n"/>
      <c r="H182" s="67" t="n"/>
      <c r="I182" s="67" t="n"/>
      <c r="J182" s="67" t="n"/>
      <c r="K182" s="67" t="n"/>
      <c r="L182" s="67" t="n"/>
      <c r="R182" s="67" t="n"/>
      <c r="S182" s="67" t="n"/>
      <c r="T182" s="67" t="n"/>
    </row>
    <row r="183">
      <c r="B183" s="67" t="n"/>
      <c r="C183" s="67" t="n"/>
      <c r="E183" s="67" t="n"/>
      <c r="F183" s="67" t="n"/>
      <c r="G183" s="67" t="n"/>
      <c r="H183" s="67" t="n"/>
      <c r="I183" s="67" t="n"/>
      <c r="J183" s="67" t="n"/>
      <c r="K183" s="67" t="n"/>
      <c r="L183" s="67" t="n"/>
      <c r="R183" s="67" t="n"/>
      <c r="S183" s="67" t="n"/>
      <c r="T183" s="67" t="n"/>
    </row>
    <row r="184">
      <c r="B184" s="67" t="n"/>
      <c r="C184" s="67" t="n"/>
      <c r="E184" s="67" t="n"/>
      <c r="F184" s="67" t="n"/>
      <c r="G184" s="67" t="n"/>
      <c r="H184" s="67" t="n"/>
      <c r="I184" s="67" t="n"/>
      <c r="J184" s="67" t="n"/>
      <c r="K184" s="67" t="n"/>
      <c r="L184" s="67" t="n"/>
      <c r="R184" s="67" t="n"/>
      <c r="S184" s="67" t="n"/>
      <c r="T184" s="67" t="n"/>
    </row>
    <row r="185">
      <c r="B185" s="67" t="n"/>
      <c r="C185" s="67" t="n"/>
      <c r="E185" s="67" t="n"/>
      <c r="F185" s="67" t="n"/>
      <c r="G185" s="67" t="n"/>
      <c r="H185" s="67" t="n"/>
      <c r="I185" s="67" t="n"/>
      <c r="J185" s="67" t="n"/>
      <c r="K185" s="67" t="n"/>
      <c r="L185" s="67" t="n"/>
      <c r="R185" s="67" t="n"/>
      <c r="S185" s="67" t="n"/>
      <c r="T185" s="67" t="n"/>
    </row>
    <row r="186">
      <c r="B186" s="67" t="n"/>
      <c r="C186" s="67" t="n"/>
      <c r="E186" s="67" t="n"/>
      <c r="F186" s="67" t="n"/>
      <c r="G186" s="67" t="n"/>
      <c r="H186" s="67" t="n"/>
      <c r="I186" s="67" t="n"/>
      <c r="J186" s="67" t="n"/>
      <c r="K186" s="67" t="n"/>
      <c r="L186" s="67" t="n"/>
      <c r="R186" s="67" t="n"/>
      <c r="S186" s="67" t="n"/>
      <c r="T186" s="67" t="n"/>
    </row>
    <row r="187">
      <c r="B187" s="67" t="n"/>
      <c r="C187" s="67" t="n"/>
      <c r="E187" s="67" t="n"/>
      <c r="F187" s="67" t="n"/>
      <c r="G187" s="67" t="n"/>
      <c r="H187" s="67" t="n"/>
      <c r="I187" s="67" t="n"/>
      <c r="J187" s="67" t="n"/>
      <c r="K187" s="67" t="n"/>
      <c r="L187" s="67" t="n"/>
      <c r="R187" s="67" t="n"/>
      <c r="S187" s="67" t="n"/>
      <c r="T187" s="67" t="n"/>
    </row>
    <row r="188">
      <c r="B188" s="67" t="n"/>
      <c r="C188" s="67" t="n"/>
      <c r="E188" s="67" t="n"/>
      <c r="F188" s="67" t="n"/>
      <c r="G188" s="67" t="n"/>
      <c r="H188" s="67" t="n"/>
      <c r="I188" s="67" t="n"/>
      <c r="J188" s="67" t="n"/>
      <c r="K188" s="67" t="n"/>
      <c r="L188" s="67" t="n"/>
      <c r="R188" s="67" t="n"/>
      <c r="S188" s="67" t="n"/>
      <c r="T188" s="67" t="n"/>
    </row>
    <row r="189">
      <c r="B189" s="67" t="n"/>
      <c r="C189" s="67" t="n"/>
      <c r="E189" s="67" t="n"/>
      <c r="F189" s="67" t="n"/>
      <c r="G189" s="67" t="n"/>
      <c r="H189" s="67" t="n"/>
      <c r="I189" s="67" t="n"/>
      <c r="J189" s="67" t="n"/>
      <c r="K189" s="67" t="n"/>
      <c r="L189" s="67" t="n"/>
      <c r="R189" s="67" t="n"/>
      <c r="S189" s="67" t="n"/>
      <c r="T189" s="67" t="n"/>
    </row>
    <row r="190">
      <c r="B190" s="67" t="n"/>
      <c r="C190" s="67" t="n"/>
      <c r="E190" s="67" t="n"/>
      <c r="F190" s="67" t="n"/>
      <c r="G190" s="67" t="n"/>
      <c r="H190" s="67" t="n"/>
      <c r="I190" s="67" t="n"/>
      <c r="J190" s="67" t="n"/>
      <c r="K190" s="67" t="n"/>
      <c r="L190" s="67" t="n"/>
      <c r="R190" s="67" t="n"/>
      <c r="S190" s="67" t="n"/>
      <c r="T190" s="67" t="n"/>
    </row>
    <row r="191">
      <c r="B191" s="67" t="n"/>
      <c r="C191" s="67" t="n"/>
      <c r="E191" s="67" t="n"/>
      <c r="F191" s="67" t="n"/>
      <c r="G191" s="67" t="n"/>
      <c r="H191" s="67" t="n"/>
      <c r="I191" s="67" t="n"/>
      <c r="J191" s="67" t="n"/>
      <c r="K191" s="67" t="n"/>
      <c r="L191" s="67" t="n"/>
      <c r="R191" s="67" t="n"/>
      <c r="S191" s="67" t="n"/>
      <c r="T191" s="67" t="n"/>
    </row>
    <row r="192">
      <c r="B192" s="67" t="n"/>
      <c r="C192" s="67" t="n"/>
      <c r="E192" s="67" t="n"/>
      <c r="F192" s="67" t="n"/>
      <c r="G192" s="67" t="n"/>
      <c r="H192" s="67" t="n"/>
      <c r="I192" s="67" t="n"/>
      <c r="J192" s="67" t="n"/>
      <c r="K192" s="67" t="n"/>
      <c r="L192" s="67" t="n"/>
      <c r="R192" s="67" t="n"/>
      <c r="S192" s="67" t="n"/>
      <c r="T192" s="67" t="n"/>
    </row>
    <row r="193">
      <c r="B193" s="67" t="n"/>
      <c r="C193" s="67" t="n"/>
      <c r="E193" s="67" t="n"/>
      <c r="F193" s="67" t="n"/>
      <c r="G193" s="67" t="n"/>
      <c r="H193" s="67" t="n"/>
      <c r="I193" s="67" t="n"/>
      <c r="J193" s="67" t="n"/>
      <c r="K193" s="67" t="n"/>
      <c r="L193" s="67" t="n"/>
      <c r="R193" s="67" t="n"/>
      <c r="S193" s="67" t="n"/>
      <c r="T193" s="67" t="n"/>
    </row>
    <row r="194">
      <c r="B194" s="67" t="n"/>
      <c r="C194" s="67" t="n"/>
      <c r="E194" s="67" t="n"/>
      <c r="F194" s="67" t="n"/>
      <c r="G194" s="67" t="n"/>
      <c r="H194" s="67" t="n"/>
      <c r="I194" s="67" t="n"/>
      <c r="J194" s="67" t="n"/>
      <c r="K194" s="67" t="n"/>
      <c r="L194" s="67" t="n"/>
      <c r="R194" s="67" t="n"/>
      <c r="S194" s="67" t="n"/>
      <c r="T194" s="67" t="n"/>
    </row>
    <row r="195">
      <c r="B195" s="67" t="n"/>
      <c r="C195" s="67" t="n"/>
      <c r="E195" s="67" t="n"/>
      <c r="F195" s="67" t="n"/>
      <c r="G195" s="67" t="n"/>
      <c r="H195" s="67" t="n"/>
      <c r="I195" s="67" t="n"/>
      <c r="J195" s="67" t="n"/>
      <c r="K195" s="67" t="n"/>
      <c r="L195" s="67" t="n"/>
      <c r="R195" s="67" t="n"/>
      <c r="S195" s="67" t="n"/>
      <c r="T195" s="67" t="n"/>
    </row>
    <row r="196">
      <c r="B196" s="67" t="n"/>
      <c r="C196" s="67" t="n"/>
      <c r="E196" s="67" t="n"/>
      <c r="F196" s="67" t="n"/>
      <c r="G196" s="67" t="n"/>
      <c r="H196" s="67" t="n"/>
      <c r="I196" s="67" t="n"/>
      <c r="J196" s="67" t="n"/>
      <c r="K196" s="67" t="n"/>
      <c r="L196" s="67" t="n"/>
      <c r="R196" s="67" t="n"/>
      <c r="S196" s="67" t="n"/>
      <c r="T196" s="67" t="n"/>
    </row>
    <row r="197">
      <c r="B197" s="67" t="n"/>
      <c r="C197" s="67" t="n"/>
      <c r="E197" s="67" t="n"/>
      <c r="F197" s="67" t="n"/>
      <c r="G197" s="67" t="n"/>
      <c r="H197" s="67" t="n"/>
      <c r="I197" s="67" t="n"/>
      <c r="J197" s="67" t="n"/>
      <c r="K197" s="67" t="n"/>
      <c r="L197" s="67" t="n"/>
      <c r="R197" s="67" t="n"/>
      <c r="S197" s="67" t="n"/>
      <c r="T197" s="67" t="n"/>
    </row>
    <row r="198">
      <c r="B198" s="67" t="n"/>
      <c r="C198" s="67" t="n"/>
      <c r="E198" s="67" t="n"/>
      <c r="F198" s="67" t="n"/>
      <c r="G198" s="67" t="n"/>
      <c r="H198" s="67" t="n"/>
      <c r="I198" s="67" t="n"/>
      <c r="J198" s="67" t="n"/>
      <c r="K198" s="67" t="n"/>
      <c r="L198" s="67" t="n"/>
      <c r="R198" s="67" t="n"/>
      <c r="S198" s="67" t="n"/>
      <c r="T198" s="67" t="n"/>
    </row>
    <row r="199">
      <c r="B199" s="67" t="n"/>
      <c r="C199" s="67" t="n"/>
      <c r="E199" s="67" t="n"/>
      <c r="F199" s="67" t="n"/>
      <c r="G199" s="67" t="n"/>
      <c r="H199" s="67" t="n"/>
      <c r="I199" s="67" t="n"/>
      <c r="J199" s="67" t="n"/>
      <c r="K199" s="67" t="n"/>
      <c r="L199" s="67" t="n"/>
      <c r="R199" s="67" t="n"/>
      <c r="S199" s="67" t="n"/>
      <c r="T199" s="67" t="n"/>
    </row>
    <row r="200">
      <c r="B200" s="67" t="n"/>
      <c r="C200" s="67" t="n"/>
      <c r="E200" s="67" t="n"/>
      <c r="F200" s="67" t="n"/>
      <c r="G200" s="67" t="n"/>
      <c r="H200" s="67" t="n"/>
      <c r="I200" s="67" t="n"/>
      <c r="J200" s="67" t="n"/>
      <c r="K200" s="67" t="n"/>
      <c r="L200" s="67" t="n"/>
      <c r="R200" s="67" t="n"/>
      <c r="S200" s="67" t="n"/>
      <c r="T200" s="67" t="n"/>
    </row>
    <row r="201">
      <c r="B201" s="67" t="n"/>
      <c r="C201" s="67" t="n"/>
      <c r="E201" s="67" t="n"/>
      <c r="F201" s="67" t="n"/>
      <c r="G201" s="67" t="n"/>
      <c r="H201" s="67" t="n"/>
      <c r="I201" s="67" t="n"/>
      <c r="J201" s="67" t="n"/>
      <c r="K201" s="67" t="n"/>
      <c r="L201" s="67" t="n"/>
      <c r="R201" s="67" t="n"/>
      <c r="S201" s="67" t="n"/>
      <c r="T201" s="67" t="n"/>
    </row>
    <row r="202">
      <c r="B202" s="67" t="n"/>
      <c r="C202" s="67" t="n"/>
      <c r="E202" s="67" t="n"/>
      <c r="F202" s="67" t="n"/>
      <c r="G202" s="67" t="n"/>
      <c r="H202" s="67" t="n"/>
      <c r="I202" s="67" t="n"/>
      <c r="J202" s="67" t="n"/>
      <c r="K202" s="67" t="n"/>
      <c r="L202" s="67" t="n"/>
      <c r="R202" s="67" t="n"/>
      <c r="S202" s="67" t="n"/>
      <c r="T202" s="67" t="n"/>
    </row>
    <row r="203">
      <c r="B203" s="67" t="n"/>
      <c r="C203" s="67" t="n"/>
      <c r="E203" s="67" t="n"/>
      <c r="F203" s="67" t="n"/>
      <c r="G203" s="67" t="n"/>
      <c r="H203" s="67" t="n"/>
      <c r="I203" s="67" t="n"/>
      <c r="J203" s="67" t="n"/>
      <c r="K203" s="67" t="n"/>
      <c r="L203" s="67" t="n"/>
      <c r="R203" s="67" t="n"/>
      <c r="S203" s="67" t="n"/>
      <c r="T203" s="67" t="n"/>
    </row>
    <row r="204">
      <c r="B204" s="67" t="n"/>
      <c r="C204" s="67" t="n"/>
      <c r="E204" s="67" t="n"/>
      <c r="F204" s="67" t="n"/>
      <c r="G204" s="67" t="n"/>
      <c r="H204" s="67" t="n"/>
      <c r="I204" s="67" t="n"/>
      <c r="J204" s="67" t="n"/>
      <c r="K204" s="67" t="n"/>
      <c r="L204" s="67" t="n"/>
      <c r="R204" s="67" t="n"/>
      <c r="S204" s="67" t="n"/>
      <c r="T204" s="67" t="n"/>
    </row>
    <row r="205">
      <c r="B205" s="67" t="n"/>
      <c r="C205" s="67" t="n"/>
      <c r="E205" s="67" t="n"/>
      <c r="F205" s="67" t="n"/>
      <c r="G205" s="67" t="n"/>
      <c r="H205" s="67" t="n"/>
      <c r="I205" s="67" t="n"/>
      <c r="J205" s="67" t="n"/>
      <c r="K205" s="67" t="n"/>
      <c r="L205" s="67" t="n"/>
      <c r="R205" s="67" t="n"/>
      <c r="S205" s="67" t="n"/>
      <c r="T205" s="67" t="n"/>
    </row>
    <row r="206">
      <c r="B206" s="67" t="n"/>
      <c r="C206" s="67" t="n"/>
      <c r="E206" s="67" t="n"/>
      <c r="F206" s="67" t="n"/>
      <c r="G206" s="67" t="n"/>
      <c r="H206" s="67" t="n"/>
      <c r="I206" s="67" t="n"/>
      <c r="J206" s="67" t="n"/>
      <c r="K206" s="67" t="n"/>
      <c r="L206" s="67" t="n"/>
      <c r="R206" s="67" t="n"/>
      <c r="S206" s="67" t="n"/>
      <c r="T206" s="67" t="n"/>
    </row>
    <row r="207">
      <c r="B207" s="67" t="n"/>
      <c r="C207" s="67" t="n"/>
      <c r="E207" s="67" t="n"/>
      <c r="F207" s="67" t="n"/>
      <c r="G207" s="67" t="n"/>
      <c r="H207" s="67" t="n"/>
      <c r="I207" s="67" t="n"/>
      <c r="J207" s="67" t="n"/>
      <c r="K207" s="67" t="n"/>
      <c r="L207" s="67" t="n"/>
      <c r="R207" s="67" t="n"/>
      <c r="S207" s="67" t="n"/>
      <c r="T207" s="67" t="n"/>
    </row>
    <row r="208">
      <c r="B208" s="67" t="n"/>
      <c r="C208" s="67" t="n"/>
      <c r="E208" s="67" t="n"/>
      <c r="F208" s="67" t="n"/>
      <c r="G208" s="67" t="n"/>
      <c r="H208" s="67" t="n"/>
      <c r="I208" s="67" t="n"/>
      <c r="J208" s="67" t="n"/>
      <c r="K208" s="67" t="n"/>
      <c r="L208" s="67" t="n"/>
      <c r="R208" s="67" t="n"/>
      <c r="S208" s="67" t="n"/>
      <c r="T208" s="67" t="n"/>
    </row>
    <row r="209">
      <c r="B209" s="67" t="n"/>
      <c r="C209" s="67" t="n"/>
      <c r="E209" s="67" t="n"/>
      <c r="F209" s="67" t="n"/>
      <c r="G209" s="67" t="n"/>
      <c r="H209" s="67" t="n"/>
      <c r="I209" s="67" t="n"/>
      <c r="J209" s="67" t="n"/>
      <c r="K209" s="67" t="n"/>
      <c r="L209" s="67" t="n"/>
      <c r="R209" s="67" t="n"/>
      <c r="S209" s="67" t="n"/>
      <c r="T209" s="67" t="n"/>
    </row>
    <row r="210">
      <c r="B210" s="67" t="n"/>
      <c r="C210" s="67" t="n"/>
      <c r="E210" s="67" t="n"/>
      <c r="F210" s="67" t="n"/>
      <c r="G210" s="67" t="n"/>
      <c r="H210" s="67" t="n"/>
      <c r="I210" s="67" t="n"/>
      <c r="J210" s="67" t="n"/>
      <c r="K210" s="67" t="n"/>
      <c r="L210" s="67" t="n"/>
      <c r="R210" s="67" t="n"/>
      <c r="S210" s="67" t="n"/>
      <c r="T210" s="67" t="n"/>
    </row>
    <row r="211">
      <c r="B211" s="67" t="n"/>
      <c r="C211" s="67" t="n"/>
      <c r="E211" s="67" t="n"/>
      <c r="F211" s="67" t="n"/>
      <c r="G211" s="67" t="n"/>
      <c r="H211" s="67" t="n"/>
      <c r="I211" s="67" t="n"/>
      <c r="J211" s="67" t="n"/>
      <c r="K211" s="67" t="n"/>
      <c r="L211" s="67" t="n"/>
      <c r="R211" s="67" t="n"/>
      <c r="S211" s="67" t="n"/>
      <c r="T211" s="67" t="n"/>
    </row>
    <row r="212">
      <c r="B212" s="67" t="n"/>
      <c r="C212" s="67" t="n"/>
      <c r="E212" s="67" t="n"/>
      <c r="F212" s="67" t="n"/>
      <c r="G212" s="67" t="n"/>
      <c r="H212" s="67" t="n"/>
      <c r="I212" s="67" t="n"/>
      <c r="J212" s="67" t="n"/>
      <c r="K212" s="67" t="n"/>
      <c r="L212" s="67" t="n"/>
      <c r="R212" s="67" t="n"/>
      <c r="S212" s="67" t="n"/>
      <c r="T212" s="67" t="n"/>
    </row>
    <row r="213">
      <c r="B213" s="67" t="n"/>
      <c r="C213" s="67" t="n"/>
      <c r="E213" s="67" t="n"/>
      <c r="F213" s="67" t="n"/>
      <c r="G213" s="67" t="n"/>
      <c r="H213" s="67" t="n"/>
      <c r="I213" s="67" t="n"/>
      <c r="J213" s="67" t="n"/>
      <c r="K213" s="67" t="n"/>
      <c r="L213" s="67" t="n"/>
      <c r="R213" s="67" t="n"/>
      <c r="S213" s="67" t="n"/>
      <c r="T213" s="67" t="n"/>
    </row>
    <row r="214">
      <c r="B214" s="67" t="n"/>
      <c r="C214" s="67" t="n"/>
      <c r="E214" s="67" t="n"/>
      <c r="F214" s="67" t="n"/>
      <c r="G214" s="67" t="n"/>
      <c r="H214" s="67" t="n"/>
      <c r="I214" s="67" t="n"/>
      <c r="J214" s="67" t="n"/>
      <c r="K214" s="67" t="n"/>
      <c r="L214" s="67" t="n"/>
      <c r="R214" s="67" t="n"/>
      <c r="S214" s="67" t="n"/>
      <c r="T214" s="67" t="n"/>
    </row>
    <row r="215">
      <c r="B215" s="67" t="n"/>
      <c r="C215" s="67" t="n"/>
      <c r="E215" s="67" t="n"/>
      <c r="F215" s="67" t="n"/>
      <c r="G215" s="67" t="n"/>
      <c r="H215" s="67" t="n"/>
      <c r="I215" s="67" t="n"/>
      <c r="J215" s="67" t="n"/>
      <c r="K215" s="67" t="n"/>
      <c r="L215" s="67" t="n"/>
      <c r="R215" s="67" t="n"/>
      <c r="S215" s="67" t="n"/>
      <c r="T215" s="67" t="n"/>
    </row>
    <row r="216">
      <c r="B216" s="67" t="n"/>
      <c r="C216" s="67" t="n"/>
      <c r="E216" s="67" t="n"/>
      <c r="F216" s="67" t="n"/>
      <c r="G216" s="67" t="n"/>
      <c r="H216" s="67" t="n"/>
      <c r="I216" s="67" t="n"/>
      <c r="J216" s="67" t="n"/>
      <c r="K216" s="67" t="n"/>
      <c r="L216" s="67" t="n"/>
      <c r="R216" s="67" t="n"/>
      <c r="S216" s="67" t="n"/>
      <c r="T216" s="67" t="n"/>
    </row>
    <row r="217">
      <c r="B217" s="67" t="n"/>
      <c r="C217" s="67" t="n"/>
      <c r="E217" s="67" t="n"/>
      <c r="F217" s="67" t="n"/>
      <c r="G217" s="67" t="n"/>
      <c r="H217" s="67" t="n"/>
      <c r="I217" s="67" t="n"/>
      <c r="J217" s="67" t="n"/>
      <c r="K217" s="67" t="n"/>
      <c r="L217" s="67" t="n"/>
      <c r="R217" s="67" t="n"/>
      <c r="S217" s="67" t="n"/>
      <c r="T217" s="67" t="n"/>
    </row>
    <row r="218">
      <c r="B218" s="67" t="n"/>
      <c r="C218" s="67" t="n"/>
      <c r="E218" s="67" t="n"/>
      <c r="F218" s="67" t="n"/>
      <c r="G218" s="67" t="n"/>
      <c r="H218" s="67" t="n"/>
      <c r="I218" s="67" t="n"/>
      <c r="J218" s="67" t="n"/>
      <c r="K218" s="67" t="n"/>
      <c r="L218" s="67" t="n"/>
      <c r="R218" s="67" t="n"/>
      <c r="S218" s="67" t="n"/>
      <c r="T218" s="67" t="n"/>
    </row>
    <row r="219">
      <c r="B219" s="67" t="n"/>
      <c r="C219" s="67" t="n"/>
      <c r="E219" s="67" t="n"/>
      <c r="F219" s="67" t="n"/>
      <c r="G219" s="67" t="n"/>
      <c r="H219" s="67" t="n"/>
      <c r="I219" s="67" t="n"/>
      <c r="J219" s="67" t="n"/>
      <c r="K219" s="67" t="n"/>
      <c r="L219" s="67" t="n"/>
      <c r="R219" s="67" t="n"/>
      <c r="S219" s="67" t="n"/>
      <c r="T219" s="67" t="n"/>
    </row>
    <row r="220">
      <c r="B220" s="67" t="n"/>
      <c r="C220" s="67" t="n"/>
      <c r="E220" s="67" t="n"/>
      <c r="F220" s="67" t="n"/>
      <c r="G220" s="67" t="n"/>
      <c r="H220" s="67" t="n"/>
      <c r="I220" s="67" t="n"/>
      <c r="J220" s="67" t="n"/>
      <c r="K220" s="67" t="n"/>
      <c r="L220" s="67" t="n"/>
      <c r="R220" s="67" t="n"/>
      <c r="S220" s="67" t="n"/>
      <c r="T220" s="67" t="n"/>
    </row>
  </sheetData>
  <mergeCells count="7">
    <mergeCell ref="B3:T3"/>
    <mergeCell ref="B5:T5"/>
    <mergeCell ref="B8:T8"/>
    <mergeCell ref="B10:C10"/>
    <mergeCell ref="B4:T4"/>
    <mergeCell ref="B6:T6"/>
    <mergeCell ref="B7:T7"/>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AND(LEN($B20&amp;$C20&amp;$D20&amp;$E20&amp;$F20&amp;$G20&amp;$H20&amp;$I20&amp;$J20&amp;$K20&amp;$L20&amp;$M20&amp;$N20&amp;$O20&amp;$P20&amp;$Q20&amp;$R20&amp;$S20&amp;$T20)&gt;0,B20="")</formula>
    </cfRule>
  </conditionalFormatting>
  <conditionalFormatting sqref="C20:C220">
    <cfRule type="expression" priority="3" dxfId="6">
      <formula>AND(LEN($B20&amp;$C20&amp;$D20&amp;$E20&amp;$F20&amp;$G20&amp;$H20&amp;$I20&amp;$J20&amp;$K20&amp;$L20&amp;$M20&amp;$N20&amp;$O20&amp;$P20&amp;$Q20&amp;$R20&amp;$S20&amp;$T20)&gt;0,C20="")</formula>
    </cfRule>
  </conditionalFormatting>
  <conditionalFormatting sqref="D20:D220">
    <cfRule type="expression" priority="4" dxfId="6">
      <formula>AND(LEN($B20&amp;$C20&amp;$D20&amp;$E20&amp;$F20&amp;$G20&amp;$H20&amp;$I20&amp;$J20&amp;$K20&amp;$L20&amp;$M20&amp;$N20&amp;$O20&amp;$P20&amp;$Q20&amp;$R20&amp;$S20&amp;$T20)&gt;0,D20="")</formula>
    </cfRule>
  </conditionalFormatting>
  <conditionalFormatting sqref="E20:E220">
    <cfRule type="expression" priority="5" dxfId="6">
      <formula>AND(LEN($B20&amp;$C20&amp;$D20&amp;$E20&amp;$F20&amp;$G20&amp;$H20&amp;$I20&amp;$J20&amp;$K20&amp;$L20&amp;$M20&amp;$N20&amp;$O20&amp;$P20&amp;$Q20&amp;$R20&amp;$S20&amp;$T20)&gt;0,E20="")</formula>
    </cfRule>
  </conditionalFormatting>
  <conditionalFormatting sqref="F20:F220">
    <cfRule type="expression" priority="6" dxfId="6">
      <formula>AND(LEN($B20&amp;$C20&amp;$D20&amp;$E20&amp;$F20&amp;$G20&amp;$H20&amp;$I20&amp;$J20&amp;$K20&amp;$L20&amp;$M20&amp;$N20&amp;$O20&amp;$P20&amp;$Q20&amp;$R20&amp;$S20&amp;$T20)&gt;0,F20="")</formula>
    </cfRule>
  </conditionalFormatting>
  <conditionalFormatting sqref="G20:G220">
    <cfRule type="expression" priority="7" dxfId="6">
      <formula>AND(LEN($B20&amp;$C20&amp;$D20&amp;$E20&amp;$F20&amp;$G20&amp;$H20&amp;$I20&amp;$J20&amp;$K20&amp;$L20&amp;$M20&amp;$N20&amp;$O20&amp;$P20&amp;$Q20&amp;$R20&amp;$S20&amp;$T20)&gt;0,G20="")</formula>
    </cfRule>
  </conditionalFormatting>
  <conditionalFormatting sqref="H20:H220">
    <cfRule type="expression" priority="8" dxfId="6">
      <formula>AND(LEN($B20&amp;$C20&amp;$D20&amp;$E20&amp;$F20&amp;$G20&amp;$H20&amp;$I20&amp;$J20&amp;$K20&amp;$L20&amp;$M20&amp;$N20&amp;$O20&amp;$P20&amp;$Q20&amp;$R20&amp;$S20&amp;$T20)&gt;0,H20="")</formula>
    </cfRule>
  </conditionalFormatting>
  <conditionalFormatting sqref="I20:I220">
    <cfRule type="expression" priority="9" dxfId="6">
      <formula>AND(LEN($B20&amp;$C20&amp;$D20&amp;$E20&amp;$F20&amp;$G20&amp;$H20&amp;$I20&amp;$J20&amp;$K20&amp;$L20&amp;$M20&amp;$N20&amp;$O20&amp;$P20&amp;$Q20&amp;$R20&amp;$S20&amp;$T20)&gt;0,I20="")</formula>
    </cfRule>
  </conditionalFormatting>
  <conditionalFormatting sqref="J20:J220">
    <cfRule type="expression" priority="10" dxfId="6">
      <formula>AND(LEN($B20&amp;$C20&amp;$D20&amp;$E20&amp;$F20&amp;$G20&amp;$H20&amp;$I20&amp;$J20&amp;$K20&amp;$L20&amp;$M20&amp;$N20&amp;$O20&amp;$P20&amp;$Q20&amp;$R20&amp;$S20&amp;$T20)&gt;0,J20="")</formula>
    </cfRule>
  </conditionalFormatting>
  <conditionalFormatting sqref="K20:K220">
    <cfRule type="expression" priority="11" dxfId="6">
      <formula>AND(LEN($B20&amp;$C20&amp;$D20&amp;$E20&amp;$F20&amp;$G20&amp;$H20&amp;$I20&amp;$J20&amp;$K20&amp;$L20&amp;$M20&amp;$N20&amp;$O20&amp;$P20&amp;$Q20&amp;$R20&amp;$S20&amp;$T20)&gt;0,K20="")</formula>
    </cfRule>
  </conditionalFormatting>
  <conditionalFormatting sqref="M20:M220">
    <cfRule type="expression" priority="12" dxfId="6">
      <formula>AND(LEN($B20&amp;$C20&amp;$D20&amp;$E20&amp;$F20&amp;$G20&amp;$H20&amp;$I20&amp;$J20&amp;$K20&amp;$L20&amp;$M20&amp;$N20&amp;$O20&amp;$P20&amp;$Q20&amp;$R20&amp;$S20&amp;$T20)&gt;0,M20="")</formula>
    </cfRule>
  </conditionalFormatting>
  <conditionalFormatting sqref="N20:N220">
    <cfRule type="expression" priority="13" dxfId="6">
      <formula>AND(LEN($B20&amp;$C20&amp;$D20&amp;$E20&amp;$F20&amp;$G20&amp;$H20&amp;$I20&amp;$J20&amp;$K20&amp;$L20&amp;$M20&amp;$N20&amp;$O20&amp;$P20&amp;$Q20&amp;$R20&amp;$S20&amp;$T20)&gt;0,N20="")</formula>
    </cfRule>
  </conditionalFormatting>
  <conditionalFormatting sqref="O20:O220">
    <cfRule type="expression" priority="14" dxfId="6">
      <formula>AND(LEN($B20&amp;$C20&amp;$D20&amp;$E20&amp;$F20&amp;$G20&amp;$H20&amp;$I20&amp;$J20&amp;$K20&amp;$L20&amp;$M20&amp;$N20&amp;$O20&amp;$P20&amp;$Q20&amp;$R20&amp;$S20&amp;$T20)&gt;0,O20="")</formula>
    </cfRule>
  </conditionalFormatting>
  <conditionalFormatting sqref="P20:P220">
    <cfRule type="expression" priority="15" dxfId="6">
      <formula>AND(LEN($B20&amp;$C20&amp;$D20&amp;$E20&amp;$F20&amp;$G20&amp;$H20&amp;$I20&amp;$J20&amp;$K20&amp;$L20&amp;$M20&amp;$N20&amp;$O20&amp;$P20&amp;$Q20&amp;$R20&amp;$S20&amp;$T20)&gt;0,P20="")</formula>
    </cfRule>
  </conditionalFormatting>
  <conditionalFormatting sqref="R20:R220">
    <cfRule type="expression" priority="16" dxfId="6">
      <formula>AND(LEN($B20&amp;$C20&amp;$D20&amp;$E20&amp;$F20&amp;$G20&amp;$H20&amp;$I20&amp;$J20&amp;$K20&amp;$L20&amp;$M20&amp;$N20&amp;$O20&amp;$P20&amp;$Q20&amp;$R20&amp;$S20&amp;$T20)&gt;0,R20="")</formula>
    </cfRule>
  </conditionalFormatting>
  <conditionalFormatting sqref="S20:S220">
    <cfRule type="expression" priority="17" dxfId="6">
      <formula>AND(LEN($B20&amp;$C20&amp;$D20&amp;$E20&amp;$F20&amp;$G20&amp;$H20&amp;$I20&amp;$J20&amp;$K20&amp;$L20&amp;$M20&amp;$N20&amp;$O20&amp;$P20&amp;$Q20&amp;$R20&amp;$S20&amp;$T20)&gt;0,S20="")</formula>
    </cfRule>
  </conditionalFormatting>
  <conditionalFormatting sqref="T20:T220">
    <cfRule type="expression" priority="18" dxfId="6">
      <formula>AND(LEN($B20&amp;$C20&amp;$D20&amp;$E20&amp;$F20&amp;$G20&amp;$H20&amp;$I20&amp;$J20&amp;$K20&amp;$L20&amp;$M20&amp;$N20&amp;$O20&amp;$P20&amp;$Q20&amp;$R20&amp;$S20&amp;$T20)&gt;0,T20="")</formula>
    </cfRule>
  </conditionalFormatting>
  <dataValidations count="21">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T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trueup_no" error="Choose a value of the list G03 trueup_no (sheet Reference lists)." promptTitle="trueup_no" prompt="Yes. True-up number - 1 after the legacy year-end close, 2 and 3 for interim true-ups, F for the final one after the audited FS Allowed: 1, 2, 3, F (list G03 trueup_no)" type="list" errorStyle="stop">
      <formula1>=LIST_G03_TRUEUP_NO</formula1>
    </dataValidation>
    <dataValidation sqref="C20:C220" showDropDown="0" showInputMessage="1" showErrorMessage="1" allowBlank="1" errorTitle="legacy_journal_no" error="At most 30 characters." promptTitle="legacy_journal_no" prompt="Yes. Legacy journal voucher number Allowed: Free entry, up to 30 characters" type="textLength" operator="lessThanOrEqual">
      <formula1>30</formula1>
    </dataValidation>
    <dataValidation sqref="D20:D220" showDropDown="0" showInputMessage="1" showErrorMessage="1" allowBlank="1" errorTitle="line_no" error="Enter a whole number." promptTitle="line_no" prompt="Yes. Line of the legacy journal Allowed: A whole number" type="whole" operator="greaterThanOrEqual">
      <formula1>-1E+15</formula1>
    </dataValidation>
    <dataValidation sqref="E20:E220" showDropDown="0" showInputMessage="1" showErrorMessage="0" allowBlank="1" promptTitle="legacy_journal_date" prompt="Yes. Value date of the legacy journal"/>
    <dataValidation sqref="F20:F220" showDropDown="0" showInputMessage="1" showErrorMessage="0" allowBlank="1" promptTitle="posted_at" prompt="Yes. When the journal was posted in legacy"/>
    <dataValidation sqref="G20:G220" showDropDown="0" showInputMessage="1" showErrorMessage="1" allowBlank="1" errorTitle="adjustment_kind" error="Choose a value of the list G03 adjustment_kind (sheet Reference lists)." promptTitle="adjustment_kind" prompt="Yes. Year-end closing or audit adjustment Allowed: CLOSING, AUDIT (list G03 adjustment_kind)" type="list" errorStyle="stop">
      <formula1>=LIST_G03_ADJUSTMENT_KIND</formula1>
    </dataValidation>
    <dataValidation sqref="H20:H220" showDropDown="0" showInputMessage="1" showErrorMessage="1" allowBlank="1" errorTitle="register_ref" error="At most 20 characters." promptTitle="register_ref" prompt="Yes. Reference of the journal in the FY2027 adjustment register Allowed: Free entry, up to 20 characters" type="textLength" operator="lessThanOrEqual">
      <formula1>20</formula1>
    </dataValidation>
    <dataValidation sqref="I20:I220" showDropDown="0" showInputMessage="1" showErrorMessage="1" allowBlank="1" errorTitle="branch_code" error="At most 20 characters." promptTitle="branch_code" prompt="Yes. Branch Allowed: The legacy code; mapped by the code map BRANCH (sheet Code maps)" type="textLength" operator="lessThanOrEqual">
      <formula1>20</formula1>
    </dataValidation>
    <dataValidation sqref="J20:J220" showDropDown="0" showInputMessage="1" showErrorMessage="1" allowBlank="1" errorTitle="currency" error="At most 3 characters." promptTitle="currency" prompt="Yes. Account currency Allowed: ISO 4217" type="textLength" operator="lessThanOrEqual">
      <formula1>3</formula1>
    </dataValidation>
    <dataValidation sqref="K20:K220" showDropDown="0" showInputMessage="1" showErrorMessage="1" allowBlank="1" errorTitle="legacy_account_code" error="At most 30 characters." promptTitle="legacy_account_code" prompt="Yes. Legacy account Allowed: The legacy code; mapped by the code map GL_ACCOUNT (sheet Code maps)" type="textLength" operator="lessThanOrEqual">
      <formula1>30</formula1>
    </dataValidation>
    <dataValidation sqref="L20:L220" showDropDown="0" showInputMessage="1" showErrorMessage="1" allowBlank="1" errorTitle="cost_center" error="At most 20 characters." promptTitle="cost_center" prompt="No. Cost centre Allowed: The legacy code; mapped by the code map COST_CENTER (sheet Code maps)" type="textLength" operator="lessThanOrEqual">
      <formula1>20</formula1>
    </dataValidation>
    <dataValidation sqref="M20:M220" showDropDown="0" showInputMessage="1" showErrorMessage="1" allowBlank="1" errorTitle="debit_fc" error="Enter a number." promptTitle="debit_fc" prompt="Yes. Debit in the account currency Allowed: A number" type="decimal" operator="greaterThanOrEqual">
      <formula1>-1E+15</formula1>
    </dataValidation>
    <dataValidation sqref="N20:N220" showDropDown="0" showInputMessage="1" showErrorMessage="1" allowBlank="1" errorTitle="credit_fc" error="Enter a number." promptTitle="credit_fc" prompt="Yes. Credit in the account currency Allowed: A number" type="decimal" operator="greaterThanOrEqual">
      <formula1>-1E+15</formula1>
    </dataValidation>
    <dataValidation sqref="O20:O220" showDropDown="0" showInputMessage="1" showErrorMessage="1" allowBlank="1" errorTitle="debit_php" error="Enter a number." promptTitle="debit_php" prompt="Yes. Debit in PHP Allowed: A number" type="decimal" operator="greaterThanOrEqual">
      <formula1>-1E+15</formula1>
    </dataValidation>
    <dataValidation sqref="P20:P220" showDropDown="0" showInputMessage="1" showErrorMessage="1" allowBlank="1" errorTitle="credit_php" error="Enter a number." promptTitle="credit_php" prompt="Yes. Credit in PHP Allowed: A number" type="decimal" operator="greaterThanOrEqual">
      <formula1>-1E+15</formula1>
    </dataValidation>
    <dataValidation sqref="Q20:Q220" showDropDown="0" showInputMessage="1" showErrorMessage="1" allowBlank="1" errorTitle="fx_rate" error="Enter a number." promptTitle="fx_rate" prompt="Conditional: Mandatory when currency is not PHP. Rate used for the PHP amount Allowed: A number" type="decimal" operator="greaterThanOrEqual">
      <formula1>-1E+15</formula1>
    </dataValidation>
    <dataValidation sqref="R20:R220" showDropDown="0" showInputMessage="1" showErrorMessage="1" allowBlank="1" errorTitle="description" error="At most 250 characters." promptTitle="description" prompt="Yes. Journal line description Allowed: Free entry, up to 250 characters" type="textLength" operator="lessThanOrEqual">
      <formula1>250</formula1>
    </dataValidation>
    <dataValidation sqref="S20:S220" showDropDown="0" showInputMessage="1" showErrorMessage="1" allowBlank="1" errorTitle="prepared_by" error="At most 50 characters." promptTitle="prepared_by" prompt="Yes. Legacy user who prepared the journal Allowed: Free entry, up to 50 characters" type="textLength" operator="lessThanOrEqual">
      <formula1>50</formula1>
    </dataValidation>
    <dataValidation sqref="T20:T220" showDropDown="0" showInputMessage="1" showErrorMessage="1" allowBlank="1" errorTitle="approved_by" error="At most 50 characters." promptTitle="approved_by" prompt="Yes. Legacy user who approved the journal Allowed: Free entry, up to 50 characters" type="textLength" operator="lessThanOrEqual">
      <formula1>50</formula1>
    </dataValidation>
  </dataValidations>
  <hyperlinks>
    <hyperlink ref="A2" location="'Load templates'!A1"/>
    <hyperlink ref="T2" location="'Comments log'!A1"/>
    <hyperlink ref="B8" location="'G01 GL opening trial balance'!A1"/>
    <hyperlink ref="B17" location="'Reference lists'!A101"/>
    <hyperlink ref="G17" location="'Reference lists'!A105"/>
    <hyperlink ref="I17" location="'Code maps'!A1"/>
    <hyperlink ref="K17" location="'Code maps'!A1"/>
    <hyperlink ref="L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8.xml><?xml version="1.0" encoding="utf-8"?>
<worksheet xmlns="http://schemas.openxmlformats.org/spreadsheetml/2006/main">
  <sheetPr>
    <tabColor rgb="00004EA8"/>
    <outlinePr summaryBelow="0" summaryRight="1"/>
    <pageSetUpPr fitToPage="1"/>
  </sheetPr>
  <dimension ref="A1:K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22" customWidth="1" min="3" max="3"/>
    <col width="12" customWidth="1" min="4" max="4"/>
    <col width="14" customWidth="1" min="5" max="5"/>
    <col width="14.54545454545454" customWidth="1" min="6" max="6"/>
    <col width="14" customWidth="1" min="7" max="7"/>
    <col width="13" customWidth="1" min="8" max="8"/>
    <col width="13" customWidth="1" min="9" max="9"/>
    <col width="19.54545454545454" customWidth="1" min="10" max="10"/>
    <col width="40" customWidth="1" min="11" max="11"/>
  </cols>
  <sheetData>
    <row r="1" ht="26" customHeight="1">
      <c r="A1" s="44" t="inlineStr">
        <is>
          <t>G03D FY2027 true-up - open-item detail of the lines on legacy control accounts</t>
        </is>
      </c>
      <c r="K1" s="45" t="inlineStr">
        <is>
          <t>Step 29 of 29</t>
        </is>
      </c>
    </row>
    <row r="2">
      <c r="A2" s="46" t="inlineStr">
        <is>
          <t>← Back to Load templates</t>
        </is>
      </c>
      <c r="B2" s="47" t="inlineStr">
        <is>
          <t>Step 29 of 29. Fill in one row per record below the column headers; the guide above each column says what to enter.</t>
        </is>
      </c>
      <c r="K2" s="48" t="inlineStr">
        <is>
          <t>Ask a question →</t>
        </is>
      </c>
    </row>
    <row r="3" outlineLevel="1" ht="28" customHeight="1">
      <c r="A3" s="49" t="inlineStr">
        <is>
          <t>Purpose</t>
        </is>
      </c>
      <c r="B3" s="50" t="inlineStr">
        <is>
          <t>One row per record of FY2027 opening-balance true-ups (legacy adjustment journals after the freeze and their open-item detail) as extracted from EBIX GL, ISYS GL; FY2027 adjustment register of Comptrollership. Key legacy_journal_no, line_no, item_ref, component. Sent as the file G03D_template.csv (CSV, header row as below) with its control file (row count, row count; amount totals per currency: amount).</t>
        </is>
      </c>
    </row>
    <row r="4" outlineLevel="1" ht="15.5" customHeight="1">
      <c r="A4" s="49" t="inlineStr">
        <is>
          <t>Provided by</t>
        </is>
      </c>
      <c r="B4" s="50" t="inlineStr">
        <is>
          <t>Comptrollership GL lead (prepares each true-up); approved by Head, Comptrollership; extracted by BDOI IT</t>
        </is>
      </c>
    </row>
    <row r="5" outlineLevel="1" ht="15.5" customHeight="1">
      <c r="A5" s="49" t="inlineStr">
        <is>
          <t>Due</t>
        </is>
      </c>
      <c r="B5" s="51" t="inlineStr">
        <is>
          <t>T+16 (true-up 1); T+92 (final)</t>
        </is>
      </c>
    </row>
    <row r="6" outlineLevel="1" ht="28" customHeight="1">
      <c r="A6" s="49" t="inlineStr">
        <is>
          <t>How it is loaded</t>
        </is>
      </c>
      <c r="B6" s="50" t="inlineStr">
        <is>
          <t>Data migration object G03 (Migrate), layout G03D version 1, through the Migration Console; lands in: General ledger journals of type OPENING (reference MIG-TU-&lt;n&gt;); opening adjustments of the legacy open items and unapplied payments</t>
        </is>
      </c>
    </row>
    <row r="7" outlineLevel="1" ht="15.5" customHeight="1">
      <c r="A7" s="49" t="inlineStr">
        <is>
          <t>Source</t>
        </is>
      </c>
      <c r="B7" s="50" t="inlineStr">
        <is>
          <t>EBIX GL, ISYS GL; FY2027 adjustment register of Comptrollership</t>
        </is>
      </c>
    </row>
    <row r="8" outlineLevel="1" ht="26" customHeight="1">
      <c r="A8" s="49" t="inlineStr">
        <is>
          <t>Depends on</t>
        </is>
      </c>
      <c r="B8" s="68" t="inlineStr">
        <is>
          <t>G03 FY2027 true-up - legacy adjustment journal lines after the freeze →</t>
        </is>
      </c>
      <c r="D8" s="68" t="inlineStr">
        <is>
          <t>G01 GL opening trial balance →</t>
        </is>
      </c>
    </row>
    <row r="9" ht="26" customHeight="1">
      <c r="A9" s="53" t="inlineStr">
        <is>
          <t>Progress</t>
        </is>
      </c>
      <c r="B9" s="54" t="inlineStr">
        <is>
          <t>Rows entered</t>
        </is>
      </c>
      <c r="C9" s="55">
        <f>SUMPRODUCT(((ROW($B$20:$B$220)&gt;20)+($B$20&lt;&gt;"1")&gt;0)*(LEN($B$20:$B$220&amp;$C$20:$C$220&amp;$D$20:$D$220&amp;$E$20:$E$220&amp;$F$20:$F$220&amp;$G$20:$G$220&amp;$H$20:$H$220&amp;$I$20:$I$220&amp;$J$20:$J$220&amp;$K$20:$K$220)&gt;0))</f>
        <v/>
      </c>
      <c r="D9" s="54" t="inlineStr">
        <is>
          <t>Mandatory cells missing</t>
        </is>
      </c>
      <c r="E9" s="55">
        <f>SUMPRODUCT(((ROW($B$20:$B$220)&gt;20)+($B$20&lt;&gt;"1")&gt;0)*(LEN($B$20:$B$220&amp;$C$20:$C$220&amp;$D$20:$D$220&amp;$E$20:$E$220&amp;$F$20:$F$220&amp;$G$20:$G$220&amp;$H$20:$H$220&amp;$I$20:$I$220&amp;$J$20:$J$220&amp;$K$20:$K$220)&gt;0)*(($B$20:$B$220="")+($C$20:$C$220="")+($D$20:$D$220="")+($E$20:$E$220="")+($F$20:$F$220="")+($G$20:$G$220="")+($H$20:$H$220="")+($I$20:$I$220="")+($J$20:$J$220="")+($K$20:$K$220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row>
    <row r="12" ht="30" customHeight="1">
      <c r="A12" s="59" t="inlineStr">
        <is>
          <t>BU review</t>
        </is>
      </c>
      <c r="B12" s="60" t="n"/>
      <c r="C12" s="60" t="n"/>
      <c r="D12" s="60" t="n"/>
      <c r="E12" s="60" t="n"/>
      <c r="F12" s="60" t="n"/>
      <c r="G12" s="60" t="n"/>
      <c r="H12" s="60" t="n"/>
      <c r="I12" s="60" t="n"/>
      <c r="J12" s="60" t="n"/>
      <c r="K12" s="60" t="n"/>
    </row>
    <row r="13" ht="30" customHeight="1">
      <c r="A13" s="59" t="inlineStr">
        <is>
          <t>BU comment</t>
        </is>
      </c>
      <c r="B13" s="60" t="n"/>
      <c r="C13" s="60" t="n"/>
      <c r="D13" s="60" t="n"/>
      <c r="E13" s="60" t="n"/>
      <c r="F13" s="60" t="n"/>
      <c r="G13" s="60" t="n"/>
      <c r="H13" s="60" t="n"/>
      <c r="I13" s="60" t="n"/>
      <c r="J13" s="60" t="n"/>
      <c r="K13" s="60" t="n"/>
    </row>
    <row r="14" ht="69" customHeight="1">
      <c r="A14" s="59" t="inlineStr">
        <is>
          <t>Check when loaded</t>
        </is>
      </c>
      <c r="B14" s="61" t="inlineStr">
        <is>
          <t>Equals the G03 file</t>
        </is>
      </c>
      <c r="C14" s="61" t="inlineStr">
        <is>
          <t>Exists in G03</t>
        </is>
      </c>
      <c r="D14" s="61" t="inlineStr">
        <is>
          <t>Exists in G03; the line is on a legacy control account</t>
        </is>
      </c>
      <c r="E14" s="61" t="inlineStr">
        <is>
          <t>In the list</t>
        </is>
      </c>
      <c r="F14" s="61" t="inlineStr">
        <is>
          <t>Item loaded</t>
        </is>
      </c>
      <c r="G14" s="61" t="inlineStr">
        <is>
          <t>In the list</t>
        </is>
      </c>
      <c r="H14" s="61" t="inlineStr">
        <is>
          <t>In the list</t>
        </is>
      </c>
      <c r="I14" s="61" t="inlineStr">
        <is>
          <t>Equals the item currency</t>
        </is>
      </c>
      <c r="J14" s="61" t="inlineStr">
        <is>
          <t>Open balance stays within 0 and booked + adjusted; detail per account equals the G03 line</t>
        </is>
      </c>
      <c r="K14" s="61" t="inlineStr">
        <is>
          <t>Not blank</t>
        </is>
      </c>
    </row>
    <row r="15" ht="17" customHeight="1">
      <c r="A15" s="59" t="inlineStr">
        <is>
          <t>Mandatory</t>
        </is>
      </c>
      <c r="B15" s="62" t="inlineStr">
        <is>
          <t>Yes</t>
        </is>
      </c>
      <c r="C15" s="62" t="inlineStr">
        <is>
          <t>Yes</t>
        </is>
      </c>
      <c r="D15" s="62" t="inlineStr">
        <is>
          <t>Yes</t>
        </is>
      </c>
      <c r="E15" s="62" t="inlineStr">
        <is>
          <t>Yes</t>
        </is>
      </c>
      <c r="F15" s="62" t="inlineStr">
        <is>
          <t>Yes</t>
        </is>
      </c>
      <c r="G15" s="62" t="inlineStr">
        <is>
          <t>Yes</t>
        </is>
      </c>
      <c r="H15" s="62" t="inlineStr">
        <is>
          <t>Yes</t>
        </is>
      </c>
      <c r="I15" s="62" t="inlineStr">
        <is>
          <t>Yes</t>
        </is>
      </c>
      <c r="J15" s="62" t="inlineStr">
        <is>
          <t>Yes</t>
        </is>
      </c>
      <c r="K15" s="62" t="inlineStr">
        <is>
          <t>Yes</t>
        </is>
      </c>
    </row>
    <row r="16" ht="30" customHeight="1">
      <c r="A16" s="59" t="inlineStr">
        <is>
          <t>Format</t>
        </is>
      </c>
      <c r="B16" s="61" t="inlineStr">
        <is>
          <t>Code, up to 2; As listed</t>
        </is>
      </c>
      <c r="C16" s="61" t="inlineStr">
        <is>
          <t>Code, up to 30; As in G03</t>
        </is>
      </c>
      <c r="D16" s="61" t="inlineStr">
        <is>
          <t>Integer, up to 4; Digits</t>
        </is>
      </c>
      <c r="E16" s="61" t="inlineStr">
        <is>
          <t>Code, up to 8; Upper case</t>
        </is>
      </c>
      <c r="F16" s="61" t="inlineStr">
        <is>
          <t>Code, up to 40; As in F01 or F02</t>
        </is>
      </c>
      <c r="G16" s="61" t="inlineStr">
        <is>
          <t>Code, up to 20; Upper case</t>
        </is>
      </c>
      <c r="H16" s="61" t="inlineStr">
        <is>
          <t>Code, up to 12; Upper case</t>
        </is>
      </c>
      <c r="I16" s="61" t="inlineStr">
        <is>
          <t>Code, up to 3; Upper case</t>
        </is>
      </c>
      <c r="J16" s="61" t="inlineStr">
        <is>
          <t>Amount, up to 19,2; Dot decimal, 2 decimals</t>
        </is>
      </c>
      <c r="K16" s="61" t="inlineStr">
        <is>
          <t>Text, up to 250; Free text</t>
        </is>
      </c>
    </row>
    <row r="17" ht="56" customHeight="1">
      <c r="A17" s="59" t="inlineStr">
        <is>
          <t>Allowed values</t>
        </is>
      </c>
      <c r="B17" s="69" t="inlineStr">
        <is>
          <t>1, 2, 3, F (list G03D trueup_no)</t>
        </is>
      </c>
      <c r="C17" s="61" t="inlineStr">
        <is>
          <t>legacy_journal_no of G03</t>
        </is>
      </c>
      <c r="D17" s="61" t="inlineStr">
        <is>
          <t>line_no of G03</t>
        </is>
      </c>
      <c r="E17" s="69" t="inlineStr">
        <is>
          <t>INVOICE, UPP (list G03D item_kind)</t>
        </is>
      </c>
      <c r="F17" s="61" t="inlineStr">
        <is>
          <t>legacy_invoice_no of F01 or legacy_upp_ref of F02</t>
        </is>
      </c>
      <c r="G17" s="69" t="inlineStr">
        <is>
          <t>List G03D component: 14 values, see Reference lists</t>
        </is>
      </c>
      <c r="H17" s="69" t="inlineStr">
        <is>
          <t>ADJUSTED, WRITTEN_OFF (list G03D movement)</t>
        </is>
      </c>
      <c r="I17" s="61" t="inlineStr">
        <is>
          <t>ISO 4217</t>
        </is>
      </c>
      <c r="J17" s="61" t="inlineStr">
        <is>
          <t>A number</t>
        </is>
      </c>
      <c r="K17" s="61" t="inlineStr">
        <is>
          <t>Free entry, up to 250 characters</t>
        </is>
      </c>
    </row>
    <row r="18" ht="69" customHeight="1">
      <c r="A18" s="59" t="inlineStr">
        <is>
          <t>What to enter</t>
        </is>
      </c>
      <c r="B18" s="61" t="inlineStr">
        <is>
          <t>True-up number, as in G03</t>
        </is>
      </c>
      <c r="C18" s="61" t="inlineStr">
        <is>
          <t>Legacy journal of the line</t>
        </is>
      </c>
      <c r="D18" s="61" t="inlineStr">
        <is>
          <t>Line of the legacy journal on the legacy control account</t>
        </is>
      </c>
      <c r="E18" s="61" t="inlineStr">
        <is>
          <t>Legacy invoice or legacy UPP</t>
        </is>
      </c>
      <c r="F18" s="61" t="inlineStr">
        <is>
          <t>Legacy invoice number (F01) or UPP reference (F02)</t>
        </is>
      </c>
      <c r="G18" s="61" t="inlineStr">
        <is>
          <t>Component adjusted (UPP for an unapplied item)</t>
        </is>
      </c>
      <c r="H18" s="61" t="inlineStr">
        <is>
          <t>Effect on the open item</t>
        </is>
      </c>
      <c r="I18" s="61" t="inlineStr">
        <is>
          <t>Currency of the item</t>
        </is>
      </c>
      <c r="J18" s="61" t="inlineStr">
        <is>
          <t>Change of the open balance - positive raises it, negative lowers it</t>
        </is>
      </c>
      <c r="K18" s="61" t="inlineStr">
        <is>
          <t>Reason or audit finding</t>
        </is>
      </c>
    </row>
    <row r="19" ht="30" customHeight="1">
      <c r="A19" s="63" t="inlineStr">
        <is>
          <t>Row</t>
        </is>
      </c>
      <c r="B19" s="24" t="inlineStr">
        <is>
          <t>trueup_no *</t>
        </is>
      </c>
      <c r="C19" s="24" t="inlineStr">
        <is>
          <t>legacy_journal_no *</t>
        </is>
      </c>
      <c r="D19" s="24" t="inlineStr">
        <is>
          <t>line_no *</t>
        </is>
      </c>
      <c r="E19" s="24" t="inlineStr">
        <is>
          <t>item_kind *</t>
        </is>
      </c>
      <c r="F19" s="24" t="inlineStr">
        <is>
          <t>item_ref *</t>
        </is>
      </c>
      <c r="G19" s="24" t="inlineStr">
        <is>
          <t>component *</t>
        </is>
      </c>
      <c r="H19" s="24" t="inlineStr">
        <is>
          <t>movement *</t>
        </is>
      </c>
      <c r="I19" s="24" t="inlineStr">
        <is>
          <t>currency *</t>
        </is>
      </c>
      <c r="J19" s="24" t="inlineStr">
        <is>
          <t>amount *</t>
        </is>
      </c>
      <c r="K19" s="24" t="inlineStr">
        <is>
          <t>reason *</t>
        </is>
      </c>
    </row>
    <row r="20" ht="30" customHeight="1">
      <c r="A20" s="64" t="inlineStr">
        <is>
          <t>Example – overwrite or delete</t>
        </is>
      </c>
      <c r="B20" s="65" t="inlineStr">
        <is>
          <t>1</t>
        </is>
      </c>
      <c r="C20" s="65" t="inlineStr">
        <is>
          <t>JV-2028-AUD-0003</t>
        </is>
      </c>
      <c r="D20" s="66" t="n">
        <v>2</v>
      </c>
      <c r="E20" s="65" t="inlineStr">
        <is>
          <t>INVOICE</t>
        </is>
      </c>
      <c r="F20" s="65" t="inlineStr">
        <is>
          <t>I00300002</t>
        </is>
      </c>
      <c r="G20" s="65" t="inlineStr">
        <is>
          <t>BASIC</t>
        </is>
      </c>
      <c r="H20" s="65" t="inlineStr">
        <is>
          <t>WRITTEN_OFF</t>
        </is>
      </c>
      <c r="I20" s="65" t="inlineStr">
        <is>
          <t>PHP</t>
        </is>
      </c>
      <c r="J20" s="66" t="n">
        <v>-3000</v>
      </c>
      <c r="K20" s="65" t="inlineStr">
        <is>
          <t>Audit finding 7 - uncollectible premium written off</t>
        </is>
      </c>
    </row>
    <row r="21">
      <c r="B21" s="67" t="n"/>
      <c r="C21" s="67" t="n"/>
      <c r="E21" s="67" t="n"/>
      <c r="F21" s="67" t="n"/>
      <c r="G21" s="67" t="n"/>
      <c r="H21" s="67" t="n"/>
      <c r="I21" s="67" t="n"/>
      <c r="K21" s="67" t="n"/>
    </row>
    <row r="22">
      <c r="B22" s="67" t="n"/>
      <c r="C22" s="67" t="n"/>
      <c r="E22" s="67" t="n"/>
      <c r="F22" s="67" t="n"/>
      <c r="G22" s="67" t="n"/>
      <c r="H22" s="67" t="n"/>
      <c r="I22" s="67" t="n"/>
      <c r="K22" s="67" t="n"/>
    </row>
    <row r="23">
      <c r="B23" s="67" t="n"/>
      <c r="C23" s="67" t="n"/>
      <c r="E23" s="67" t="n"/>
      <c r="F23" s="67" t="n"/>
      <c r="G23" s="67" t="n"/>
      <c r="H23" s="67" t="n"/>
      <c r="I23" s="67" t="n"/>
      <c r="K23" s="67" t="n"/>
    </row>
    <row r="24">
      <c r="B24" s="67" t="n"/>
      <c r="C24" s="67" t="n"/>
      <c r="E24" s="67" t="n"/>
      <c r="F24" s="67" t="n"/>
      <c r="G24" s="67" t="n"/>
      <c r="H24" s="67" t="n"/>
      <c r="I24" s="67" t="n"/>
      <c r="K24" s="67" t="n"/>
    </row>
    <row r="25">
      <c r="B25" s="67" t="n"/>
      <c r="C25" s="67" t="n"/>
      <c r="E25" s="67" t="n"/>
      <c r="F25" s="67" t="n"/>
      <c r="G25" s="67" t="n"/>
      <c r="H25" s="67" t="n"/>
      <c r="I25" s="67" t="n"/>
      <c r="K25" s="67" t="n"/>
    </row>
    <row r="26">
      <c r="B26" s="67" t="n"/>
      <c r="C26" s="67" t="n"/>
      <c r="E26" s="67" t="n"/>
      <c r="F26" s="67" t="n"/>
      <c r="G26" s="67" t="n"/>
      <c r="H26" s="67" t="n"/>
      <c r="I26" s="67" t="n"/>
      <c r="K26" s="67" t="n"/>
    </row>
    <row r="27">
      <c r="B27" s="67" t="n"/>
      <c r="C27" s="67" t="n"/>
      <c r="E27" s="67" t="n"/>
      <c r="F27" s="67" t="n"/>
      <c r="G27" s="67" t="n"/>
      <c r="H27" s="67" t="n"/>
      <c r="I27" s="67" t="n"/>
      <c r="K27" s="67" t="n"/>
    </row>
    <row r="28">
      <c r="B28" s="67" t="n"/>
      <c r="C28" s="67" t="n"/>
      <c r="E28" s="67" t="n"/>
      <c r="F28" s="67" t="n"/>
      <c r="G28" s="67" t="n"/>
      <c r="H28" s="67" t="n"/>
      <c r="I28" s="67" t="n"/>
      <c r="K28" s="67" t="n"/>
    </row>
    <row r="29">
      <c r="B29" s="67" t="n"/>
      <c r="C29" s="67" t="n"/>
      <c r="E29" s="67" t="n"/>
      <c r="F29" s="67" t="n"/>
      <c r="G29" s="67" t="n"/>
      <c r="H29" s="67" t="n"/>
      <c r="I29" s="67" t="n"/>
      <c r="K29" s="67" t="n"/>
    </row>
    <row r="30">
      <c r="B30" s="67" t="n"/>
      <c r="C30" s="67" t="n"/>
      <c r="E30" s="67" t="n"/>
      <c r="F30" s="67" t="n"/>
      <c r="G30" s="67" t="n"/>
      <c r="H30" s="67" t="n"/>
      <c r="I30" s="67" t="n"/>
      <c r="K30" s="67" t="n"/>
    </row>
    <row r="31">
      <c r="B31" s="67" t="n"/>
      <c r="C31" s="67" t="n"/>
      <c r="E31" s="67" t="n"/>
      <c r="F31" s="67" t="n"/>
      <c r="G31" s="67" t="n"/>
      <c r="H31" s="67" t="n"/>
      <c r="I31" s="67" t="n"/>
      <c r="K31" s="67" t="n"/>
    </row>
    <row r="32">
      <c r="B32" s="67" t="n"/>
      <c r="C32" s="67" t="n"/>
      <c r="E32" s="67" t="n"/>
      <c r="F32" s="67" t="n"/>
      <c r="G32" s="67" t="n"/>
      <c r="H32" s="67" t="n"/>
      <c r="I32" s="67" t="n"/>
      <c r="K32" s="67" t="n"/>
    </row>
    <row r="33">
      <c r="B33" s="67" t="n"/>
      <c r="C33" s="67" t="n"/>
      <c r="E33" s="67" t="n"/>
      <c r="F33" s="67" t="n"/>
      <c r="G33" s="67" t="n"/>
      <c r="H33" s="67" t="n"/>
      <c r="I33" s="67" t="n"/>
      <c r="K33" s="67" t="n"/>
    </row>
    <row r="34">
      <c r="B34" s="67" t="n"/>
      <c r="C34" s="67" t="n"/>
      <c r="E34" s="67" t="n"/>
      <c r="F34" s="67" t="n"/>
      <c r="G34" s="67" t="n"/>
      <c r="H34" s="67" t="n"/>
      <c r="I34" s="67" t="n"/>
      <c r="K34" s="67" t="n"/>
    </row>
    <row r="35">
      <c r="B35" s="67" t="n"/>
      <c r="C35" s="67" t="n"/>
      <c r="E35" s="67" t="n"/>
      <c r="F35" s="67" t="n"/>
      <c r="G35" s="67" t="n"/>
      <c r="H35" s="67" t="n"/>
      <c r="I35" s="67" t="n"/>
      <c r="K35" s="67" t="n"/>
    </row>
    <row r="36">
      <c r="B36" s="67" t="n"/>
      <c r="C36" s="67" t="n"/>
      <c r="E36" s="67" t="n"/>
      <c r="F36" s="67" t="n"/>
      <c r="G36" s="67" t="n"/>
      <c r="H36" s="67" t="n"/>
      <c r="I36" s="67" t="n"/>
      <c r="K36" s="67" t="n"/>
    </row>
    <row r="37">
      <c r="B37" s="67" t="n"/>
      <c r="C37" s="67" t="n"/>
      <c r="E37" s="67" t="n"/>
      <c r="F37" s="67" t="n"/>
      <c r="G37" s="67" t="n"/>
      <c r="H37" s="67" t="n"/>
      <c r="I37" s="67" t="n"/>
      <c r="K37" s="67" t="n"/>
    </row>
    <row r="38">
      <c r="B38" s="67" t="n"/>
      <c r="C38" s="67" t="n"/>
      <c r="E38" s="67" t="n"/>
      <c r="F38" s="67" t="n"/>
      <c r="G38" s="67" t="n"/>
      <c r="H38" s="67" t="n"/>
      <c r="I38" s="67" t="n"/>
      <c r="K38" s="67" t="n"/>
    </row>
    <row r="39">
      <c r="B39" s="67" t="n"/>
      <c r="C39" s="67" t="n"/>
      <c r="E39" s="67" t="n"/>
      <c r="F39" s="67" t="n"/>
      <c r="G39" s="67" t="n"/>
      <c r="H39" s="67" t="n"/>
      <c r="I39" s="67" t="n"/>
      <c r="K39" s="67" t="n"/>
    </row>
    <row r="40">
      <c r="B40" s="67" t="n"/>
      <c r="C40" s="67" t="n"/>
      <c r="E40" s="67" t="n"/>
      <c r="F40" s="67" t="n"/>
      <c r="G40" s="67" t="n"/>
      <c r="H40" s="67" t="n"/>
      <c r="I40" s="67" t="n"/>
      <c r="K40" s="67" t="n"/>
    </row>
    <row r="41">
      <c r="B41" s="67" t="n"/>
      <c r="C41" s="67" t="n"/>
      <c r="E41" s="67" t="n"/>
      <c r="F41" s="67" t="n"/>
      <c r="G41" s="67" t="n"/>
      <c r="H41" s="67" t="n"/>
      <c r="I41" s="67" t="n"/>
      <c r="K41" s="67" t="n"/>
    </row>
    <row r="42">
      <c r="B42" s="67" t="n"/>
      <c r="C42" s="67" t="n"/>
      <c r="E42" s="67" t="n"/>
      <c r="F42" s="67" t="n"/>
      <c r="G42" s="67" t="n"/>
      <c r="H42" s="67" t="n"/>
      <c r="I42" s="67" t="n"/>
      <c r="K42" s="67" t="n"/>
    </row>
    <row r="43">
      <c r="B43" s="67" t="n"/>
      <c r="C43" s="67" t="n"/>
      <c r="E43" s="67" t="n"/>
      <c r="F43" s="67" t="n"/>
      <c r="G43" s="67" t="n"/>
      <c r="H43" s="67" t="n"/>
      <c r="I43" s="67" t="n"/>
      <c r="K43" s="67" t="n"/>
    </row>
    <row r="44">
      <c r="B44" s="67" t="n"/>
      <c r="C44" s="67" t="n"/>
      <c r="E44" s="67" t="n"/>
      <c r="F44" s="67" t="n"/>
      <c r="G44" s="67" t="n"/>
      <c r="H44" s="67" t="n"/>
      <c r="I44" s="67" t="n"/>
      <c r="K44" s="67" t="n"/>
    </row>
    <row r="45">
      <c r="B45" s="67" t="n"/>
      <c r="C45" s="67" t="n"/>
      <c r="E45" s="67" t="n"/>
      <c r="F45" s="67" t="n"/>
      <c r="G45" s="67" t="n"/>
      <c r="H45" s="67" t="n"/>
      <c r="I45" s="67" t="n"/>
      <c r="K45" s="67" t="n"/>
    </row>
    <row r="46">
      <c r="B46" s="67" t="n"/>
      <c r="C46" s="67" t="n"/>
      <c r="E46" s="67" t="n"/>
      <c r="F46" s="67" t="n"/>
      <c r="G46" s="67" t="n"/>
      <c r="H46" s="67" t="n"/>
      <c r="I46" s="67" t="n"/>
      <c r="K46" s="67" t="n"/>
    </row>
    <row r="47">
      <c r="B47" s="67" t="n"/>
      <c r="C47" s="67" t="n"/>
      <c r="E47" s="67" t="n"/>
      <c r="F47" s="67" t="n"/>
      <c r="G47" s="67" t="n"/>
      <c r="H47" s="67" t="n"/>
      <c r="I47" s="67" t="n"/>
      <c r="K47" s="67" t="n"/>
    </row>
    <row r="48">
      <c r="B48" s="67" t="n"/>
      <c r="C48" s="67" t="n"/>
      <c r="E48" s="67" t="n"/>
      <c r="F48" s="67" t="n"/>
      <c r="G48" s="67" t="n"/>
      <c r="H48" s="67" t="n"/>
      <c r="I48" s="67" t="n"/>
      <c r="K48" s="67" t="n"/>
    </row>
    <row r="49">
      <c r="B49" s="67" t="n"/>
      <c r="C49" s="67" t="n"/>
      <c r="E49" s="67" t="n"/>
      <c r="F49" s="67" t="n"/>
      <c r="G49" s="67" t="n"/>
      <c r="H49" s="67" t="n"/>
      <c r="I49" s="67" t="n"/>
      <c r="K49" s="67" t="n"/>
    </row>
    <row r="50">
      <c r="B50" s="67" t="n"/>
      <c r="C50" s="67" t="n"/>
      <c r="E50" s="67" t="n"/>
      <c r="F50" s="67" t="n"/>
      <c r="G50" s="67" t="n"/>
      <c r="H50" s="67" t="n"/>
      <c r="I50" s="67" t="n"/>
      <c r="K50" s="67" t="n"/>
    </row>
    <row r="51">
      <c r="B51" s="67" t="n"/>
      <c r="C51" s="67" t="n"/>
      <c r="E51" s="67" t="n"/>
      <c r="F51" s="67" t="n"/>
      <c r="G51" s="67" t="n"/>
      <c r="H51" s="67" t="n"/>
      <c r="I51" s="67" t="n"/>
      <c r="K51" s="67" t="n"/>
    </row>
    <row r="52">
      <c r="B52" s="67" t="n"/>
      <c r="C52" s="67" t="n"/>
      <c r="E52" s="67" t="n"/>
      <c r="F52" s="67" t="n"/>
      <c r="G52" s="67" t="n"/>
      <c r="H52" s="67" t="n"/>
      <c r="I52" s="67" t="n"/>
      <c r="K52" s="67" t="n"/>
    </row>
    <row r="53">
      <c r="B53" s="67" t="n"/>
      <c r="C53" s="67" t="n"/>
      <c r="E53" s="67" t="n"/>
      <c r="F53" s="67" t="n"/>
      <c r="G53" s="67" t="n"/>
      <c r="H53" s="67" t="n"/>
      <c r="I53" s="67" t="n"/>
      <c r="K53" s="67" t="n"/>
    </row>
    <row r="54">
      <c r="B54" s="67" t="n"/>
      <c r="C54" s="67" t="n"/>
      <c r="E54" s="67" t="n"/>
      <c r="F54" s="67" t="n"/>
      <c r="G54" s="67" t="n"/>
      <c r="H54" s="67" t="n"/>
      <c r="I54" s="67" t="n"/>
      <c r="K54" s="67" t="n"/>
    </row>
    <row r="55">
      <c r="B55" s="67" t="n"/>
      <c r="C55" s="67" t="n"/>
      <c r="E55" s="67" t="n"/>
      <c r="F55" s="67" t="n"/>
      <c r="G55" s="67" t="n"/>
      <c r="H55" s="67" t="n"/>
      <c r="I55" s="67" t="n"/>
      <c r="K55" s="67" t="n"/>
    </row>
    <row r="56">
      <c r="B56" s="67" t="n"/>
      <c r="C56" s="67" t="n"/>
      <c r="E56" s="67" t="n"/>
      <c r="F56" s="67" t="n"/>
      <c r="G56" s="67" t="n"/>
      <c r="H56" s="67" t="n"/>
      <c r="I56" s="67" t="n"/>
      <c r="K56" s="67" t="n"/>
    </row>
    <row r="57">
      <c r="B57" s="67" t="n"/>
      <c r="C57" s="67" t="n"/>
      <c r="E57" s="67" t="n"/>
      <c r="F57" s="67" t="n"/>
      <c r="G57" s="67" t="n"/>
      <c r="H57" s="67" t="n"/>
      <c r="I57" s="67" t="n"/>
      <c r="K57" s="67" t="n"/>
    </row>
    <row r="58">
      <c r="B58" s="67" t="n"/>
      <c r="C58" s="67" t="n"/>
      <c r="E58" s="67" t="n"/>
      <c r="F58" s="67" t="n"/>
      <c r="G58" s="67" t="n"/>
      <c r="H58" s="67" t="n"/>
      <c r="I58" s="67" t="n"/>
      <c r="K58" s="67" t="n"/>
    </row>
    <row r="59">
      <c r="B59" s="67" t="n"/>
      <c r="C59" s="67" t="n"/>
      <c r="E59" s="67" t="n"/>
      <c r="F59" s="67" t="n"/>
      <c r="G59" s="67" t="n"/>
      <c r="H59" s="67" t="n"/>
      <c r="I59" s="67" t="n"/>
      <c r="K59" s="67" t="n"/>
    </row>
    <row r="60">
      <c r="B60" s="67" t="n"/>
      <c r="C60" s="67" t="n"/>
      <c r="E60" s="67" t="n"/>
      <c r="F60" s="67" t="n"/>
      <c r="G60" s="67" t="n"/>
      <c r="H60" s="67" t="n"/>
      <c r="I60" s="67" t="n"/>
      <c r="K60" s="67" t="n"/>
    </row>
    <row r="61">
      <c r="B61" s="67" t="n"/>
      <c r="C61" s="67" t="n"/>
      <c r="E61" s="67" t="n"/>
      <c r="F61" s="67" t="n"/>
      <c r="G61" s="67" t="n"/>
      <c r="H61" s="67" t="n"/>
      <c r="I61" s="67" t="n"/>
      <c r="K61" s="67" t="n"/>
    </row>
    <row r="62">
      <c r="B62" s="67" t="n"/>
      <c r="C62" s="67" t="n"/>
      <c r="E62" s="67" t="n"/>
      <c r="F62" s="67" t="n"/>
      <c r="G62" s="67" t="n"/>
      <c r="H62" s="67" t="n"/>
      <c r="I62" s="67" t="n"/>
      <c r="K62" s="67" t="n"/>
    </row>
    <row r="63">
      <c r="B63" s="67" t="n"/>
      <c r="C63" s="67" t="n"/>
      <c r="E63" s="67" t="n"/>
      <c r="F63" s="67" t="n"/>
      <c r="G63" s="67" t="n"/>
      <c r="H63" s="67" t="n"/>
      <c r="I63" s="67" t="n"/>
      <c r="K63" s="67" t="n"/>
    </row>
    <row r="64">
      <c r="B64" s="67" t="n"/>
      <c r="C64" s="67" t="n"/>
      <c r="E64" s="67" t="n"/>
      <c r="F64" s="67" t="n"/>
      <c r="G64" s="67" t="n"/>
      <c r="H64" s="67" t="n"/>
      <c r="I64" s="67" t="n"/>
      <c r="K64" s="67" t="n"/>
    </row>
    <row r="65">
      <c r="B65" s="67" t="n"/>
      <c r="C65" s="67" t="n"/>
      <c r="E65" s="67" t="n"/>
      <c r="F65" s="67" t="n"/>
      <c r="G65" s="67" t="n"/>
      <c r="H65" s="67" t="n"/>
      <c r="I65" s="67" t="n"/>
      <c r="K65" s="67" t="n"/>
    </row>
    <row r="66">
      <c r="B66" s="67" t="n"/>
      <c r="C66" s="67" t="n"/>
      <c r="E66" s="67" t="n"/>
      <c r="F66" s="67" t="n"/>
      <c r="G66" s="67" t="n"/>
      <c r="H66" s="67" t="n"/>
      <c r="I66" s="67" t="n"/>
      <c r="K66" s="67" t="n"/>
    </row>
    <row r="67">
      <c r="B67" s="67" t="n"/>
      <c r="C67" s="67" t="n"/>
      <c r="E67" s="67" t="n"/>
      <c r="F67" s="67" t="n"/>
      <c r="G67" s="67" t="n"/>
      <c r="H67" s="67" t="n"/>
      <c r="I67" s="67" t="n"/>
      <c r="K67" s="67" t="n"/>
    </row>
    <row r="68">
      <c r="B68" s="67" t="n"/>
      <c r="C68" s="67" t="n"/>
      <c r="E68" s="67" t="n"/>
      <c r="F68" s="67" t="n"/>
      <c r="G68" s="67" t="n"/>
      <c r="H68" s="67" t="n"/>
      <c r="I68" s="67" t="n"/>
      <c r="K68" s="67" t="n"/>
    </row>
    <row r="69">
      <c r="B69" s="67" t="n"/>
      <c r="C69" s="67" t="n"/>
      <c r="E69" s="67" t="n"/>
      <c r="F69" s="67" t="n"/>
      <c r="G69" s="67" t="n"/>
      <c r="H69" s="67" t="n"/>
      <c r="I69" s="67" t="n"/>
      <c r="K69" s="67" t="n"/>
    </row>
    <row r="70">
      <c r="B70" s="67" t="n"/>
      <c r="C70" s="67" t="n"/>
      <c r="E70" s="67" t="n"/>
      <c r="F70" s="67" t="n"/>
      <c r="G70" s="67" t="n"/>
      <c r="H70" s="67" t="n"/>
      <c r="I70" s="67" t="n"/>
      <c r="K70" s="67" t="n"/>
    </row>
    <row r="71">
      <c r="B71" s="67" t="n"/>
      <c r="C71" s="67" t="n"/>
      <c r="E71" s="67" t="n"/>
      <c r="F71" s="67" t="n"/>
      <c r="G71" s="67" t="n"/>
      <c r="H71" s="67" t="n"/>
      <c r="I71" s="67" t="n"/>
      <c r="K71" s="67" t="n"/>
    </row>
    <row r="72">
      <c r="B72" s="67" t="n"/>
      <c r="C72" s="67" t="n"/>
      <c r="E72" s="67" t="n"/>
      <c r="F72" s="67" t="n"/>
      <c r="G72" s="67" t="n"/>
      <c r="H72" s="67" t="n"/>
      <c r="I72" s="67" t="n"/>
      <c r="K72" s="67" t="n"/>
    </row>
    <row r="73">
      <c r="B73" s="67" t="n"/>
      <c r="C73" s="67" t="n"/>
      <c r="E73" s="67" t="n"/>
      <c r="F73" s="67" t="n"/>
      <c r="G73" s="67" t="n"/>
      <c r="H73" s="67" t="n"/>
      <c r="I73" s="67" t="n"/>
      <c r="K73" s="67" t="n"/>
    </row>
    <row r="74">
      <c r="B74" s="67" t="n"/>
      <c r="C74" s="67" t="n"/>
      <c r="E74" s="67" t="n"/>
      <c r="F74" s="67" t="n"/>
      <c r="G74" s="67" t="n"/>
      <c r="H74" s="67" t="n"/>
      <c r="I74" s="67" t="n"/>
      <c r="K74" s="67" t="n"/>
    </row>
    <row r="75">
      <c r="B75" s="67" t="n"/>
      <c r="C75" s="67" t="n"/>
      <c r="E75" s="67" t="n"/>
      <c r="F75" s="67" t="n"/>
      <c r="G75" s="67" t="n"/>
      <c r="H75" s="67" t="n"/>
      <c r="I75" s="67" t="n"/>
      <c r="K75" s="67" t="n"/>
    </row>
    <row r="76">
      <c r="B76" s="67" t="n"/>
      <c r="C76" s="67" t="n"/>
      <c r="E76" s="67" t="n"/>
      <c r="F76" s="67" t="n"/>
      <c r="G76" s="67" t="n"/>
      <c r="H76" s="67" t="n"/>
      <c r="I76" s="67" t="n"/>
      <c r="K76" s="67" t="n"/>
    </row>
    <row r="77">
      <c r="B77" s="67" t="n"/>
      <c r="C77" s="67" t="n"/>
      <c r="E77" s="67" t="n"/>
      <c r="F77" s="67" t="n"/>
      <c r="G77" s="67" t="n"/>
      <c r="H77" s="67" t="n"/>
      <c r="I77" s="67" t="n"/>
      <c r="K77" s="67" t="n"/>
    </row>
    <row r="78">
      <c r="B78" s="67" t="n"/>
      <c r="C78" s="67" t="n"/>
      <c r="E78" s="67" t="n"/>
      <c r="F78" s="67" t="n"/>
      <c r="G78" s="67" t="n"/>
      <c r="H78" s="67" t="n"/>
      <c r="I78" s="67" t="n"/>
      <c r="K78" s="67" t="n"/>
    </row>
    <row r="79">
      <c r="B79" s="67" t="n"/>
      <c r="C79" s="67" t="n"/>
      <c r="E79" s="67" t="n"/>
      <c r="F79" s="67" t="n"/>
      <c r="G79" s="67" t="n"/>
      <c r="H79" s="67" t="n"/>
      <c r="I79" s="67" t="n"/>
      <c r="K79" s="67" t="n"/>
    </row>
    <row r="80">
      <c r="B80" s="67" t="n"/>
      <c r="C80" s="67" t="n"/>
      <c r="E80" s="67" t="n"/>
      <c r="F80" s="67" t="n"/>
      <c r="G80" s="67" t="n"/>
      <c r="H80" s="67" t="n"/>
      <c r="I80" s="67" t="n"/>
      <c r="K80" s="67" t="n"/>
    </row>
    <row r="81">
      <c r="B81" s="67" t="n"/>
      <c r="C81" s="67" t="n"/>
      <c r="E81" s="67" t="n"/>
      <c r="F81" s="67" t="n"/>
      <c r="G81" s="67" t="n"/>
      <c r="H81" s="67" t="n"/>
      <c r="I81" s="67" t="n"/>
      <c r="K81" s="67" t="n"/>
    </row>
    <row r="82">
      <c r="B82" s="67" t="n"/>
      <c r="C82" s="67" t="n"/>
      <c r="E82" s="67" t="n"/>
      <c r="F82" s="67" t="n"/>
      <c r="G82" s="67" t="n"/>
      <c r="H82" s="67" t="n"/>
      <c r="I82" s="67" t="n"/>
      <c r="K82" s="67" t="n"/>
    </row>
    <row r="83">
      <c r="B83" s="67" t="n"/>
      <c r="C83" s="67" t="n"/>
      <c r="E83" s="67" t="n"/>
      <c r="F83" s="67" t="n"/>
      <c r="G83" s="67" t="n"/>
      <c r="H83" s="67" t="n"/>
      <c r="I83" s="67" t="n"/>
      <c r="K83" s="67" t="n"/>
    </row>
    <row r="84">
      <c r="B84" s="67" t="n"/>
      <c r="C84" s="67" t="n"/>
      <c r="E84" s="67" t="n"/>
      <c r="F84" s="67" t="n"/>
      <c r="G84" s="67" t="n"/>
      <c r="H84" s="67" t="n"/>
      <c r="I84" s="67" t="n"/>
      <c r="K84" s="67" t="n"/>
    </row>
    <row r="85">
      <c r="B85" s="67" t="n"/>
      <c r="C85" s="67" t="n"/>
      <c r="E85" s="67" t="n"/>
      <c r="F85" s="67" t="n"/>
      <c r="G85" s="67" t="n"/>
      <c r="H85" s="67" t="n"/>
      <c r="I85" s="67" t="n"/>
      <c r="K85" s="67" t="n"/>
    </row>
    <row r="86">
      <c r="B86" s="67" t="n"/>
      <c r="C86" s="67" t="n"/>
      <c r="E86" s="67" t="n"/>
      <c r="F86" s="67" t="n"/>
      <c r="G86" s="67" t="n"/>
      <c r="H86" s="67" t="n"/>
      <c r="I86" s="67" t="n"/>
      <c r="K86" s="67" t="n"/>
    </row>
    <row r="87">
      <c r="B87" s="67" t="n"/>
      <c r="C87" s="67" t="n"/>
      <c r="E87" s="67" t="n"/>
      <c r="F87" s="67" t="n"/>
      <c r="G87" s="67" t="n"/>
      <c r="H87" s="67" t="n"/>
      <c r="I87" s="67" t="n"/>
      <c r="K87" s="67" t="n"/>
    </row>
    <row r="88">
      <c r="B88" s="67" t="n"/>
      <c r="C88" s="67" t="n"/>
      <c r="E88" s="67" t="n"/>
      <c r="F88" s="67" t="n"/>
      <c r="G88" s="67" t="n"/>
      <c r="H88" s="67" t="n"/>
      <c r="I88" s="67" t="n"/>
      <c r="K88" s="67" t="n"/>
    </row>
    <row r="89">
      <c r="B89" s="67" t="n"/>
      <c r="C89" s="67" t="n"/>
      <c r="E89" s="67" t="n"/>
      <c r="F89" s="67" t="n"/>
      <c r="G89" s="67" t="n"/>
      <c r="H89" s="67" t="n"/>
      <c r="I89" s="67" t="n"/>
      <c r="K89" s="67" t="n"/>
    </row>
    <row r="90">
      <c r="B90" s="67" t="n"/>
      <c r="C90" s="67" t="n"/>
      <c r="E90" s="67" t="n"/>
      <c r="F90" s="67" t="n"/>
      <c r="G90" s="67" t="n"/>
      <c r="H90" s="67" t="n"/>
      <c r="I90" s="67" t="n"/>
      <c r="K90" s="67" t="n"/>
    </row>
    <row r="91">
      <c r="B91" s="67" t="n"/>
      <c r="C91" s="67" t="n"/>
      <c r="E91" s="67" t="n"/>
      <c r="F91" s="67" t="n"/>
      <c r="G91" s="67" t="n"/>
      <c r="H91" s="67" t="n"/>
      <c r="I91" s="67" t="n"/>
      <c r="K91" s="67" t="n"/>
    </row>
    <row r="92">
      <c r="B92" s="67" t="n"/>
      <c r="C92" s="67" t="n"/>
      <c r="E92" s="67" t="n"/>
      <c r="F92" s="67" t="n"/>
      <c r="G92" s="67" t="n"/>
      <c r="H92" s="67" t="n"/>
      <c r="I92" s="67" t="n"/>
      <c r="K92" s="67" t="n"/>
    </row>
    <row r="93">
      <c r="B93" s="67" t="n"/>
      <c r="C93" s="67" t="n"/>
      <c r="E93" s="67" t="n"/>
      <c r="F93" s="67" t="n"/>
      <c r="G93" s="67" t="n"/>
      <c r="H93" s="67" t="n"/>
      <c r="I93" s="67" t="n"/>
      <c r="K93" s="67" t="n"/>
    </row>
    <row r="94">
      <c r="B94" s="67" t="n"/>
      <c r="C94" s="67" t="n"/>
      <c r="E94" s="67" t="n"/>
      <c r="F94" s="67" t="n"/>
      <c r="G94" s="67" t="n"/>
      <c r="H94" s="67" t="n"/>
      <c r="I94" s="67" t="n"/>
      <c r="K94" s="67" t="n"/>
    </row>
    <row r="95">
      <c r="B95" s="67" t="n"/>
      <c r="C95" s="67" t="n"/>
      <c r="E95" s="67" t="n"/>
      <c r="F95" s="67" t="n"/>
      <c r="G95" s="67" t="n"/>
      <c r="H95" s="67" t="n"/>
      <c r="I95" s="67" t="n"/>
      <c r="K95" s="67" t="n"/>
    </row>
    <row r="96">
      <c r="B96" s="67" t="n"/>
      <c r="C96" s="67" t="n"/>
      <c r="E96" s="67" t="n"/>
      <c r="F96" s="67" t="n"/>
      <c r="G96" s="67" t="n"/>
      <c r="H96" s="67" t="n"/>
      <c r="I96" s="67" t="n"/>
      <c r="K96" s="67" t="n"/>
    </row>
    <row r="97">
      <c r="B97" s="67" t="n"/>
      <c r="C97" s="67" t="n"/>
      <c r="E97" s="67" t="n"/>
      <c r="F97" s="67" t="n"/>
      <c r="G97" s="67" t="n"/>
      <c r="H97" s="67" t="n"/>
      <c r="I97" s="67" t="n"/>
      <c r="K97" s="67" t="n"/>
    </row>
    <row r="98">
      <c r="B98" s="67" t="n"/>
      <c r="C98" s="67" t="n"/>
      <c r="E98" s="67" t="n"/>
      <c r="F98" s="67" t="n"/>
      <c r="G98" s="67" t="n"/>
      <c r="H98" s="67" t="n"/>
      <c r="I98" s="67" t="n"/>
      <c r="K98" s="67" t="n"/>
    </row>
    <row r="99">
      <c r="B99" s="67" t="n"/>
      <c r="C99" s="67" t="n"/>
      <c r="E99" s="67" t="n"/>
      <c r="F99" s="67" t="n"/>
      <c r="G99" s="67" t="n"/>
      <c r="H99" s="67" t="n"/>
      <c r="I99" s="67" t="n"/>
      <c r="K99" s="67" t="n"/>
    </row>
    <row r="100">
      <c r="B100" s="67" t="n"/>
      <c r="C100" s="67" t="n"/>
      <c r="E100" s="67" t="n"/>
      <c r="F100" s="67" t="n"/>
      <c r="G100" s="67" t="n"/>
      <c r="H100" s="67" t="n"/>
      <c r="I100" s="67" t="n"/>
      <c r="K100" s="67" t="n"/>
    </row>
    <row r="101">
      <c r="B101" s="67" t="n"/>
      <c r="C101" s="67" t="n"/>
      <c r="E101" s="67" t="n"/>
      <c r="F101" s="67" t="n"/>
      <c r="G101" s="67" t="n"/>
      <c r="H101" s="67" t="n"/>
      <c r="I101" s="67" t="n"/>
      <c r="K101" s="67" t="n"/>
    </row>
    <row r="102">
      <c r="B102" s="67" t="n"/>
      <c r="C102" s="67" t="n"/>
      <c r="E102" s="67" t="n"/>
      <c r="F102" s="67" t="n"/>
      <c r="G102" s="67" t="n"/>
      <c r="H102" s="67" t="n"/>
      <c r="I102" s="67" t="n"/>
      <c r="K102" s="67" t="n"/>
    </row>
    <row r="103">
      <c r="B103" s="67" t="n"/>
      <c r="C103" s="67" t="n"/>
      <c r="E103" s="67" t="n"/>
      <c r="F103" s="67" t="n"/>
      <c r="G103" s="67" t="n"/>
      <c r="H103" s="67" t="n"/>
      <c r="I103" s="67" t="n"/>
      <c r="K103" s="67" t="n"/>
    </row>
    <row r="104">
      <c r="B104" s="67" t="n"/>
      <c r="C104" s="67" t="n"/>
      <c r="E104" s="67" t="n"/>
      <c r="F104" s="67" t="n"/>
      <c r="G104" s="67" t="n"/>
      <c r="H104" s="67" t="n"/>
      <c r="I104" s="67" t="n"/>
      <c r="K104" s="67" t="n"/>
    </row>
    <row r="105">
      <c r="B105" s="67" t="n"/>
      <c r="C105" s="67" t="n"/>
      <c r="E105" s="67" t="n"/>
      <c r="F105" s="67" t="n"/>
      <c r="G105" s="67" t="n"/>
      <c r="H105" s="67" t="n"/>
      <c r="I105" s="67" t="n"/>
      <c r="K105" s="67" t="n"/>
    </row>
    <row r="106">
      <c r="B106" s="67" t="n"/>
      <c r="C106" s="67" t="n"/>
      <c r="E106" s="67" t="n"/>
      <c r="F106" s="67" t="n"/>
      <c r="G106" s="67" t="n"/>
      <c r="H106" s="67" t="n"/>
      <c r="I106" s="67" t="n"/>
      <c r="K106" s="67" t="n"/>
    </row>
    <row r="107">
      <c r="B107" s="67" t="n"/>
      <c r="C107" s="67" t="n"/>
      <c r="E107" s="67" t="n"/>
      <c r="F107" s="67" t="n"/>
      <c r="G107" s="67" t="n"/>
      <c r="H107" s="67" t="n"/>
      <c r="I107" s="67" t="n"/>
      <c r="K107" s="67" t="n"/>
    </row>
    <row r="108">
      <c r="B108" s="67" t="n"/>
      <c r="C108" s="67" t="n"/>
      <c r="E108" s="67" t="n"/>
      <c r="F108" s="67" t="n"/>
      <c r="G108" s="67" t="n"/>
      <c r="H108" s="67" t="n"/>
      <c r="I108" s="67" t="n"/>
      <c r="K108" s="67" t="n"/>
    </row>
    <row r="109">
      <c r="B109" s="67" t="n"/>
      <c r="C109" s="67" t="n"/>
      <c r="E109" s="67" t="n"/>
      <c r="F109" s="67" t="n"/>
      <c r="G109" s="67" t="n"/>
      <c r="H109" s="67" t="n"/>
      <c r="I109" s="67" t="n"/>
      <c r="K109" s="67" t="n"/>
    </row>
    <row r="110">
      <c r="B110" s="67" t="n"/>
      <c r="C110" s="67" t="n"/>
      <c r="E110" s="67" t="n"/>
      <c r="F110" s="67" t="n"/>
      <c r="G110" s="67" t="n"/>
      <c r="H110" s="67" t="n"/>
      <c r="I110" s="67" t="n"/>
      <c r="K110" s="67" t="n"/>
    </row>
    <row r="111">
      <c r="B111" s="67" t="n"/>
      <c r="C111" s="67" t="n"/>
      <c r="E111" s="67" t="n"/>
      <c r="F111" s="67" t="n"/>
      <c r="G111" s="67" t="n"/>
      <c r="H111" s="67" t="n"/>
      <c r="I111" s="67" t="n"/>
      <c r="K111" s="67" t="n"/>
    </row>
    <row r="112">
      <c r="B112" s="67" t="n"/>
      <c r="C112" s="67" t="n"/>
      <c r="E112" s="67" t="n"/>
      <c r="F112" s="67" t="n"/>
      <c r="G112" s="67" t="n"/>
      <c r="H112" s="67" t="n"/>
      <c r="I112" s="67" t="n"/>
      <c r="K112" s="67" t="n"/>
    </row>
    <row r="113">
      <c r="B113" s="67" t="n"/>
      <c r="C113" s="67" t="n"/>
      <c r="E113" s="67" t="n"/>
      <c r="F113" s="67" t="n"/>
      <c r="G113" s="67" t="n"/>
      <c r="H113" s="67" t="n"/>
      <c r="I113" s="67" t="n"/>
      <c r="K113" s="67" t="n"/>
    </row>
    <row r="114">
      <c r="B114" s="67" t="n"/>
      <c r="C114" s="67" t="n"/>
      <c r="E114" s="67" t="n"/>
      <c r="F114" s="67" t="n"/>
      <c r="G114" s="67" t="n"/>
      <c r="H114" s="67" t="n"/>
      <c r="I114" s="67" t="n"/>
      <c r="K114" s="67" t="n"/>
    </row>
    <row r="115">
      <c r="B115" s="67" t="n"/>
      <c r="C115" s="67" t="n"/>
      <c r="E115" s="67" t="n"/>
      <c r="F115" s="67" t="n"/>
      <c r="G115" s="67" t="n"/>
      <c r="H115" s="67" t="n"/>
      <c r="I115" s="67" t="n"/>
      <c r="K115" s="67" t="n"/>
    </row>
    <row r="116">
      <c r="B116" s="67" t="n"/>
      <c r="C116" s="67" t="n"/>
      <c r="E116" s="67" t="n"/>
      <c r="F116" s="67" t="n"/>
      <c r="G116" s="67" t="n"/>
      <c r="H116" s="67" t="n"/>
      <c r="I116" s="67" t="n"/>
      <c r="K116" s="67" t="n"/>
    </row>
    <row r="117">
      <c r="B117" s="67" t="n"/>
      <c r="C117" s="67" t="n"/>
      <c r="E117" s="67" t="n"/>
      <c r="F117" s="67" t="n"/>
      <c r="G117" s="67" t="n"/>
      <c r="H117" s="67" t="n"/>
      <c r="I117" s="67" t="n"/>
      <c r="K117" s="67" t="n"/>
    </row>
    <row r="118">
      <c r="B118" s="67" t="n"/>
      <c r="C118" s="67" t="n"/>
      <c r="E118" s="67" t="n"/>
      <c r="F118" s="67" t="n"/>
      <c r="G118" s="67" t="n"/>
      <c r="H118" s="67" t="n"/>
      <c r="I118" s="67" t="n"/>
      <c r="K118" s="67" t="n"/>
    </row>
    <row r="119">
      <c r="B119" s="67" t="n"/>
      <c r="C119" s="67" t="n"/>
      <c r="E119" s="67" t="n"/>
      <c r="F119" s="67" t="n"/>
      <c r="G119" s="67" t="n"/>
      <c r="H119" s="67" t="n"/>
      <c r="I119" s="67" t="n"/>
      <c r="K119" s="67" t="n"/>
    </row>
    <row r="120">
      <c r="B120" s="67" t="n"/>
      <c r="C120" s="67" t="n"/>
      <c r="E120" s="67" t="n"/>
      <c r="F120" s="67" t="n"/>
      <c r="G120" s="67" t="n"/>
      <c r="H120" s="67" t="n"/>
      <c r="I120" s="67" t="n"/>
      <c r="K120" s="67" t="n"/>
    </row>
    <row r="121">
      <c r="B121" s="67" t="n"/>
      <c r="C121" s="67" t="n"/>
      <c r="E121" s="67" t="n"/>
      <c r="F121" s="67" t="n"/>
      <c r="G121" s="67" t="n"/>
      <c r="H121" s="67" t="n"/>
      <c r="I121" s="67" t="n"/>
      <c r="K121" s="67" t="n"/>
    </row>
    <row r="122">
      <c r="B122" s="67" t="n"/>
      <c r="C122" s="67" t="n"/>
      <c r="E122" s="67" t="n"/>
      <c r="F122" s="67" t="n"/>
      <c r="G122" s="67" t="n"/>
      <c r="H122" s="67" t="n"/>
      <c r="I122" s="67" t="n"/>
      <c r="K122" s="67" t="n"/>
    </row>
    <row r="123">
      <c r="B123" s="67" t="n"/>
      <c r="C123" s="67" t="n"/>
      <c r="E123" s="67" t="n"/>
      <c r="F123" s="67" t="n"/>
      <c r="G123" s="67" t="n"/>
      <c r="H123" s="67" t="n"/>
      <c r="I123" s="67" t="n"/>
      <c r="K123" s="67" t="n"/>
    </row>
    <row r="124">
      <c r="B124" s="67" t="n"/>
      <c r="C124" s="67" t="n"/>
      <c r="E124" s="67" t="n"/>
      <c r="F124" s="67" t="n"/>
      <c r="G124" s="67" t="n"/>
      <c r="H124" s="67" t="n"/>
      <c r="I124" s="67" t="n"/>
      <c r="K124" s="67" t="n"/>
    </row>
    <row r="125">
      <c r="B125" s="67" t="n"/>
      <c r="C125" s="67" t="n"/>
      <c r="E125" s="67" t="n"/>
      <c r="F125" s="67" t="n"/>
      <c r="G125" s="67" t="n"/>
      <c r="H125" s="67" t="n"/>
      <c r="I125" s="67" t="n"/>
      <c r="K125" s="67" t="n"/>
    </row>
    <row r="126">
      <c r="B126" s="67" t="n"/>
      <c r="C126" s="67" t="n"/>
      <c r="E126" s="67" t="n"/>
      <c r="F126" s="67" t="n"/>
      <c r="G126" s="67" t="n"/>
      <c r="H126" s="67" t="n"/>
      <c r="I126" s="67" t="n"/>
      <c r="K126" s="67" t="n"/>
    </row>
    <row r="127">
      <c r="B127" s="67" t="n"/>
      <c r="C127" s="67" t="n"/>
      <c r="E127" s="67" t="n"/>
      <c r="F127" s="67" t="n"/>
      <c r="G127" s="67" t="n"/>
      <c r="H127" s="67" t="n"/>
      <c r="I127" s="67" t="n"/>
      <c r="K127" s="67" t="n"/>
    </row>
    <row r="128">
      <c r="B128" s="67" t="n"/>
      <c r="C128" s="67" t="n"/>
      <c r="E128" s="67" t="n"/>
      <c r="F128" s="67" t="n"/>
      <c r="G128" s="67" t="n"/>
      <c r="H128" s="67" t="n"/>
      <c r="I128" s="67" t="n"/>
      <c r="K128" s="67" t="n"/>
    </row>
    <row r="129">
      <c r="B129" s="67" t="n"/>
      <c r="C129" s="67" t="n"/>
      <c r="E129" s="67" t="n"/>
      <c r="F129" s="67" t="n"/>
      <c r="G129" s="67" t="n"/>
      <c r="H129" s="67" t="n"/>
      <c r="I129" s="67" t="n"/>
      <c r="K129" s="67" t="n"/>
    </row>
    <row r="130">
      <c r="B130" s="67" t="n"/>
      <c r="C130" s="67" t="n"/>
      <c r="E130" s="67" t="n"/>
      <c r="F130" s="67" t="n"/>
      <c r="G130" s="67" t="n"/>
      <c r="H130" s="67" t="n"/>
      <c r="I130" s="67" t="n"/>
      <c r="K130" s="67" t="n"/>
    </row>
    <row r="131">
      <c r="B131" s="67" t="n"/>
      <c r="C131" s="67" t="n"/>
      <c r="E131" s="67" t="n"/>
      <c r="F131" s="67" t="n"/>
      <c r="G131" s="67" t="n"/>
      <c r="H131" s="67" t="n"/>
      <c r="I131" s="67" t="n"/>
      <c r="K131" s="67" t="n"/>
    </row>
    <row r="132">
      <c r="B132" s="67" t="n"/>
      <c r="C132" s="67" t="n"/>
      <c r="E132" s="67" t="n"/>
      <c r="F132" s="67" t="n"/>
      <c r="G132" s="67" t="n"/>
      <c r="H132" s="67" t="n"/>
      <c r="I132" s="67" t="n"/>
      <c r="K132" s="67" t="n"/>
    </row>
    <row r="133">
      <c r="B133" s="67" t="n"/>
      <c r="C133" s="67" t="n"/>
      <c r="E133" s="67" t="n"/>
      <c r="F133" s="67" t="n"/>
      <c r="G133" s="67" t="n"/>
      <c r="H133" s="67" t="n"/>
      <c r="I133" s="67" t="n"/>
      <c r="K133" s="67" t="n"/>
    </row>
    <row r="134">
      <c r="B134" s="67" t="n"/>
      <c r="C134" s="67" t="n"/>
      <c r="E134" s="67" t="n"/>
      <c r="F134" s="67" t="n"/>
      <c r="G134" s="67" t="n"/>
      <c r="H134" s="67" t="n"/>
      <c r="I134" s="67" t="n"/>
      <c r="K134" s="67" t="n"/>
    </row>
    <row r="135">
      <c r="B135" s="67" t="n"/>
      <c r="C135" s="67" t="n"/>
      <c r="E135" s="67" t="n"/>
      <c r="F135" s="67" t="n"/>
      <c r="G135" s="67" t="n"/>
      <c r="H135" s="67" t="n"/>
      <c r="I135" s="67" t="n"/>
      <c r="K135" s="67" t="n"/>
    </row>
    <row r="136">
      <c r="B136" s="67" t="n"/>
      <c r="C136" s="67" t="n"/>
      <c r="E136" s="67" t="n"/>
      <c r="F136" s="67" t="n"/>
      <c r="G136" s="67" t="n"/>
      <c r="H136" s="67" t="n"/>
      <c r="I136" s="67" t="n"/>
      <c r="K136" s="67" t="n"/>
    </row>
    <row r="137">
      <c r="B137" s="67" t="n"/>
      <c r="C137" s="67" t="n"/>
      <c r="E137" s="67" t="n"/>
      <c r="F137" s="67" t="n"/>
      <c r="G137" s="67" t="n"/>
      <c r="H137" s="67" t="n"/>
      <c r="I137" s="67" t="n"/>
      <c r="K137" s="67" t="n"/>
    </row>
    <row r="138">
      <c r="B138" s="67" t="n"/>
      <c r="C138" s="67" t="n"/>
      <c r="E138" s="67" t="n"/>
      <c r="F138" s="67" t="n"/>
      <c r="G138" s="67" t="n"/>
      <c r="H138" s="67" t="n"/>
      <c r="I138" s="67" t="n"/>
      <c r="K138" s="67" t="n"/>
    </row>
    <row r="139">
      <c r="B139" s="67" t="n"/>
      <c r="C139" s="67" t="n"/>
      <c r="E139" s="67" t="n"/>
      <c r="F139" s="67" t="n"/>
      <c r="G139" s="67" t="n"/>
      <c r="H139" s="67" t="n"/>
      <c r="I139" s="67" t="n"/>
      <c r="K139" s="67" t="n"/>
    </row>
    <row r="140">
      <c r="B140" s="67" t="n"/>
      <c r="C140" s="67" t="n"/>
      <c r="E140" s="67" t="n"/>
      <c r="F140" s="67" t="n"/>
      <c r="G140" s="67" t="n"/>
      <c r="H140" s="67" t="n"/>
      <c r="I140" s="67" t="n"/>
      <c r="K140" s="67" t="n"/>
    </row>
    <row r="141">
      <c r="B141" s="67" t="n"/>
      <c r="C141" s="67" t="n"/>
      <c r="E141" s="67" t="n"/>
      <c r="F141" s="67" t="n"/>
      <c r="G141" s="67" t="n"/>
      <c r="H141" s="67" t="n"/>
      <c r="I141" s="67" t="n"/>
      <c r="K141" s="67" t="n"/>
    </row>
    <row r="142">
      <c r="B142" s="67" t="n"/>
      <c r="C142" s="67" t="n"/>
      <c r="E142" s="67" t="n"/>
      <c r="F142" s="67" t="n"/>
      <c r="G142" s="67" t="n"/>
      <c r="H142" s="67" t="n"/>
      <c r="I142" s="67" t="n"/>
      <c r="K142" s="67" t="n"/>
    </row>
    <row r="143">
      <c r="B143" s="67" t="n"/>
      <c r="C143" s="67" t="n"/>
      <c r="E143" s="67" t="n"/>
      <c r="F143" s="67" t="n"/>
      <c r="G143" s="67" t="n"/>
      <c r="H143" s="67" t="n"/>
      <c r="I143" s="67" t="n"/>
      <c r="K143" s="67" t="n"/>
    </row>
    <row r="144">
      <c r="B144" s="67" t="n"/>
      <c r="C144" s="67" t="n"/>
      <c r="E144" s="67" t="n"/>
      <c r="F144" s="67" t="n"/>
      <c r="G144" s="67" t="n"/>
      <c r="H144" s="67" t="n"/>
      <c r="I144" s="67" t="n"/>
      <c r="K144" s="67" t="n"/>
    </row>
    <row r="145">
      <c r="B145" s="67" t="n"/>
      <c r="C145" s="67" t="n"/>
      <c r="E145" s="67" t="n"/>
      <c r="F145" s="67" t="n"/>
      <c r="G145" s="67" t="n"/>
      <c r="H145" s="67" t="n"/>
      <c r="I145" s="67" t="n"/>
      <c r="K145" s="67" t="n"/>
    </row>
    <row r="146">
      <c r="B146" s="67" t="n"/>
      <c r="C146" s="67" t="n"/>
      <c r="E146" s="67" t="n"/>
      <c r="F146" s="67" t="n"/>
      <c r="G146" s="67" t="n"/>
      <c r="H146" s="67" t="n"/>
      <c r="I146" s="67" t="n"/>
      <c r="K146" s="67" t="n"/>
    </row>
    <row r="147">
      <c r="B147" s="67" t="n"/>
      <c r="C147" s="67" t="n"/>
      <c r="E147" s="67" t="n"/>
      <c r="F147" s="67" t="n"/>
      <c r="G147" s="67" t="n"/>
      <c r="H147" s="67" t="n"/>
      <c r="I147" s="67" t="n"/>
      <c r="K147" s="67" t="n"/>
    </row>
    <row r="148">
      <c r="B148" s="67" t="n"/>
      <c r="C148" s="67" t="n"/>
      <c r="E148" s="67" t="n"/>
      <c r="F148" s="67" t="n"/>
      <c r="G148" s="67" t="n"/>
      <c r="H148" s="67" t="n"/>
      <c r="I148" s="67" t="n"/>
      <c r="K148" s="67" t="n"/>
    </row>
    <row r="149">
      <c r="B149" s="67" t="n"/>
      <c r="C149" s="67" t="n"/>
      <c r="E149" s="67" t="n"/>
      <c r="F149" s="67" t="n"/>
      <c r="G149" s="67" t="n"/>
      <c r="H149" s="67" t="n"/>
      <c r="I149" s="67" t="n"/>
      <c r="K149" s="67" t="n"/>
    </row>
    <row r="150">
      <c r="B150" s="67" t="n"/>
      <c r="C150" s="67" t="n"/>
      <c r="E150" s="67" t="n"/>
      <c r="F150" s="67" t="n"/>
      <c r="G150" s="67" t="n"/>
      <c r="H150" s="67" t="n"/>
      <c r="I150" s="67" t="n"/>
      <c r="K150" s="67" t="n"/>
    </row>
    <row r="151">
      <c r="B151" s="67" t="n"/>
      <c r="C151" s="67" t="n"/>
      <c r="E151" s="67" t="n"/>
      <c r="F151" s="67" t="n"/>
      <c r="G151" s="67" t="n"/>
      <c r="H151" s="67" t="n"/>
      <c r="I151" s="67" t="n"/>
      <c r="K151" s="67" t="n"/>
    </row>
    <row r="152">
      <c r="B152" s="67" t="n"/>
      <c r="C152" s="67" t="n"/>
      <c r="E152" s="67" t="n"/>
      <c r="F152" s="67" t="n"/>
      <c r="G152" s="67" t="n"/>
      <c r="H152" s="67" t="n"/>
      <c r="I152" s="67" t="n"/>
      <c r="K152" s="67" t="n"/>
    </row>
    <row r="153">
      <c r="B153" s="67" t="n"/>
      <c r="C153" s="67" t="n"/>
      <c r="E153" s="67" t="n"/>
      <c r="F153" s="67" t="n"/>
      <c r="G153" s="67" t="n"/>
      <c r="H153" s="67" t="n"/>
      <c r="I153" s="67" t="n"/>
      <c r="K153" s="67" t="n"/>
    </row>
    <row r="154">
      <c r="B154" s="67" t="n"/>
      <c r="C154" s="67" t="n"/>
      <c r="E154" s="67" t="n"/>
      <c r="F154" s="67" t="n"/>
      <c r="G154" s="67" t="n"/>
      <c r="H154" s="67" t="n"/>
      <c r="I154" s="67" t="n"/>
      <c r="K154" s="67" t="n"/>
    </row>
    <row r="155">
      <c r="B155" s="67" t="n"/>
      <c r="C155" s="67" t="n"/>
      <c r="E155" s="67" t="n"/>
      <c r="F155" s="67" t="n"/>
      <c r="G155" s="67" t="n"/>
      <c r="H155" s="67" t="n"/>
      <c r="I155" s="67" t="n"/>
      <c r="K155" s="67" t="n"/>
    </row>
    <row r="156">
      <c r="B156" s="67" t="n"/>
      <c r="C156" s="67" t="n"/>
      <c r="E156" s="67" t="n"/>
      <c r="F156" s="67" t="n"/>
      <c r="G156" s="67" t="n"/>
      <c r="H156" s="67" t="n"/>
      <c r="I156" s="67" t="n"/>
      <c r="K156" s="67" t="n"/>
    </row>
    <row r="157">
      <c r="B157" s="67" t="n"/>
      <c r="C157" s="67" t="n"/>
      <c r="E157" s="67" t="n"/>
      <c r="F157" s="67" t="n"/>
      <c r="G157" s="67" t="n"/>
      <c r="H157" s="67" t="n"/>
      <c r="I157" s="67" t="n"/>
      <c r="K157" s="67" t="n"/>
    </row>
    <row r="158">
      <c r="B158" s="67" t="n"/>
      <c r="C158" s="67" t="n"/>
      <c r="E158" s="67" t="n"/>
      <c r="F158" s="67" t="n"/>
      <c r="G158" s="67" t="n"/>
      <c r="H158" s="67" t="n"/>
      <c r="I158" s="67" t="n"/>
      <c r="K158" s="67" t="n"/>
    </row>
    <row r="159">
      <c r="B159" s="67" t="n"/>
      <c r="C159" s="67" t="n"/>
      <c r="E159" s="67" t="n"/>
      <c r="F159" s="67" t="n"/>
      <c r="G159" s="67" t="n"/>
      <c r="H159" s="67" t="n"/>
      <c r="I159" s="67" t="n"/>
      <c r="K159" s="67" t="n"/>
    </row>
    <row r="160">
      <c r="B160" s="67" t="n"/>
      <c r="C160" s="67" t="n"/>
      <c r="E160" s="67" t="n"/>
      <c r="F160" s="67" t="n"/>
      <c r="G160" s="67" t="n"/>
      <c r="H160" s="67" t="n"/>
      <c r="I160" s="67" t="n"/>
      <c r="K160" s="67" t="n"/>
    </row>
    <row r="161">
      <c r="B161" s="67" t="n"/>
      <c r="C161" s="67" t="n"/>
      <c r="E161" s="67" t="n"/>
      <c r="F161" s="67" t="n"/>
      <c r="G161" s="67" t="n"/>
      <c r="H161" s="67" t="n"/>
      <c r="I161" s="67" t="n"/>
      <c r="K161" s="67" t="n"/>
    </row>
    <row r="162">
      <c r="B162" s="67" t="n"/>
      <c r="C162" s="67" t="n"/>
      <c r="E162" s="67" t="n"/>
      <c r="F162" s="67" t="n"/>
      <c r="G162" s="67" t="n"/>
      <c r="H162" s="67" t="n"/>
      <c r="I162" s="67" t="n"/>
      <c r="K162" s="67" t="n"/>
    </row>
    <row r="163">
      <c r="B163" s="67" t="n"/>
      <c r="C163" s="67" t="n"/>
      <c r="E163" s="67" t="n"/>
      <c r="F163" s="67" t="n"/>
      <c r="G163" s="67" t="n"/>
      <c r="H163" s="67" t="n"/>
      <c r="I163" s="67" t="n"/>
      <c r="K163" s="67" t="n"/>
    </row>
    <row r="164">
      <c r="B164" s="67" t="n"/>
      <c r="C164" s="67" t="n"/>
      <c r="E164" s="67" t="n"/>
      <c r="F164" s="67" t="n"/>
      <c r="G164" s="67" t="n"/>
      <c r="H164" s="67" t="n"/>
      <c r="I164" s="67" t="n"/>
      <c r="K164" s="67" t="n"/>
    </row>
    <row r="165">
      <c r="B165" s="67" t="n"/>
      <c r="C165" s="67" t="n"/>
      <c r="E165" s="67" t="n"/>
      <c r="F165" s="67" t="n"/>
      <c r="G165" s="67" t="n"/>
      <c r="H165" s="67" t="n"/>
      <c r="I165" s="67" t="n"/>
      <c r="K165" s="67" t="n"/>
    </row>
    <row r="166">
      <c r="B166" s="67" t="n"/>
      <c r="C166" s="67" t="n"/>
      <c r="E166" s="67" t="n"/>
      <c r="F166" s="67" t="n"/>
      <c r="G166" s="67" t="n"/>
      <c r="H166" s="67" t="n"/>
      <c r="I166" s="67" t="n"/>
      <c r="K166" s="67" t="n"/>
    </row>
    <row r="167">
      <c r="B167" s="67" t="n"/>
      <c r="C167" s="67" t="n"/>
      <c r="E167" s="67" t="n"/>
      <c r="F167" s="67" t="n"/>
      <c r="G167" s="67" t="n"/>
      <c r="H167" s="67" t="n"/>
      <c r="I167" s="67" t="n"/>
      <c r="K167" s="67" t="n"/>
    </row>
    <row r="168">
      <c r="B168" s="67" t="n"/>
      <c r="C168" s="67" t="n"/>
      <c r="E168" s="67" t="n"/>
      <c r="F168" s="67" t="n"/>
      <c r="G168" s="67" t="n"/>
      <c r="H168" s="67" t="n"/>
      <c r="I168" s="67" t="n"/>
      <c r="K168" s="67" t="n"/>
    </row>
    <row r="169">
      <c r="B169" s="67" t="n"/>
      <c r="C169" s="67" t="n"/>
      <c r="E169" s="67" t="n"/>
      <c r="F169" s="67" t="n"/>
      <c r="G169" s="67" t="n"/>
      <c r="H169" s="67" t="n"/>
      <c r="I169" s="67" t="n"/>
      <c r="K169" s="67" t="n"/>
    </row>
    <row r="170">
      <c r="B170" s="67" t="n"/>
      <c r="C170" s="67" t="n"/>
      <c r="E170" s="67" t="n"/>
      <c r="F170" s="67" t="n"/>
      <c r="G170" s="67" t="n"/>
      <c r="H170" s="67" t="n"/>
      <c r="I170" s="67" t="n"/>
      <c r="K170" s="67" t="n"/>
    </row>
    <row r="171">
      <c r="B171" s="67" t="n"/>
      <c r="C171" s="67" t="n"/>
      <c r="E171" s="67" t="n"/>
      <c r="F171" s="67" t="n"/>
      <c r="G171" s="67" t="n"/>
      <c r="H171" s="67" t="n"/>
      <c r="I171" s="67" t="n"/>
      <c r="K171" s="67" t="n"/>
    </row>
    <row r="172">
      <c r="B172" s="67" t="n"/>
      <c r="C172" s="67" t="n"/>
      <c r="E172" s="67" t="n"/>
      <c r="F172" s="67" t="n"/>
      <c r="G172" s="67" t="n"/>
      <c r="H172" s="67" t="n"/>
      <c r="I172" s="67" t="n"/>
      <c r="K172" s="67" t="n"/>
    </row>
    <row r="173">
      <c r="B173" s="67" t="n"/>
      <c r="C173" s="67" t="n"/>
      <c r="E173" s="67" t="n"/>
      <c r="F173" s="67" t="n"/>
      <c r="G173" s="67" t="n"/>
      <c r="H173" s="67" t="n"/>
      <c r="I173" s="67" t="n"/>
      <c r="K173" s="67" t="n"/>
    </row>
    <row r="174">
      <c r="B174" s="67" t="n"/>
      <c r="C174" s="67" t="n"/>
      <c r="E174" s="67" t="n"/>
      <c r="F174" s="67" t="n"/>
      <c r="G174" s="67" t="n"/>
      <c r="H174" s="67" t="n"/>
      <c r="I174" s="67" t="n"/>
      <c r="K174" s="67" t="n"/>
    </row>
    <row r="175">
      <c r="B175" s="67" t="n"/>
      <c r="C175" s="67" t="n"/>
      <c r="E175" s="67" t="n"/>
      <c r="F175" s="67" t="n"/>
      <c r="G175" s="67" t="n"/>
      <c r="H175" s="67" t="n"/>
      <c r="I175" s="67" t="n"/>
      <c r="K175" s="67" t="n"/>
    </row>
    <row r="176">
      <c r="B176" s="67" t="n"/>
      <c r="C176" s="67" t="n"/>
      <c r="E176" s="67" t="n"/>
      <c r="F176" s="67" t="n"/>
      <c r="G176" s="67" t="n"/>
      <c r="H176" s="67" t="n"/>
      <c r="I176" s="67" t="n"/>
      <c r="K176" s="67" t="n"/>
    </row>
    <row r="177">
      <c r="B177" s="67" t="n"/>
      <c r="C177" s="67" t="n"/>
      <c r="E177" s="67" t="n"/>
      <c r="F177" s="67" t="n"/>
      <c r="G177" s="67" t="n"/>
      <c r="H177" s="67" t="n"/>
      <c r="I177" s="67" t="n"/>
      <c r="K177" s="67" t="n"/>
    </row>
    <row r="178">
      <c r="B178" s="67" t="n"/>
      <c r="C178" s="67" t="n"/>
      <c r="E178" s="67" t="n"/>
      <c r="F178" s="67" t="n"/>
      <c r="G178" s="67" t="n"/>
      <c r="H178" s="67" t="n"/>
      <c r="I178" s="67" t="n"/>
      <c r="K178" s="67" t="n"/>
    </row>
    <row r="179">
      <c r="B179" s="67" t="n"/>
      <c r="C179" s="67" t="n"/>
      <c r="E179" s="67" t="n"/>
      <c r="F179" s="67" t="n"/>
      <c r="G179" s="67" t="n"/>
      <c r="H179" s="67" t="n"/>
      <c r="I179" s="67" t="n"/>
      <c r="K179" s="67" t="n"/>
    </row>
    <row r="180">
      <c r="B180" s="67" t="n"/>
      <c r="C180" s="67" t="n"/>
      <c r="E180" s="67" t="n"/>
      <c r="F180" s="67" t="n"/>
      <c r="G180" s="67" t="n"/>
      <c r="H180" s="67" t="n"/>
      <c r="I180" s="67" t="n"/>
      <c r="K180" s="67" t="n"/>
    </row>
    <row r="181">
      <c r="B181" s="67" t="n"/>
      <c r="C181" s="67" t="n"/>
      <c r="E181" s="67" t="n"/>
      <c r="F181" s="67" t="n"/>
      <c r="G181" s="67" t="n"/>
      <c r="H181" s="67" t="n"/>
      <c r="I181" s="67" t="n"/>
      <c r="K181" s="67" t="n"/>
    </row>
    <row r="182">
      <c r="B182" s="67" t="n"/>
      <c r="C182" s="67" t="n"/>
      <c r="E182" s="67" t="n"/>
      <c r="F182" s="67" t="n"/>
      <c r="G182" s="67" t="n"/>
      <c r="H182" s="67" t="n"/>
      <c r="I182" s="67" t="n"/>
      <c r="K182" s="67" t="n"/>
    </row>
    <row r="183">
      <c r="B183" s="67" t="n"/>
      <c r="C183" s="67" t="n"/>
      <c r="E183" s="67" t="n"/>
      <c r="F183" s="67" t="n"/>
      <c r="G183" s="67" t="n"/>
      <c r="H183" s="67" t="n"/>
      <c r="I183" s="67" t="n"/>
      <c r="K183" s="67" t="n"/>
    </row>
    <row r="184">
      <c r="B184" s="67" t="n"/>
      <c r="C184" s="67" t="n"/>
      <c r="E184" s="67" t="n"/>
      <c r="F184" s="67" t="n"/>
      <c r="G184" s="67" t="n"/>
      <c r="H184" s="67" t="n"/>
      <c r="I184" s="67" t="n"/>
      <c r="K184" s="67" t="n"/>
    </row>
    <row r="185">
      <c r="B185" s="67" t="n"/>
      <c r="C185" s="67" t="n"/>
      <c r="E185" s="67" t="n"/>
      <c r="F185" s="67" t="n"/>
      <c r="G185" s="67" t="n"/>
      <c r="H185" s="67" t="n"/>
      <c r="I185" s="67" t="n"/>
      <c r="K185" s="67" t="n"/>
    </row>
    <row r="186">
      <c r="B186" s="67" t="n"/>
      <c r="C186" s="67" t="n"/>
      <c r="E186" s="67" t="n"/>
      <c r="F186" s="67" t="n"/>
      <c r="G186" s="67" t="n"/>
      <c r="H186" s="67" t="n"/>
      <c r="I186" s="67" t="n"/>
      <c r="K186" s="67" t="n"/>
    </row>
    <row r="187">
      <c r="B187" s="67" t="n"/>
      <c r="C187" s="67" t="n"/>
      <c r="E187" s="67" t="n"/>
      <c r="F187" s="67" t="n"/>
      <c r="G187" s="67" t="n"/>
      <c r="H187" s="67" t="n"/>
      <c r="I187" s="67" t="n"/>
      <c r="K187" s="67" t="n"/>
    </row>
    <row r="188">
      <c r="B188" s="67" t="n"/>
      <c r="C188" s="67" t="n"/>
      <c r="E188" s="67" t="n"/>
      <c r="F188" s="67" t="n"/>
      <c r="G188" s="67" t="n"/>
      <c r="H188" s="67" t="n"/>
      <c r="I188" s="67" t="n"/>
      <c r="K188" s="67" t="n"/>
    </row>
    <row r="189">
      <c r="B189" s="67" t="n"/>
      <c r="C189" s="67" t="n"/>
      <c r="E189" s="67" t="n"/>
      <c r="F189" s="67" t="n"/>
      <c r="G189" s="67" t="n"/>
      <c r="H189" s="67" t="n"/>
      <c r="I189" s="67" t="n"/>
      <c r="K189" s="67" t="n"/>
    </row>
    <row r="190">
      <c r="B190" s="67" t="n"/>
      <c r="C190" s="67" t="n"/>
      <c r="E190" s="67" t="n"/>
      <c r="F190" s="67" t="n"/>
      <c r="G190" s="67" t="n"/>
      <c r="H190" s="67" t="n"/>
      <c r="I190" s="67" t="n"/>
      <c r="K190" s="67" t="n"/>
    </row>
    <row r="191">
      <c r="B191" s="67" t="n"/>
      <c r="C191" s="67" t="n"/>
      <c r="E191" s="67" t="n"/>
      <c r="F191" s="67" t="n"/>
      <c r="G191" s="67" t="n"/>
      <c r="H191" s="67" t="n"/>
      <c r="I191" s="67" t="n"/>
      <c r="K191" s="67" t="n"/>
    </row>
    <row r="192">
      <c r="B192" s="67" t="n"/>
      <c r="C192" s="67" t="n"/>
      <c r="E192" s="67" t="n"/>
      <c r="F192" s="67" t="n"/>
      <c r="G192" s="67" t="n"/>
      <c r="H192" s="67" t="n"/>
      <c r="I192" s="67" t="n"/>
      <c r="K192" s="67" t="n"/>
    </row>
    <row r="193">
      <c r="B193" s="67" t="n"/>
      <c r="C193" s="67" t="n"/>
      <c r="E193" s="67" t="n"/>
      <c r="F193" s="67" t="n"/>
      <c r="G193" s="67" t="n"/>
      <c r="H193" s="67" t="n"/>
      <c r="I193" s="67" t="n"/>
      <c r="K193" s="67" t="n"/>
    </row>
    <row r="194">
      <c r="B194" s="67" t="n"/>
      <c r="C194" s="67" t="n"/>
      <c r="E194" s="67" t="n"/>
      <c r="F194" s="67" t="n"/>
      <c r="G194" s="67" t="n"/>
      <c r="H194" s="67" t="n"/>
      <c r="I194" s="67" t="n"/>
      <c r="K194" s="67" t="n"/>
    </row>
    <row r="195">
      <c r="B195" s="67" t="n"/>
      <c r="C195" s="67" t="n"/>
      <c r="E195" s="67" t="n"/>
      <c r="F195" s="67" t="n"/>
      <c r="G195" s="67" t="n"/>
      <c r="H195" s="67" t="n"/>
      <c r="I195" s="67" t="n"/>
      <c r="K195" s="67" t="n"/>
    </row>
    <row r="196">
      <c r="B196" s="67" t="n"/>
      <c r="C196" s="67" t="n"/>
      <c r="E196" s="67" t="n"/>
      <c r="F196" s="67" t="n"/>
      <c r="G196" s="67" t="n"/>
      <c r="H196" s="67" t="n"/>
      <c r="I196" s="67" t="n"/>
      <c r="K196" s="67" t="n"/>
    </row>
    <row r="197">
      <c r="B197" s="67" t="n"/>
      <c r="C197" s="67" t="n"/>
      <c r="E197" s="67" t="n"/>
      <c r="F197" s="67" t="n"/>
      <c r="G197" s="67" t="n"/>
      <c r="H197" s="67" t="n"/>
      <c r="I197" s="67" t="n"/>
      <c r="K197" s="67" t="n"/>
    </row>
    <row r="198">
      <c r="B198" s="67" t="n"/>
      <c r="C198" s="67" t="n"/>
      <c r="E198" s="67" t="n"/>
      <c r="F198" s="67" t="n"/>
      <c r="G198" s="67" t="n"/>
      <c r="H198" s="67" t="n"/>
      <c r="I198" s="67" t="n"/>
      <c r="K198" s="67" t="n"/>
    </row>
    <row r="199">
      <c r="B199" s="67" t="n"/>
      <c r="C199" s="67" t="n"/>
      <c r="E199" s="67" t="n"/>
      <c r="F199" s="67" t="n"/>
      <c r="G199" s="67" t="n"/>
      <c r="H199" s="67" t="n"/>
      <c r="I199" s="67" t="n"/>
      <c r="K199" s="67" t="n"/>
    </row>
    <row r="200">
      <c r="B200" s="67" t="n"/>
      <c r="C200" s="67" t="n"/>
      <c r="E200" s="67" t="n"/>
      <c r="F200" s="67" t="n"/>
      <c r="G200" s="67" t="n"/>
      <c r="H200" s="67" t="n"/>
      <c r="I200" s="67" t="n"/>
      <c r="K200" s="67" t="n"/>
    </row>
    <row r="201">
      <c r="B201" s="67" t="n"/>
      <c r="C201" s="67" t="n"/>
      <c r="E201" s="67" t="n"/>
      <c r="F201" s="67" t="n"/>
      <c r="G201" s="67" t="n"/>
      <c r="H201" s="67" t="n"/>
      <c r="I201" s="67" t="n"/>
      <c r="K201" s="67" t="n"/>
    </row>
    <row r="202">
      <c r="B202" s="67" t="n"/>
      <c r="C202" s="67" t="n"/>
      <c r="E202" s="67" t="n"/>
      <c r="F202" s="67" t="n"/>
      <c r="G202" s="67" t="n"/>
      <c r="H202" s="67" t="n"/>
      <c r="I202" s="67" t="n"/>
      <c r="K202" s="67" t="n"/>
    </row>
    <row r="203">
      <c r="B203" s="67" t="n"/>
      <c r="C203" s="67" t="n"/>
      <c r="E203" s="67" t="n"/>
      <c r="F203" s="67" t="n"/>
      <c r="G203" s="67" t="n"/>
      <c r="H203" s="67" t="n"/>
      <c r="I203" s="67" t="n"/>
      <c r="K203" s="67" t="n"/>
    </row>
    <row r="204">
      <c r="B204" s="67" t="n"/>
      <c r="C204" s="67" t="n"/>
      <c r="E204" s="67" t="n"/>
      <c r="F204" s="67" t="n"/>
      <c r="G204" s="67" t="n"/>
      <c r="H204" s="67" t="n"/>
      <c r="I204" s="67" t="n"/>
      <c r="K204" s="67" t="n"/>
    </row>
    <row r="205">
      <c r="B205" s="67" t="n"/>
      <c r="C205" s="67" t="n"/>
      <c r="E205" s="67" t="n"/>
      <c r="F205" s="67" t="n"/>
      <c r="G205" s="67" t="n"/>
      <c r="H205" s="67" t="n"/>
      <c r="I205" s="67" t="n"/>
      <c r="K205" s="67" t="n"/>
    </row>
    <row r="206">
      <c r="B206" s="67" t="n"/>
      <c r="C206" s="67" t="n"/>
      <c r="E206" s="67" t="n"/>
      <c r="F206" s="67" t="n"/>
      <c r="G206" s="67" t="n"/>
      <c r="H206" s="67" t="n"/>
      <c r="I206" s="67" t="n"/>
      <c r="K206" s="67" t="n"/>
    </row>
    <row r="207">
      <c r="B207" s="67" t="n"/>
      <c r="C207" s="67" t="n"/>
      <c r="E207" s="67" t="n"/>
      <c r="F207" s="67" t="n"/>
      <c r="G207" s="67" t="n"/>
      <c r="H207" s="67" t="n"/>
      <c r="I207" s="67" t="n"/>
      <c r="K207" s="67" t="n"/>
    </row>
    <row r="208">
      <c r="B208" s="67" t="n"/>
      <c r="C208" s="67" t="n"/>
      <c r="E208" s="67" t="n"/>
      <c r="F208" s="67" t="n"/>
      <c r="G208" s="67" t="n"/>
      <c r="H208" s="67" t="n"/>
      <c r="I208" s="67" t="n"/>
      <c r="K208" s="67" t="n"/>
    </row>
    <row r="209">
      <c r="B209" s="67" t="n"/>
      <c r="C209" s="67" t="n"/>
      <c r="E209" s="67" t="n"/>
      <c r="F209" s="67" t="n"/>
      <c r="G209" s="67" t="n"/>
      <c r="H209" s="67" t="n"/>
      <c r="I209" s="67" t="n"/>
      <c r="K209" s="67" t="n"/>
    </row>
    <row r="210">
      <c r="B210" s="67" t="n"/>
      <c r="C210" s="67" t="n"/>
      <c r="E210" s="67" t="n"/>
      <c r="F210" s="67" t="n"/>
      <c r="G210" s="67" t="n"/>
      <c r="H210" s="67" t="n"/>
      <c r="I210" s="67" t="n"/>
      <c r="K210" s="67" t="n"/>
    </row>
    <row r="211">
      <c r="B211" s="67" t="n"/>
      <c r="C211" s="67" t="n"/>
      <c r="E211" s="67" t="n"/>
      <c r="F211" s="67" t="n"/>
      <c r="G211" s="67" t="n"/>
      <c r="H211" s="67" t="n"/>
      <c r="I211" s="67" t="n"/>
      <c r="K211" s="67" t="n"/>
    </row>
    <row r="212">
      <c r="B212" s="67" t="n"/>
      <c r="C212" s="67" t="n"/>
      <c r="E212" s="67" t="n"/>
      <c r="F212" s="67" t="n"/>
      <c r="G212" s="67" t="n"/>
      <c r="H212" s="67" t="n"/>
      <c r="I212" s="67" t="n"/>
      <c r="K212" s="67" t="n"/>
    </row>
    <row r="213">
      <c r="B213" s="67" t="n"/>
      <c r="C213" s="67" t="n"/>
      <c r="E213" s="67" t="n"/>
      <c r="F213" s="67" t="n"/>
      <c r="G213" s="67" t="n"/>
      <c r="H213" s="67" t="n"/>
      <c r="I213" s="67" t="n"/>
      <c r="K213" s="67" t="n"/>
    </row>
    <row r="214">
      <c r="B214" s="67" t="n"/>
      <c r="C214" s="67" t="n"/>
      <c r="E214" s="67" t="n"/>
      <c r="F214" s="67" t="n"/>
      <c r="G214" s="67" t="n"/>
      <c r="H214" s="67" t="n"/>
      <c r="I214" s="67" t="n"/>
      <c r="K214" s="67" t="n"/>
    </row>
    <row r="215">
      <c r="B215" s="67" t="n"/>
      <c r="C215" s="67" t="n"/>
      <c r="E215" s="67" t="n"/>
      <c r="F215" s="67" t="n"/>
      <c r="G215" s="67" t="n"/>
      <c r="H215" s="67" t="n"/>
      <c r="I215" s="67" t="n"/>
      <c r="K215" s="67" t="n"/>
    </row>
    <row r="216">
      <c r="B216" s="67" t="n"/>
      <c r="C216" s="67" t="n"/>
      <c r="E216" s="67" t="n"/>
      <c r="F216" s="67" t="n"/>
      <c r="G216" s="67" t="n"/>
      <c r="H216" s="67" t="n"/>
      <c r="I216" s="67" t="n"/>
      <c r="K216" s="67" t="n"/>
    </row>
    <row r="217">
      <c r="B217" s="67" t="n"/>
      <c r="C217" s="67" t="n"/>
      <c r="E217" s="67" t="n"/>
      <c r="F217" s="67" t="n"/>
      <c r="G217" s="67" t="n"/>
      <c r="H217" s="67" t="n"/>
      <c r="I217" s="67" t="n"/>
      <c r="K217" s="67" t="n"/>
    </row>
    <row r="218">
      <c r="B218" s="67" t="n"/>
      <c r="C218" s="67" t="n"/>
      <c r="E218" s="67" t="n"/>
      <c r="F218" s="67" t="n"/>
      <c r="G218" s="67" t="n"/>
      <c r="H218" s="67" t="n"/>
      <c r="I218" s="67" t="n"/>
      <c r="K218" s="67" t="n"/>
    </row>
    <row r="219">
      <c r="B219" s="67" t="n"/>
      <c r="C219" s="67" t="n"/>
      <c r="E219" s="67" t="n"/>
      <c r="F219" s="67" t="n"/>
      <c r="G219" s="67" t="n"/>
      <c r="H219" s="67" t="n"/>
      <c r="I219" s="67" t="n"/>
      <c r="K219" s="67" t="n"/>
    </row>
    <row r="220">
      <c r="B220" s="67" t="n"/>
      <c r="C220" s="67" t="n"/>
      <c r="E220" s="67" t="n"/>
      <c r="F220" s="67" t="n"/>
      <c r="G220" s="67" t="n"/>
      <c r="H220" s="67" t="n"/>
      <c r="I220" s="67" t="n"/>
      <c r="K220" s="67" t="n"/>
    </row>
  </sheetData>
  <mergeCells count="8">
    <mergeCell ref="B4:K4"/>
    <mergeCell ref="D8:K8"/>
    <mergeCell ref="B10:C10"/>
    <mergeCell ref="B7:K7"/>
    <mergeCell ref="B6:K6"/>
    <mergeCell ref="B8:C8"/>
    <mergeCell ref="B3:K3"/>
    <mergeCell ref="B5:K5"/>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AND(LEN($B20&amp;$C20&amp;$D20&amp;$E20&amp;$F20&amp;$G20&amp;$H20&amp;$I20&amp;$J20&amp;$K20)&gt;0,B20="")</formula>
    </cfRule>
  </conditionalFormatting>
  <conditionalFormatting sqref="C20:C220">
    <cfRule type="expression" priority="3" dxfId="6">
      <formula>AND(LEN($B20&amp;$C20&amp;$D20&amp;$E20&amp;$F20&amp;$G20&amp;$H20&amp;$I20&amp;$J20&amp;$K20)&gt;0,C20="")</formula>
    </cfRule>
  </conditionalFormatting>
  <conditionalFormatting sqref="D20:D220">
    <cfRule type="expression" priority="4" dxfId="6">
      <formula>AND(LEN($B20&amp;$C20&amp;$D20&amp;$E20&amp;$F20&amp;$G20&amp;$H20&amp;$I20&amp;$J20&amp;$K20)&gt;0,D20="")</formula>
    </cfRule>
  </conditionalFormatting>
  <conditionalFormatting sqref="E20:E220">
    <cfRule type="expression" priority="5" dxfId="6">
      <formula>AND(LEN($B20&amp;$C20&amp;$D20&amp;$E20&amp;$F20&amp;$G20&amp;$H20&amp;$I20&amp;$J20&amp;$K20)&gt;0,E20="")</formula>
    </cfRule>
  </conditionalFormatting>
  <conditionalFormatting sqref="F20:F220">
    <cfRule type="expression" priority="6" dxfId="6">
      <formula>AND(LEN($B20&amp;$C20&amp;$D20&amp;$E20&amp;$F20&amp;$G20&amp;$H20&amp;$I20&amp;$J20&amp;$K20)&gt;0,F20="")</formula>
    </cfRule>
  </conditionalFormatting>
  <conditionalFormatting sqref="G20:G220">
    <cfRule type="expression" priority="7" dxfId="6">
      <formula>AND(LEN($B20&amp;$C20&amp;$D20&amp;$E20&amp;$F20&amp;$G20&amp;$H20&amp;$I20&amp;$J20&amp;$K20)&gt;0,G20="")</formula>
    </cfRule>
  </conditionalFormatting>
  <conditionalFormatting sqref="H20:H220">
    <cfRule type="expression" priority="8" dxfId="6">
      <formula>AND(LEN($B20&amp;$C20&amp;$D20&amp;$E20&amp;$F20&amp;$G20&amp;$H20&amp;$I20&amp;$J20&amp;$K20)&gt;0,H20="")</formula>
    </cfRule>
  </conditionalFormatting>
  <conditionalFormatting sqref="I20:I220">
    <cfRule type="expression" priority="9" dxfId="6">
      <formula>AND(LEN($B20&amp;$C20&amp;$D20&amp;$E20&amp;$F20&amp;$G20&amp;$H20&amp;$I20&amp;$J20&amp;$K20)&gt;0,I20="")</formula>
    </cfRule>
  </conditionalFormatting>
  <conditionalFormatting sqref="J20:J220">
    <cfRule type="expression" priority="10" dxfId="6">
      <formula>AND(LEN($B20&amp;$C20&amp;$D20&amp;$E20&amp;$F20&amp;$G20&amp;$H20&amp;$I20&amp;$J20&amp;$K20)&gt;0,J20="")</formula>
    </cfRule>
  </conditionalFormatting>
  <conditionalFormatting sqref="K20:K220">
    <cfRule type="expression" priority="11" dxfId="6">
      <formula>AND(LEN($B20&amp;$C20&amp;$D20&amp;$E20&amp;$F20&amp;$G20&amp;$H20&amp;$I20&amp;$J20&amp;$K20)&gt;0,K20="")</formula>
    </cfRule>
  </conditionalFormatting>
  <dataValidations count="12">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K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trueup_no" error="Choose a value of the list G03D trueup_no (sheet Reference lists)." promptTitle="trueup_no" prompt="Yes. True-up number, as in G03 Allowed: 1, 2, 3, F (list G03D trueup_no)" type="list" errorStyle="stop">
      <formula1>=LIST_G03D_TRUEUP_NO</formula1>
    </dataValidation>
    <dataValidation sqref="C20:C220" showDropDown="0" showInputMessage="1" showErrorMessage="1" allowBlank="1" errorTitle="legacy_journal_no" error="At most 30 characters." promptTitle="legacy_journal_no" prompt="Yes. Legacy journal of the line Allowed: legacy_journal_no of G03" type="textLength" operator="lessThanOrEqual">
      <formula1>30</formula1>
    </dataValidation>
    <dataValidation sqref="D20:D220" showDropDown="0" showInputMessage="1" showErrorMessage="1" allowBlank="1" errorTitle="line_no" error="Enter line_no of g03." promptTitle="line_no" prompt="Yes. Line of the legacy journal on the legacy control account Allowed: line_no of G03" type="whole" operator="greaterThanOrEqual">
      <formula1>-1E+15</formula1>
    </dataValidation>
    <dataValidation sqref="E20:E220" showDropDown="0" showInputMessage="1" showErrorMessage="1" allowBlank="1" errorTitle="item_kind" error="Choose a value of the list G03D item_kind (sheet Reference lists)." promptTitle="item_kind" prompt="Yes. Legacy invoice or legacy UPP Allowed: INVOICE, UPP (list G03D item_kind)" type="list" errorStyle="stop">
      <formula1>=LIST_G03D_ITEM_KIND</formula1>
    </dataValidation>
    <dataValidation sqref="F20:F220" showDropDown="0" showInputMessage="1" showErrorMessage="1" allowBlank="1" errorTitle="item_ref" error="At most 40 characters." promptTitle="item_ref" prompt="Yes. Legacy invoice number (F01) or UPP reference (F02) Allowed: legacy_invoice_no of F01 or legacy_upp_ref of F02" type="textLength" operator="lessThanOrEqual">
      <formula1>40</formula1>
    </dataValidation>
    <dataValidation sqref="G20:G220" showDropDown="0" showInputMessage="1" showErrorMessage="1" allowBlank="1" errorTitle="component" error="Choose a value of the list G03D component (sheet Reference lists)." promptTitle="component" prompt="Yes. Component adjusted (UPP for an unapplied item) Allowed: List G03D component: 14 values, see Reference lists" type="list" errorStyle="stop">
      <formula1>=LIST_G03D_COMPONENT</formula1>
    </dataValidation>
    <dataValidation sqref="H20:H220" showDropDown="0" showInputMessage="1" showErrorMessage="1" allowBlank="1" errorTitle="movement" error="Choose a value of the list G03D movement (sheet Reference lists)." promptTitle="movement" prompt="Yes. Effect on the open item Allowed: ADJUSTED, WRITTEN_OFF (list G03D movement)" type="list" errorStyle="stop">
      <formula1>=LIST_G03D_MOVEMENT</formula1>
    </dataValidation>
    <dataValidation sqref="I20:I220" showDropDown="0" showInputMessage="1" showErrorMessage="1" allowBlank="1" errorTitle="currency" error="At most 3 characters." promptTitle="currency" prompt="Yes. Currency of the item Allowed: ISO 4217" type="textLength" operator="lessThanOrEqual">
      <formula1>3</formula1>
    </dataValidation>
    <dataValidation sqref="J20:J220" showDropDown="0" showInputMessage="1" showErrorMessage="1" allowBlank="1" errorTitle="amount" error="Enter a number." promptTitle="amount" prompt="Yes. Change of the open balance - positive raises it, negative lowers it Allowed: A number" type="decimal" operator="greaterThanOrEqual">
      <formula1>-1E+15</formula1>
    </dataValidation>
    <dataValidation sqref="K20:K220" showDropDown="0" showInputMessage="1" showErrorMessage="1" allowBlank="1" errorTitle="reason" error="At most 250 characters." promptTitle="reason" prompt="Yes. Reason or audit finding Allowed: Free entry, up to 250 characters" type="textLength" operator="lessThanOrEqual">
      <formula1>250</formula1>
    </dataValidation>
  </dataValidations>
  <hyperlinks>
    <hyperlink ref="A2" location="'Load templates'!A1"/>
    <hyperlink ref="K2" location="'Comments log'!A1"/>
    <hyperlink ref="B8" location="'G03 FY2027 true-up - legacy adj'!A1"/>
    <hyperlink ref="D8" location="'G01 GL opening trial balance'!A1"/>
    <hyperlink ref="B17" location="'Reference lists'!A107"/>
    <hyperlink ref="E17" location="'Reference lists'!A111"/>
    <hyperlink ref="G17" location="'Reference lists'!A113"/>
    <hyperlink ref="H17" location="'Reference lists'!A127"/>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fitToPage="1"/>
  </sheetPr>
  <dimension ref="A1:E143"/>
  <sheetViews>
    <sheetView showGridLines="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44" t="inlineStr">
        <is>
          <t>Reference lists</t>
        </is>
      </c>
    </row>
    <row r="2">
      <c r="A2" s="46" t="inlineStr">
        <is>
          <t>← Back to Load templates</t>
        </is>
      </c>
      <c r="B2" s="18" t="inlineStr">
        <is>
          <t>Every list of allowed values used by the drop-downs, with its code and label. A drop-down accepts the codes of its list.</t>
        </is>
      </c>
    </row>
    <row r="4">
      <c r="A4" s="70" t="inlineStr">
        <is>
          <t>List</t>
        </is>
      </c>
      <c r="B4" s="70" t="inlineStr">
        <is>
          <t>Used in</t>
        </is>
      </c>
      <c r="C4" s="70" t="inlineStr">
        <is>
          <t>Code</t>
        </is>
      </c>
      <c r="D4" s="70" t="inlineStr">
        <is>
          <t>Label</t>
        </is>
      </c>
      <c r="E4" s="70" t="inlineStr">
        <is>
          <t>Note</t>
        </is>
      </c>
    </row>
    <row r="5" ht="340.5" customHeight="1">
      <c r="A5" s="59" t="inlineStr">
        <is>
          <t>Yes or no (YES_NO)</t>
        </is>
      </c>
      <c r="B5" s="40" t="inlineStr">
        <is>
          <t>R01 Lists of values and MIS val: active_flag
R02 Branches and invoicing bran: invoicing_branch_flag
R02 Branches and invoicing bran: active_flag
R03 Sales organisation (units a: active_flag
R05 Product lines, cover types,: packaged_flag
R08 Chart of accounts mapping: branch_specific_flag
C01 Client master: bank_client_flag
C02 Client addresses and contac: primary_flag
C03 Client payout accounts: active_flag
P01 In-force policy headers: ffy_flag
P01S Policy insurer shares: lead_flag
F01 Open legacy invoices - head: dp_flag
F01 Open legacy invoices - head: cwt_flag
F01 Open legacy invoices - head: incentive_eligible_flag
F01 Open legacy invoices - head: hold_flag
F01S Open legacy invoices - ins: lead_flag</t>
        </is>
      </c>
      <c r="C5" s="71" t="inlineStr">
        <is>
          <t>Y</t>
        </is>
      </c>
      <c r="D5" s="40" t="inlineStr">
        <is>
          <t>Yes</t>
        </is>
      </c>
      <c r="E5" s="40" t="n"/>
    </row>
    <row r="6">
      <c r="A6" s="59" t="n"/>
      <c r="B6" s="40" t="n"/>
      <c r="C6" s="71" t="inlineStr">
        <is>
          <t>N</t>
        </is>
      </c>
      <c r="D6" s="40" t="inlineStr">
        <is>
          <t>No</t>
        </is>
      </c>
      <c r="E6" s="40" t="n"/>
    </row>
    <row r="7" ht="565.5" customHeight="1">
      <c r="A7" s="72" t="inlineStr">
        <is>
          <t>BU review (BU_REVIEW)</t>
        </is>
      </c>
      <c r="B7" s="36" t="inlineStr">
        <is>
          <t>R01 Lists of values and MIS val: BU review
R02 Branches and invoicing bran: BU review
R03 Sales organisation (units a: BU review
R04 Insurers: BU review
R04B Insurer branches: BU review
R05 Product lines, cover types,: BU review
R06 Package code map (legacy pa: BU review
R07 Commission rates by insurer: BU review
R08 Chart of accounts mapping: BU review
R09 Payees: BU review
R11 Receipt series in use: BU review
C01 Client master: BU review
C02 Client addresses and contac: BU review
C03 Client payout accounts: BU review
P01 In-force policy headers: BU review
P01S Policy insurer shares: BU review
F01 Open legacy invoices - head: BU review
F01C Open legacy invoices - com: BU review
F01S Open legacy invoices - ins: BU review
F02 Unapplied premium payments: BU review
F03 Open collection state: BU review
F04 Remittance in flight: BU review
F06 PDCs, check pick-ups and re: BU review
G01 GL opening trial balance: BU review
P03 Renewal advices already sen: BU review
H01 Archive records (closed tra: BU review
H02 Archive documents index: BU review
G03 FY2027 true-up - legacy adj: BU review
G03D FY2027 true-up - open-item: BU review</t>
        </is>
      </c>
      <c r="C7" s="73" t="inlineStr">
        <is>
          <t>Accept</t>
        </is>
      </c>
      <c r="D7" s="36" t="n"/>
      <c r="E7" s="36" t="n"/>
    </row>
    <row r="8">
      <c r="A8" s="72" t="n"/>
      <c r="B8" s="36" t="n"/>
      <c r="C8" s="73" t="inlineStr">
        <is>
          <t>Change requested</t>
        </is>
      </c>
      <c r="D8" s="36" t="n"/>
      <c r="E8" s="36" t="n"/>
    </row>
    <row r="9">
      <c r="A9" s="72" t="n"/>
      <c r="B9" s="36" t="n"/>
      <c r="C9" s="73" t="inlineStr">
        <is>
          <t>Comment</t>
        </is>
      </c>
      <c r="D9" s="36" t="n"/>
      <c r="E9" s="36" t="n"/>
    </row>
    <row r="10" ht="28" customHeight="1">
      <c r="A10" s="59" t="inlineStr">
        <is>
          <t>R03 record_type (R03_RECORD_TYPE)</t>
        </is>
      </c>
      <c r="B10" s="40" t="inlineStr">
        <is>
          <t>R03 Sales organisation (units a: record_type</t>
        </is>
      </c>
      <c r="C10" s="71" t="inlineStr">
        <is>
          <t>REGION</t>
        </is>
      </c>
      <c r="D10" s="40" t="n"/>
      <c r="E10" s="40" t="n"/>
    </row>
    <row r="11">
      <c r="A11" s="59" t="n"/>
      <c r="B11" s="40" t="n"/>
      <c r="C11" s="71" t="inlineStr">
        <is>
          <t>DEPARTMENT</t>
        </is>
      </c>
      <c r="D11" s="40" t="n"/>
      <c r="E11" s="40" t="n"/>
    </row>
    <row r="12">
      <c r="A12" s="59" t="n"/>
      <c r="B12" s="40" t="n"/>
      <c r="C12" s="71" t="inlineStr">
        <is>
          <t>TEAM</t>
        </is>
      </c>
      <c r="D12" s="40" t="n"/>
      <c r="E12" s="40" t="n"/>
    </row>
    <row r="13">
      <c r="A13" s="59" t="n"/>
      <c r="B13" s="40" t="n"/>
      <c r="C13" s="71" t="inlineStr">
        <is>
          <t>AO</t>
        </is>
      </c>
      <c r="D13" s="40" t="n"/>
      <c r="E13" s="40" t="n"/>
    </row>
    <row r="14" ht="28" customHeight="1">
      <c r="A14" s="72" t="inlineStr">
        <is>
          <t>R06 qualifier (R06_QUALIFIER)</t>
        </is>
      </c>
      <c r="B14" s="36" t="inlineStr">
        <is>
          <t>R06 Package code map (legacy pa: qualifier</t>
        </is>
      </c>
      <c r="C14" s="73" t="inlineStr">
        <is>
          <t>RISK_CODE</t>
        </is>
      </c>
      <c r="D14" s="36" t="n"/>
      <c r="E14" s="36" t="n"/>
    </row>
    <row r="15">
      <c r="A15" s="72" t="n"/>
      <c r="B15" s="36" t="n"/>
      <c r="C15" s="73" t="inlineStr">
        <is>
          <t>INSURER</t>
        </is>
      </c>
      <c r="D15" s="36" t="n"/>
      <c r="E15" s="36" t="n"/>
    </row>
    <row r="16">
      <c r="A16" s="72" t="n"/>
      <c r="B16" s="36" t="n"/>
      <c r="C16" s="73" t="inlineStr">
        <is>
          <t>SI_BAND</t>
        </is>
      </c>
      <c r="D16" s="36" t="n"/>
      <c r="E16" s="36" t="n"/>
    </row>
    <row r="17">
      <c r="A17" s="59" t="inlineStr">
        <is>
          <t>R06 action (R06_ACTION)</t>
        </is>
      </c>
      <c r="B17" s="40" t="inlineStr">
        <is>
          <t>R06 Package code map (legacy pa: action</t>
        </is>
      </c>
      <c r="C17" s="71" t="inlineStr">
        <is>
          <t>MAP</t>
        </is>
      </c>
      <c r="D17" s="40" t="n"/>
      <c r="E17" s="40" t="n"/>
    </row>
    <row r="18">
      <c r="A18" s="59" t="n"/>
      <c r="B18" s="40" t="n"/>
      <c r="C18" s="71" t="inlineStr">
        <is>
          <t>REJECT</t>
        </is>
      </c>
      <c r="D18" s="40" t="n"/>
      <c r="E18" s="40" t="n"/>
    </row>
    <row r="19" ht="28" customHeight="1">
      <c r="A19" s="72" t="inlineStr">
        <is>
          <t>R08 account_type (R08_ACCOUNT_TYPE)</t>
        </is>
      </c>
      <c r="B19" s="36" t="inlineStr">
        <is>
          <t>R08 Chart of accounts mapping: account_type</t>
        </is>
      </c>
      <c r="C19" s="73" t="inlineStr">
        <is>
          <t>ASSET</t>
        </is>
      </c>
      <c r="D19" s="36" t="n"/>
      <c r="E19" s="36" t="n"/>
    </row>
    <row r="20">
      <c r="A20" s="72" t="n"/>
      <c r="B20" s="36" t="n"/>
      <c r="C20" s="73" t="inlineStr">
        <is>
          <t>LIABILITY</t>
        </is>
      </c>
      <c r="D20" s="36" t="n"/>
      <c r="E20" s="36" t="n"/>
    </row>
    <row r="21">
      <c r="A21" s="72" t="n"/>
      <c r="B21" s="36" t="n"/>
      <c r="C21" s="73" t="inlineStr">
        <is>
          <t>EQUITY</t>
        </is>
      </c>
      <c r="D21" s="36" t="n"/>
      <c r="E21" s="36" t="n"/>
    </row>
    <row r="22">
      <c r="A22" s="72" t="n"/>
      <c r="B22" s="36" t="n"/>
      <c r="C22" s="73" t="inlineStr">
        <is>
          <t>INCOME</t>
        </is>
      </c>
      <c r="D22" s="36" t="n"/>
      <c r="E22" s="36" t="n"/>
    </row>
    <row r="23">
      <c r="A23" s="72" t="n"/>
      <c r="B23" s="36" t="n"/>
      <c r="C23" s="73" t="inlineStr">
        <is>
          <t>EXPENSE</t>
        </is>
      </c>
      <c r="D23" s="36" t="n"/>
      <c r="E23" s="36" t="n"/>
    </row>
    <row r="24" ht="28" customHeight="1">
      <c r="A24" s="59" t="inlineStr">
        <is>
          <t>R08 normal_balance (R08_NORMAL_BALANCE)</t>
        </is>
      </c>
      <c r="B24" s="40" t="inlineStr">
        <is>
          <t>R08 Chart of accounts mapping: normal_balance</t>
        </is>
      </c>
      <c r="C24" s="71" t="inlineStr">
        <is>
          <t>DR</t>
        </is>
      </c>
      <c r="D24" s="40" t="n"/>
      <c r="E24" s="40" t="n"/>
    </row>
    <row r="25">
      <c r="A25" s="59" t="n"/>
      <c r="B25" s="40" t="n"/>
      <c r="C25" s="71" t="inlineStr">
        <is>
          <t>CR</t>
        </is>
      </c>
      <c r="D25" s="40" t="n"/>
      <c r="E25" s="40" t="n"/>
    </row>
    <row r="26" ht="28" customHeight="1">
      <c r="A26" s="72" t="inlineStr">
        <is>
          <t>R08 legacy_control_type (R08_LEGACY_CONTROL_TYPE)</t>
        </is>
      </c>
      <c r="B26" s="36" t="inlineStr">
        <is>
          <t>R08 Chart of accounts mapping: legacy_control_type</t>
        </is>
      </c>
      <c r="C26" s="73" t="inlineStr">
        <is>
          <t>PR</t>
        </is>
      </c>
      <c r="D26" s="36" t="n"/>
      <c r="E26" s="36" t="n"/>
    </row>
    <row r="27">
      <c r="A27" s="72" t="n"/>
      <c r="B27" s="36" t="n"/>
      <c r="C27" s="73" t="inlineStr">
        <is>
          <t>PR2307</t>
        </is>
      </c>
      <c r="D27" s="36" t="n"/>
      <c r="E27" s="36" t="n"/>
    </row>
    <row r="28">
      <c r="A28" s="72" t="n"/>
      <c r="B28" s="36" t="n"/>
      <c r="C28" s="73" t="inlineStr">
        <is>
          <t>DTIP</t>
        </is>
      </c>
      <c r="D28" s="36" t="n"/>
      <c r="E28" s="36" t="n"/>
    </row>
    <row r="29">
      <c r="A29" s="72" t="n"/>
      <c r="B29" s="36" t="n"/>
      <c r="C29" s="73" t="inlineStr">
        <is>
          <t>COMMISSION_REC</t>
        </is>
      </c>
      <c r="D29" s="36" t="n"/>
      <c r="E29" s="36" t="n"/>
    </row>
    <row r="30">
      <c r="A30" s="72" t="n"/>
      <c r="B30" s="36" t="n"/>
      <c r="C30" s="73" t="inlineStr">
        <is>
          <t>UNREALIZED_COMM</t>
        </is>
      </c>
      <c r="D30" s="36" t="n"/>
      <c r="E30" s="36" t="n"/>
    </row>
    <row r="31">
      <c r="A31" s="72" t="n"/>
      <c r="B31" s="36" t="n"/>
      <c r="C31" s="73" t="inlineStr">
        <is>
          <t>DEFERRED_VAT</t>
        </is>
      </c>
      <c r="D31" s="36" t="n"/>
      <c r="E31" s="36" t="n"/>
    </row>
    <row r="32">
      <c r="A32" s="72" t="n"/>
      <c r="B32" s="36" t="n"/>
      <c r="C32" s="73" t="inlineStr">
        <is>
          <t>UPP</t>
        </is>
      </c>
      <c r="D32" s="36" t="n"/>
      <c r="E32" s="36" t="n"/>
    </row>
    <row r="33">
      <c r="A33" s="72" t="n"/>
      <c r="B33" s="36" t="n"/>
      <c r="C33" s="73" t="inlineStr">
        <is>
          <t>NONE</t>
        </is>
      </c>
      <c r="D33" s="36" t="n"/>
      <c r="E33" s="36" t="n"/>
    </row>
    <row r="34">
      <c r="A34" s="59" t="inlineStr">
        <is>
          <t>R09 default_mode (R09_DEFAULT_MODE)</t>
        </is>
      </c>
      <c r="B34" s="40" t="inlineStr">
        <is>
          <t>R09 Payees: default_mode</t>
        </is>
      </c>
      <c r="C34" s="71" t="inlineStr">
        <is>
          <t>CTA</t>
        </is>
      </c>
      <c r="D34" s="40" t="n"/>
      <c r="E34" s="40" t="n"/>
    </row>
    <row r="35">
      <c r="A35" s="59" t="n"/>
      <c r="B35" s="40" t="n"/>
      <c r="C35" s="71" t="inlineStr">
        <is>
          <t>ATD</t>
        </is>
      </c>
      <c r="D35" s="40" t="n"/>
      <c r="E35" s="40" t="n"/>
    </row>
    <row r="36">
      <c r="A36" s="59" t="n"/>
      <c r="B36" s="40" t="n"/>
      <c r="C36" s="71" t="inlineStr">
        <is>
          <t>MC_DD</t>
        </is>
      </c>
      <c r="D36" s="40" t="n"/>
      <c r="E36" s="40" t="n"/>
    </row>
    <row r="37">
      <c r="A37" s="59" t="n"/>
      <c r="B37" s="40" t="n"/>
      <c r="C37" s="71" t="inlineStr">
        <is>
          <t>CREDIT_TICKET</t>
        </is>
      </c>
      <c r="D37" s="40" t="n"/>
      <c r="E37" s="40" t="n"/>
    </row>
    <row r="38">
      <c r="A38" s="59" t="n"/>
      <c r="B38" s="40" t="n"/>
      <c r="C38" s="71" t="inlineStr">
        <is>
          <t>TT</t>
        </is>
      </c>
      <c r="D38" s="40" t="n"/>
      <c r="E38" s="40" t="n"/>
    </row>
    <row r="39">
      <c r="A39" s="59" t="n"/>
      <c r="B39" s="40" t="n"/>
      <c r="C39" s="71" t="inlineStr">
        <is>
          <t>ONLINE_BANKING</t>
        </is>
      </c>
      <c r="D39" s="40" t="n"/>
      <c r="E39" s="40" t="n"/>
    </row>
    <row r="40">
      <c r="A40" s="59" t="n"/>
      <c r="B40" s="40" t="n"/>
      <c r="C40" s="71" t="inlineStr">
        <is>
          <t>CHECK</t>
        </is>
      </c>
      <c r="D40" s="40" t="n"/>
      <c r="E40" s="40" t="n"/>
    </row>
    <row r="41">
      <c r="A41" s="72" t="inlineStr">
        <is>
          <t>R11 kind (R11_KIND)</t>
        </is>
      </c>
      <c r="B41" s="36" t="inlineStr">
        <is>
          <t>R11 Receipt series in use: kind</t>
        </is>
      </c>
      <c r="C41" s="73" t="inlineStr">
        <is>
          <t>AR</t>
        </is>
      </c>
      <c r="D41" s="36" t="n"/>
      <c r="E41" s="36" t="n"/>
    </row>
    <row r="42">
      <c r="A42" s="72" t="n"/>
      <c r="B42" s="36" t="n"/>
      <c r="C42" s="73" t="inlineStr">
        <is>
          <t>OR</t>
        </is>
      </c>
      <c r="D42" s="36" t="n"/>
      <c r="E42" s="36" t="n"/>
    </row>
    <row r="43">
      <c r="A43" s="59" t="inlineStr">
        <is>
          <t>C01 client_type (C01_CLIENT_TYPE)</t>
        </is>
      </c>
      <c r="B43" s="40" t="inlineStr">
        <is>
          <t>C01 Client master: client_type</t>
        </is>
      </c>
      <c r="C43" s="71" t="inlineStr">
        <is>
          <t>I</t>
        </is>
      </c>
      <c r="D43" s="40" t="n"/>
      <c r="E43" s="40" t="n"/>
    </row>
    <row r="44">
      <c r="A44" s="59" t="n"/>
      <c r="B44" s="40" t="n"/>
      <c r="C44" s="71" t="inlineStr">
        <is>
          <t>C</t>
        </is>
      </c>
      <c r="D44" s="40" t="n"/>
      <c r="E44" s="40" t="n"/>
    </row>
    <row r="45" ht="28" customHeight="1">
      <c r="A45" s="72" t="inlineStr">
        <is>
          <t>C02 record_type (C02_RECORD_TYPE)</t>
        </is>
      </c>
      <c r="B45" s="36" t="inlineStr">
        <is>
          <t>C02 Client addresses and contac: record_type</t>
        </is>
      </c>
      <c r="C45" s="73" t="inlineStr">
        <is>
          <t>ADDRESS</t>
        </is>
      </c>
      <c r="D45" s="36" t="n"/>
      <c r="E45" s="36" t="n"/>
    </row>
    <row r="46">
      <c r="A46" s="72" t="n"/>
      <c r="B46" s="36" t="n"/>
      <c r="C46" s="73" t="inlineStr">
        <is>
          <t>CONTACT</t>
        </is>
      </c>
      <c r="D46" s="36" t="n"/>
      <c r="E46" s="36" t="n"/>
    </row>
    <row r="47" ht="28" customHeight="1">
      <c r="A47" s="59" t="inlineStr">
        <is>
          <t>C02 address_type (C02_ADDRESS_TYPE)</t>
        </is>
      </c>
      <c r="B47" s="40" t="inlineStr">
        <is>
          <t>C02 Client addresses and contac: address_type</t>
        </is>
      </c>
      <c r="C47" s="71" t="inlineStr">
        <is>
          <t>HOME</t>
        </is>
      </c>
      <c r="D47" s="40" t="n"/>
      <c r="E47" s="40" t="n"/>
    </row>
    <row r="48">
      <c r="A48" s="59" t="n"/>
      <c r="B48" s="40" t="n"/>
      <c r="C48" s="71" t="inlineStr">
        <is>
          <t>BUSINESS</t>
        </is>
      </c>
      <c r="D48" s="40" t="n"/>
      <c r="E48" s="40" t="n"/>
    </row>
    <row r="49">
      <c r="A49" s="59" t="n"/>
      <c r="B49" s="40" t="n"/>
      <c r="C49" s="71" t="inlineStr">
        <is>
          <t>MAILING</t>
        </is>
      </c>
      <c r="D49" s="40" t="n"/>
      <c r="E49" s="40" t="n"/>
    </row>
    <row r="50">
      <c r="A50" s="59" t="n"/>
      <c r="B50" s="40" t="n"/>
      <c r="C50" s="71" t="inlineStr">
        <is>
          <t>BILLING</t>
        </is>
      </c>
      <c r="D50" s="40" t="n"/>
      <c r="E50" s="40" t="n"/>
    </row>
    <row r="51">
      <c r="A51" s="72" t="inlineStr">
        <is>
          <t>C03 mode (C03_MODE)</t>
        </is>
      </c>
      <c r="B51" s="36" t="inlineStr">
        <is>
          <t>C03 Client payout accounts: mode</t>
        </is>
      </c>
      <c r="C51" s="73" t="inlineStr">
        <is>
          <t>CTA</t>
        </is>
      </c>
      <c r="D51" s="36" t="n"/>
      <c r="E51" s="36" t="n"/>
    </row>
    <row r="52">
      <c r="A52" s="72" t="n"/>
      <c r="B52" s="36" t="n"/>
      <c r="C52" s="73" t="inlineStr">
        <is>
          <t>CHECK</t>
        </is>
      </c>
      <c r="D52" s="36" t="n"/>
      <c r="E52" s="36" t="n"/>
    </row>
    <row r="53" ht="28" customHeight="1">
      <c r="A53" s="59" t="inlineStr">
        <is>
          <t>P01 business_type (P01_BUSINESS_TYPE)</t>
        </is>
      </c>
      <c r="B53" s="40" t="inlineStr">
        <is>
          <t>P01 In-force policy headers: business_type</t>
        </is>
      </c>
      <c r="C53" s="71" t="inlineStr">
        <is>
          <t>NB</t>
        </is>
      </c>
      <c r="D53" s="40" t="n"/>
      <c r="E53" s="40" t="n"/>
    </row>
    <row r="54">
      <c r="A54" s="59" t="n"/>
      <c r="B54" s="40" t="n"/>
      <c r="C54" s="71" t="inlineStr">
        <is>
          <t>RB</t>
        </is>
      </c>
      <c r="D54" s="40" t="n"/>
      <c r="E54" s="40" t="n"/>
    </row>
    <row r="55" ht="28" customHeight="1">
      <c r="A55" s="72" t="inlineStr">
        <is>
          <t>P01 payment_arrangement (P01_PAYMENT_ARRANGEMENT)</t>
        </is>
      </c>
      <c r="B55" s="36" t="inlineStr">
        <is>
          <t>P01 In-force policy headers: payment_arrangement</t>
        </is>
      </c>
      <c r="C55" s="73" t="inlineStr">
        <is>
          <t>VIA_BDOI</t>
        </is>
      </c>
      <c r="D55" s="36" t="n"/>
      <c r="E55" s="36" t="n"/>
    </row>
    <row r="56">
      <c r="A56" s="72" t="n"/>
      <c r="B56" s="36" t="n"/>
      <c r="C56" s="73" t="inlineStr">
        <is>
          <t>DIRECT</t>
        </is>
      </c>
      <c r="D56" s="36" t="n"/>
      <c r="E56" s="36" t="n"/>
    </row>
    <row r="57" ht="28" customHeight="1">
      <c r="A57" s="59" t="inlineStr">
        <is>
          <t>P03 ra_channel (P03_RA_CHANNEL)</t>
        </is>
      </c>
      <c r="B57" s="40" t="inlineStr">
        <is>
          <t>P03 Renewal advices already sen: ra_channel</t>
        </is>
      </c>
      <c r="C57" s="71" t="inlineStr">
        <is>
          <t>EMAIL</t>
        </is>
      </c>
      <c r="D57" s="40" t="n"/>
      <c r="E57" s="40" t="n"/>
    </row>
    <row r="58">
      <c r="A58" s="59" t="n"/>
      <c r="B58" s="40" t="n"/>
      <c r="C58" s="71" t="inlineStr">
        <is>
          <t>COURIER</t>
        </is>
      </c>
      <c r="D58" s="40" t="n"/>
      <c r="E58" s="40" t="n"/>
    </row>
    <row r="59">
      <c r="A59" s="59" t="n"/>
      <c r="B59" s="40" t="n"/>
      <c r="C59" s="71" t="inlineStr">
        <is>
          <t>HAND</t>
        </is>
      </c>
      <c r="D59" s="40" t="n"/>
      <c r="E59" s="40" t="n"/>
    </row>
    <row r="60">
      <c r="A60" s="59" t="n"/>
      <c r="B60" s="40" t="n"/>
      <c r="C60" s="71" t="inlineStr">
        <is>
          <t>OTHER</t>
        </is>
      </c>
      <c r="D60" s="40" t="n"/>
      <c r="E60" s="40" t="n"/>
    </row>
    <row r="61" ht="28" customHeight="1">
      <c r="A61" s="72" t="inlineStr">
        <is>
          <t>F01 invoice_kind (F01_INVOICE_KIND)</t>
        </is>
      </c>
      <c r="B61" s="36" t="inlineStr">
        <is>
          <t>F01 Open legacy invoices - head: invoice_kind</t>
        </is>
      </c>
      <c r="C61" s="73" t="inlineStr">
        <is>
          <t>BOOKING</t>
        </is>
      </c>
      <c r="D61" s="36" t="n"/>
      <c r="E61" s="36" t="n"/>
    </row>
    <row r="62">
      <c r="A62" s="72" t="n"/>
      <c r="B62" s="36" t="n"/>
      <c r="C62" s="73" t="inlineStr">
        <is>
          <t>ENDORSEMENT_PLUS</t>
        </is>
      </c>
      <c r="D62" s="36" t="n"/>
      <c r="E62" s="36" t="n"/>
    </row>
    <row r="63">
      <c r="A63" s="72" t="n"/>
      <c r="B63" s="36" t="n"/>
      <c r="C63" s="73" t="inlineStr">
        <is>
          <t>ENDORSEMENT_MINUS</t>
        </is>
      </c>
      <c r="D63" s="36" t="n"/>
      <c r="E63" s="36" t="n"/>
    </row>
    <row r="64">
      <c r="A64" s="72" t="n"/>
      <c r="B64" s="36" t="n"/>
      <c r="C64" s="73" t="inlineStr">
        <is>
          <t>CANCELLATION</t>
        </is>
      </c>
      <c r="D64" s="36" t="n"/>
      <c r="E64" s="36" t="n"/>
    </row>
    <row r="65" ht="28" customHeight="1">
      <c r="A65" s="59" t="inlineStr">
        <is>
          <t>F01C component (F01C_COMPONENT)</t>
        </is>
      </c>
      <c r="B65" s="40" t="inlineStr">
        <is>
          <t>F01C Open legacy invoices - com: component</t>
        </is>
      </c>
      <c r="C65" s="71" t="inlineStr">
        <is>
          <t>BASIC</t>
        </is>
      </c>
      <c r="D65" s="40" t="n"/>
      <c r="E65" s="40" t="n"/>
    </row>
    <row r="66">
      <c r="A66" s="59" t="n"/>
      <c r="B66" s="40" t="n"/>
      <c r="C66" s="71" t="inlineStr">
        <is>
          <t>DST</t>
        </is>
      </c>
      <c r="D66" s="40" t="n"/>
      <c r="E66" s="40" t="n"/>
    </row>
    <row r="67">
      <c r="A67" s="59" t="n"/>
      <c r="B67" s="40" t="n"/>
      <c r="C67" s="71" t="inlineStr">
        <is>
          <t>PREMIUM_TAX_VAT</t>
        </is>
      </c>
      <c r="D67" s="40" t="n"/>
      <c r="E67" s="40" t="n"/>
    </row>
    <row r="68">
      <c r="A68" s="59" t="n"/>
      <c r="B68" s="40" t="n"/>
      <c r="C68" s="71" t="inlineStr">
        <is>
          <t>LGT</t>
        </is>
      </c>
      <c r="D68" s="40" t="n"/>
      <c r="E68" s="40" t="n"/>
    </row>
    <row r="69">
      <c r="A69" s="59" t="n"/>
      <c r="B69" s="40" t="n"/>
      <c r="C69" s="71" t="inlineStr">
        <is>
          <t>FST</t>
        </is>
      </c>
      <c r="D69" s="40" t="n"/>
      <c r="E69" s="40" t="n"/>
    </row>
    <row r="70">
      <c r="A70" s="59" t="n"/>
      <c r="B70" s="40" t="n"/>
      <c r="C70" s="71" t="inlineStr">
        <is>
          <t>OTHER</t>
        </is>
      </c>
      <c r="D70" s="40" t="n"/>
      <c r="E70" s="40" t="n"/>
    </row>
    <row r="71">
      <c r="A71" s="59" t="n"/>
      <c r="B71" s="40" t="n"/>
      <c r="C71" s="71" t="inlineStr">
        <is>
          <t>DTIP</t>
        </is>
      </c>
      <c r="D71" s="40" t="n"/>
      <c r="E71" s="40" t="n"/>
    </row>
    <row r="72">
      <c r="A72" s="59" t="n"/>
      <c r="B72" s="40" t="n"/>
      <c r="C72" s="71" t="inlineStr">
        <is>
          <t>COMMISSION</t>
        </is>
      </c>
      <c r="D72" s="40" t="n"/>
      <c r="E72" s="40" t="n"/>
    </row>
    <row r="73">
      <c r="A73" s="59" t="n"/>
      <c r="B73" s="40" t="n"/>
      <c r="C73" s="71" t="inlineStr">
        <is>
          <t>COMMISSION_VAT</t>
        </is>
      </c>
      <c r="D73" s="40" t="n"/>
      <c r="E73" s="40" t="n"/>
    </row>
    <row r="74">
      <c r="A74" s="59" t="n"/>
      <c r="B74" s="40" t="n"/>
      <c r="C74" s="71" t="inlineStr">
        <is>
          <t>WTAX</t>
        </is>
      </c>
      <c r="D74" s="40" t="n"/>
      <c r="E74" s="40" t="n"/>
    </row>
    <row r="75">
      <c r="A75" s="59" t="n"/>
      <c r="B75" s="40" t="n"/>
      <c r="C75" s="71" t="inlineStr">
        <is>
          <t>PR2307</t>
        </is>
      </c>
      <c r="D75" s="40" t="n"/>
      <c r="E75" s="40" t="n"/>
    </row>
    <row r="76">
      <c r="A76" s="72" t="inlineStr">
        <is>
          <t>F02 channel (F02_CHANNEL)</t>
        </is>
      </c>
      <c r="B76" s="36" t="inlineStr">
        <is>
          <t>F02 Unapplied premium payments: channel</t>
        </is>
      </c>
      <c r="C76" s="73" t="inlineStr">
        <is>
          <t>OTC</t>
        </is>
      </c>
      <c r="D76" s="36" t="n"/>
      <c r="E76" s="36" t="n"/>
    </row>
    <row r="77">
      <c r="A77" s="72" t="n"/>
      <c r="B77" s="36" t="n"/>
      <c r="C77" s="73" t="inlineStr">
        <is>
          <t>BILLS_PAYMENT</t>
        </is>
      </c>
      <c r="D77" s="36" t="n"/>
      <c r="E77" s="36" t="n"/>
    </row>
    <row r="78">
      <c r="A78" s="72" t="n"/>
      <c r="B78" s="36" t="n"/>
      <c r="C78" s="73" t="inlineStr">
        <is>
          <t>TRADE</t>
        </is>
      </c>
      <c r="D78" s="36" t="n"/>
      <c r="E78" s="36" t="n"/>
    </row>
    <row r="79">
      <c r="A79" s="72" t="n"/>
      <c r="B79" s="36" t="n"/>
      <c r="C79" s="73" t="inlineStr">
        <is>
          <t>CLPC</t>
        </is>
      </c>
      <c r="D79" s="36" t="n"/>
      <c r="E79" s="36" t="n"/>
    </row>
    <row r="80">
      <c r="A80" s="72" t="n"/>
      <c r="B80" s="36" t="n"/>
      <c r="C80" s="73" t="inlineStr">
        <is>
          <t>DIRECT_CREDIT</t>
        </is>
      </c>
      <c r="D80" s="36" t="n"/>
      <c r="E80" s="36" t="n"/>
    </row>
    <row r="81">
      <c r="A81" s="72" t="n"/>
      <c r="B81" s="36" t="n"/>
      <c r="C81" s="73" t="inlineStr">
        <is>
          <t>CHECK</t>
        </is>
      </c>
      <c r="D81" s="36" t="n"/>
      <c r="E81" s="36" t="n"/>
    </row>
    <row r="82">
      <c r="A82" s="72" t="n"/>
      <c r="B82" s="36" t="n"/>
      <c r="C82" s="73" t="inlineStr">
        <is>
          <t>OTHER</t>
        </is>
      </c>
      <c r="D82" s="36" t="n"/>
      <c r="E82" s="36" t="n"/>
    </row>
    <row r="83" ht="28" customHeight="1">
      <c r="A83" s="59" t="inlineStr">
        <is>
          <t>F02 disposition_status (F02_DISPOSITION_STATUS)</t>
        </is>
      </c>
      <c r="B83" s="40" t="inlineStr">
        <is>
          <t>F02 Unapplied premium payments: disposition_status</t>
        </is>
      </c>
      <c r="C83" s="71" t="inlineStr">
        <is>
          <t>MONITORING</t>
        </is>
      </c>
      <c r="D83" s="40" t="n"/>
      <c r="E83" s="40" t="n"/>
    </row>
    <row r="84">
      <c r="A84" s="59" t="n"/>
      <c r="B84" s="40" t="n"/>
      <c r="C84" s="71" t="inlineStr">
        <is>
          <t>FOR_APPROVAL</t>
        </is>
      </c>
      <c r="D84" s="40" t="n"/>
      <c r="E84" s="40" t="n"/>
    </row>
    <row r="85">
      <c r="A85" s="59" t="n"/>
      <c r="B85" s="40" t="n"/>
      <c r="C85" s="71" t="inlineStr">
        <is>
          <t>IN_PROCESS</t>
        </is>
      </c>
      <c r="D85" s="40" t="n"/>
      <c r="E85" s="40" t="n"/>
    </row>
    <row r="86">
      <c r="A86" s="72" t="inlineStr">
        <is>
          <t>F03 record_type (F03_RECORD_TYPE)</t>
        </is>
      </c>
      <c r="B86" s="36" t="inlineStr">
        <is>
          <t>F03 Open collection state: record_type</t>
        </is>
      </c>
      <c r="C86" s="73" t="inlineStr">
        <is>
          <t>DISPOSITION</t>
        </is>
      </c>
      <c r="D86" s="36" t="n"/>
      <c r="E86" s="36" t="n"/>
    </row>
    <row r="87">
      <c r="A87" s="72" t="n"/>
      <c r="B87" s="36" t="n"/>
      <c r="C87" s="73" t="inlineStr">
        <is>
          <t>PROMISE</t>
        </is>
      </c>
      <c r="D87" s="36" t="n"/>
      <c r="E87" s="36" t="n"/>
    </row>
    <row r="88">
      <c r="A88" s="72" t="n"/>
      <c r="B88" s="36" t="n"/>
      <c r="C88" s="73" t="inlineStr">
        <is>
          <t>INSTALLMENT</t>
        </is>
      </c>
      <c r="D88" s="36" t="n"/>
      <c r="E88" s="36" t="n"/>
    </row>
    <row r="89">
      <c r="A89" s="72" t="n"/>
      <c r="B89" s="36" t="n"/>
      <c r="C89" s="73" t="inlineStr">
        <is>
          <t>ASSIGNMENT</t>
        </is>
      </c>
      <c r="D89" s="36" t="n"/>
      <c r="E89" s="36" t="n"/>
    </row>
    <row r="90">
      <c r="A90" s="59" t="inlineStr">
        <is>
          <t>F04 record_type (F04_RECORD_TYPE)</t>
        </is>
      </c>
      <c r="B90" s="40" t="inlineStr">
        <is>
          <t>F04 Remittance in flight: record_type</t>
        </is>
      </c>
      <c r="C90" s="71" t="inlineStr">
        <is>
          <t>HOLD</t>
        </is>
      </c>
      <c r="D90" s="40" t="n"/>
      <c r="E90" s="40" t="n"/>
    </row>
    <row r="91">
      <c r="A91" s="59" t="n"/>
      <c r="B91" s="40" t="n"/>
      <c r="C91" s="71" t="inlineStr">
        <is>
          <t>SPECIAL</t>
        </is>
      </c>
      <c r="D91" s="40" t="n"/>
      <c r="E91" s="40" t="n"/>
    </row>
    <row r="92">
      <c r="A92" s="59" t="n"/>
      <c r="B92" s="40" t="n"/>
      <c r="C92" s="71" t="inlineStr">
        <is>
          <t>BATCH</t>
        </is>
      </c>
      <c r="D92" s="40" t="n"/>
      <c r="E92" s="40" t="n"/>
    </row>
    <row r="93" ht="28" customHeight="1">
      <c r="A93" s="72" t="inlineStr">
        <is>
          <t>F06 record_type (F06_RECORD_TYPE)</t>
        </is>
      </c>
      <c r="B93" s="36" t="inlineStr">
        <is>
          <t>F06 PDCs, check pick-ups and re: record_type</t>
        </is>
      </c>
      <c r="C93" s="73" t="inlineStr">
        <is>
          <t>PDC</t>
        </is>
      </c>
      <c r="D93" s="36" t="n"/>
      <c r="E93" s="36" t="n"/>
    </row>
    <row r="94">
      <c r="A94" s="72" t="n"/>
      <c r="B94" s="36" t="n"/>
      <c r="C94" s="73" t="inlineStr">
        <is>
          <t>PICKUP</t>
        </is>
      </c>
      <c r="D94" s="36" t="n"/>
      <c r="E94" s="36" t="n"/>
    </row>
    <row r="95">
      <c r="A95" s="72" t="n"/>
      <c r="B95" s="36" t="n"/>
      <c r="C95" s="73" t="inlineStr">
        <is>
          <t>REFUND</t>
        </is>
      </c>
      <c r="D95" s="36" t="n"/>
      <c r="E95" s="36" t="n"/>
    </row>
    <row r="96">
      <c r="A96" s="59" t="inlineStr">
        <is>
          <t>G01 tb_version (G01_TB_VERSION)</t>
        </is>
      </c>
      <c r="B96" s="40" t="inlineStr">
        <is>
          <t>G01 GL opening trial balance: tb_version</t>
        </is>
      </c>
      <c r="C96" s="71" t="inlineStr">
        <is>
          <t>PROVISIONAL</t>
        </is>
      </c>
      <c r="D96" s="40" t="n"/>
      <c r="E96" s="40" t="n"/>
    </row>
    <row r="97">
      <c r="A97" s="59" t="n"/>
      <c r="B97" s="40" t="n"/>
      <c r="C97" s="71" t="inlineStr">
        <is>
          <t>TU1</t>
        </is>
      </c>
      <c r="D97" s="40" t="n"/>
      <c r="E97" s="40" t="n"/>
    </row>
    <row r="98">
      <c r="A98" s="59" t="n"/>
      <c r="B98" s="40" t="n"/>
      <c r="C98" s="71" t="inlineStr">
        <is>
          <t>TU2</t>
        </is>
      </c>
      <c r="D98" s="40" t="n"/>
      <c r="E98" s="40" t="n"/>
    </row>
    <row r="99">
      <c r="A99" s="59" t="n"/>
      <c r="B99" s="40" t="n"/>
      <c r="C99" s="71" t="inlineStr">
        <is>
          <t>TU3</t>
        </is>
      </c>
      <c r="D99" s="40" t="n"/>
      <c r="E99" s="40" t="n"/>
    </row>
    <row r="100">
      <c r="A100" s="59" t="n"/>
      <c r="B100" s="40" t="n"/>
      <c r="C100" s="71" t="inlineStr">
        <is>
          <t>FINAL</t>
        </is>
      </c>
      <c r="D100" s="40" t="n"/>
      <c r="E100" s="40" t="n"/>
    </row>
    <row r="101" ht="28" customHeight="1">
      <c r="A101" s="72" t="inlineStr">
        <is>
          <t>G03 trueup_no (G03_TRUEUP_NO)</t>
        </is>
      </c>
      <c r="B101" s="36" t="inlineStr">
        <is>
          <t>G03 FY2027 true-up - legacy adj: trueup_no</t>
        </is>
      </c>
      <c r="C101" s="73" t="inlineStr">
        <is>
          <t>1</t>
        </is>
      </c>
      <c r="D101" s="36" t="n"/>
      <c r="E101" s="36" t="n"/>
    </row>
    <row r="102">
      <c r="A102" s="72" t="n"/>
      <c r="B102" s="36" t="n"/>
      <c r="C102" s="73" t="inlineStr">
        <is>
          <t>2</t>
        </is>
      </c>
      <c r="D102" s="36" t="n"/>
      <c r="E102" s="36" t="n"/>
    </row>
    <row r="103">
      <c r="A103" s="72" t="n"/>
      <c r="B103" s="36" t="n"/>
      <c r="C103" s="73" t="inlineStr">
        <is>
          <t>3</t>
        </is>
      </c>
      <c r="D103" s="36" t="n"/>
      <c r="E103" s="36" t="n"/>
    </row>
    <row r="104">
      <c r="A104" s="72" t="n"/>
      <c r="B104" s="36" t="n"/>
      <c r="C104" s="73" t="inlineStr">
        <is>
          <t>F</t>
        </is>
      </c>
      <c r="D104" s="36" t="n"/>
      <c r="E104" s="36" t="n"/>
    </row>
    <row r="105" ht="28" customHeight="1">
      <c r="A105" s="59" t="inlineStr">
        <is>
          <t>G03 adjustment_kind (G03_ADJUSTMENT_KIND)</t>
        </is>
      </c>
      <c r="B105" s="40" t="inlineStr">
        <is>
          <t>G03 FY2027 true-up - legacy adj: adjustment_kind</t>
        </is>
      </c>
      <c r="C105" s="71" t="inlineStr">
        <is>
          <t>CLOSING</t>
        </is>
      </c>
      <c r="D105" s="40" t="n"/>
      <c r="E105" s="40" t="n"/>
    </row>
    <row r="106">
      <c r="A106" s="59" t="n"/>
      <c r="B106" s="40" t="n"/>
      <c r="C106" s="71" t="inlineStr">
        <is>
          <t>AUDIT</t>
        </is>
      </c>
      <c r="D106" s="40" t="n"/>
      <c r="E106" s="40" t="n"/>
    </row>
    <row r="107" ht="28" customHeight="1">
      <c r="A107" s="72" t="inlineStr">
        <is>
          <t>G03D trueup_no (G03D_TRUEUP_NO)</t>
        </is>
      </c>
      <c r="B107" s="36" t="inlineStr">
        <is>
          <t>G03D FY2027 true-up - open-item: trueup_no</t>
        </is>
      </c>
      <c r="C107" s="73" t="inlineStr">
        <is>
          <t>1</t>
        </is>
      </c>
      <c r="D107" s="36" t="n"/>
      <c r="E107" s="36" t="n"/>
    </row>
    <row r="108">
      <c r="A108" s="72" t="n"/>
      <c r="B108" s="36" t="n"/>
      <c r="C108" s="73" t="inlineStr">
        <is>
          <t>2</t>
        </is>
      </c>
      <c r="D108" s="36" t="n"/>
      <c r="E108" s="36" t="n"/>
    </row>
    <row r="109">
      <c r="A109" s="72" t="n"/>
      <c r="B109" s="36" t="n"/>
      <c r="C109" s="73" t="inlineStr">
        <is>
          <t>3</t>
        </is>
      </c>
      <c r="D109" s="36" t="n"/>
      <c r="E109" s="36" t="n"/>
    </row>
    <row r="110">
      <c r="A110" s="72" t="n"/>
      <c r="B110" s="36" t="n"/>
      <c r="C110" s="73" t="inlineStr">
        <is>
          <t>F</t>
        </is>
      </c>
      <c r="D110" s="36" t="n"/>
      <c r="E110" s="36" t="n"/>
    </row>
    <row r="111" ht="28" customHeight="1">
      <c r="A111" s="59" t="inlineStr">
        <is>
          <t>G03D item_kind (G03D_ITEM_KIND)</t>
        </is>
      </c>
      <c r="B111" s="40" t="inlineStr">
        <is>
          <t>G03D FY2027 true-up - open-item: item_kind</t>
        </is>
      </c>
      <c r="C111" s="71" t="inlineStr">
        <is>
          <t>INVOICE</t>
        </is>
      </c>
      <c r="D111" s="40" t="n"/>
      <c r="E111" s="40" t="n"/>
    </row>
    <row r="112">
      <c r="A112" s="59" t="n"/>
      <c r="B112" s="40" t="n"/>
      <c r="C112" s="71" t="inlineStr">
        <is>
          <t>UPP</t>
        </is>
      </c>
      <c r="D112" s="40" t="n"/>
      <c r="E112" s="40" t="n"/>
    </row>
    <row r="113" ht="28" customHeight="1">
      <c r="A113" s="72" t="inlineStr">
        <is>
          <t>G03D component (G03D_COMPONENT)</t>
        </is>
      </c>
      <c r="B113" s="36" t="inlineStr">
        <is>
          <t>G03D FY2027 true-up - open-item: component</t>
        </is>
      </c>
      <c r="C113" s="73" t="inlineStr">
        <is>
          <t>BASIC</t>
        </is>
      </c>
      <c r="D113" s="36" t="n"/>
      <c r="E113" s="36" t="n"/>
    </row>
    <row r="114">
      <c r="A114" s="72" t="n"/>
      <c r="B114" s="36" t="n"/>
      <c r="C114" s="73" t="inlineStr">
        <is>
          <t>DST</t>
        </is>
      </c>
      <c r="D114" s="36" t="n"/>
      <c r="E114" s="36" t="n"/>
    </row>
    <row r="115">
      <c r="A115" s="72" t="n"/>
      <c r="B115" s="36" t="n"/>
      <c r="C115" s="73" t="inlineStr">
        <is>
          <t>PREMIUM_TAX_VAT</t>
        </is>
      </c>
      <c r="D115" s="36" t="n"/>
      <c r="E115" s="36" t="n"/>
    </row>
    <row r="116">
      <c r="A116" s="72" t="n"/>
      <c r="B116" s="36" t="n"/>
      <c r="C116" s="73" t="inlineStr">
        <is>
          <t>LGT</t>
        </is>
      </c>
      <c r="D116" s="36" t="n"/>
      <c r="E116" s="36" t="n"/>
    </row>
    <row r="117">
      <c r="A117" s="72" t="n"/>
      <c r="B117" s="36" t="n"/>
      <c r="C117" s="73" t="inlineStr">
        <is>
          <t>FST</t>
        </is>
      </c>
      <c r="D117" s="36" t="n"/>
      <c r="E117" s="36" t="n"/>
    </row>
    <row r="118">
      <c r="A118" s="72" t="n"/>
      <c r="B118" s="36" t="n"/>
      <c r="C118" s="73" t="inlineStr">
        <is>
          <t>OTHER</t>
        </is>
      </c>
      <c r="D118" s="36" t="n"/>
      <c r="E118" s="36" t="n"/>
    </row>
    <row r="119">
      <c r="A119" s="72" t="n"/>
      <c r="B119" s="36" t="n"/>
      <c r="C119" s="73" t="inlineStr">
        <is>
          <t>DTIP</t>
        </is>
      </c>
      <c r="D119" s="36" t="n"/>
      <c r="E119" s="36" t="n"/>
    </row>
    <row r="120">
      <c r="A120" s="72" t="n"/>
      <c r="B120" s="36" t="n"/>
      <c r="C120" s="73" t="inlineStr">
        <is>
          <t>COMMISSION</t>
        </is>
      </c>
      <c r="D120" s="36" t="n"/>
      <c r="E120" s="36" t="n"/>
    </row>
    <row r="121">
      <c r="A121" s="72" t="n"/>
      <c r="B121" s="36" t="n"/>
      <c r="C121" s="73" t="inlineStr">
        <is>
          <t>COMMISSION_VAT</t>
        </is>
      </c>
      <c r="D121" s="36" t="n"/>
      <c r="E121" s="36" t="n"/>
    </row>
    <row r="122">
      <c r="A122" s="72" t="n"/>
      <c r="B122" s="36" t="n"/>
      <c r="C122" s="73" t="inlineStr">
        <is>
          <t>WTAX</t>
        </is>
      </c>
      <c r="D122" s="36" t="n"/>
      <c r="E122" s="36" t="n"/>
    </row>
    <row r="123">
      <c r="A123" s="72" t="n"/>
      <c r="B123" s="36" t="n"/>
      <c r="C123" s="73" t="inlineStr">
        <is>
          <t>PR2307</t>
        </is>
      </c>
      <c r="D123" s="36" t="n"/>
      <c r="E123" s="36" t="n"/>
    </row>
    <row r="124">
      <c r="A124" s="72" t="n"/>
      <c r="B124" s="36" t="n"/>
      <c r="C124" s="73" t="inlineStr">
        <is>
          <t>UNREALIZED</t>
        </is>
      </c>
      <c r="D124" s="36" t="n"/>
      <c r="E124" s="36" t="n"/>
    </row>
    <row r="125">
      <c r="A125" s="72" t="n"/>
      <c r="B125" s="36" t="n"/>
      <c r="C125" s="73" t="inlineStr">
        <is>
          <t>DEFERRED_VAT</t>
        </is>
      </c>
      <c r="D125" s="36" t="n"/>
      <c r="E125" s="36" t="n"/>
    </row>
    <row r="126">
      <c r="A126" s="72" t="n"/>
      <c r="B126" s="36" t="n"/>
      <c r="C126" s="73" t="inlineStr">
        <is>
          <t>UPP</t>
        </is>
      </c>
      <c r="D126" s="36" t="n"/>
      <c r="E126" s="36" t="n"/>
    </row>
    <row r="127" ht="28" customHeight="1">
      <c r="A127" s="59" t="inlineStr">
        <is>
          <t>G03D movement (G03D_MOVEMENT)</t>
        </is>
      </c>
      <c r="B127" s="40" t="inlineStr">
        <is>
          <t>G03D FY2027 true-up - open-item: movement</t>
        </is>
      </c>
      <c r="C127" s="71" t="inlineStr">
        <is>
          <t>ADJUSTED</t>
        </is>
      </c>
      <c r="D127" s="40" t="n"/>
      <c r="E127" s="40" t="n"/>
    </row>
    <row r="128">
      <c r="A128" s="59" t="n"/>
      <c r="B128" s="40" t="n"/>
      <c r="C128" s="71" t="inlineStr">
        <is>
          <t>WRITTEN_OFF</t>
        </is>
      </c>
      <c r="D128" s="40" t="n"/>
      <c r="E128" s="40" t="n"/>
    </row>
    <row r="129" ht="28" customHeight="1">
      <c r="A129" s="72" t="inlineStr">
        <is>
          <t>H01 record_type (H01_RECORD_TYPE)</t>
        </is>
      </c>
      <c r="B129" s="36" t="inlineStr">
        <is>
          <t>H01 Archive records (closed tra: record_type</t>
        </is>
      </c>
      <c r="C129" s="73" t="inlineStr">
        <is>
          <t>CLIENT</t>
        </is>
      </c>
      <c r="D129" s="36" t="n"/>
      <c r="E129" s="36" t="n"/>
    </row>
    <row r="130">
      <c r="A130" s="72" t="n"/>
      <c r="B130" s="36" t="n"/>
      <c r="C130" s="73" t="inlineStr">
        <is>
          <t>POLICY</t>
        </is>
      </c>
      <c r="D130" s="36" t="n"/>
      <c r="E130" s="36" t="n"/>
    </row>
    <row r="131">
      <c r="A131" s="72" t="n"/>
      <c r="B131" s="36" t="n"/>
      <c r="C131" s="73" t="inlineStr">
        <is>
          <t>INVOICE</t>
        </is>
      </c>
      <c r="D131" s="36" t="n"/>
      <c r="E131" s="36" t="n"/>
    </row>
    <row r="132">
      <c r="A132" s="72" t="n"/>
      <c r="B132" s="36" t="n"/>
      <c r="C132" s="73" t="inlineStr">
        <is>
          <t>RECEIPT</t>
        </is>
      </c>
      <c r="D132" s="36" t="n"/>
      <c r="E132" s="36" t="n"/>
    </row>
    <row r="133">
      <c r="A133" s="72" t="n"/>
      <c r="B133" s="36" t="n"/>
      <c r="C133" s="73" t="inlineStr">
        <is>
          <t>REMITTANCE</t>
        </is>
      </c>
      <c r="D133" s="36" t="n"/>
      <c r="E133" s="36" t="n"/>
    </row>
    <row r="134">
      <c r="A134" s="72" t="n"/>
      <c r="B134" s="36" t="n"/>
      <c r="C134" s="73" t="inlineStr">
        <is>
          <t>ENDORSEMENT</t>
        </is>
      </c>
      <c r="D134" s="36" t="n"/>
      <c r="E134" s="36" t="n"/>
    </row>
    <row r="135">
      <c r="A135" s="72" t="n"/>
      <c r="B135" s="36" t="n"/>
      <c r="C135" s="73" t="inlineStr">
        <is>
          <t>CLAIM</t>
        </is>
      </c>
      <c r="D135" s="36" t="n"/>
      <c r="E135" s="36" t="n"/>
    </row>
    <row r="136">
      <c r="A136" s="72" t="n"/>
      <c r="B136" s="36" t="n"/>
      <c r="C136" s="73" t="inlineStr">
        <is>
          <t>GL_JOURNAL</t>
        </is>
      </c>
      <c r="D136" s="36" t="n"/>
      <c r="E136" s="36" t="n"/>
    </row>
    <row r="137">
      <c r="A137" s="72" t="n"/>
      <c r="B137" s="36" t="n"/>
      <c r="C137" s="73" t="inlineStr">
        <is>
          <t>RENEWAL_ADVICE</t>
        </is>
      </c>
      <c r="D137" s="36" t="n"/>
      <c r="E137" s="36" t="n"/>
    </row>
    <row r="138">
      <c r="A138" s="72" t="n"/>
      <c r="B138" s="36" t="n"/>
      <c r="C138" s="73" t="inlineStr">
        <is>
          <t>LETTER</t>
        </is>
      </c>
      <c r="D138" s="36" t="n"/>
      <c r="E138" s="36" t="n"/>
    </row>
    <row r="139">
      <c r="A139" s="72" t="n"/>
      <c r="B139" s="36" t="n"/>
      <c r="C139" s="73" t="inlineStr">
        <is>
          <t>OTHER</t>
        </is>
      </c>
      <c r="D139" s="36" t="n"/>
      <c r="E139" s="36" t="n"/>
    </row>
    <row r="140">
      <c r="A140" s="59" t="inlineStr">
        <is>
          <t>Status (STATUS)</t>
        </is>
      </c>
      <c r="B140" s="40" t="inlineStr">
        <is>
          <t>Load templates: Status</t>
        </is>
      </c>
      <c r="C140" s="71" t="inlineStr">
        <is>
          <t>Not started</t>
        </is>
      </c>
      <c r="D140" s="40" t="n"/>
      <c r="E140" s="40" t="n"/>
    </row>
    <row r="141">
      <c r="A141" s="59" t="n"/>
      <c r="B141" s="40" t="n"/>
      <c r="C141" s="71" t="inlineStr">
        <is>
          <t>In progress</t>
        </is>
      </c>
      <c r="D141" s="40" t="n"/>
      <c r="E141" s="40" t="n"/>
    </row>
    <row r="142">
      <c r="A142" s="59" t="n"/>
      <c r="B142" s="40" t="n"/>
      <c r="C142" s="71" t="inlineStr">
        <is>
          <t>Ready for review</t>
        </is>
      </c>
      <c r="D142" s="40" t="n"/>
      <c r="E142" s="40" t="n"/>
    </row>
    <row r="143">
      <c r="A143" s="59" t="n"/>
      <c r="B143" s="40" t="n"/>
      <c r="C143" s="71" t="inlineStr">
        <is>
          <t>Confirmed</t>
        </is>
      </c>
      <c r="D143" s="40" t="n"/>
      <c r="E143" s="40" t="n"/>
    </row>
  </sheetData>
  <autoFilter ref="A4:E143"/>
  <hyperlinks>
    <hyperlink ref="A2" location="'Load template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0" customWidth="1" min="3" max="3"/>
    <col width="9" customWidth="1" min="4" max="4"/>
    <col width="40" customWidth="1" min="5" max="5"/>
    <col width="26" customWidth="1" min="6" max="6"/>
  </cols>
  <sheetData>
    <row r="1" ht="24" customHeight="1">
      <c r="A1" s="19" t="inlineStr">
        <is>
          <t>Control file</t>
        </is>
      </c>
    </row>
    <row r="2">
      <c r="A2" s="22" t="inlineStr">
        <is>
          <t>The control file sent with every data file (&lt;data file name&gt;.ctl.csv): one row per measure</t>
        </is>
      </c>
    </row>
    <row r="3" ht="6" customHeight="1">
      <c r="A3" s="23" t="n"/>
      <c r="B3" s="23" t="n"/>
      <c r="C3" s="23" t="n"/>
      <c r="D3" s="23" t="n"/>
      <c r="E3" s="23" t="n"/>
      <c r="F3" s="23" t="n"/>
    </row>
    <row r="4" ht="30" customHeight="1">
      <c r="A4" s="24" t="inlineStr">
        <is>
          <t>No.</t>
        </is>
      </c>
      <c r="B4" s="24" t="inlineStr">
        <is>
          <t>Column</t>
        </is>
      </c>
      <c r="C4" s="24" t="inlineStr">
        <is>
          <t>What it holds</t>
        </is>
      </c>
      <c r="D4" s="24" t="inlineStr">
        <is>
          <t>Mandatory</t>
        </is>
      </c>
      <c r="E4" s="24" t="inlineStr">
        <is>
          <t>Format</t>
        </is>
      </c>
      <c r="F4" s="24" t="inlineStr">
        <is>
          <t>Example</t>
        </is>
      </c>
    </row>
    <row r="5">
      <c r="A5" s="12" t="n">
        <v>1</v>
      </c>
      <c r="B5" s="12" t="inlineStr">
        <is>
          <t>object</t>
        </is>
      </c>
      <c r="C5" s="12" t="inlineStr">
        <is>
          <t>Object code of the data file</t>
        </is>
      </c>
      <c r="D5" s="12" t="inlineStr">
        <is>
          <t>Y</t>
        </is>
      </c>
      <c r="E5" s="12" t="inlineStr">
        <is>
          <t>Upper case; matches the file name</t>
        </is>
      </c>
      <c r="F5" s="12" t="inlineStr">
        <is>
          <t>F01</t>
        </is>
      </c>
    </row>
    <row r="6">
      <c r="A6" s="12" t="n">
        <v>2</v>
      </c>
      <c r="B6" s="12" t="inlineStr">
        <is>
          <t>layout</t>
        </is>
      </c>
      <c r="C6" s="12" t="inlineStr">
        <is>
          <t>Layout (template) code</t>
        </is>
      </c>
      <c r="D6" s="12" t="inlineStr">
        <is>
          <t>Y</t>
        </is>
      </c>
      <c r="E6" s="12" t="inlineStr">
        <is>
          <t>Upper case; matches the header row</t>
        </is>
      </c>
      <c r="F6" s="12" t="inlineStr">
        <is>
          <t>F01C</t>
        </is>
      </c>
    </row>
    <row r="7">
      <c r="A7" s="12" t="n">
        <v>3</v>
      </c>
      <c r="B7" s="12" t="inlineStr">
        <is>
          <t>source_system</t>
        </is>
      </c>
      <c r="C7" s="12" t="inlineStr">
        <is>
          <t>Source system: EBIX, QPS, ISYS, CMS or EXCEL</t>
        </is>
      </c>
      <c r="D7" s="12" t="inlineStr">
        <is>
          <t>Y</t>
        </is>
      </c>
      <c r="E7" s="12" t="inlineStr">
        <is>
          <t>Upper case; matches the file name</t>
        </is>
      </c>
      <c r="F7" s="12" t="inlineStr">
        <is>
          <t>EBIX</t>
        </is>
      </c>
    </row>
    <row r="8">
      <c r="A8" s="12" t="n">
        <v>4</v>
      </c>
      <c r="B8" s="12" t="inlineStr">
        <is>
          <t>data_file</t>
        </is>
      </c>
      <c r="C8" s="12" t="inlineStr">
        <is>
          <t>Name of the data file the control file belongs to</t>
        </is>
      </c>
      <c r="D8" s="12" t="inlineStr">
        <is>
          <t>Y</t>
        </is>
      </c>
      <c r="E8" s="12" t="inlineStr">
        <is>
          <t>&lt;LAYOUT&gt;_&lt;SOURCE&gt;_&lt;yyyyMMdd&gt;_&lt;nn&gt;.csv or .xlsx</t>
        </is>
      </c>
      <c r="F8" s="12" t="inlineStr">
        <is>
          <t>F01C_EBIX_20271231_01.csv</t>
        </is>
      </c>
    </row>
    <row r="9">
      <c r="A9" s="12" t="n">
        <v>5</v>
      </c>
      <c r="B9" s="12" t="inlineStr">
        <is>
          <t>as_of</t>
        </is>
      </c>
      <c r="C9" s="12" t="inlineStr">
        <is>
          <t>Date and time the data represents</t>
        </is>
      </c>
      <c r="D9" s="12" t="inlineStr">
        <is>
          <t>Y</t>
        </is>
      </c>
      <c r="E9" s="12" t="inlineStr">
        <is>
          <t>yyyy-MM-dd HH:mm:ss; not earlier than the previous extract of the layout</t>
        </is>
      </c>
      <c r="F9" s="12" t="inlineStr">
        <is>
          <t>2027-12-31 22:00:00</t>
        </is>
      </c>
    </row>
    <row r="10">
      <c r="A10" s="12" t="n">
        <v>6</v>
      </c>
      <c r="B10" s="12" t="inlineStr">
        <is>
          <t>extracted_at</t>
        </is>
      </c>
      <c r="C10" s="12" t="inlineStr">
        <is>
          <t>When the extract ran</t>
        </is>
      </c>
      <c r="D10" s="12" t="inlineStr">
        <is>
          <t>Y</t>
        </is>
      </c>
      <c r="E10" s="12" t="inlineStr">
        <is>
          <t>yyyy-MM-dd HH:mm:ss; after as_of</t>
        </is>
      </c>
      <c r="F10" s="12" t="inlineStr">
        <is>
          <t>2028-01-01 00:40:12</t>
        </is>
      </c>
    </row>
    <row r="11">
      <c r="A11" s="12" t="n">
        <v>7</v>
      </c>
      <c r="B11" s="12" t="inlineStr">
        <is>
          <t>extracted_by</t>
        </is>
      </c>
      <c r="C11" s="12" t="inlineStr">
        <is>
          <t>BDOI IT user who ran the extract</t>
        </is>
      </c>
      <c r="D11" s="12" t="inlineStr">
        <is>
          <t>Y</t>
        </is>
      </c>
      <c r="E11" s="12" t="inlineStr">
        <is>
          <t>Free text</t>
        </is>
      </c>
      <c r="F11" s="12" t="inlineStr">
        <is>
          <t>bdoi.it.jramos</t>
        </is>
      </c>
    </row>
    <row r="12">
      <c r="A12" s="12" t="n">
        <v>8</v>
      </c>
      <c r="B12" s="12" t="inlineStr">
        <is>
          <t>measure</t>
        </is>
      </c>
      <c r="C12" s="12" t="inlineStr">
        <is>
          <t>Kind of control: ROW_COUNT, HASH_TOTAL, AMOUNT_TOTAL or SHA256</t>
        </is>
      </c>
      <c r="D12" s="12" t="inlineStr">
        <is>
          <t>Y</t>
        </is>
      </c>
      <c r="E12" s="12" t="inlineStr">
        <is>
          <t>Upper case</t>
        </is>
      </c>
      <c r="F12" s="12" t="inlineStr">
        <is>
          <t>AMOUNT_TOTAL</t>
        </is>
      </c>
    </row>
    <row r="13">
      <c r="A13" s="12" t="n">
        <v>9</v>
      </c>
      <c r="B13" s="12" t="inlineStr">
        <is>
          <t>column_name</t>
        </is>
      </c>
      <c r="C13" s="12" t="inlineStr">
        <is>
          <t>Column the measure applies to</t>
        </is>
      </c>
      <c r="D13" s="12" t="inlineStr">
        <is>
          <t>C</t>
        </is>
      </c>
      <c r="E13" s="12" t="inlineStr">
        <is>
          <t>As in the header; mandatory for HASH_TOTAL and AMOUNT_TOTAL</t>
        </is>
      </c>
      <c r="F13" s="12" t="inlineStr">
        <is>
          <t>open_balance</t>
        </is>
      </c>
    </row>
    <row r="14">
      <c r="A14" s="12" t="n">
        <v>10</v>
      </c>
      <c r="B14" s="12" t="inlineStr">
        <is>
          <t>currency</t>
        </is>
      </c>
      <c r="C14" s="12" t="inlineStr">
        <is>
          <t>Currency of an AMOUNT_TOTAL</t>
        </is>
      </c>
      <c r="D14" s="12" t="inlineStr">
        <is>
          <t>C</t>
        </is>
      </c>
      <c r="E14" s="12" t="inlineStr">
        <is>
          <t>ISO 4217; mandatory for AMOUNT_TOTAL</t>
        </is>
      </c>
      <c r="F14" s="12" t="inlineStr">
        <is>
          <t>PHP</t>
        </is>
      </c>
    </row>
    <row r="15">
      <c r="A15" s="12" t="n">
        <v>11</v>
      </c>
      <c r="B15" s="12" t="inlineStr">
        <is>
          <t>filter</t>
        </is>
      </c>
      <c r="C15" s="12" t="inlineStr">
        <is>
          <t>Optional filter of the measure</t>
        </is>
      </c>
      <c r="D15" s="12" t="inlineStr">
        <is>
          <t>N</t>
        </is>
      </c>
      <c r="E15" s="12" t="inlineStr">
        <is>
          <t>column=value</t>
        </is>
      </c>
      <c r="F15" s="12" t="inlineStr">
        <is>
          <t>component=BASIC</t>
        </is>
      </c>
    </row>
    <row r="16">
      <c r="A16" s="12" t="n">
        <v>12</v>
      </c>
      <c r="B16" s="12" t="inlineStr">
        <is>
          <t>value</t>
        </is>
      </c>
      <c r="C16" s="12" t="inlineStr">
        <is>
          <t>Value of the measure</t>
        </is>
      </c>
      <c r="D16" s="12" t="inlineStr">
        <is>
          <t>Y</t>
        </is>
      </c>
      <c r="E16" s="12" t="inlineStr">
        <is>
          <t>Digits with a dot decimal for amounts; 64 hexadecimal characters for SHA256</t>
        </is>
      </c>
      <c r="F16" s="12" t="inlineStr">
        <is>
          <t>98450221.40</t>
        </is>
      </c>
    </row>
  </sheetData>
  <autoFilter ref="A4:F16"/>
  <mergeCells count="1">
    <mergeCell ref="A2:F2"/>
  </mergeCells>
  <conditionalFormatting sqref="A5:F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L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9" customWidth="1" min="3" max="3"/>
    <col width="26" customWidth="1" min="4" max="4"/>
    <col width="18" customWidth="1" min="5" max="5"/>
    <col width="18" customWidth="1" min="6" max="6"/>
    <col width="14" customWidth="1" min="7" max="7"/>
    <col width="14" customWidth="1" min="8" max="8"/>
    <col width="16" customWidth="1" min="9" max="9"/>
    <col width="9" customWidth="1" min="10" max="10"/>
    <col width="16" customWidth="1" min="11" max="11"/>
    <col width="30" customWidth="1" min="12" max="12"/>
  </cols>
  <sheetData>
    <row r="1" ht="24" customHeight="1">
      <c r="A1" s="19" t="inlineStr">
        <is>
          <t>Control example</t>
        </is>
      </c>
    </row>
    <row r="2">
      <c r="A2" s="22" t="inlineStr">
        <is>
          <t>Example control file of F01C (made-up values)</t>
        </is>
      </c>
    </row>
    <row r="3" ht="6" customHeight="1">
      <c r="A3" s="23" t="n"/>
      <c r="B3" s="23" t="n"/>
      <c r="C3" s="23" t="n"/>
      <c r="D3" s="23" t="n"/>
      <c r="E3" s="23" t="n"/>
      <c r="F3" s="23" t="n"/>
      <c r="G3" s="23" t="n"/>
      <c r="H3" s="23" t="n"/>
      <c r="I3" s="23" t="n"/>
      <c r="J3" s="23" t="n"/>
      <c r="K3" s="23" t="n"/>
      <c r="L3" s="23" t="n"/>
    </row>
    <row r="4" ht="30" customHeight="1">
      <c r="A4" s="24" t="inlineStr">
        <is>
          <t>object</t>
        </is>
      </c>
      <c r="B4" s="24" t="inlineStr">
        <is>
          <t>layout</t>
        </is>
      </c>
      <c r="C4" s="24" t="inlineStr">
        <is>
          <t>source_system</t>
        </is>
      </c>
      <c r="D4" s="24" t="inlineStr">
        <is>
          <t>data_file</t>
        </is>
      </c>
      <c r="E4" s="24" t="inlineStr">
        <is>
          <t>as_of</t>
        </is>
      </c>
      <c r="F4" s="24" t="inlineStr">
        <is>
          <t>extracted_at</t>
        </is>
      </c>
      <c r="G4" s="24" t="inlineStr">
        <is>
          <t>extracted_by</t>
        </is>
      </c>
      <c r="H4" s="24" t="inlineStr">
        <is>
          <t>measure</t>
        </is>
      </c>
      <c r="I4" s="24" t="inlineStr">
        <is>
          <t>column_name</t>
        </is>
      </c>
      <c r="J4" s="24" t="inlineStr">
        <is>
          <t>currency</t>
        </is>
      </c>
      <c r="K4" s="24" t="inlineStr">
        <is>
          <t>filter</t>
        </is>
      </c>
      <c r="L4" s="24" t="inlineStr">
        <is>
          <t>value</t>
        </is>
      </c>
    </row>
    <row r="5">
      <c r="A5" s="12" t="inlineStr">
        <is>
          <t>F01C</t>
        </is>
      </c>
      <c r="B5" s="12" t="inlineStr">
        <is>
          <t>F01C</t>
        </is>
      </c>
      <c r="C5" s="12" t="inlineStr">
        <is>
          <t>EBIX</t>
        </is>
      </c>
      <c r="D5" s="12" t="inlineStr">
        <is>
          <t>F01C_EBIX_20271231_01.csv</t>
        </is>
      </c>
      <c r="E5" s="12" t="inlineStr">
        <is>
          <t>2027-12-31 22:00:00</t>
        </is>
      </c>
      <c r="F5" s="12" t="inlineStr">
        <is>
          <t>2028-01-01 00:40:12</t>
        </is>
      </c>
      <c r="G5" s="12" t="inlineStr">
        <is>
          <t>bdoi.it.jramos</t>
        </is>
      </c>
      <c r="H5" s="12" t="inlineStr">
        <is>
          <t>ROW_COUNT</t>
        </is>
      </c>
      <c r="I5" s="12" t="inlineStr"/>
      <c r="J5" s="12" t="inlineStr"/>
      <c r="K5" s="12" t="inlineStr"/>
      <c r="L5" s="12" t="inlineStr">
        <is>
          <t>184220</t>
        </is>
      </c>
    </row>
    <row r="6">
      <c r="A6" s="12" t="inlineStr">
        <is>
          <t>F01C</t>
        </is>
      </c>
      <c r="B6" s="12" t="inlineStr">
        <is>
          <t>F01C</t>
        </is>
      </c>
      <c r="C6" s="12" t="inlineStr">
        <is>
          <t>EBIX</t>
        </is>
      </c>
      <c r="D6" s="12" t="inlineStr">
        <is>
          <t>F01C_EBIX_20271231_01.csv</t>
        </is>
      </c>
      <c r="E6" s="12" t="inlineStr">
        <is>
          <t>2027-12-31 22:00:00</t>
        </is>
      </c>
      <c r="F6" s="12" t="inlineStr">
        <is>
          <t>2028-01-01 00:40:12</t>
        </is>
      </c>
      <c r="G6" s="12" t="inlineStr">
        <is>
          <t>bdoi.it.jramos</t>
        </is>
      </c>
      <c r="H6" s="12" t="inlineStr">
        <is>
          <t>HASH_TOTAL</t>
        </is>
      </c>
      <c r="I6" s="12" t="inlineStr">
        <is>
          <t>legacy_invoice_no</t>
        </is>
      </c>
      <c r="J6" s="12" t="inlineStr"/>
      <c r="K6" s="12" t="inlineStr"/>
      <c r="L6" s="12" t="inlineStr">
        <is>
          <t>31207</t>
        </is>
      </c>
    </row>
    <row r="7">
      <c r="A7" s="12" t="inlineStr">
        <is>
          <t>F01C</t>
        </is>
      </c>
      <c r="B7" s="12" t="inlineStr">
        <is>
          <t>F01C</t>
        </is>
      </c>
      <c r="C7" s="12" t="inlineStr">
        <is>
          <t>EBIX</t>
        </is>
      </c>
      <c r="D7" s="12" t="inlineStr">
        <is>
          <t>F01C_EBIX_20271231_01.csv</t>
        </is>
      </c>
      <c r="E7" s="12" t="inlineStr">
        <is>
          <t>2027-12-31 22:00:00</t>
        </is>
      </c>
      <c r="F7" s="12" t="inlineStr">
        <is>
          <t>2028-01-01 00:40:12</t>
        </is>
      </c>
      <c r="G7" s="12" t="inlineStr">
        <is>
          <t>bdoi.it.jramos</t>
        </is>
      </c>
      <c r="H7" s="12" t="inlineStr">
        <is>
          <t>AMOUNT_TOTAL</t>
        </is>
      </c>
      <c r="I7" s="12" t="inlineStr">
        <is>
          <t>open_balance</t>
        </is>
      </c>
      <c r="J7" s="12" t="inlineStr">
        <is>
          <t>PHP</t>
        </is>
      </c>
      <c r="K7" s="12" t="inlineStr">
        <is>
          <t>component=BASIC</t>
        </is>
      </c>
      <c r="L7" s="12" t="inlineStr">
        <is>
          <t>98450221.40</t>
        </is>
      </c>
    </row>
    <row r="8">
      <c r="A8" s="12" t="inlineStr">
        <is>
          <t>F01C</t>
        </is>
      </c>
      <c r="B8" s="12" t="inlineStr">
        <is>
          <t>F01C</t>
        </is>
      </c>
      <c r="C8" s="12" t="inlineStr">
        <is>
          <t>EBIX</t>
        </is>
      </c>
      <c r="D8" s="12" t="inlineStr">
        <is>
          <t>F01C_EBIX_20271231_01.csv</t>
        </is>
      </c>
      <c r="E8" s="12" t="inlineStr">
        <is>
          <t>2027-12-31 22:00:00</t>
        </is>
      </c>
      <c r="F8" s="12" t="inlineStr">
        <is>
          <t>2028-01-01 00:40:12</t>
        </is>
      </c>
      <c r="G8" s="12" t="inlineStr">
        <is>
          <t>bdoi.it.jramos</t>
        </is>
      </c>
      <c r="H8" s="12" t="inlineStr">
        <is>
          <t>AMOUNT_TOTAL</t>
        </is>
      </c>
      <c r="I8" s="12" t="inlineStr">
        <is>
          <t>open_balance</t>
        </is>
      </c>
      <c r="J8" s="12" t="inlineStr">
        <is>
          <t>PHP</t>
        </is>
      </c>
      <c r="K8" s="12" t="inlineStr">
        <is>
          <t>component=DTIP</t>
        </is>
      </c>
      <c r="L8" s="12" t="inlineStr">
        <is>
          <t>-84120775.15</t>
        </is>
      </c>
    </row>
    <row r="9">
      <c r="A9" s="12" t="inlineStr">
        <is>
          <t>F01C</t>
        </is>
      </c>
      <c r="B9" s="12" t="inlineStr">
        <is>
          <t>F01C</t>
        </is>
      </c>
      <c r="C9" s="12" t="inlineStr">
        <is>
          <t>EBIX</t>
        </is>
      </c>
      <c r="D9" s="12" t="inlineStr">
        <is>
          <t>F01C_EBIX_20271231_01.csv</t>
        </is>
      </c>
      <c r="E9" s="12" t="inlineStr">
        <is>
          <t>2027-12-31 22:00:00</t>
        </is>
      </c>
      <c r="F9" s="12" t="inlineStr">
        <is>
          <t>2028-01-01 00:40:12</t>
        </is>
      </c>
      <c r="G9" s="12" t="inlineStr">
        <is>
          <t>bdoi.it.jramos</t>
        </is>
      </c>
      <c r="H9" s="12" t="inlineStr">
        <is>
          <t>AMOUNT_TOTAL</t>
        </is>
      </c>
      <c r="I9" s="12" t="inlineStr">
        <is>
          <t>open_balance</t>
        </is>
      </c>
      <c r="J9" s="12" t="inlineStr">
        <is>
          <t>USD</t>
        </is>
      </c>
      <c r="K9" s="12" t="inlineStr">
        <is>
          <t>component=BASIC</t>
        </is>
      </c>
      <c r="L9" s="12" t="inlineStr">
        <is>
          <t>412330.00</t>
        </is>
      </c>
    </row>
    <row r="10">
      <c r="A10" s="12" t="inlineStr">
        <is>
          <t>F01C</t>
        </is>
      </c>
      <c r="B10" s="12" t="inlineStr">
        <is>
          <t>F01C</t>
        </is>
      </c>
      <c r="C10" s="12" t="inlineStr">
        <is>
          <t>EBIX</t>
        </is>
      </c>
      <c r="D10" s="12" t="inlineStr">
        <is>
          <t>F01C_EBIX_20271231_01.csv</t>
        </is>
      </c>
      <c r="E10" s="12" t="inlineStr">
        <is>
          <t>2027-12-31 22:00:00</t>
        </is>
      </c>
      <c r="F10" s="12" t="inlineStr">
        <is>
          <t>2028-01-01 00:40:12</t>
        </is>
      </c>
      <c r="G10" s="12" t="inlineStr">
        <is>
          <t>bdoi.it.jramos</t>
        </is>
      </c>
      <c r="H10" s="12" t="inlineStr">
        <is>
          <t>AMOUNT_TOTAL</t>
        </is>
      </c>
      <c r="I10" s="12" t="inlineStr">
        <is>
          <t>booked</t>
        </is>
      </c>
      <c r="J10" s="12" t="inlineStr">
        <is>
          <t>PHP</t>
        </is>
      </c>
      <c r="K10" s="12" t="inlineStr"/>
      <c r="L10" s="12" t="inlineStr">
        <is>
          <t>1284533.75</t>
        </is>
      </c>
    </row>
    <row r="11">
      <c r="A11" s="12" t="inlineStr">
        <is>
          <t>F01C</t>
        </is>
      </c>
      <c r="B11" s="12" t="inlineStr">
        <is>
          <t>F01C</t>
        </is>
      </c>
      <c r="C11" s="12" t="inlineStr">
        <is>
          <t>EBIX</t>
        </is>
      </c>
      <c r="D11" s="12" t="inlineStr">
        <is>
          <t>F01C_EBIX_20271231_01.csv</t>
        </is>
      </c>
      <c r="E11" s="12" t="inlineStr">
        <is>
          <t>2027-12-31 22:00:00</t>
        </is>
      </c>
      <c r="F11" s="12" t="inlineStr">
        <is>
          <t>2028-01-01 00:40:12</t>
        </is>
      </c>
      <c r="G11" s="12" t="inlineStr">
        <is>
          <t>bdoi.it.jramos</t>
        </is>
      </c>
      <c r="H11" s="12" t="inlineStr">
        <is>
          <t>SHA256</t>
        </is>
      </c>
      <c r="I11" s="12" t="inlineStr"/>
      <c r="J11" s="12" t="inlineStr"/>
      <c r="K11" s="12" t="inlineStr"/>
      <c r="L11" s="12" t="inlineStr">
        <is>
          <t>3a7bd3e2360a3d29eea436fcfb7e44c735d117c42d1c1835420b6b9942dd4f1b</t>
        </is>
      </c>
    </row>
  </sheetData>
  <autoFilter ref="A4:L11"/>
  <mergeCells count="1">
    <mergeCell ref="A2:L2"/>
  </mergeCells>
  <conditionalFormatting sqref="A5:L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J1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26" customWidth="1" min="4" max="4"/>
    <col width="13" customWidth="1" min="5" max="5"/>
    <col width="36" customWidth="1" min="6" max="6"/>
    <col width="16" customWidth="1" min="7" max="7"/>
    <col width="16" customWidth="1" min="8" max="8"/>
    <col width="12" customWidth="1" min="9" max="9"/>
    <col width="12" customWidth="1" min="10" max="10"/>
  </cols>
  <sheetData>
    <row r="1" ht="24" customHeight="1">
      <c r="A1" s="19" t="inlineStr">
        <is>
          <t>Control totals</t>
        </is>
      </c>
    </row>
    <row r="2">
      <c r="A2" s="22" t="inlineStr">
        <is>
          <t>Control totals per layout; the tie-out sheet of reconciliation levels L1 to L3 in each run</t>
        </is>
      </c>
    </row>
    <row r="3" ht="6" customHeight="1">
      <c r="A3" s="23" t="n"/>
      <c r="B3" s="23" t="n"/>
      <c r="C3" s="23" t="n"/>
      <c r="D3" s="23" t="n"/>
      <c r="E3" s="23" t="n"/>
      <c r="F3" s="23" t="n"/>
      <c r="G3" s="23" t="n"/>
      <c r="H3" s="23" t="n"/>
      <c r="I3" s="23" t="n"/>
      <c r="J3" s="23" t="n"/>
    </row>
    <row r="4" ht="30" customHeight="1">
      <c r="A4" s="24" t="inlineStr">
        <is>
          <t>Layout</t>
        </is>
      </c>
      <c r="B4" s="24" t="inlineStr">
        <is>
          <t>Object</t>
        </is>
      </c>
      <c r="C4" s="24" t="inlineStr">
        <is>
          <t>Measure</t>
        </is>
      </c>
      <c r="D4" s="24" t="inlineStr">
        <is>
          <t>Column</t>
        </is>
      </c>
      <c r="E4" s="24" t="inlineStr">
        <is>
          <t>Currency</t>
        </is>
      </c>
      <c r="F4" s="24" t="inlineStr">
        <is>
          <t>How it is computed</t>
        </is>
      </c>
      <c r="G4" s="24" t="inlineStr">
        <is>
          <t>Value from BDOI</t>
        </is>
      </c>
      <c r="H4" s="24" t="inlineStr">
        <is>
          <t>Value in BIBS</t>
        </is>
      </c>
      <c r="I4" s="24" t="inlineStr">
        <is>
          <t>Difference</t>
        </is>
      </c>
      <c r="J4" s="24" t="inlineStr">
        <is>
          <t>Status</t>
        </is>
      </c>
    </row>
    <row r="5">
      <c r="A5" s="12" t="inlineStr">
        <is>
          <t>R01</t>
        </is>
      </c>
      <c r="B5" s="12" t="inlineStr">
        <is>
          <t>R01</t>
        </is>
      </c>
      <c r="C5" s="12" t="inlineStr">
        <is>
          <t>ROW_COUNT</t>
        </is>
      </c>
      <c r="D5" s="12" t="inlineStr">
        <is>
          <t>-</t>
        </is>
      </c>
      <c r="E5" s="12" t="inlineStr">
        <is>
          <t>-</t>
        </is>
      </c>
      <c r="F5" s="12" t="inlineStr">
        <is>
          <t>Rows of the data file, header excluded</t>
        </is>
      </c>
      <c r="G5" s="12" t="n"/>
      <c r="H5" s="12" t="n"/>
      <c r="I5" s="12" t="n"/>
      <c r="J5" s="74" t="n"/>
    </row>
    <row r="6">
      <c r="A6" s="12" t="inlineStr">
        <is>
          <t>R01</t>
        </is>
      </c>
      <c r="B6" s="12" t="inlineStr">
        <is>
          <t>R01</t>
        </is>
      </c>
      <c r="C6" s="12" t="inlineStr">
        <is>
          <t>HASH_TOTAL</t>
        </is>
      </c>
      <c r="D6" s="12" t="inlineStr">
        <is>
          <t>list_type, code</t>
        </is>
      </c>
      <c r="E6" s="12" t="inlineStr">
        <is>
          <t>-</t>
        </is>
      </c>
      <c r="F6" s="12" t="inlineStr">
        <is>
          <t>Count of distinct keys</t>
        </is>
      </c>
      <c r="G6" s="12" t="n"/>
      <c r="H6" s="12" t="n"/>
      <c r="I6" s="12" t="n"/>
      <c r="J6" s="74" t="n"/>
    </row>
    <row r="7">
      <c r="A7" s="12" t="inlineStr">
        <is>
          <t>R01</t>
        </is>
      </c>
      <c r="B7" s="12" t="inlineStr">
        <is>
          <t>R01</t>
        </is>
      </c>
      <c r="C7" s="12" t="inlineStr">
        <is>
          <t>SHA256</t>
        </is>
      </c>
      <c r="D7" s="12" t="inlineStr">
        <is>
          <t>-</t>
        </is>
      </c>
      <c r="E7" s="12" t="inlineStr">
        <is>
          <t>-</t>
        </is>
      </c>
      <c r="F7" s="12" t="inlineStr">
        <is>
          <t>SHA-256 of the data file as sent</t>
        </is>
      </c>
      <c r="G7" s="12" t="n"/>
      <c r="H7" s="12" t="n"/>
      <c r="I7" s="12" t="n"/>
      <c r="J7" s="74" t="n"/>
    </row>
    <row r="8">
      <c r="A8" s="12" t="inlineStr">
        <is>
          <t>R02</t>
        </is>
      </c>
      <c r="B8" s="12" t="inlineStr">
        <is>
          <t>R02</t>
        </is>
      </c>
      <c r="C8" s="12" t="inlineStr">
        <is>
          <t>ROW_COUNT</t>
        </is>
      </c>
      <c r="D8" s="12" t="inlineStr">
        <is>
          <t>-</t>
        </is>
      </c>
      <c r="E8" s="12" t="inlineStr">
        <is>
          <t>-</t>
        </is>
      </c>
      <c r="F8" s="12" t="inlineStr">
        <is>
          <t>Rows of the data file, header excluded</t>
        </is>
      </c>
      <c r="G8" s="12" t="n"/>
      <c r="H8" s="12" t="n"/>
      <c r="I8" s="12" t="n"/>
      <c r="J8" s="74" t="n"/>
    </row>
    <row r="9">
      <c r="A9" s="12" t="inlineStr">
        <is>
          <t>R02</t>
        </is>
      </c>
      <c r="B9" s="12" t="inlineStr">
        <is>
          <t>R02</t>
        </is>
      </c>
      <c r="C9" s="12" t="inlineStr">
        <is>
          <t>HASH_TOTAL</t>
        </is>
      </c>
      <c r="D9" s="12" t="inlineStr">
        <is>
          <t>branch_code</t>
        </is>
      </c>
      <c r="E9" s="12" t="inlineStr">
        <is>
          <t>-</t>
        </is>
      </c>
      <c r="F9" s="12" t="inlineStr">
        <is>
          <t>Count of distinct keys</t>
        </is>
      </c>
      <c r="G9" s="12" t="n"/>
      <c r="H9" s="12" t="n"/>
      <c r="I9" s="12" t="n"/>
      <c r="J9" s="74" t="n"/>
    </row>
    <row r="10">
      <c r="A10" s="12" t="inlineStr">
        <is>
          <t>R02</t>
        </is>
      </c>
      <c r="B10" s="12" t="inlineStr">
        <is>
          <t>R02</t>
        </is>
      </c>
      <c r="C10" s="12" t="inlineStr">
        <is>
          <t>SHA256</t>
        </is>
      </c>
      <c r="D10" s="12" t="inlineStr">
        <is>
          <t>-</t>
        </is>
      </c>
      <c r="E10" s="12" t="inlineStr">
        <is>
          <t>-</t>
        </is>
      </c>
      <c r="F10" s="12" t="inlineStr">
        <is>
          <t>SHA-256 of the data file as sent</t>
        </is>
      </c>
      <c r="G10" s="12" t="n"/>
      <c r="H10" s="12" t="n"/>
      <c r="I10" s="12" t="n"/>
      <c r="J10" s="74" t="n"/>
    </row>
    <row r="11">
      <c r="A11" s="12" t="inlineStr">
        <is>
          <t>R03</t>
        </is>
      </c>
      <c r="B11" s="12" t="inlineStr">
        <is>
          <t>R03</t>
        </is>
      </c>
      <c r="C11" s="12" t="inlineStr">
        <is>
          <t>ROW_COUNT</t>
        </is>
      </c>
      <c r="D11" s="12" t="inlineStr">
        <is>
          <t>-</t>
        </is>
      </c>
      <c r="E11" s="12" t="inlineStr">
        <is>
          <t>-</t>
        </is>
      </c>
      <c r="F11" s="12" t="inlineStr">
        <is>
          <t>Rows of the data file, header excluded</t>
        </is>
      </c>
      <c r="G11" s="12" t="n"/>
      <c r="H11" s="12" t="n"/>
      <c r="I11" s="12" t="n"/>
      <c r="J11" s="74" t="n"/>
    </row>
    <row r="12">
      <c r="A12" s="12" t="inlineStr">
        <is>
          <t>R03</t>
        </is>
      </c>
      <c r="B12" s="12" t="inlineStr">
        <is>
          <t>R03</t>
        </is>
      </c>
      <c r="C12" s="12" t="inlineStr">
        <is>
          <t>HASH_TOTAL</t>
        </is>
      </c>
      <c r="D12" s="12" t="inlineStr">
        <is>
          <t>record_type, unit_code, ao_user_id</t>
        </is>
      </c>
      <c r="E12" s="12" t="inlineStr">
        <is>
          <t>-</t>
        </is>
      </c>
      <c r="F12" s="12" t="inlineStr">
        <is>
          <t>Row count</t>
        </is>
      </c>
      <c r="G12" s="12" t="n"/>
      <c r="H12" s="12" t="n"/>
      <c r="I12" s="12" t="n"/>
      <c r="J12" s="74" t="n"/>
    </row>
    <row r="13">
      <c r="A13" s="12" t="inlineStr">
        <is>
          <t>R03</t>
        </is>
      </c>
      <c r="B13" s="12" t="inlineStr">
        <is>
          <t>R03</t>
        </is>
      </c>
      <c r="C13" s="12" t="inlineStr">
        <is>
          <t>SHA256</t>
        </is>
      </c>
      <c r="D13" s="12" t="inlineStr">
        <is>
          <t>-</t>
        </is>
      </c>
      <c r="E13" s="12" t="inlineStr">
        <is>
          <t>-</t>
        </is>
      </c>
      <c r="F13" s="12" t="inlineStr">
        <is>
          <t>SHA-256 of the data file as sent</t>
        </is>
      </c>
      <c r="G13" s="12" t="n"/>
      <c r="H13" s="12" t="n"/>
      <c r="I13" s="12" t="n"/>
      <c r="J13" s="74" t="n"/>
    </row>
    <row r="14">
      <c r="A14" s="12" t="inlineStr">
        <is>
          <t>R04</t>
        </is>
      </c>
      <c r="B14" s="12" t="inlineStr">
        <is>
          <t>R04</t>
        </is>
      </c>
      <c r="C14" s="12" t="inlineStr">
        <is>
          <t>ROW_COUNT</t>
        </is>
      </c>
      <c r="D14" s="12" t="inlineStr">
        <is>
          <t>-</t>
        </is>
      </c>
      <c r="E14" s="12" t="inlineStr">
        <is>
          <t>-</t>
        </is>
      </c>
      <c r="F14" s="12" t="inlineStr">
        <is>
          <t>Rows of the data file, header excluded</t>
        </is>
      </c>
      <c r="G14" s="12" t="n"/>
      <c r="H14" s="12" t="n"/>
      <c r="I14" s="12" t="n"/>
      <c r="J14" s="74" t="n"/>
    </row>
    <row r="15">
      <c r="A15" s="12" t="inlineStr">
        <is>
          <t>R04</t>
        </is>
      </c>
      <c r="B15" s="12" t="inlineStr">
        <is>
          <t>R04</t>
        </is>
      </c>
      <c r="C15" s="12" t="inlineStr">
        <is>
          <t>HASH_TOTAL</t>
        </is>
      </c>
      <c r="D15" s="12" t="inlineStr">
        <is>
          <t>insurer_code</t>
        </is>
      </c>
      <c r="E15" s="12" t="inlineStr">
        <is>
          <t>-</t>
        </is>
      </c>
      <c r="F15" s="12" t="inlineStr">
        <is>
          <t>Count of distinct keys</t>
        </is>
      </c>
      <c r="G15" s="12" t="n"/>
      <c r="H15" s="12" t="n"/>
      <c r="I15" s="12" t="n"/>
      <c r="J15" s="74" t="n"/>
    </row>
    <row r="16">
      <c r="A16" s="12" t="inlineStr">
        <is>
          <t>R04</t>
        </is>
      </c>
      <c r="B16" s="12" t="inlineStr">
        <is>
          <t>R04</t>
        </is>
      </c>
      <c r="C16" s="12" t="inlineStr">
        <is>
          <t>SHA256</t>
        </is>
      </c>
      <c r="D16" s="12" t="inlineStr">
        <is>
          <t>-</t>
        </is>
      </c>
      <c r="E16" s="12" t="inlineStr">
        <is>
          <t>-</t>
        </is>
      </c>
      <c r="F16" s="12" t="inlineStr">
        <is>
          <t>SHA-256 of the data file as sent</t>
        </is>
      </c>
      <c r="G16" s="12" t="n"/>
      <c r="H16" s="12" t="n"/>
      <c r="I16" s="12" t="n"/>
      <c r="J16" s="74" t="n"/>
    </row>
    <row r="17">
      <c r="A17" s="12" t="inlineStr">
        <is>
          <t>R04B</t>
        </is>
      </c>
      <c r="B17" s="12" t="inlineStr">
        <is>
          <t>R04</t>
        </is>
      </c>
      <c r="C17" s="12" t="inlineStr">
        <is>
          <t>ROW_COUNT</t>
        </is>
      </c>
      <c r="D17" s="12" t="inlineStr">
        <is>
          <t>-</t>
        </is>
      </c>
      <c r="E17" s="12" t="inlineStr">
        <is>
          <t>-</t>
        </is>
      </c>
      <c r="F17" s="12" t="inlineStr">
        <is>
          <t>Rows of the data file, header excluded</t>
        </is>
      </c>
      <c r="G17" s="12" t="n"/>
      <c r="H17" s="12" t="n"/>
      <c r="I17" s="12" t="n"/>
      <c r="J17" s="74" t="n"/>
    </row>
    <row r="18">
      <c r="A18" s="12" t="inlineStr">
        <is>
          <t>R04B</t>
        </is>
      </c>
      <c r="B18" s="12" t="inlineStr">
        <is>
          <t>R04</t>
        </is>
      </c>
      <c r="C18" s="12" t="inlineStr">
        <is>
          <t>HASH_TOTAL</t>
        </is>
      </c>
      <c r="D18" s="12" t="inlineStr">
        <is>
          <t>insurer_code, branch_code</t>
        </is>
      </c>
      <c r="E18" s="12" t="inlineStr">
        <is>
          <t>-</t>
        </is>
      </c>
      <c r="F18" s="12" t="inlineStr">
        <is>
          <t>Count of distinct keys</t>
        </is>
      </c>
      <c r="G18" s="12" t="n"/>
      <c r="H18" s="12" t="n"/>
      <c r="I18" s="12" t="n"/>
      <c r="J18" s="74" t="n"/>
    </row>
    <row r="19">
      <c r="A19" s="12" t="inlineStr">
        <is>
          <t>R04B</t>
        </is>
      </c>
      <c r="B19" s="12" t="inlineStr">
        <is>
          <t>R04</t>
        </is>
      </c>
      <c r="C19" s="12" t="inlineStr">
        <is>
          <t>SHA256</t>
        </is>
      </c>
      <c r="D19" s="12" t="inlineStr">
        <is>
          <t>-</t>
        </is>
      </c>
      <c r="E19" s="12" t="inlineStr">
        <is>
          <t>-</t>
        </is>
      </c>
      <c r="F19" s="12" t="inlineStr">
        <is>
          <t>SHA-256 of the data file as sent</t>
        </is>
      </c>
      <c r="G19" s="12" t="n"/>
      <c r="H19" s="12" t="n"/>
      <c r="I19" s="12" t="n"/>
      <c r="J19" s="74" t="n"/>
    </row>
    <row r="20">
      <c r="A20" s="12" t="inlineStr">
        <is>
          <t>R05</t>
        </is>
      </c>
      <c r="B20" s="12" t="inlineStr">
        <is>
          <t>R05</t>
        </is>
      </c>
      <c r="C20" s="12" t="inlineStr">
        <is>
          <t>ROW_COUNT</t>
        </is>
      </c>
      <c r="D20" s="12" t="inlineStr">
        <is>
          <t>-</t>
        </is>
      </c>
      <c r="E20" s="12" t="inlineStr">
        <is>
          <t>-</t>
        </is>
      </c>
      <c r="F20" s="12" t="inlineStr">
        <is>
          <t>Rows of the data file, header excluded</t>
        </is>
      </c>
      <c r="G20" s="12" t="n"/>
      <c r="H20" s="12" t="n"/>
      <c r="I20" s="12" t="n"/>
      <c r="J20" s="74" t="n"/>
    </row>
    <row r="21">
      <c r="A21" s="12" t="inlineStr">
        <is>
          <t>R05</t>
        </is>
      </c>
      <c r="B21" s="12" t="inlineStr">
        <is>
          <t>R05</t>
        </is>
      </c>
      <c r="C21" s="12" t="inlineStr">
        <is>
          <t>HASH_TOTAL</t>
        </is>
      </c>
      <c r="D21" s="12" t="inlineStr">
        <is>
          <t>risk_code</t>
        </is>
      </c>
      <c r="E21" s="12" t="inlineStr">
        <is>
          <t>-</t>
        </is>
      </c>
      <c r="F21" s="12" t="inlineStr">
        <is>
          <t>Count of distinct keys</t>
        </is>
      </c>
      <c r="G21" s="12" t="n"/>
      <c r="H21" s="12" t="n"/>
      <c r="I21" s="12" t="n"/>
      <c r="J21" s="74" t="n"/>
    </row>
    <row r="22">
      <c r="A22" s="12" t="inlineStr">
        <is>
          <t>R05</t>
        </is>
      </c>
      <c r="B22" s="12" t="inlineStr">
        <is>
          <t>R05</t>
        </is>
      </c>
      <c r="C22" s="12" t="inlineStr">
        <is>
          <t>SHA256</t>
        </is>
      </c>
      <c r="D22" s="12" t="inlineStr">
        <is>
          <t>-</t>
        </is>
      </c>
      <c r="E22" s="12" t="inlineStr">
        <is>
          <t>-</t>
        </is>
      </c>
      <c r="F22" s="12" t="inlineStr">
        <is>
          <t>SHA-256 of the data file as sent</t>
        </is>
      </c>
      <c r="G22" s="12" t="n"/>
      <c r="H22" s="12" t="n"/>
      <c r="I22" s="12" t="n"/>
      <c r="J22" s="74" t="n"/>
    </row>
    <row r="23">
      <c r="A23" s="12" t="inlineStr">
        <is>
          <t>R06</t>
        </is>
      </c>
      <c r="B23" s="12" t="inlineStr">
        <is>
          <t>R06</t>
        </is>
      </c>
      <c r="C23" s="12" t="inlineStr">
        <is>
          <t>ROW_COUNT</t>
        </is>
      </c>
      <c r="D23" s="12" t="inlineStr">
        <is>
          <t>-</t>
        </is>
      </c>
      <c r="E23" s="12" t="inlineStr">
        <is>
          <t>-</t>
        </is>
      </c>
      <c r="F23" s="12" t="inlineStr">
        <is>
          <t>Rows of the data file, header excluded</t>
        </is>
      </c>
      <c r="G23" s="12" t="n"/>
      <c r="H23" s="12" t="n"/>
      <c r="I23" s="12" t="n"/>
      <c r="J23" s="74" t="n"/>
    </row>
    <row r="24">
      <c r="A24" s="12" t="inlineStr">
        <is>
          <t>R06</t>
        </is>
      </c>
      <c r="B24" s="12" t="inlineStr">
        <is>
          <t>R06</t>
        </is>
      </c>
      <c r="C24" s="12" t="inlineStr">
        <is>
          <t>HASH_TOTAL</t>
        </is>
      </c>
      <c r="D24" s="12" t="inlineStr">
        <is>
          <t>legacy_package_code, legacy_package_version</t>
        </is>
      </c>
      <c r="E24" s="12" t="inlineStr">
        <is>
          <t>-</t>
        </is>
      </c>
      <c r="F24" s="12" t="inlineStr">
        <is>
          <t>Count of distinct keys</t>
        </is>
      </c>
      <c r="G24" s="12" t="n"/>
      <c r="H24" s="12" t="n"/>
      <c r="I24" s="12" t="n"/>
      <c r="J24" s="74" t="n"/>
    </row>
    <row r="25">
      <c r="A25" s="12" t="inlineStr">
        <is>
          <t>R06</t>
        </is>
      </c>
      <c r="B25" s="12" t="inlineStr">
        <is>
          <t>R06</t>
        </is>
      </c>
      <c r="C25" s="12" t="inlineStr">
        <is>
          <t>SHA256</t>
        </is>
      </c>
      <c r="D25" s="12" t="inlineStr">
        <is>
          <t>-</t>
        </is>
      </c>
      <c r="E25" s="12" t="inlineStr">
        <is>
          <t>-</t>
        </is>
      </c>
      <c r="F25" s="12" t="inlineStr">
        <is>
          <t>SHA-256 of the data file as sent</t>
        </is>
      </c>
      <c r="G25" s="12" t="n"/>
      <c r="H25" s="12" t="n"/>
      <c r="I25" s="12" t="n"/>
      <c r="J25" s="74" t="n"/>
    </row>
    <row r="26">
      <c r="A26" s="12" t="inlineStr">
        <is>
          <t>R07</t>
        </is>
      </c>
      <c r="B26" s="12" t="inlineStr">
        <is>
          <t>R07</t>
        </is>
      </c>
      <c r="C26" s="12" t="inlineStr">
        <is>
          <t>ROW_COUNT</t>
        </is>
      </c>
      <c r="D26" s="12" t="inlineStr">
        <is>
          <t>-</t>
        </is>
      </c>
      <c r="E26" s="12" t="inlineStr">
        <is>
          <t>-</t>
        </is>
      </c>
      <c r="F26" s="12" t="inlineStr">
        <is>
          <t>Rows of the data file, header excluded</t>
        </is>
      </c>
      <c r="G26" s="12" t="n"/>
      <c r="H26" s="12" t="n"/>
      <c r="I26" s="12" t="n"/>
      <c r="J26" s="74" t="n"/>
    </row>
    <row r="27">
      <c r="A27" s="12" t="inlineStr">
        <is>
          <t>R07</t>
        </is>
      </c>
      <c r="B27" s="12" t="inlineStr">
        <is>
          <t>R07</t>
        </is>
      </c>
      <c r="C27" s="12" t="inlineStr">
        <is>
          <t>HASH_TOTAL</t>
        </is>
      </c>
      <c r="D27" s="12" t="inlineStr">
        <is>
          <t>insurer_code, risk_code, effective_from</t>
        </is>
      </c>
      <c r="E27" s="12" t="inlineStr">
        <is>
          <t>-</t>
        </is>
      </c>
      <c r="F27" s="12" t="inlineStr">
        <is>
          <t>Row count</t>
        </is>
      </c>
      <c r="G27" s="12" t="n"/>
      <c r="H27" s="12" t="n"/>
      <c r="I27" s="12" t="n"/>
      <c r="J27" s="74" t="n"/>
    </row>
    <row r="28">
      <c r="A28" s="12" t="inlineStr">
        <is>
          <t>R07</t>
        </is>
      </c>
      <c r="B28" s="12" t="inlineStr">
        <is>
          <t>R07</t>
        </is>
      </c>
      <c r="C28" s="12" t="inlineStr">
        <is>
          <t>SHA256</t>
        </is>
      </c>
      <c r="D28" s="12" t="inlineStr">
        <is>
          <t>-</t>
        </is>
      </c>
      <c r="E28" s="12" t="inlineStr">
        <is>
          <t>-</t>
        </is>
      </c>
      <c r="F28" s="12" t="inlineStr">
        <is>
          <t>SHA-256 of the data file as sent</t>
        </is>
      </c>
      <c r="G28" s="12" t="n"/>
      <c r="H28" s="12" t="n"/>
      <c r="I28" s="12" t="n"/>
      <c r="J28" s="74" t="n"/>
    </row>
    <row r="29">
      <c r="A29" s="12" t="inlineStr">
        <is>
          <t>R08</t>
        </is>
      </c>
      <c r="B29" s="12" t="inlineStr">
        <is>
          <t>R08</t>
        </is>
      </c>
      <c r="C29" s="12" t="inlineStr">
        <is>
          <t>ROW_COUNT</t>
        </is>
      </c>
      <c r="D29" s="12" t="inlineStr">
        <is>
          <t>-</t>
        </is>
      </c>
      <c r="E29" s="12" t="inlineStr">
        <is>
          <t>-</t>
        </is>
      </c>
      <c r="F29" s="12" t="inlineStr">
        <is>
          <t>Rows of the data file, header excluded</t>
        </is>
      </c>
      <c r="G29" s="12" t="n"/>
      <c r="H29" s="12" t="n"/>
      <c r="I29" s="12" t="n"/>
      <c r="J29" s="74" t="n"/>
    </row>
    <row r="30">
      <c r="A30" s="12" t="inlineStr">
        <is>
          <t>R08</t>
        </is>
      </c>
      <c r="B30" s="12" t="inlineStr">
        <is>
          <t>R08</t>
        </is>
      </c>
      <c r="C30" s="12" t="inlineStr">
        <is>
          <t>HASH_TOTAL</t>
        </is>
      </c>
      <c r="D30" s="12" t="inlineStr">
        <is>
          <t>legacy_account_code</t>
        </is>
      </c>
      <c r="E30" s="12" t="inlineStr">
        <is>
          <t>-</t>
        </is>
      </c>
      <c r="F30" s="12" t="inlineStr">
        <is>
          <t>Count of distinct keys</t>
        </is>
      </c>
      <c r="G30" s="12" t="n"/>
      <c r="H30" s="12" t="n"/>
      <c r="I30" s="12" t="n"/>
      <c r="J30" s="74" t="n"/>
    </row>
    <row r="31">
      <c r="A31" s="12" t="inlineStr">
        <is>
          <t>R08</t>
        </is>
      </c>
      <c r="B31" s="12" t="inlineStr">
        <is>
          <t>R08</t>
        </is>
      </c>
      <c r="C31" s="12" t="inlineStr">
        <is>
          <t>SHA256</t>
        </is>
      </c>
      <c r="D31" s="12" t="inlineStr">
        <is>
          <t>-</t>
        </is>
      </c>
      <c r="E31" s="12" t="inlineStr">
        <is>
          <t>-</t>
        </is>
      </c>
      <c r="F31" s="12" t="inlineStr">
        <is>
          <t>SHA-256 of the data file as sent</t>
        </is>
      </c>
      <c r="G31" s="12" t="n"/>
      <c r="H31" s="12" t="n"/>
      <c r="I31" s="12" t="n"/>
      <c r="J31" s="74" t="n"/>
    </row>
    <row r="32">
      <c r="A32" s="12" t="inlineStr">
        <is>
          <t>R09</t>
        </is>
      </c>
      <c r="B32" s="12" t="inlineStr">
        <is>
          <t>R09</t>
        </is>
      </c>
      <c r="C32" s="12" t="inlineStr">
        <is>
          <t>ROW_COUNT</t>
        </is>
      </c>
      <c r="D32" s="12" t="inlineStr">
        <is>
          <t>-</t>
        </is>
      </c>
      <c r="E32" s="12" t="inlineStr">
        <is>
          <t>-</t>
        </is>
      </c>
      <c r="F32" s="12" t="inlineStr">
        <is>
          <t>Rows of the data file, header excluded</t>
        </is>
      </c>
      <c r="G32" s="12" t="n"/>
      <c r="H32" s="12" t="n"/>
      <c r="I32" s="12" t="n"/>
      <c r="J32" s="74" t="n"/>
    </row>
    <row r="33">
      <c r="A33" s="12" t="inlineStr">
        <is>
          <t>R09</t>
        </is>
      </c>
      <c r="B33" s="12" t="inlineStr">
        <is>
          <t>R09</t>
        </is>
      </c>
      <c r="C33" s="12" t="inlineStr">
        <is>
          <t>HASH_TOTAL</t>
        </is>
      </c>
      <c r="D33" s="12" t="inlineStr">
        <is>
          <t>payee_code</t>
        </is>
      </c>
      <c r="E33" s="12" t="inlineStr">
        <is>
          <t>-</t>
        </is>
      </c>
      <c r="F33" s="12" t="inlineStr">
        <is>
          <t>Count of distinct keys</t>
        </is>
      </c>
      <c r="G33" s="12" t="n"/>
      <c r="H33" s="12" t="n"/>
      <c r="I33" s="12" t="n"/>
      <c r="J33" s="74" t="n"/>
    </row>
    <row r="34">
      <c r="A34" s="12" t="inlineStr">
        <is>
          <t>R09</t>
        </is>
      </c>
      <c r="B34" s="12" t="inlineStr">
        <is>
          <t>R09</t>
        </is>
      </c>
      <c r="C34" s="12" t="inlineStr">
        <is>
          <t>SHA256</t>
        </is>
      </c>
      <c r="D34" s="12" t="inlineStr">
        <is>
          <t>-</t>
        </is>
      </c>
      <c r="E34" s="12" t="inlineStr">
        <is>
          <t>-</t>
        </is>
      </c>
      <c r="F34" s="12" t="inlineStr">
        <is>
          <t>SHA-256 of the data file as sent</t>
        </is>
      </c>
      <c r="G34" s="12" t="n"/>
      <c r="H34" s="12" t="n"/>
      <c r="I34" s="12" t="n"/>
      <c r="J34" s="74" t="n"/>
    </row>
    <row r="35">
      <c r="A35" s="12" t="inlineStr">
        <is>
          <t>R11</t>
        </is>
      </c>
      <c r="B35" s="12" t="inlineStr">
        <is>
          <t>R11</t>
        </is>
      </c>
      <c r="C35" s="12" t="inlineStr">
        <is>
          <t>ROW_COUNT</t>
        </is>
      </c>
      <c r="D35" s="12" t="inlineStr">
        <is>
          <t>-</t>
        </is>
      </c>
      <c r="E35" s="12" t="inlineStr">
        <is>
          <t>-</t>
        </is>
      </c>
      <c r="F35" s="12" t="inlineStr">
        <is>
          <t>Rows of the data file, header excluded</t>
        </is>
      </c>
      <c r="G35" s="12" t="n"/>
      <c r="H35" s="12" t="n"/>
      <c r="I35" s="12" t="n"/>
      <c r="J35" s="74" t="n"/>
    </row>
    <row r="36">
      <c r="A36" s="12" t="inlineStr">
        <is>
          <t>R11</t>
        </is>
      </c>
      <c r="B36" s="12" t="inlineStr">
        <is>
          <t>R11</t>
        </is>
      </c>
      <c r="C36" s="12" t="inlineStr">
        <is>
          <t>HASH_TOTAL</t>
        </is>
      </c>
      <c r="D36" s="12" t="inlineStr">
        <is>
          <t>branch_code, kind, prefix</t>
        </is>
      </c>
      <c r="E36" s="12" t="inlineStr">
        <is>
          <t>-</t>
        </is>
      </c>
      <c r="F36" s="12" t="inlineStr">
        <is>
          <t>Row count</t>
        </is>
      </c>
      <c r="G36" s="12" t="n"/>
      <c r="H36" s="12" t="n"/>
      <c r="I36" s="12" t="n"/>
      <c r="J36" s="74" t="n"/>
    </row>
    <row r="37">
      <c r="A37" s="12" t="inlineStr">
        <is>
          <t>R11</t>
        </is>
      </c>
      <c r="B37" s="12" t="inlineStr">
        <is>
          <t>R11</t>
        </is>
      </c>
      <c r="C37" s="12" t="inlineStr">
        <is>
          <t>SHA256</t>
        </is>
      </c>
      <c r="D37" s="12" t="inlineStr">
        <is>
          <t>-</t>
        </is>
      </c>
      <c r="E37" s="12" t="inlineStr">
        <is>
          <t>-</t>
        </is>
      </c>
      <c r="F37" s="12" t="inlineStr">
        <is>
          <t>SHA-256 of the data file as sent</t>
        </is>
      </c>
      <c r="G37" s="12" t="n"/>
      <c r="H37" s="12" t="n"/>
      <c r="I37" s="12" t="n"/>
      <c r="J37" s="74" t="n"/>
    </row>
    <row r="38">
      <c r="A38" s="12" t="inlineStr">
        <is>
          <t>C01</t>
        </is>
      </c>
      <c r="B38" s="12" t="inlineStr">
        <is>
          <t>C01</t>
        </is>
      </c>
      <c r="C38" s="12" t="inlineStr">
        <is>
          <t>ROW_COUNT</t>
        </is>
      </c>
      <c r="D38" s="12" t="inlineStr">
        <is>
          <t>-</t>
        </is>
      </c>
      <c r="E38" s="12" t="inlineStr">
        <is>
          <t>-</t>
        </is>
      </c>
      <c r="F38" s="12" t="inlineStr">
        <is>
          <t>Rows of the data file, header excluded</t>
        </is>
      </c>
      <c r="G38" s="12" t="n"/>
      <c r="H38" s="12" t="n"/>
      <c r="I38" s="12" t="n"/>
      <c r="J38" s="74" t="n"/>
    </row>
    <row r="39">
      <c r="A39" s="12" t="inlineStr">
        <is>
          <t>C01</t>
        </is>
      </c>
      <c r="B39" s="12" t="inlineStr">
        <is>
          <t>C01</t>
        </is>
      </c>
      <c r="C39" s="12" t="inlineStr">
        <is>
          <t>HASH_TOTAL</t>
        </is>
      </c>
      <c r="D39" s="12" t="inlineStr">
        <is>
          <t>legacy_client_no</t>
        </is>
      </c>
      <c r="E39" s="12" t="inlineStr">
        <is>
          <t>-</t>
        </is>
      </c>
      <c r="F39" s="12" t="inlineStr">
        <is>
          <t>Count of distinct keys</t>
        </is>
      </c>
      <c r="G39" s="12" t="n"/>
      <c r="H39" s="12" t="n"/>
      <c r="I39" s="12" t="n"/>
      <c r="J39" s="74" t="n"/>
    </row>
    <row r="40">
      <c r="A40" s="12" t="inlineStr">
        <is>
          <t>C01</t>
        </is>
      </c>
      <c r="B40" s="12" t="inlineStr">
        <is>
          <t>C01</t>
        </is>
      </c>
      <c r="C40" s="12" t="inlineStr">
        <is>
          <t>SHA256</t>
        </is>
      </c>
      <c r="D40" s="12" t="inlineStr">
        <is>
          <t>-</t>
        </is>
      </c>
      <c r="E40" s="12" t="inlineStr">
        <is>
          <t>-</t>
        </is>
      </c>
      <c r="F40" s="12" t="inlineStr">
        <is>
          <t>SHA-256 of the data file as sent</t>
        </is>
      </c>
      <c r="G40" s="12" t="n"/>
      <c r="H40" s="12" t="n"/>
      <c r="I40" s="12" t="n"/>
      <c r="J40" s="74" t="n"/>
    </row>
    <row r="41">
      <c r="A41" s="12" t="inlineStr">
        <is>
          <t>C02</t>
        </is>
      </c>
      <c r="B41" s="12" t="inlineStr">
        <is>
          <t>C01</t>
        </is>
      </c>
      <c r="C41" s="12" t="inlineStr">
        <is>
          <t>ROW_COUNT</t>
        </is>
      </c>
      <c r="D41" s="12" t="inlineStr">
        <is>
          <t>-</t>
        </is>
      </c>
      <c r="E41" s="12" t="inlineStr">
        <is>
          <t>-</t>
        </is>
      </c>
      <c r="F41" s="12" t="inlineStr">
        <is>
          <t>Rows of the data file, header excluded</t>
        </is>
      </c>
      <c r="G41" s="12" t="n"/>
      <c r="H41" s="12" t="n"/>
      <c r="I41" s="12" t="n"/>
      <c r="J41" s="74" t="n"/>
    </row>
    <row r="42">
      <c r="A42" s="12" t="inlineStr">
        <is>
          <t>C02</t>
        </is>
      </c>
      <c r="B42" s="12" t="inlineStr">
        <is>
          <t>C01</t>
        </is>
      </c>
      <c r="C42" s="12" t="inlineStr">
        <is>
          <t>HASH_TOTAL</t>
        </is>
      </c>
      <c r="D42" s="12" t="inlineStr">
        <is>
          <t>legacy_client_no, record_type, seq_no</t>
        </is>
      </c>
      <c r="E42" s="12" t="inlineStr">
        <is>
          <t>-</t>
        </is>
      </c>
      <c r="F42" s="12" t="inlineStr">
        <is>
          <t>Row count</t>
        </is>
      </c>
      <c r="G42" s="12" t="n"/>
      <c r="H42" s="12" t="n"/>
      <c r="I42" s="12" t="n"/>
      <c r="J42" s="74" t="n"/>
    </row>
    <row r="43">
      <c r="A43" s="12" t="inlineStr">
        <is>
          <t>C02</t>
        </is>
      </c>
      <c r="B43" s="12" t="inlineStr">
        <is>
          <t>C01</t>
        </is>
      </c>
      <c r="C43" s="12" t="inlineStr">
        <is>
          <t>SHA256</t>
        </is>
      </c>
      <c r="D43" s="12" t="inlineStr">
        <is>
          <t>-</t>
        </is>
      </c>
      <c r="E43" s="12" t="inlineStr">
        <is>
          <t>-</t>
        </is>
      </c>
      <c r="F43" s="12" t="inlineStr">
        <is>
          <t>SHA-256 of the data file as sent</t>
        </is>
      </c>
      <c r="G43" s="12" t="n"/>
      <c r="H43" s="12" t="n"/>
      <c r="I43" s="12" t="n"/>
      <c r="J43" s="74" t="n"/>
    </row>
    <row r="44">
      <c r="A44" s="12" t="inlineStr">
        <is>
          <t>C03</t>
        </is>
      </c>
      <c r="B44" s="12" t="inlineStr">
        <is>
          <t>C03</t>
        </is>
      </c>
      <c r="C44" s="12" t="inlineStr">
        <is>
          <t>ROW_COUNT</t>
        </is>
      </c>
      <c r="D44" s="12" t="inlineStr">
        <is>
          <t>-</t>
        </is>
      </c>
      <c r="E44" s="12" t="inlineStr">
        <is>
          <t>-</t>
        </is>
      </c>
      <c r="F44" s="12" t="inlineStr">
        <is>
          <t>Rows of the data file, header excluded</t>
        </is>
      </c>
      <c r="G44" s="12" t="n"/>
      <c r="H44" s="12" t="n"/>
      <c r="I44" s="12" t="n"/>
      <c r="J44" s="74" t="n"/>
    </row>
    <row r="45">
      <c r="A45" s="12" t="inlineStr">
        <is>
          <t>C03</t>
        </is>
      </c>
      <c r="B45" s="12" t="inlineStr">
        <is>
          <t>C03</t>
        </is>
      </c>
      <c r="C45" s="12" t="inlineStr">
        <is>
          <t>HASH_TOTAL</t>
        </is>
      </c>
      <c r="D45" s="12" t="inlineStr">
        <is>
          <t>legacy_client_no, account_no</t>
        </is>
      </c>
      <c r="E45" s="12" t="inlineStr">
        <is>
          <t>-</t>
        </is>
      </c>
      <c r="F45" s="12" t="inlineStr">
        <is>
          <t>Row count</t>
        </is>
      </c>
      <c r="G45" s="12" t="n"/>
      <c r="H45" s="12" t="n"/>
      <c r="I45" s="12" t="n"/>
      <c r="J45" s="74" t="n"/>
    </row>
    <row r="46">
      <c r="A46" s="12" t="inlineStr">
        <is>
          <t>C03</t>
        </is>
      </c>
      <c r="B46" s="12" t="inlineStr">
        <is>
          <t>C03</t>
        </is>
      </c>
      <c r="C46" s="12" t="inlineStr">
        <is>
          <t>SHA256</t>
        </is>
      </c>
      <c r="D46" s="12" t="inlineStr">
        <is>
          <t>-</t>
        </is>
      </c>
      <c r="E46" s="12" t="inlineStr">
        <is>
          <t>-</t>
        </is>
      </c>
      <c r="F46" s="12" t="inlineStr">
        <is>
          <t>SHA-256 of the data file as sent</t>
        </is>
      </c>
      <c r="G46" s="12" t="n"/>
      <c r="H46" s="12" t="n"/>
      <c r="I46" s="12" t="n"/>
      <c r="J46" s="74" t="n"/>
    </row>
    <row r="47">
      <c r="A47" s="12" t="inlineStr">
        <is>
          <t>P01</t>
        </is>
      </c>
      <c r="B47" s="12" t="inlineStr">
        <is>
          <t>P01</t>
        </is>
      </c>
      <c r="C47" s="12" t="inlineStr">
        <is>
          <t>ROW_COUNT</t>
        </is>
      </c>
      <c r="D47" s="12" t="inlineStr">
        <is>
          <t>-</t>
        </is>
      </c>
      <c r="E47" s="12" t="inlineStr">
        <is>
          <t>-</t>
        </is>
      </c>
      <c r="F47" s="12" t="inlineStr">
        <is>
          <t>Rows of the data file, header excluded</t>
        </is>
      </c>
      <c r="G47" s="12" t="n"/>
      <c r="H47" s="12" t="n"/>
      <c r="I47" s="12" t="n"/>
      <c r="J47" s="74" t="n"/>
    </row>
    <row r="48">
      <c r="A48" s="12" t="inlineStr">
        <is>
          <t>P01</t>
        </is>
      </c>
      <c r="B48" s="12" t="inlineStr">
        <is>
          <t>P01</t>
        </is>
      </c>
      <c r="C48" s="12" t="inlineStr">
        <is>
          <t>HASH_TOTAL</t>
        </is>
      </c>
      <c r="D48" s="12" t="inlineStr">
        <is>
          <t>legacy_policy_ref</t>
        </is>
      </c>
      <c r="E48" s="12" t="inlineStr">
        <is>
          <t>-</t>
        </is>
      </c>
      <c r="F48" s="12" t="inlineStr">
        <is>
          <t>Count of distinct keys</t>
        </is>
      </c>
      <c r="G48" s="12" t="n"/>
      <c r="H48" s="12" t="n"/>
      <c r="I48" s="12" t="n"/>
      <c r="J48" s="74" t="n"/>
    </row>
    <row r="49">
      <c r="A49" s="12" t="inlineStr">
        <is>
          <t>P01</t>
        </is>
      </c>
      <c r="B49" s="12" t="inlineStr">
        <is>
          <t>P01</t>
        </is>
      </c>
      <c r="C49" s="12" t="inlineStr">
        <is>
          <t>AMOUNT_TOTAL</t>
        </is>
      </c>
      <c r="D49" s="12" t="inlineStr">
        <is>
          <t>sum_insured</t>
        </is>
      </c>
      <c r="E49" s="12" t="inlineStr">
        <is>
          <t>Each currency</t>
        </is>
      </c>
      <c r="F49" s="12" t="inlineStr">
        <is>
          <t>Sum per currency</t>
        </is>
      </c>
      <c r="G49" s="12" t="n"/>
      <c r="H49" s="12" t="n"/>
      <c r="I49" s="12" t="n"/>
      <c r="J49" s="74" t="n"/>
    </row>
    <row r="50">
      <c r="A50" s="12" t="inlineStr">
        <is>
          <t>P01</t>
        </is>
      </c>
      <c r="B50" s="12" t="inlineStr">
        <is>
          <t>P01</t>
        </is>
      </c>
      <c r="C50" s="12" t="inlineStr">
        <is>
          <t>AMOUNT_TOTAL</t>
        </is>
      </c>
      <c r="D50" s="12" t="inlineStr">
        <is>
          <t>gross_premium</t>
        </is>
      </c>
      <c r="E50" s="12" t="inlineStr">
        <is>
          <t>Each currency</t>
        </is>
      </c>
      <c r="F50" s="12" t="inlineStr">
        <is>
          <t>Sum per currency</t>
        </is>
      </c>
      <c r="G50" s="12" t="n"/>
      <c r="H50" s="12" t="n"/>
      <c r="I50" s="12" t="n"/>
      <c r="J50" s="74" t="n"/>
    </row>
    <row r="51">
      <c r="A51" s="12" t="inlineStr">
        <is>
          <t>P01</t>
        </is>
      </c>
      <c r="B51" s="12" t="inlineStr">
        <is>
          <t>P01</t>
        </is>
      </c>
      <c r="C51" s="12" t="inlineStr">
        <is>
          <t>AMOUNT_TOTAL</t>
        </is>
      </c>
      <c r="D51" s="12" t="inlineStr">
        <is>
          <t>net_premium</t>
        </is>
      </c>
      <c r="E51" s="12" t="inlineStr">
        <is>
          <t>Each currency</t>
        </is>
      </c>
      <c r="F51" s="12" t="inlineStr">
        <is>
          <t>Sum per currency</t>
        </is>
      </c>
      <c r="G51" s="12" t="n"/>
      <c r="H51" s="12" t="n"/>
      <c r="I51" s="12" t="n"/>
      <c r="J51" s="74" t="n"/>
    </row>
    <row r="52">
      <c r="A52" s="12" t="inlineStr">
        <is>
          <t>P01</t>
        </is>
      </c>
      <c r="B52" s="12" t="inlineStr">
        <is>
          <t>P01</t>
        </is>
      </c>
      <c r="C52" s="12" t="inlineStr">
        <is>
          <t>SHA256</t>
        </is>
      </c>
      <c r="D52" s="12" t="inlineStr">
        <is>
          <t>-</t>
        </is>
      </c>
      <c r="E52" s="12" t="inlineStr">
        <is>
          <t>-</t>
        </is>
      </c>
      <c r="F52" s="12" t="inlineStr">
        <is>
          <t>SHA-256 of the data file as sent</t>
        </is>
      </c>
      <c r="G52" s="12" t="n"/>
      <c r="H52" s="12" t="n"/>
      <c r="I52" s="12" t="n"/>
      <c r="J52" s="74" t="n"/>
    </row>
    <row r="53">
      <c r="A53" s="12" t="inlineStr">
        <is>
          <t>P01S</t>
        </is>
      </c>
      <c r="B53" s="12" t="inlineStr">
        <is>
          <t>P01</t>
        </is>
      </c>
      <c r="C53" s="12" t="inlineStr">
        <is>
          <t>ROW_COUNT</t>
        </is>
      </c>
      <c r="D53" s="12" t="inlineStr">
        <is>
          <t>-</t>
        </is>
      </c>
      <c r="E53" s="12" t="inlineStr">
        <is>
          <t>-</t>
        </is>
      </c>
      <c r="F53" s="12" t="inlineStr">
        <is>
          <t>Rows of the data file, header excluded</t>
        </is>
      </c>
      <c r="G53" s="12" t="n"/>
      <c r="H53" s="12" t="n"/>
      <c r="I53" s="12" t="n"/>
      <c r="J53" s="74" t="n"/>
    </row>
    <row r="54">
      <c r="A54" s="12" t="inlineStr">
        <is>
          <t>P01S</t>
        </is>
      </c>
      <c r="B54" s="12" t="inlineStr">
        <is>
          <t>P01</t>
        </is>
      </c>
      <c r="C54" s="12" t="inlineStr">
        <is>
          <t>HASH_TOTAL</t>
        </is>
      </c>
      <c r="D54" s="12" t="inlineStr">
        <is>
          <t>legacy_policy_ref, share_seq</t>
        </is>
      </c>
      <c r="E54" s="12" t="inlineStr">
        <is>
          <t>-</t>
        </is>
      </c>
      <c r="F54" s="12" t="inlineStr">
        <is>
          <t>Row count</t>
        </is>
      </c>
      <c r="G54" s="12" t="n"/>
      <c r="H54" s="12" t="n"/>
      <c r="I54" s="12" t="n"/>
      <c r="J54" s="74" t="n"/>
    </row>
    <row r="55">
      <c r="A55" s="12" t="inlineStr">
        <is>
          <t>P01S</t>
        </is>
      </c>
      <c r="B55" s="12" t="inlineStr">
        <is>
          <t>P01</t>
        </is>
      </c>
      <c r="C55" s="12" t="inlineStr">
        <is>
          <t>SHA256</t>
        </is>
      </c>
      <c r="D55" s="12" t="inlineStr">
        <is>
          <t>-</t>
        </is>
      </c>
      <c r="E55" s="12" t="inlineStr">
        <is>
          <t>-</t>
        </is>
      </c>
      <c r="F55" s="12" t="inlineStr">
        <is>
          <t>SHA-256 of the data file as sent</t>
        </is>
      </c>
      <c r="G55" s="12" t="n"/>
      <c r="H55" s="12" t="n"/>
      <c r="I55" s="12" t="n"/>
      <c r="J55" s="74" t="n"/>
    </row>
    <row r="56">
      <c r="A56" s="12" t="inlineStr">
        <is>
          <t>P03</t>
        </is>
      </c>
      <c r="B56" s="12" t="inlineStr">
        <is>
          <t>P03</t>
        </is>
      </c>
      <c r="C56" s="12" t="inlineStr">
        <is>
          <t>ROW_COUNT</t>
        </is>
      </c>
      <c r="D56" s="12" t="inlineStr">
        <is>
          <t>-</t>
        </is>
      </c>
      <c r="E56" s="12" t="inlineStr">
        <is>
          <t>-</t>
        </is>
      </c>
      <c r="F56" s="12" t="inlineStr">
        <is>
          <t>Rows of the data file, header excluded</t>
        </is>
      </c>
      <c r="G56" s="12" t="n"/>
      <c r="H56" s="12" t="n"/>
      <c r="I56" s="12" t="n"/>
      <c r="J56" s="74" t="n"/>
    </row>
    <row r="57">
      <c r="A57" s="12" t="inlineStr">
        <is>
          <t>P03</t>
        </is>
      </c>
      <c r="B57" s="12" t="inlineStr">
        <is>
          <t>P03</t>
        </is>
      </c>
      <c r="C57" s="12" t="inlineStr">
        <is>
          <t>HASH_TOTAL</t>
        </is>
      </c>
      <c r="D57" s="12" t="inlineStr">
        <is>
          <t>legacy_policy_ref</t>
        </is>
      </c>
      <c r="E57" s="12" t="inlineStr">
        <is>
          <t>-</t>
        </is>
      </c>
      <c r="F57" s="12" t="inlineStr">
        <is>
          <t>Count of distinct keys</t>
        </is>
      </c>
      <c r="G57" s="12" t="n"/>
      <c r="H57" s="12" t="n"/>
      <c r="I57" s="12" t="n"/>
      <c r="J57" s="74" t="n"/>
    </row>
    <row r="58">
      <c r="A58" s="12" t="inlineStr">
        <is>
          <t>P03</t>
        </is>
      </c>
      <c r="B58" s="12" t="inlineStr">
        <is>
          <t>P03</t>
        </is>
      </c>
      <c r="C58" s="12" t="inlineStr">
        <is>
          <t>AMOUNT_TOTAL</t>
        </is>
      </c>
      <c r="D58" s="12" t="inlineStr">
        <is>
          <t>proposed_premium</t>
        </is>
      </c>
      <c r="E58" s="12" t="inlineStr">
        <is>
          <t>Each currency</t>
        </is>
      </c>
      <c r="F58" s="12" t="inlineStr">
        <is>
          <t>Sum per currency</t>
        </is>
      </c>
      <c r="G58" s="12" t="n"/>
      <c r="H58" s="12" t="n"/>
      <c r="I58" s="12" t="n"/>
      <c r="J58" s="74" t="n"/>
    </row>
    <row r="59">
      <c r="A59" s="12" t="inlineStr">
        <is>
          <t>P03</t>
        </is>
      </c>
      <c r="B59" s="12" t="inlineStr">
        <is>
          <t>P03</t>
        </is>
      </c>
      <c r="C59" s="12" t="inlineStr">
        <is>
          <t>SHA256</t>
        </is>
      </c>
      <c r="D59" s="12" t="inlineStr">
        <is>
          <t>-</t>
        </is>
      </c>
      <c r="E59" s="12" t="inlineStr">
        <is>
          <t>-</t>
        </is>
      </c>
      <c r="F59" s="12" t="inlineStr">
        <is>
          <t>SHA-256 of the data file as sent</t>
        </is>
      </c>
      <c r="G59" s="12" t="n"/>
      <c r="H59" s="12" t="n"/>
      <c r="I59" s="12" t="n"/>
      <c r="J59" s="74" t="n"/>
    </row>
    <row r="60">
      <c r="A60" s="12" t="inlineStr">
        <is>
          <t>F01</t>
        </is>
      </c>
      <c r="B60" s="12" t="inlineStr">
        <is>
          <t>F01</t>
        </is>
      </c>
      <c r="C60" s="12" t="inlineStr">
        <is>
          <t>ROW_COUNT</t>
        </is>
      </c>
      <c r="D60" s="12" t="inlineStr">
        <is>
          <t>-</t>
        </is>
      </c>
      <c r="E60" s="12" t="inlineStr">
        <is>
          <t>-</t>
        </is>
      </c>
      <c r="F60" s="12" t="inlineStr">
        <is>
          <t>Rows of the data file, header excluded</t>
        </is>
      </c>
      <c r="G60" s="12" t="n"/>
      <c r="H60" s="12" t="n"/>
      <c r="I60" s="12" t="n"/>
      <c r="J60" s="74" t="n"/>
    </row>
    <row r="61">
      <c r="A61" s="12" t="inlineStr">
        <is>
          <t>F01</t>
        </is>
      </c>
      <c r="B61" s="12" t="inlineStr">
        <is>
          <t>F01</t>
        </is>
      </c>
      <c r="C61" s="12" t="inlineStr">
        <is>
          <t>HASH_TOTAL</t>
        </is>
      </c>
      <c r="D61" s="12" t="inlineStr">
        <is>
          <t>legacy_invoice_no</t>
        </is>
      </c>
      <c r="E61" s="12" t="inlineStr">
        <is>
          <t>-</t>
        </is>
      </c>
      <c r="F61" s="12" t="inlineStr">
        <is>
          <t>Count of distinct keys</t>
        </is>
      </c>
      <c r="G61" s="12" t="n"/>
      <c r="H61" s="12" t="n"/>
      <c r="I61" s="12" t="n"/>
      <c r="J61" s="74" t="n"/>
    </row>
    <row r="62">
      <c r="A62" s="12" t="inlineStr">
        <is>
          <t>F01</t>
        </is>
      </c>
      <c r="B62" s="12" t="inlineStr">
        <is>
          <t>F01</t>
        </is>
      </c>
      <c r="C62" s="12" t="inlineStr">
        <is>
          <t>AMOUNT_TOTAL</t>
        </is>
      </c>
      <c r="D62" s="12" t="inlineStr">
        <is>
          <t>gross_premium</t>
        </is>
      </c>
      <c r="E62" s="12" t="inlineStr">
        <is>
          <t>Each currency</t>
        </is>
      </c>
      <c r="F62" s="12" t="inlineStr">
        <is>
          <t>Sum per currency</t>
        </is>
      </c>
      <c r="G62" s="12" t="n"/>
      <c r="H62" s="12" t="n"/>
      <c r="I62" s="12" t="n"/>
      <c r="J62" s="74" t="n"/>
    </row>
    <row r="63">
      <c r="A63" s="12" t="inlineStr">
        <is>
          <t>F01</t>
        </is>
      </c>
      <c r="B63" s="12" t="inlineStr">
        <is>
          <t>F01</t>
        </is>
      </c>
      <c r="C63" s="12" t="inlineStr">
        <is>
          <t>AMOUNT_TOTAL</t>
        </is>
      </c>
      <c r="D63" s="12" t="inlineStr">
        <is>
          <t>commission</t>
        </is>
      </c>
      <c r="E63" s="12" t="inlineStr">
        <is>
          <t>Each currency</t>
        </is>
      </c>
      <c r="F63" s="12" t="inlineStr">
        <is>
          <t>Sum per currency</t>
        </is>
      </c>
      <c r="G63" s="12" t="n"/>
      <c r="H63" s="12" t="n"/>
      <c r="I63" s="12" t="n"/>
      <c r="J63" s="74" t="n"/>
    </row>
    <row r="64">
      <c r="A64" s="12" t="inlineStr">
        <is>
          <t>F01</t>
        </is>
      </c>
      <c r="B64" s="12" t="inlineStr">
        <is>
          <t>F01</t>
        </is>
      </c>
      <c r="C64" s="12" t="inlineStr">
        <is>
          <t>AMOUNT_TOTAL</t>
        </is>
      </c>
      <c r="D64" s="12" t="inlineStr">
        <is>
          <t>vat_on_commission</t>
        </is>
      </c>
      <c r="E64" s="12" t="inlineStr">
        <is>
          <t>Each currency</t>
        </is>
      </c>
      <c r="F64" s="12" t="inlineStr">
        <is>
          <t>Sum per currency</t>
        </is>
      </c>
      <c r="G64" s="12" t="n"/>
      <c r="H64" s="12" t="n"/>
      <c r="I64" s="12" t="n"/>
      <c r="J64" s="74" t="n"/>
    </row>
    <row r="65">
      <c r="A65" s="12" t="inlineStr">
        <is>
          <t>F01</t>
        </is>
      </c>
      <c r="B65" s="12" t="inlineStr">
        <is>
          <t>F01</t>
        </is>
      </c>
      <c r="C65" s="12" t="inlineStr">
        <is>
          <t>SHA256</t>
        </is>
      </c>
      <c r="D65" s="12" t="inlineStr">
        <is>
          <t>-</t>
        </is>
      </c>
      <c r="E65" s="12" t="inlineStr">
        <is>
          <t>-</t>
        </is>
      </c>
      <c r="F65" s="12" t="inlineStr">
        <is>
          <t>SHA-256 of the data file as sent</t>
        </is>
      </c>
      <c r="G65" s="12" t="n"/>
      <c r="H65" s="12" t="n"/>
      <c r="I65" s="12" t="n"/>
      <c r="J65" s="74" t="n"/>
    </row>
    <row r="66">
      <c r="A66" s="12" t="inlineStr">
        <is>
          <t>F01S</t>
        </is>
      </c>
      <c r="B66" s="12" t="inlineStr">
        <is>
          <t>F01</t>
        </is>
      </c>
      <c r="C66" s="12" t="inlineStr">
        <is>
          <t>ROW_COUNT</t>
        </is>
      </c>
      <c r="D66" s="12" t="inlineStr">
        <is>
          <t>-</t>
        </is>
      </c>
      <c r="E66" s="12" t="inlineStr">
        <is>
          <t>-</t>
        </is>
      </c>
      <c r="F66" s="12" t="inlineStr">
        <is>
          <t>Rows of the data file, header excluded</t>
        </is>
      </c>
      <c r="G66" s="12" t="n"/>
      <c r="H66" s="12" t="n"/>
      <c r="I66" s="12" t="n"/>
      <c r="J66" s="74" t="n"/>
    </row>
    <row r="67">
      <c r="A67" s="12" t="inlineStr">
        <is>
          <t>F01S</t>
        </is>
      </c>
      <c r="B67" s="12" t="inlineStr">
        <is>
          <t>F01</t>
        </is>
      </c>
      <c r="C67" s="12" t="inlineStr">
        <is>
          <t>HASH_TOTAL</t>
        </is>
      </c>
      <c r="D67" s="12" t="inlineStr">
        <is>
          <t>legacy_invoice_no, share_seq</t>
        </is>
      </c>
      <c r="E67" s="12" t="inlineStr">
        <is>
          <t>-</t>
        </is>
      </c>
      <c r="F67" s="12" t="inlineStr">
        <is>
          <t>Row count</t>
        </is>
      </c>
      <c r="G67" s="12" t="n"/>
      <c r="H67" s="12" t="n"/>
      <c r="I67" s="12" t="n"/>
      <c r="J67" s="74" t="n"/>
    </row>
    <row r="68">
      <c r="A68" s="12" t="inlineStr">
        <is>
          <t>F01S</t>
        </is>
      </c>
      <c r="B68" s="12" t="inlineStr">
        <is>
          <t>F01</t>
        </is>
      </c>
      <c r="C68" s="12" t="inlineStr">
        <is>
          <t>SHA256</t>
        </is>
      </c>
      <c r="D68" s="12" t="inlineStr">
        <is>
          <t>-</t>
        </is>
      </c>
      <c r="E68" s="12" t="inlineStr">
        <is>
          <t>-</t>
        </is>
      </c>
      <c r="F68" s="12" t="inlineStr">
        <is>
          <t>SHA-256 of the data file as sent</t>
        </is>
      </c>
      <c r="G68" s="12" t="n"/>
      <c r="H68" s="12" t="n"/>
      <c r="I68" s="12" t="n"/>
      <c r="J68" s="74" t="n"/>
    </row>
    <row r="69">
      <c r="A69" s="12" t="inlineStr">
        <is>
          <t>F01C</t>
        </is>
      </c>
      <c r="B69" s="12" t="inlineStr">
        <is>
          <t>F01</t>
        </is>
      </c>
      <c r="C69" s="12" t="inlineStr">
        <is>
          <t>ROW_COUNT</t>
        </is>
      </c>
      <c r="D69" s="12" t="inlineStr">
        <is>
          <t>-</t>
        </is>
      </c>
      <c r="E69" s="12" t="inlineStr">
        <is>
          <t>-</t>
        </is>
      </c>
      <c r="F69" s="12" t="inlineStr">
        <is>
          <t>Rows of the data file, header excluded</t>
        </is>
      </c>
      <c r="G69" s="12" t="n"/>
      <c r="H69" s="12" t="n"/>
      <c r="I69" s="12" t="n"/>
      <c r="J69" s="74" t="n"/>
    </row>
    <row r="70">
      <c r="A70" s="12" t="inlineStr">
        <is>
          <t>F01C</t>
        </is>
      </c>
      <c r="B70" s="12" t="inlineStr">
        <is>
          <t>F01</t>
        </is>
      </c>
      <c r="C70" s="12" t="inlineStr">
        <is>
          <t>HASH_TOTAL</t>
        </is>
      </c>
      <c r="D70" s="12" t="inlineStr">
        <is>
          <t>legacy_invoice_no, component</t>
        </is>
      </c>
      <c r="E70" s="12" t="inlineStr">
        <is>
          <t>-</t>
        </is>
      </c>
      <c r="F70" s="12" t="inlineStr">
        <is>
          <t>Row count</t>
        </is>
      </c>
      <c r="G70" s="12" t="n"/>
      <c r="H70" s="12" t="n"/>
      <c r="I70" s="12" t="n"/>
      <c r="J70" s="74" t="n"/>
    </row>
    <row r="71">
      <c r="A71" s="12" t="inlineStr">
        <is>
          <t>F01C</t>
        </is>
      </c>
      <c r="B71" s="12" t="inlineStr">
        <is>
          <t>F01</t>
        </is>
      </c>
      <c r="C71" s="12" t="inlineStr">
        <is>
          <t>AMOUNT_TOTAL</t>
        </is>
      </c>
      <c r="D71" s="12" t="inlineStr">
        <is>
          <t>booked</t>
        </is>
      </c>
      <c r="E71" s="12" t="inlineStr">
        <is>
          <t>Each currency</t>
        </is>
      </c>
      <c r="F71" s="12" t="inlineStr">
        <is>
          <t>Sum per currency and component</t>
        </is>
      </c>
      <c r="G71" s="12" t="n"/>
      <c r="H71" s="12" t="n"/>
      <c r="I71" s="12" t="n"/>
      <c r="J71" s="74" t="n"/>
    </row>
    <row r="72">
      <c r="A72" s="12" t="inlineStr">
        <is>
          <t>F01C</t>
        </is>
      </c>
      <c r="B72" s="12" t="inlineStr">
        <is>
          <t>F01</t>
        </is>
      </c>
      <c r="C72" s="12" t="inlineStr">
        <is>
          <t>AMOUNT_TOTAL</t>
        </is>
      </c>
      <c r="D72" s="12" t="inlineStr">
        <is>
          <t>adjusted</t>
        </is>
      </c>
      <c r="E72" s="12" t="inlineStr">
        <is>
          <t>Each currency</t>
        </is>
      </c>
      <c r="F72" s="12" t="inlineStr">
        <is>
          <t>Sum per currency and component</t>
        </is>
      </c>
      <c r="G72" s="12" t="n"/>
      <c r="H72" s="12" t="n"/>
      <c r="I72" s="12" t="n"/>
      <c r="J72" s="74" t="n"/>
    </row>
    <row r="73">
      <c r="A73" s="12" t="inlineStr">
        <is>
          <t>F01C</t>
        </is>
      </c>
      <c r="B73" s="12" t="inlineStr">
        <is>
          <t>F01</t>
        </is>
      </c>
      <c r="C73" s="12" t="inlineStr">
        <is>
          <t>AMOUNT_TOTAL</t>
        </is>
      </c>
      <c r="D73" s="12" t="inlineStr">
        <is>
          <t>paid</t>
        </is>
      </c>
      <c r="E73" s="12" t="inlineStr">
        <is>
          <t>Each currency</t>
        </is>
      </c>
      <c r="F73" s="12" t="inlineStr">
        <is>
          <t>Sum per currency and component</t>
        </is>
      </c>
      <c r="G73" s="12" t="n"/>
      <c r="H73" s="12" t="n"/>
      <c r="I73" s="12" t="n"/>
      <c r="J73" s="74" t="n"/>
    </row>
    <row r="74">
      <c r="A74" s="12" t="inlineStr">
        <is>
          <t>F01C</t>
        </is>
      </c>
      <c r="B74" s="12" t="inlineStr">
        <is>
          <t>F01</t>
        </is>
      </c>
      <c r="C74" s="12" t="inlineStr">
        <is>
          <t>AMOUNT_TOTAL</t>
        </is>
      </c>
      <c r="D74" s="12" t="inlineStr">
        <is>
          <t>remitted</t>
        </is>
      </c>
      <c r="E74" s="12" t="inlineStr">
        <is>
          <t>Each currency</t>
        </is>
      </c>
      <c r="F74" s="12" t="inlineStr">
        <is>
          <t>Sum per currency and component</t>
        </is>
      </c>
      <c r="G74" s="12" t="n"/>
      <c r="H74" s="12" t="n"/>
      <c r="I74" s="12" t="n"/>
      <c r="J74" s="74" t="n"/>
    </row>
    <row r="75">
      <c r="A75" s="12" t="inlineStr">
        <is>
          <t>F01C</t>
        </is>
      </c>
      <c r="B75" s="12" t="inlineStr">
        <is>
          <t>F01</t>
        </is>
      </c>
      <c r="C75" s="12" t="inlineStr">
        <is>
          <t>AMOUNT_TOTAL</t>
        </is>
      </c>
      <c r="D75" s="12" t="inlineStr">
        <is>
          <t>written_off</t>
        </is>
      </c>
      <c r="E75" s="12" t="inlineStr">
        <is>
          <t>Each currency</t>
        </is>
      </c>
      <c r="F75" s="12" t="inlineStr">
        <is>
          <t>Sum per currency and component</t>
        </is>
      </c>
      <c r="G75" s="12" t="n"/>
      <c r="H75" s="12" t="n"/>
      <c r="I75" s="12" t="n"/>
      <c r="J75" s="74" t="n"/>
    </row>
    <row r="76">
      <c r="A76" s="12" t="inlineStr">
        <is>
          <t>F01C</t>
        </is>
      </c>
      <c r="B76" s="12" t="inlineStr">
        <is>
          <t>F01</t>
        </is>
      </c>
      <c r="C76" s="12" t="inlineStr">
        <is>
          <t>AMOUNT_TOTAL</t>
        </is>
      </c>
      <c r="D76" s="12" t="inlineStr">
        <is>
          <t>open_balance</t>
        </is>
      </c>
      <c r="E76" s="12" t="inlineStr">
        <is>
          <t>Each currency</t>
        </is>
      </c>
      <c r="F76" s="12" t="inlineStr">
        <is>
          <t>Sum per currency and component</t>
        </is>
      </c>
      <c r="G76" s="12" t="n"/>
      <c r="H76" s="12" t="n"/>
      <c r="I76" s="12" t="n"/>
      <c r="J76" s="74" t="n"/>
    </row>
    <row r="77">
      <c r="A77" s="12" t="inlineStr">
        <is>
          <t>F01C</t>
        </is>
      </c>
      <c r="B77" s="12" t="inlineStr">
        <is>
          <t>F01</t>
        </is>
      </c>
      <c r="C77" s="12" t="inlineStr">
        <is>
          <t>SHA256</t>
        </is>
      </c>
      <c r="D77" s="12" t="inlineStr">
        <is>
          <t>-</t>
        </is>
      </c>
      <c r="E77" s="12" t="inlineStr">
        <is>
          <t>-</t>
        </is>
      </c>
      <c r="F77" s="12" t="inlineStr">
        <is>
          <t>SHA-256 of the data file as sent</t>
        </is>
      </c>
      <c r="G77" s="12" t="n"/>
      <c r="H77" s="12" t="n"/>
      <c r="I77" s="12" t="n"/>
      <c r="J77" s="74" t="n"/>
    </row>
    <row r="78">
      <c r="A78" s="12" t="inlineStr">
        <is>
          <t>F02</t>
        </is>
      </c>
      <c r="B78" s="12" t="inlineStr">
        <is>
          <t>F02</t>
        </is>
      </c>
      <c r="C78" s="12" t="inlineStr">
        <is>
          <t>ROW_COUNT</t>
        </is>
      </c>
      <c r="D78" s="12" t="inlineStr">
        <is>
          <t>-</t>
        </is>
      </c>
      <c r="E78" s="12" t="inlineStr">
        <is>
          <t>-</t>
        </is>
      </c>
      <c r="F78" s="12" t="inlineStr">
        <is>
          <t>Rows of the data file, header excluded</t>
        </is>
      </c>
      <c r="G78" s="12" t="n"/>
      <c r="H78" s="12" t="n"/>
      <c r="I78" s="12" t="n"/>
      <c r="J78" s="74" t="n"/>
    </row>
    <row r="79">
      <c r="A79" s="12" t="inlineStr">
        <is>
          <t>F02</t>
        </is>
      </c>
      <c r="B79" s="12" t="inlineStr">
        <is>
          <t>F02</t>
        </is>
      </c>
      <c r="C79" s="12" t="inlineStr">
        <is>
          <t>HASH_TOTAL</t>
        </is>
      </c>
      <c r="D79" s="12" t="inlineStr">
        <is>
          <t>legacy_upp_ref</t>
        </is>
      </c>
      <c r="E79" s="12" t="inlineStr">
        <is>
          <t>-</t>
        </is>
      </c>
      <c r="F79" s="12" t="inlineStr">
        <is>
          <t>Count of distinct keys</t>
        </is>
      </c>
      <c r="G79" s="12" t="n"/>
      <c r="H79" s="12" t="n"/>
      <c r="I79" s="12" t="n"/>
      <c r="J79" s="74" t="n"/>
    </row>
    <row r="80">
      <c r="A80" s="12" t="inlineStr">
        <is>
          <t>F02</t>
        </is>
      </c>
      <c r="B80" s="12" t="inlineStr">
        <is>
          <t>F02</t>
        </is>
      </c>
      <c r="C80" s="12" t="inlineStr">
        <is>
          <t>AMOUNT_TOTAL</t>
        </is>
      </c>
      <c r="D80" s="12" t="inlineStr">
        <is>
          <t>amount</t>
        </is>
      </c>
      <c r="E80" s="12" t="inlineStr">
        <is>
          <t>Each currency</t>
        </is>
      </c>
      <c r="F80" s="12" t="inlineStr">
        <is>
          <t>Sum per currency</t>
        </is>
      </c>
      <c r="G80" s="12" t="n"/>
      <c r="H80" s="12" t="n"/>
      <c r="I80" s="12" t="n"/>
      <c r="J80" s="74" t="n"/>
    </row>
    <row r="81">
      <c r="A81" s="12" t="inlineStr">
        <is>
          <t>F02</t>
        </is>
      </c>
      <c r="B81" s="12" t="inlineStr">
        <is>
          <t>F02</t>
        </is>
      </c>
      <c r="C81" s="12" t="inlineStr">
        <is>
          <t>AMOUNT_TOTAL</t>
        </is>
      </c>
      <c r="D81" s="12" t="inlineStr">
        <is>
          <t>balance</t>
        </is>
      </c>
      <c r="E81" s="12" t="inlineStr">
        <is>
          <t>Each currency</t>
        </is>
      </c>
      <c r="F81" s="12" t="inlineStr">
        <is>
          <t>Sum per currency</t>
        </is>
      </c>
      <c r="G81" s="12" t="n"/>
      <c r="H81" s="12" t="n"/>
      <c r="I81" s="12" t="n"/>
      <c r="J81" s="74" t="n"/>
    </row>
    <row r="82">
      <c r="A82" s="12" t="inlineStr">
        <is>
          <t>F02</t>
        </is>
      </c>
      <c r="B82" s="12" t="inlineStr">
        <is>
          <t>F02</t>
        </is>
      </c>
      <c r="C82" s="12" t="inlineStr">
        <is>
          <t>SHA256</t>
        </is>
      </c>
      <c r="D82" s="12" t="inlineStr">
        <is>
          <t>-</t>
        </is>
      </c>
      <c r="E82" s="12" t="inlineStr">
        <is>
          <t>-</t>
        </is>
      </c>
      <c r="F82" s="12" t="inlineStr">
        <is>
          <t>SHA-256 of the data file as sent</t>
        </is>
      </c>
      <c r="G82" s="12" t="n"/>
      <c r="H82" s="12" t="n"/>
      <c r="I82" s="12" t="n"/>
      <c r="J82" s="74" t="n"/>
    </row>
    <row r="83">
      <c r="A83" s="12" t="inlineStr">
        <is>
          <t>F03</t>
        </is>
      </c>
      <c r="B83" s="12" t="inlineStr">
        <is>
          <t>F03</t>
        </is>
      </c>
      <c r="C83" s="12" t="inlineStr">
        <is>
          <t>ROW_COUNT</t>
        </is>
      </c>
      <c r="D83" s="12" t="inlineStr">
        <is>
          <t>-</t>
        </is>
      </c>
      <c r="E83" s="12" t="inlineStr">
        <is>
          <t>-</t>
        </is>
      </c>
      <c r="F83" s="12" t="inlineStr">
        <is>
          <t>Rows of the data file, header excluded</t>
        </is>
      </c>
      <c r="G83" s="12" t="n"/>
      <c r="H83" s="12" t="n"/>
      <c r="I83" s="12" t="n"/>
      <c r="J83" s="74" t="n"/>
    </row>
    <row r="84">
      <c r="A84" s="12" t="inlineStr">
        <is>
          <t>F03</t>
        </is>
      </c>
      <c r="B84" s="12" t="inlineStr">
        <is>
          <t>F03</t>
        </is>
      </c>
      <c r="C84" s="12" t="inlineStr">
        <is>
          <t>HASH_TOTAL</t>
        </is>
      </c>
      <c r="D84" s="12" t="inlineStr">
        <is>
          <t>legacy_invoice_no, record_type, seq_no</t>
        </is>
      </c>
      <c r="E84" s="12" t="inlineStr">
        <is>
          <t>-</t>
        </is>
      </c>
      <c r="F84" s="12" t="inlineStr">
        <is>
          <t>Row count</t>
        </is>
      </c>
      <c r="G84" s="12" t="n"/>
      <c r="H84" s="12" t="n"/>
      <c r="I84" s="12" t="n"/>
      <c r="J84" s="74" t="n"/>
    </row>
    <row r="85">
      <c r="A85" s="12" t="inlineStr">
        <is>
          <t>F03</t>
        </is>
      </c>
      <c r="B85" s="12" t="inlineStr">
        <is>
          <t>F03</t>
        </is>
      </c>
      <c r="C85" s="12" t="inlineStr">
        <is>
          <t>AMOUNT_TOTAL</t>
        </is>
      </c>
      <c r="D85" s="12" t="inlineStr">
        <is>
          <t>promise_amount</t>
        </is>
      </c>
      <c r="E85" s="12" t="inlineStr">
        <is>
          <t>Each currency</t>
        </is>
      </c>
      <c r="F85" s="12" t="inlineStr">
        <is>
          <t>Sum per currency</t>
        </is>
      </c>
      <c r="G85" s="12" t="n"/>
      <c r="H85" s="12" t="n"/>
      <c r="I85" s="12" t="n"/>
      <c r="J85" s="74" t="n"/>
    </row>
    <row r="86">
      <c r="A86" s="12" t="inlineStr">
        <is>
          <t>F03</t>
        </is>
      </c>
      <c r="B86" s="12" t="inlineStr">
        <is>
          <t>F03</t>
        </is>
      </c>
      <c r="C86" s="12" t="inlineStr">
        <is>
          <t>AMOUNT_TOTAL</t>
        </is>
      </c>
      <c r="D86" s="12" t="inlineStr">
        <is>
          <t>installment_amount</t>
        </is>
      </c>
      <c r="E86" s="12" t="inlineStr">
        <is>
          <t>Each currency</t>
        </is>
      </c>
      <c r="F86" s="12" t="inlineStr">
        <is>
          <t>Sum per currency</t>
        </is>
      </c>
      <c r="G86" s="12" t="n"/>
      <c r="H86" s="12" t="n"/>
      <c r="I86" s="12" t="n"/>
      <c r="J86" s="74" t="n"/>
    </row>
    <row r="87">
      <c r="A87" s="12" t="inlineStr">
        <is>
          <t>F03</t>
        </is>
      </c>
      <c r="B87" s="12" t="inlineStr">
        <is>
          <t>F03</t>
        </is>
      </c>
      <c r="C87" s="12" t="inlineStr">
        <is>
          <t>SHA256</t>
        </is>
      </c>
      <c r="D87" s="12" t="inlineStr">
        <is>
          <t>-</t>
        </is>
      </c>
      <c r="E87" s="12" t="inlineStr">
        <is>
          <t>-</t>
        </is>
      </c>
      <c r="F87" s="12" t="inlineStr">
        <is>
          <t>SHA-256 of the data file as sent</t>
        </is>
      </c>
      <c r="G87" s="12" t="n"/>
      <c r="H87" s="12" t="n"/>
      <c r="I87" s="12" t="n"/>
      <c r="J87" s="74" t="n"/>
    </row>
    <row r="88">
      <c r="A88" s="12" t="inlineStr">
        <is>
          <t>F04</t>
        </is>
      </c>
      <c r="B88" s="12" t="inlineStr">
        <is>
          <t>F04</t>
        </is>
      </c>
      <c r="C88" s="12" t="inlineStr">
        <is>
          <t>ROW_COUNT</t>
        </is>
      </c>
      <c r="D88" s="12" t="inlineStr">
        <is>
          <t>-</t>
        </is>
      </c>
      <c r="E88" s="12" t="inlineStr">
        <is>
          <t>-</t>
        </is>
      </c>
      <c r="F88" s="12" t="inlineStr">
        <is>
          <t>Rows of the data file, header excluded</t>
        </is>
      </c>
      <c r="G88" s="12" t="n"/>
      <c r="H88" s="12" t="n"/>
      <c r="I88" s="12" t="n"/>
      <c r="J88" s="74" t="n"/>
    </row>
    <row r="89">
      <c r="A89" s="12" t="inlineStr">
        <is>
          <t>F04</t>
        </is>
      </c>
      <c r="B89" s="12" t="inlineStr">
        <is>
          <t>F04</t>
        </is>
      </c>
      <c r="C89" s="12" t="inlineStr">
        <is>
          <t>HASH_TOTAL</t>
        </is>
      </c>
      <c r="D89" s="12" t="inlineStr">
        <is>
          <t>legacy_batch_no, legacy_invoice_no</t>
        </is>
      </c>
      <c r="E89" s="12" t="inlineStr">
        <is>
          <t>-</t>
        </is>
      </c>
      <c r="F89" s="12" t="inlineStr">
        <is>
          <t>Row count</t>
        </is>
      </c>
      <c r="G89" s="12" t="n"/>
      <c r="H89" s="12" t="n"/>
      <c r="I89" s="12" t="n"/>
      <c r="J89" s="74" t="n"/>
    </row>
    <row r="90">
      <c r="A90" s="12" t="inlineStr">
        <is>
          <t>F04</t>
        </is>
      </c>
      <c r="B90" s="12" t="inlineStr">
        <is>
          <t>F04</t>
        </is>
      </c>
      <c r="C90" s="12" t="inlineStr">
        <is>
          <t>AMOUNT_TOTAL</t>
        </is>
      </c>
      <c r="D90" s="12" t="inlineStr">
        <is>
          <t>amount</t>
        </is>
      </c>
      <c r="E90" s="12" t="inlineStr">
        <is>
          <t>Each currency</t>
        </is>
      </c>
      <c r="F90" s="12" t="inlineStr">
        <is>
          <t>Sum per currency</t>
        </is>
      </c>
      <c r="G90" s="12" t="n"/>
      <c r="H90" s="12" t="n"/>
      <c r="I90" s="12" t="n"/>
      <c r="J90" s="74" t="n"/>
    </row>
    <row r="91">
      <c r="A91" s="12" t="inlineStr">
        <is>
          <t>F04</t>
        </is>
      </c>
      <c r="B91" s="12" t="inlineStr">
        <is>
          <t>F04</t>
        </is>
      </c>
      <c r="C91" s="12" t="inlineStr">
        <is>
          <t>SHA256</t>
        </is>
      </c>
      <c r="D91" s="12" t="inlineStr">
        <is>
          <t>-</t>
        </is>
      </c>
      <c r="E91" s="12" t="inlineStr">
        <is>
          <t>-</t>
        </is>
      </c>
      <c r="F91" s="12" t="inlineStr">
        <is>
          <t>SHA-256 of the data file as sent</t>
        </is>
      </c>
      <c r="G91" s="12" t="n"/>
      <c r="H91" s="12" t="n"/>
      <c r="I91" s="12" t="n"/>
      <c r="J91" s="74" t="n"/>
    </row>
    <row r="92">
      <c r="A92" s="12" t="inlineStr">
        <is>
          <t>F06</t>
        </is>
      </c>
      <c r="B92" s="12" t="inlineStr">
        <is>
          <t>F06</t>
        </is>
      </c>
      <c r="C92" s="12" t="inlineStr">
        <is>
          <t>ROW_COUNT</t>
        </is>
      </c>
      <c r="D92" s="12" t="inlineStr">
        <is>
          <t>-</t>
        </is>
      </c>
      <c r="E92" s="12" t="inlineStr">
        <is>
          <t>-</t>
        </is>
      </c>
      <c r="F92" s="12" t="inlineStr">
        <is>
          <t>Rows of the data file, header excluded</t>
        </is>
      </c>
      <c r="G92" s="12" t="n"/>
      <c r="H92" s="12" t="n"/>
      <c r="I92" s="12" t="n"/>
      <c r="J92" s="74" t="n"/>
    </row>
    <row r="93">
      <c r="A93" s="12" t="inlineStr">
        <is>
          <t>F06</t>
        </is>
      </c>
      <c r="B93" s="12" t="inlineStr">
        <is>
          <t>F06</t>
        </is>
      </c>
      <c r="C93" s="12" t="inlineStr">
        <is>
          <t>HASH_TOTAL</t>
        </is>
      </c>
      <c r="D93" s="12" t="inlineStr">
        <is>
          <t>record_type, reference</t>
        </is>
      </c>
      <c r="E93" s="12" t="inlineStr">
        <is>
          <t>-</t>
        </is>
      </c>
      <c r="F93" s="12" t="inlineStr">
        <is>
          <t>Row count</t>
        </is>
      </c>
      <c r="G93" s="12" t="n"/>
      <c r="H93" s="12" t="n"/>
      <c r="I93" s="12" t="n"/>
      <c r="J93" s="74" t="n"/>
    </row>
    <row r="94">
      <c r="A94" s="12" t="inlineStr">
        <is>
          <t>F06</t>
        </is>
      </c>
      <c r="B94" s="12" t="inlineStr">
        <is>
          <t>F06</t>
        </is>
      </c>
      <c r="C94" s="12" t="inlineStr">
        <is>
          <t>AMOUNT_TOTAL</t>
        </is>
      </c>
      <c r="D94" s="12" t="inlineStr">
        <is>
          <t>amount</t>
        </is>
      </c>
      <c r="E94" s="12" t="inlineStr">
        <is>
          <t>Each currency</t>
        </is>
      </c>
      <c r="F94" s="12" t="inlineStr">
        <is>
          <t>Sum per currency</t>
        </is>
      </c>
      <c r="G94" s="12" t="n"/>
      <c r="H94" s="12" t="n"/>
      <c r="I94" s="12" t="n"/>
      <c r="J94" s="74" t="n"/>
    </row>
    <row r="95">
      <c r="A95" s="12" t="inlineStr">
        <is>
          <t>F06</t>
        </is>
      </c>
      <c r="B95" s="12" t="inlineStr">
        <is>
          <t>F06</t>
        </is>
      </c>
      <c r="C95" s="12" t="inlineStr">
        <is>
          <t>SHA256</t>
        </is>
      </c>
      <c r="D95" s="12" t="inlineStr">
        <is>
          <t>-</t>
        </is>
      </c>
      <c r="E95" s="12" t="inlineStr">
        <is>
          <t>-</t>
        </is>
      </c>
      <c r="F95" s="12" t="inlineStr">
        <is>
          <t>SHA-256 of the data file as sent</t>
        </is>
      </c>
      <c r="G95" s="12" t="n"/>
      <c r="H95" s="12" t="n"/>
      <c r="I95" s="12" t="n"/>
      <c r="J95" s="74" t="n"/>
    </row>
    <row r="96">
      <c r="A96" s="12" t="inlineStr">
        <is>
          <t>G01</t>
        </is>
      </c>
      <c r="B96" s="12" t="inlineStr">
        <is>
          <t>G01</t>
        </is>
      </c>
      <c r="C96" s="12" t="inlineStr">
        <is>
          <t>ROW_COUNT</t>
        </is>
      </c>
      <c r="D96" s="12" t="inlineStr">
        <is>
          <t>-</t>
        </is>
      </c>
      <c r="E96" s="12" t="inlineStr">
        <is>
          <t>-</t>
        </is>
      </c>
      <c r="F96" s="12" t="inlineStr">
        <is>
          <t>Rows of the data file, header excluded</t>
        </is>
      </c>
      <c r="G96" s="12" t="n"/>
      <c r="H96" s="12" t="n"/>
      <c r="I96" s="12" t="n"/>
      <c r="J96" s="74" t="n"/>
    </row>
    <row r="97">
      <c r="A97" s="12" t="inlineStr">
        <is>
          <t>G01</t>
        </is>
      </c>
      <c r="B97" s="12" t="inlineStr">
        <is>
          <t>G01</t>
        </is>
      </c>
      <c r="C97" s="12" t="inlineStr">
        <is>
          <t>HASH_TOTAL</t>
        </is>
      </c>
      <c r="D97" s="12" t="inlineStr">
        <is>
          <t>tb_version, branch_code, currency, legacy_account_code, cost_center</t>
        </is>
      </c>
      <c r="E97" s="12" t="inlineStr">
        <is>
          <t>-</t>
        </is>
      </c>
      <c r="F97" s="12" t="inlineStr">
        <is>
          <t>Row count</t>
        </is>
      </c>
      <c r="G97" s="12" t="n"/>
      <c r="H97" s="12" t="n"/>
      <c r="I97" s="12" t="n"/>
      <c r="J97" s="74" t="n"/>
    </row>
    <row r="98">
      <c r="A98" s="12" t="inlineStr">
        <is>
          <t>G01</t>
        </is>
      </c>
      <c r="B98" s="12" t="inlineStr">
        <is>
          <t>G01</t>
        </is>
      </c>
      <c r="C98" s="12" t="inlineStr">
        <is>
          <t>AMOUNT_TOTAL</t>
        </is>
      </c>
      <c r="D98" s="12" t="inlineStr">
        <is>
          <t>debit_fc</t>
        </is>
      </c>
      <c r="E98" s="12" t="inlineStr">
        <is>
          <t>Each currency</t>
        </is>
      </c>
      <c r="F98" s="12" t="inlineStr">
        <is>
          <t>Sum per currency</t>
        </is>
      </c>
      <c r="G98" s="12" t="n"/>
      <c r="H98" s="12" t="n"/>
      <c r="I98" s="12" t="n"/>
      <c r="J98" s="74" t="n"/>
    </row>
    <row r="99">
      <c r="A99" s="12" t="inlineStr">
        <is>
          <t>G01</t>
        </is>
      </c>
      <c r="B99" s="12" t="inlineStr">
        <is>
          <t>G01</t>
        </is>
      </c>
      <c r="C99" s="12" t="inlineStr">
        <is>
          <t>AMOUNT_TOTAL</t>
        </is>
      </c>
      <c r="D99" s="12" t="inlineStr">
        <is>
          <t>credit_fc</t>
        </is>
      </c>
      <c r="E99" s="12" t="inlineStr">
        <is>
          <t>Each currency</t>
        </is>
      </c>
      <c r="F99" s="12" t="inlineStr">
        <is>
          <t>Sum per currency</t>
        </is>
      </c>
      <c r="G99" s="12" t="n"/>
      <c r="H99" s="12" t="n"/>
      <c r="I99" s="12" t="n"/>
      <c r="J99" s="74" t="n"/>
    </row>
    <row r="100">
      <c r="A100" s="12" t="inlineStr">
        <is>
          <t>G01</t>
        </is>
      </c>
      <c r="B100" s="12" t="inlineStr">
        <is>
          <t>G01</t>
        </is>
      </c>
      <c r="C100" s="12" t="inlineStr">
        <is>
          <t>AMOUNT_TOTAL</t>
        </is>
      </c>
      <c r="D100" s="12" t="inlineStr">
        <is>
          <t>debit_php</t>
        </is>
      </c>
      <c r="E100" s="12" t="inlineStr">
        <is>
          <t>Each currency</t>
        </is>
      </c>
      <c r="F100" s="12" t="inlineStr">
        <is>
          <t>Sum per currency</t>
        </is>
      </c>
      <c r="G100" s="12" t="n"/>
      <c r="H100" s="12" t="n"/>
      <c r="I100" s="12" t="n"/>
      <c r="J100" s="74" t="n"/>
    </row>
    <row r="101">
      <c r="A101" s="12" t="inlineStr">
        <is>
          <t>G01</t>
        </is>
      </c>
      <c r="B101" s="12" t="inlineStr">
        <is>
          <t>G01</t>
        </is>
      </c>
      <c r="C101" s="12" t="inlineStr">
        <is>
          <t>AMOUNT_TOTAL</t>
        </is>
      </c>
      <c r="D101" s="12" t="inlineStr">
        <is>
          <t>credit_php</t>
        </is>
      </c>
      <c r="E101" s="12" t="inlineStr">
        <is>
          <t>Each currency</t>
        </is>
      </c>
      <c r="F101" s="12" t="inlineStr">
        <is>
          <t>Sum per currency</t>
        </is>
      </c>
      <c r="G101" s="12" t="n"/>
      <c r="H101" s="12" t="n"/>
      <c r="I101" s="12" t="n"/>
      <c r="J101" s="74" t="n"/>
    </row>
    <row r="102">
      <c r="A102" s="12" t="inlineStr">
        <is>
          <t>G01</t>
        </is>
      </c>
      <c r="B102" s="12" t="inlineStr">
        <is>
          <t>G01</t>
        </is>
      </c>
      <c r="C102" s="12" t="inlineStr">
        <is>
          <t>SHA256</t>
        </is>
      </c>
      <c r="D102" s="12" t="inlineStr">
        <is>
          <t>-</t>
        </is>
      </c>
      <c r="E102" s="12" t="inlineStr">
        <is>
          <t>-</t>
        </is>
      </c>
      <c r="F102" s="12" t="inlineStr">
        <is>
          <t>SHA-256 of the data file as sent</t>
        </is>
      </c>
      <c r="G102" s="12" t="n"/>
      <c r="H102" s="12" t="n"/>
      <c r="I102" s="12" t="n"/>
      <c r="J102" s="74" t="n"/>
    </row>
    <row r="103">
      <c r="A103" s="12" t="inlineStr">
        <is>
          <t>G03</t>
        </is>
      </c>
      <c r="B103" s="12" t="inlineStr">
        <is>
          <t>G03</t>
        </is>
      </c>
      <c r="C103" s="12" t="inlineStr">
        <is>
          <t>ROW_COUNT</t>
        </is>
      </c>
      <c r="D103" s="12" t="inlineStr">
        <is>
          <t>-</t>
        </is>
      </c>
      <c r="E103" s="12" t="inlineStr">
        <is>
          <t>-</t>
        </is>
      </c>
      <c r="F103" s="12" t="inlineStr">
        <is>
          <t>Rows of the data file, header excluded</t>
        </is>
      </c>
      <c r="G103" s="12" t="n"/>
      <c r="H103" s="12" t="n"/>
      <c r="I103" s="12" t="n"/>
      <c r="J103" s="74" t="n"/>
    </row>
    <row r="104">
      <c r="A104" s="12" t="inlineStr">
        <is>
          <t>G03</t>
        </is>
      </c>
      <c r="B104" s="12" t="inlineStr">
        <is>
          <t>G03</t>
        </is>
      </c>
      <c r="C104" s="12" t="inlineStr">
        <is>
          <t>HASH_TOTAL</t>
        </is>
      </c>
      <c r="D104" s="12" t="inlineStr">
        <is>
          <t>legacy_journal_no</t>
        </is>
      </c>
      <c r="E104" s="12" t="inlineStr">
        <is>
          <t>-</t>
        </is>
      </c>
      <c r="F104" s="12" t="inlineStr">
        <is>
          <t>Count of distinct keys</t>
        </is>
      </c>
      <c r="G104" s="12" t="n"/>
      <c r="H104" s="12" t="n"/>
      <c r="I104" s="12" t="n"/>
      <c r="J104" s="74" t="n"/>
    </row>
    <row r="105">
      <c r="A105" s="12" t="inlineStr">
        <is>
          <t>G03</t>
        </is>
      </c>
      <c r="B105" s="12" t="inlineStr">
        <is>
          <t>G03</t>
        </is>
      </c>
      <c r="C105" s="12" t="inlineStr">
        <is>
          <t>AMOUNT_TOTAL</t>
        </is>
      </c>
      <c r="D105" s="12" t="inlineStr">
        <is>
          <t>debit_fc</t>
        </is>
      </c>
      <c r="E105" s="12" t="inlineStr">
        <is>
          <t>Each currency</t>
        </is>
      </c>
      <c r="F105" s="12" t="inlineStr">
        <is>
          <t>Sum per currency</t>
        </is>
      </c>
      <c r="G105" s="12" t="n"/>
      <c r="H105" s="12" t="n"/>
      <c r="I105" s="12" t="n"/>
      <c r="J105" s="74" t="n"/>
    </row>
    <row r="106">
      <c r="A106" s="12" t="inlineStr">
        <is>
          <t>G03</t>
        </is>
      </c>
      <c r="B106" s="12" t="inlineStr">
        <is>
          <t>G03</t>
        </is>
      </c>
      <c r="C106" s="12" t="inlineStr">
        <is>
          <t>AMOUNT_TOTAL</t>
        </is>
      </c>
      <c r="D106" s="12" t="inlineStr">
        <is>
          <t>credit_fc</t>
        </is>
      </c>
      <c r="E106" s="12" t="inlineStr">
        <is>
          <t>Each currency</t>
        </is>
      </c>
      <c r="F106" s="12" t="inlineStr">
        <is>
          <t>Sum per currency</t>
        </is>
      </c>
      <c r="G106" s="12" t="n"/>
      <c r="H106" s="12" t="n"/>
      <c r="I106" s="12" t="n"/>
      <c r="J106" s="74" t="n"/>
    </row>
    <row r="107">
      <c r="A107" s="12" t="inlineStr">
        <is>
          <t>G03</t>
        </is>
      </c>
      <c r="B107" s="12" t="inlineStr">
        <is>
          <t>G03</t>
        </is>
      </c>
      <c r="C107" s="12" t="inlineStr">
        <is>
          <t>AMOUNT_TOTAL</t>
        </is>
      </c>
      <c r="D107" s="12" t="inlineStr">
        <is>
          <t>debit_php</t>
        </is>
      </c>
      <c r="E107" s="12" t="inlineStr">
        <is>
          <t>Each currency</t>
        </is>
      </c>
      <c r="F107" s="12" t="inlineStr">
        <is>
          <t>Sum per currency</t>
        </is>
      </c>
      <c r="G107" s="12" t="n"/>
      <c r="H107" s="12" t="n"/>
      <c r="I107" s="12" t="n"/>
      <c r="J107" s="74" t="n"/>
    </row>
    <row r="108">
      <c r="A108" s="12" t="inlineStr">
        <is>
          <t>G03</t>
        </is>
      </c>
      <c r="B108" s="12" t="inlineStr">
        <is>
          <t>G03</t>
        </is>
      </c>
      <c r="C108" s="12" t="inlineStr">
        <is>
          <t>AMOUNT_TOTAL</t>
        </is>
      </c>
      <c r="D108" s="12" t="inlineStr">
        <is>
          <t>credit_php</t>
        </is>
      </c>
      <c r="E108" s="12" t="inlineStr">
        <is>
          <t>Each currency</t>
        </is>
      </c>
      <c r="F108" s="12" t="inlineStr">
        <is>
          <t>Sum per currency</t>
        </is>
      </c>
      <c r="G108" s="12" t="n"/>
      <c r="H108" s="12" t="n"/>
      <c r="I108" s="12" t="n"/>
      <c r="J108" s="74" t="n"/>
    </row>
    <row r="109">
      <c r="A109" s="12" t="inlineStr">
        <is>
          <t>G03</t>
        </is>
      </c>
      <c r="B109" s="12" t="inlineStr">
        <is>
          <t>G03</t>
        </is>
      </c>
      <c r="C109" s="12" t="inlineStr">
        <is>
          <t>SHA256</t>
        </is>
      </c>
      <c r="D109" s="12" t="inlineStr">
        <is>
          <t>-</t>
        </is>
      </c>
      <c r="E109" s="12" t="inlineStr">
        <is>
          <t>-</t>
        </is>
      </c>
      <c r="F109" s="12" t="inlineStr">
        <is>
          <t>SHA-256 of the data file as sent</t>
        </is>
      </c>
      <c r="G109" s="12" t="n"/>
      <c r="H109" s="12" t="n"/>
      <c r="I109" s="12" t="n"/>
      <c r="J109" s="74" t="n"/>
    </row>
    <row r="110">
      <c r="A110" s="12" t="inlineStr">
        <is>
          <t>G03D</t>
        </is>
      </c>
      <c r="B110" s="12" t="inlineStr">
        <is>
          <t>G03</t>
        </is>
      </c>
      <c r="C110" s="12" t="inlineStr">
        <is>
          <t>ROW_COUNT</t>
        </is>
      </c>
      <c r="D110" s="12" t="inlineStr">
        <is>
          <t>-</t>
        </is>
      </c>
      <c r="E110" s="12" t="inlineStr">
        <is>
          <t>-</t>
        </is>
      </c>
      <c r="F110" s="12" t="inlineStr">
        <is>
          <t>Rows of the data file, header excluded</t>
        </is>
      </c>
      <c r="G110" s="12" t="n"/>
      <c r="H110" s="12" t="n"/>
      <c r="I110" s="12" t="n"/>
      <c r="J110" s="74" t="n"/>
    </row>
    <row r="111">
      <c r="A111" s="12" t="inlineStr">
        <is>
          <t>G03D</t>
        </is>
      </c>
      <c r="B111" s="12" t="inlineStr">
        <is>
          <t>G03</t>
        </is>
      </c>
      <c r="C111" s="12" t="inlineStr">
        <is>
          <t>HASH_TOTAL</t>
        </is>
      </c>
      <c r="D111" s="12" t="inlineStr">
        <is>
          <t>legacy_journal_no, line_no, item_ref, component</t>
        </is>
      </c>
      <c r="E111" s="12" t="inlineStr">
        <is>
          <t>-</t>
        </is>
      </c>
      <c r="F111" s="12" t="inlineStr">
        <is>
          <t>Row count</t>
        </is>
      </c>
      <c r="G111" s="12" t="n"/>
      <c r="H111" s="12" t="n"/>
      <c r="I111" s="12" t="n"/>
      <c r="J111" s="74" t="n"/>
    </row>
    <row r="112">
      <c r="A112" s="12" t="inlineStr">
        <is>
          <t>G03D</t>
        </is>
      </c>
      <c r="B112" s="12" t="inlineStr">
        <is>
          <t>G03</t>
        </is>
      </c>
      <c r="C112" s="12" t="inlineStr">
        <is>
          <t>AMOUNT_TOTAL</t>
        </is>
      </c>
      <c r="D112" s="12" t="inlineStr">
        <is>
          <t>amount</t>
        </is>
      </c>
      <c r="E112" s="12" t="inlineStr">
        <is>
          <t>Each currency</t>
        </is>
      </c>
      <c r="F112" s="12" t="inlineStr">
        <is>
          <t>Sum per currency</t>
        </is>
      </c>
      <c r="G112" s="12" t="n"/>
      <c r="H112" s="12" t="n"/>
      <c r="I112" s="12" t="n"/>
      <c r="J112" s="74" t="n"/>
    </row>
    <row r="113">
      <c r="A113" s="12" t="inlineStr">
        <is>
          <t>G03D</t>
        </is>
      </c>
      <c r="B113" s="12" t="inlineStr">
        <is>
          <t>G03</t>
        </is>
      </c>
      <c r="C113" s="12" t="inlineStr">
        <is>
          <t>SHA256</t>
        </is>
      </c>
      <c r="D113" s="12" t="inlineStr">
        <is>
          <t>-</t>
        </is>
      </c>
      <c r="E113" s="12" t="inlineStr">
        <is>
          <t>-</t>
        </is>
      </c>
      <c r="F113" s="12" t="inlineStr">
        <is>
          <t>SHA-256 of the data file as sent</t>
        </is>
      </c>
      <c r="G113" s="12" t="n"/>
      <c r="H113" s="12" t="n"/>
      <c r="I113" s="12" t="n"/>
      <c r="J113" s="74" t="n"/>
    </row>
    <row r="114">
      <c r="A114" s="12" t="inlineStr">
        <is>
          <t>H01</t>
        </is>
      </c>
      <c r="B114" s="12" t="inlineStr">
        <is>
          <t>H01</t>
        </is>
      </c>
      <c r="C114" s="12" t="inlineStr">
        <is>
          <t>ROW_COUNT</t>
        </is>
      </c>
      <c r="D114" s="12" t="inlineStr">
        <is>
          <t>-</t>
        </is>
      </c>
      <c r="E114" s="12" t="inlineStr">
        <is>
          <t>-</t>
        </is>
      </c>
      <c r="F114" s="12" t="inlineStr">
        <is>
          <t>Rows of the data file, header excluded</t>
        </is>
      </c>
      <c r="G114" s="12" t="n"/>
      <c r="H114" s="12" t="n"/>
      <c r="I114" s="12" t="n"/>
      <c r="J114" s="74" t="n"/>
    </row>
    <row r="115">
      <c r="A115" s="12" t="inlineStr">
        <is>
          <t>H01</t>
        </is>
      </c>
      <c r="B115" s="12" t="inlineStr">
        <is>
          <t>H01</t>
        </is>
      </c>
      <c r="C115" s="12" t="inlineStr">
        <is>
          <t>HASH_TOTAL</t>
        </is>
      </c>
      <c r="D115" s="12" t="inlineStr">
        <is>
          <t>record_type, legacy_key</t>
        </is>
      </c>
      <c r="E115" s="12" t="inlineStr">
        <is>
          <t>-</t>
        </is>
      </c>
      <c r="F115" s="12" t="inlineStr">
        <is>
          <t>Count of distinct keys</t>
        </is>
      </c>
      <c r="G115" s="12" t="n"/>
      <c r="H115" s="12" t="n"/>
      <c r="I115" s="12" t="n"/>
      <c r="J115" s="74" t="n"/>
    </row>
    <row r="116">
      <c r="A116" s="12" t="inlineStr">
        <is>
          <t>H01</t>
        </is>
      </c>
      <c r="B116" s="12" t="inlineStr">
        <is>
          <t>H01</t>
        </is>
      </c>
      <c r="C116" s="12" t="inlineStr">
        <is>
          <t>AMOUNT_TOTAL</t>
        </is>
      </c>
      <c r="D116" s="12" t="inlineStr">
        <is>
          <t>amount</t>
        </is>
      </c>
      <c r="E116" s="12" t="inlineStr">
        <is>
          <t>Each currency</t>
        </is>
      </c>
      <c r="F116" s="12" t="inlineStr">
        <is>
          <t>Sum per currency</t>
        </is>
      </c>
      <c r="G116" s="12" t="n"/>
      <c r="H116" s="12" t="n"/>
      <c r="I116" s="12" t="n"/>
      <c r="J116" s="74" t="n"/>
    </row>
    <row r="117">
      <c r="A117" s="12" t="inlineStr">
        <is>
          <t>H01</t>
        </is>
      </c>
      <c r="B117" s="12" t="inlineStr">
        <is>
          <t>H01</t>
        </is>
      </c>
      <c r="C117" s="12" t="inlineStr">
        <is>
          <t>SHA256</t>
        </is>
      </c>
      <c r="D117" s="12" t="inlineStr">
        <is>
          <t>-</t>
        </is>
      </c>
      <c r="E117" s="12" t="inlineStr">
        <is>
          <t>-</t>
        </is>
      </c>
      <c r="F117" s="12" t="inlineStr">
        <is>
          <t>SHA-256 of the data file as sent</t>
        </is>
      </c>
      <c r="G117" s="12" t="n"/>
      <c r="H117" s="12" t="n"/>
      <c r="I117" s="12" t="n"/>
      <c r="J117" s="74" t="n"/>
    </row>
    <row r="118">
      <c r="A118" s="12" t="inlineStr">
        <is>
          <t>H02</t>
        </is>
      </c>
      <c r="B118" s="12" t="inlineStr">
        <is>
          <t>H02</t>
        </is>
      </c>
      <c r="C118" s="12" t="inlineStr">
        <is>
          <t>ROW_COUNT</t>
        </is>
      </c>
      <c r="D118" s="12" t="inlineStr">
        <is>
          <t>-</t>
        </is>
      </c>
      <c r="E118" s="12" t="inlineStr">
        <is>
          <t>-</t>
        </is>
      </c>
      <c r="F118" s="12" t="inlineStr">
        <is>
          <t>Rows of the data file, header excluded</t>
        </is>
      </c>
      <c r="G118" s="12" t="n"/>
      <c r="H118" s="12" t="n"/>
      <c r="I118" s="12" t="n"/>
      <c r="J118" s="74" t="n"/>
    </row>
    <row r="119">
      <c r="A119" s="12" t="inlineStr">
        <is>
          <t>H02</t>
        </is>
      </c>
      <c r="B119" s="12" t="inlineStr">
        <is>
          <t>H02</t>
        </is>
      </c>
      <c r="C119" s="12" t="inlineStr">
        <is>
          <t>HASH_TOTAL</t>
        </is>
      </c>
      <c r="D119" s="12" t="inlineStr">
        <is>
          <t>record_type, legacy_key, file_name</t>
        </is>
      </c>
      <c r="E119" s="12" t="inlineStr">
        <is>
          <t>-</t>
        </is>
      </c>
      <c r="F119" s="12" t="inlineStr">
        <is>
          <t>Row count</t>
        </is>
      </c>
      <c r="G119" s="12" t="n"/>
      <c r="H119" s="12" t="n"/>
      <c r="I119" s="12" t="n"/>
      <c r="J119" s="74" t="n"/>
    </row>
    <row r="120">
      <c r="A120" s="12" t="inlineStr">
        <is>
          <t>H02</t>
        </is>
      </c>
      <c r="B120" s="12" t="inlineStr">
        <is>
          <t>H02</t>
        </is>
      </c>
      <c r="C120" s="12" t="inlineStr">
        <is>
          <t>SHA256</t>
        </is>
      </c>
      <c r="D120" s="12" t="inlineStr">
        <is>
          <t>-</t>
        </is>
      </c>
      <c r="E120" s="12" t="inlineStr">
        <is>
          <t>-</t>
        </is>
      </c>
      <c r="F120" s="12" t="inlineStr">
        <is>
          <t>SHA-256 of the data file as sent</t>
        </is>
      </c>
      <c r="G120" s="12" t="n"/>
      <c r="H120" s="12" t="n"/>
      <c r="I120" s="12" t="n"/>
      <c r="J120" s="74" t="n"/>
    </row>
  </sheetData>
  <autoFilter ref="A4:J120"/>
  <mergeCells count="1">
    <mergeCell ref="A2:J2"/>
  </mergeCells>
  <conditionalFormatting sqref="A5:J620">
    <cfRule type="expression" priority="1" dxfId="0">
      <formula>AND(MOD(ROW(),2)=0,$A5&lt;&gt;"")</formula>
    </cfRule>
  </conditionalFormatting>
  <dataValidations count="2">
    <dataValidation sqref="C5:C620" showDropDown="0" showInputMessage="0" showErrorMessage="1" allowBlank="1" errorTitle="Measure" error="Choose a value from the list (Measure)." type="list">
      <formula1>'_lists'!$F$1:$F$4</formula1>
    </dataValidation>
    <dataValidation sqref="J5:J620" showDropDown="0" showInputMessage="0" showErrorMessage="1" allowBlank="1" errorTitle="Status" error="Choose a value from the list (Status)." type="list">
      <formula1>'_lists'!$G$1:$G$3</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3.xml><?xml version="1.0" encoding="utf-8"?>
<worksheet xmlns="http://schemas.openxmlformats.org/spreadsheetml/2006/main">
  <sheetPr>
    <outlinePr summaryBelow="1" summaryRight="1"/>
    <pageSetUpPr fitToPage="1"/>
  </sheetPr>
  <dimension ref="A1:K3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26" customWidth="1" min="3" max="3"/>
    <col width="24" customWidth="1" min="4" max="4"/>
    <col width="26" customWidth="1" min="5" max="5"/>
    <col width="24" customWidth="1" min="6" max="6"/>
    <col width="22" customWidth="1" min="7" max="7"/>
    <col width="16" customWidth="1" min="8" max="8"/>
    <col width="40" customWidth="1" min="9" max="9"/>
    <col width="18" customWidth="1" min="10" max="10"/>
    <col width="13" customWidth="1" min="11" max="11"/>
  </cols>
  <sheetData>
    <row r="1" ht="24" customHeight="1">
      <c r="A1" s="19" t="inlineStr">
        <is>
          <t>Code maps</t>
        </is>
      </c>
    </row>
    <row r="2">
      <c r="A2" s="22" t="inlineStr">
        <is>
          <t>Code map sets of the Migration Console (BRID_MIG 3.1): one per domain, versioned and approved by the business owner</t>
        </is>
      </c>
    </row>
    <row r="3" ht="6" customHeight="1">
      <c r="A3" s="23" t="n"/>
      <c r="B3" s="23" t="n"/>
      <c r="C3" s="23" t="n"/>
      <c r="D3" s="23" t="n"/>
      <c r="E3" s="23" t="n"/>
      <c r="F3" s="23" t="n"/>
      <c r="G3" s="23" t="n"/>
      <c r="H3" s="23" t="n"/>
      <c r="I3" s="23" t="n"/>
      <c r="J3" s="23" t="n"/>
      <c r="K3" s="23" t="n"/>
    </row>
    <row r="4" ht="30" customHeight="1">
      <c r="A4" s="24" t="inlineStr">
        <is>
          <t>Code map</t>
        </is>
      </c>
      <c r="B4" s="24" t="inlineStr">
        <is>
          <t>What is mapped</t>
        </is>
      </c>
      <c r="C4" s="24" t="inlineStr">
        <is>
          <t>BIBS values</t>
        </is>
      </c>
      <c r="D4" s="24" t="inlineStr">
        <is>
          <t>Used by layouts</t>
        </is>
      </c>
      <c r="E4" s="24" t="inlineStr">
        <is>
          <t>Approves (G2)</t>
        </is>
      </c>
      <c r="F4" s="24" t="inlineStr">
        <is>
          <t>Prepares</t>
        </is>
      </c>
      <c r="G4" s="24" t="inlineStr">
        <is>
          <t>First approved version due</t>
        </is>
      </c>
      <c r="H4" s="24" t="inlineStr">
        <is>
          <t>BU review</t>
        </is>
      </c>
      <c r="I4" s="24" t="inlineStr">
        <is>
          <t>BU comment</t>
        </is>
      </c>
      <c r="J4" s="24" t="inlineStr">
        <is>
          <t>Reviewer</t>
        </is>
      </c>
      <c r="K4" s="24" t="inlineStr">
        <is>
          <t>Review date</t>
        </is>
      </c>
    </row>
    <row r="5">
      <c r="A5" s="12" t="inlineStr">
        <is>
          <t>INSURER</t>
        </is>
      </c>
      <c r="B5" s="12" t="inlineStr">
        <is>
          <t>Legacy insurer code to BIBS insurer</t>
        </is>
      </c>
      <c r="C5" s="12" t="inlineStr">
        <is>
          <t>Insurers</t>
        </is>
      </c>
      <c r="D5" s="12" t="inlineStr">
        <is>
          <t>R04, R06, R07, P01S, P03, F01S, F04</t>
        </is>
      </c>
      <c r="E5" s="12" t="inlineStr">
        <is>
          <t>Head, Operations</t>
        </is>
      </c>
      <c r="F5" s="12" t="inlineStr">
        <is>
          <t>Operations data steward</t>
        </is>
      </c>
      <c r="G5" s="12" t="inlineStr">
        <is>
          <t>M5 (18 Jun 2027)</t>
        </is>
      </c>
      <c r="H5" s="12" t="n"/>
      <c r="I5" s="12" t="n"/>
      <c r="J5" s="12" t="n"/>
      <c r="K5" s="25" t="n"/>
    </row>
    <row r="6">
      <c r="A6" s="12" t="inlineStr">
        <is>
          <t>INSURER_BRANCH</t>
        </is>
      </c>
      <c r="B6" s="12" t="inlineStr">
        <is>
          <t>Legacy insurer branch to BIBS insurer branch</t>
        </is>
      </c>
      <c r="C6" s="12" t="inlineStr">
        <is>
          <t>Insurer branches</t>
        </is>
      </c>
      <c r="D6" s="12" t="inlineStr">
        <is>
          <t>R04B, P01S</t>
        </is>
      </c>
      <c r="E6" s="12" t="inlineStr">
        <is>
          <t>Head, Operations</t>
        </is>
      </c>
      <c r="F6" s="12" t="inlineStr">
        <is>
          <t>Operations data steward</t>
        </is>
      </c>
      <c r="G6" s="12" t="inlineStr">
        <is>
          <t>M5 (18 Jun 2027)</t>
        </is>
      </c>
      <c r="H6" s="12" t="n"/>
      <c r="I6" s="12" t="n"/>
      <c r="J6" s="12" t="n"/>
      <c r="K6" s="25" t="n"/>
    </row>
    <row r="7">
      <c r="A7" s="12" t="inlineStr">
        <is>
          <t>LINE</t>
        </is>
      </c>
      <c r="B7" s="12" t="inlineStr">
        <is>
          <t>Legacy line of business to BIBS product line</t>
        </is>
      </c>
      <c r="C7" s="12" t="inlineStr">
        <is>
          <t>Product lines</t>
        </is>
      </c>
      <c r="D7" s="12" t="inlineStr">
        <is>
          <t>R05, P01, F01</t>
        </is>
      </c>
      <c r="E7" s="12" t="inlineStr">
        <is>
          <t>Product Owner, MBS</t>
        </is>
      </c>
      <c r="F7" s="12" t="inlineStr">
        <is>
          <t>MBS data steward</t>
        </is>
      </c>
      <c r="G7" s="12" t="inlineStr">
        <is>
          <t>M5 (18 Jun 2027)</t>
        </is>
      </c>
      <c r="H7" s="12" t="n"/>
      <c r="I7" s="12" t="n"/>
      <c r="J7" s="12" t="n"/>
      <c r="K7" s="25" t="n"/>
    </row>
    <row r="8">
      <c r="A8" s="12" t="inlineStr">
        <is>
          <t>COVER_TYPE</t>
        </is>
      </c>
      <c r="B8" s="12" t="inlineStr">
        <is>
          <t>Legacy cover type to BIBS cover type</t>
        </is>
      </c>
      <c r="C8" s="12" t="inlineStr">
        <is>
          <t>Cover types</t>
        </is>
      </c>
      <c r="D8" s="12" t="inlineStr">
        <is>
          <t>R05, P01</t>
        </is>
      </c>
      <c r="E8" s="12" t="inlineStr">
        <is>
          <t>Product Owner, MBS</t>
        </is>
      </c>
      <c r="F8" s="12" t="inlineStr">
        <is>
          <t>MBS data steward</t>
        </is>
      </c>
      <c r="G8" s="12" t="inlineStr">
        <is>
          <t>M5 (18 Jun 2027)</t>
        </is>
      </c>
      <c r="H8" s="12" t="n"/>
      <c r="I8" s="12" t="n"/>
      <c r="J8" s="12" t="n"/>
      <c r="K8" s="25" t="n"/>
    </row>
    <row r="9">
      <c r="A9" s="12" t="inlineStr">
        <is>
          <t>PRODUCT</t>
        </is>
      </c>
      <c r="B9" s="12" t="inlineStr">
        <is>
          <t>Legacy product / risk code to BIBS product code</t>
        </is>
      </c>
      <c r="C9" s="12" t="inlineStr">
        <is>
          <t>Products and risk codes</t>
        </is>
      </c>
      <c r="D9" s="12" t="inlineStr">
        <is>
          <t>R05, R06, R07, P01, F01</t>
        </is>
      </c>
      <c r="E9" s="12" t="inlineStr">
        <is>
          <t>Product Owner, MBS</t>
        </is>
      </c>
      <c r="F9" s="12" t="inlineStr">
        <is>
          <t>MBS data steward</t>
        </is>
      </c>
      <c r="G9" s="12" t="inlineStr">
        <is>
          <t>M5 (18 Jun 2027)</t>
        </is>
      </c>
      <c r="H9" s="12" t="n"/>
      <c r="I9" s="12" t="n"/>
      <c r="J9" s="12" t="n"/>
      <c r="K9" s="25" t="n"/>
    </row>
    <row r="10">
      <c r="A10" s="12" t="inlineStr">
        <is>
          <t>PACKAGE</t>
        </is>
      </c>
      <c r="B10" s="12" t="inlineStr">
        <is>
          <t>Legacy package and version to the BIBS package version maintained by TSU; conditional entries (risk code, insurer, sum-insured band) where one legacy package splits. Loaded as reference data (R06) for</t>
        </is>
      </c>
      <c r="C10" s="12" t="inlineStr">
        <is>
          <t>Package versions (Renewal package map)</t>
        </is>
      </c>
      <c r="D10" s="12" t="inlineStr">
        <is>
          <t>R06</t>
        </is>
      </c>
      <c r="E10" s="12" t="inlineStr">
        <is>
          <t>Product Owner, MBS (approves)</t>
        </is>
      </c>
      <c r="F10" s="12" t="inlineStr">
        <is>
          <t>TSU (prepares)</t>
        </is>
      </c>
      <c r="G10" s="12" t="inlineStr">
        <is>
          <t>M5 (18 Jun 2027)</t>
        </is>
      </c>
      <c r="H10" s="12" t="n"/>
      <c r="I10" s="12" t="n"/>
      <c r="J10" s="12" t="n"/>
      <c r="K10" s="25" t="n"/>
    </row>
    <row r="11">
      <c r="A11" s="12" t="inlineStr">
        <is>
          <t>BRANCH</t>
        </is>
      </c>
      <c r="B11" s="12" t="inlineStr">
        <is>
          <t>Legacy branch to BIBS branch</t>
        </is>
      </c>
      <c r="C11" s="12" t="inlineStr">
        <is>
          <t>Branches</t>
        </is>
      </c>
      <c r="D11" s="12" t="inlineStr">
        <is>
          <t>R02, R03, R11, C01, P01, F01, F02, G01, G03</t>
        </is>
      </c>
      <c r="E11" s="12" t="inlineStr">
        <is>
          <t>Head, Comptrollership</t>
        </is>
      </c>
      <c r="F11" s="12" t="inlineStr">
        <is>
          <t>Comptrollership data steward</t>
        </is>
      </c>
      <c r="G11" s="12" t="inlineStr">
        <is>
          <t>M5 (18 Jun 2027)</t>
        </is>
      </c>
      <c r="H11" s="12" t="n"/>
      <c r="I11" s="12" t="n"/>
      <c r="J11" s="12" t="n"/>
      <c r="K11" s="25" t="n"/>
    </row>
    <row r="12">
      <c r="A12" s="12" t="inlineStr">
        <is>
          <t>SALES_UNIT</t>
        </is>
      </c>
      <c r="B12" s="12" t="inlineStr">
        <is>
          <t>Legacy region, department and team to BIBS sales unit</t>
        </is>
      </c>
      <c r="C12" s="12" t="inlineStr">
        <is>
          <t>Sales units</t>
        </is>
      </c>
      <c r="D12" s="12" t="inlineStr">
        <is>
          <t>R03, C01, P01, F01, F02</t>
        </is>
      </c>
      <c r="E12" s="12" t="inlineStr">
        <is>
          <t>Heads, Retail and Corporate Marketing</t>
        </is>
      </c>
      <c r="F12" s="12" t="inlineStr">
        <is>
          <t>Marketing data steward</t>
        </is>
      </c>
      <c r="G12" s="12" t="inlineStr">
        <is>
          <t>M5 (18 Jun 2027)</t>
        </is>
      </c>
      <c r="H12" s="12" t="n"/>
      <c r="I12" s="12" t="n"/>
      <c r="J12" s="12" t="n"/>
      <c r="K12" s="25" t="n"/>
    </row>
    <row r="13">
      <c r="A13" s="12" t="inlineStr">
        <is>
          <t>AO</t>
        </is>
      </c>
      <c r="B13" s="12" t="inlineStr">
        <is>
          <t>Legacy AO code to BIBS account officer</t>
        </is>
      </c>
      <c r="C13" s="12" t="inlineStr">
        <is>
          <t>Account officers</t>
        </is>
      </c>
      <c r="D13" s="12" t="inlineStr">
        <is>
          <t>R03</t>
        </is>
      </c>
      <c r="E13" s="12" t="inlineStr">
        <is>
          <t>Heads, Retail and Corporate Marketing</t>
        </is>
      </c>
      <c r="F13" s="12" t="inlineStr">
        <is>
          <t>Marketing data steward</t>
        </is>
      </c>
      <c r="G13" s="12" t="inlineStr">
        <is>
          <t>M5 (18 Jun 2027)</t>
        </is>
      </c>
      <c r="H13" s="12" t="n"/>
      <c r="I13" s="12" t="n"/>
      <c r="J13" s="12" t="n"/>
      <c r="K13" s="25" t="n"/>
    </row>
    <row r="14">
      <c r="A14" s="12" t="inlineStr">
        <is>
          <t>USER</t>
        </is>
      </c>
      <c r="B14" s="12" t="inlineStr">
        <is>
          <t>Legacy user ID to BIBS username (AO, handler, collector, requester)</t>
        </is>
      </c>
      <c r="C14" s="12" t="inlineStr">
        <is>
          <t>BIBS users (User Access)</t>
        </is>
      </c>
      <c r="D14" s="12" t="inlineStr">
        <is>
          <t>R03, C01, P01, P03, F01, F03, F04</t>
        </is>
      </c>
      <c r="E14" s="12" t="inlineStr">
        <is>
          <t>Unit Head, Analytics and Risk Management</t>
        </is>
      </c>
      <c r="F14" s="12" t="inlineStr">
        <is>
          <t>IT security administrator</t>
        </is>
      </c>
      <c r="G14" s="12" t="inlineStr">
        <is>
          <t>M5 (18 Jun 2027)</t>
        </is>
      </c>
      <c r="H14" s="12" t="n"/>
      <c r="I14" s="12" t="n"/>
      <c r="J14" s="12" t="n"/>
      <c r="K14" s="25" t="n"/>
    </row>
    <row r="15">
      <c r="A15" s="12" t="inlineStr">
        <is>
          <t>COST_CENTER</t>
        </is>
      </c>
      <c r="B15" s="12" t="inlineStr">
        <is>
          <t>Legacy cost centre to BIBS cost centre</t>
        </is>
      </c>
      <c r="C15" s="12" t="inlineStr">
        <is>
          <t>Cost centres</t>
        </is>
      </c>
      <c r="D15" s="12" t="inlineStr">
        <is>
          <t>R03, F01, G01, G03</t>
        </is>
      </c>
      <c r="E15" s="12" t="inlineStr">
        <is>
          <t>Head, Comptrollership</t>
        </is>
      </c>
      <c r="F15" s="12" t="inlineStr">
        <is>
          <t>Comptrollership data steward</t>
        </is>
      </c>
      <c r="G15" s="12" t="inlineStr">
        <is>
          <t>M5 (18 Jun 2027)</t>
        </is>
      </c>
      <c r="H15" s="12" t="n"/>
      <c r="I15" s="12" t="n"/>
      <c r="J15" s="12" t="n"/>
      <c r="K15" s="25" t="n"/>
    </row>
    <row r="16">
      <c r="A16" s="12" t="inlineStr">
        <is>
          <t>GL_ACCOUNT</t>
        </is>
      </c>
      <c r="B16" s="12" t="inlineStr">
        <is>
          <t>Legacy GL account to BIBS account (legacy control accounts to Migration Clearing; lines on P&amp;L accounts post to retained earnings in the opening and the true-ups)</t>
        </is>
      </c>
      <c r="C16" s="12" t="inlineStr">
        <is>
          <t>Chart of accounts</t>
        </is>
      </c>
      <c r="D16" s="12" t="inlineStr">
        <is>
          <t>R08, G01, G03</t>
        </is>
      </c>
      <c r="E16" s="12" t="inlineStr">
        <is>
          <t>Head, Comptrollership</t>
        </is>
      </c>
      <c r="F16" s="12" t="inlineStr">
        <is>
          <t>Comptrollership data steward</t>
        </is>
      </c>
      <c r="G16" s="12" t="inlineStr">
        <is>
          <t>M5 (18 Jun 2027)</t>
        </is>
      </c>
      <c r="H16" s="12" t="n"/>
      <c r="I16" s="12" t="n"/>
      <c r="J16" s="12" t="n"/>
      <c r="K16" s="25" t="n"/>
    </row>
    <row r="17">
      <c r="A17" s="12" t="inlineStr">
        <is>
          <t>BANK</t>
        </is>
      </c>
      <c r="B17" s="12" t="inlineStr">
        <is>
          <t>Legacy bank code to BIBS bank list</t>
        </is>
      </c>
      <c r="C17" s="12" t="inlineStr">
        <is>
          <t>Bank list</t>
        </is>
      </c>
      <c r="D17" s="12" t="inlineStr">
        <is>
          <t>R09, C03, P01, F06</t>
        </is>
      </c>
      <c r="E17" s="12" t="inlineStr">
        <is>
          <t>Product Owner, Comptrollership - Disbursement</t>
        </is>
      </c>
      <c r="F17" s="12" t="inlineStr">
        <is>
          <t>Disbursement data steward</t>
        </is>
      </c>
      <c r="G17" s="12" t="inlineStr">
        <is>
          <t>M5 (18 Jun 2027)</t>
        </is>
      </c>
      <c r="H17" s="12" t="n"/>
      <c r="I17" s="12" t="n"/>
      <c r="J17" s="12" t="n"/>
      <c r="K17" s="25" t="n"/>
    </row>
    <row r="18">
      <c r="A18" s="12" t="inlineStr">
        <is>
          <t>CURRENCY</t>
        </is>
      </c>
      <c r="B18" s="12" t="inlineStr">
        <is>
          <t>Legacy currency code to ISO 4217</t>
        </is>
      </c>
      <c r="C18" s="12" t="inlineStr">
        <is>
          <t>Currencies (ISO 4217)</t>
        </is>
      </c>
      <c r="D18" s="12" t="inlineStr">
        <is>
          <t>All amount layouts</t>
        </is>
      </c>
      <c r="E18" s="12" t="inlineStr">
        <is>
          <t>Head, Comptrollership</t>
        </is>
      </c>
      <c r="F18" s="12" t="inlineStr">
        <is>
          <t>Comptrollership data steward</t>
        </is>
      </c>
      <c r="G18" s="12" t="inlineStr">
        <is>
          <t>M5 (18 Jun 2027)</t>
        </is>
      </c>
      <c r="H18" s="12" t="n"/>
      <c r="I18" s="12" t="n"/>
      <c r="J18" s="12" t="n"/>
      <c r="K18" s="25" t="n"/>
    </row>
    <row r="19">
      <c r="A19" s="12" t="inlineStr">
        <is>
          <t>DISPOSITION_TYPE</t>
        </is>
      </c>
      <c r="B19" s="12" t="inlineStr">
        <is>
          <t>Legacy UPP disposition types to BIBS disposition types</t>
        </is>
      </c>
      <c r="C19" s="12" t="inlineStr">
        <is>
          <t>Cashiering disposition types</t>
        </is>
      </c>
      <c r="D19" s="12" t="inlineStr">
        <is>
          <t>F02</t>
        </is>
      </c>
      <c r="E19" s="12" t="inlineStr">
        <is>
          <t>Operations - Financial Transactions</t>
        </is>
      </c>
      <c r="F19" s="12" t="inlineStr">
        <is>
          <t>Cashiering data steward</t>
        </is>
      </c>
      <c r="G19" s="12" t="inlineStr">
        <is>
          <t>M5 (18 Jun 2027)</t>
        </is>
      </c>
      <c r="H19" s="12" t="n"/>
      <c r="I19" s="12" t="n"/>
      <c r="J19" s="12" t="n"/>
      <c r="K19" s="25" t="n"/>
    </row>
    <row r="20">
      <c r="A20" s="12" t="inlineStr">
        <is>
          <t>DISPOSITION_CLX</t>
        </is>
      </c>
      <c r="B20" s="12" t="inlineStr">
        <is>
          <t>Legacy collection dispositions to BIBS collection dispositions</t>
        </is>
      </c>
      <c r="C20" s="12" t="inlineStr">
        <is>
          <t>Collections dispositions</t>
        </is>
      </c>
      <c r="D20" s="12" t="inlineStr">
        <is>
          <t>F03</t>
        </is>
      </c>
      <c r="E20" s="12" t="inlineStr">
        <is>
          <t>Head, Operations (Collections)</t>
        </is>
      </c>
      <c r="F20" s="12" t="inlineStr">
        <is>
          <t>Collections data steward</t>
        </is>
      </c>
      <c r="G20" s="12" t="inlineStr">
        <is>
          <t>M5 (18 Jun 2027)</t>
        </is>
      </c>
      <c r="H20" s="12" t="n"/>
      <c r="I20" s="12" t="n"/>
      <c r="J20" s="12" t="n"/>
      <c r="K20" s="25" t="n"/>
    </row>
    <row r="21">
      <c r="A21" s="12" t="inlineStr">
        <is>
          <t>DOCUMENT_TYPE</t>
        </is>
      </c>
      <c r="B21" s="12" t="inlineStr">
        <is>
          <t>Legacy document types to archive document types</t>
        </is>
      </c>
      <c r="C21" s="12" t="inlineStr">
        <is>
          <t>Document types of the archive</t>
        </is>
      </c>
      <c r="D21" s="12" t="inlineStr">
        <is>
          <t>H02</t>
        </is>
      </c>
      <c r="E21" s="12" t="inlineStr">
        <is>
          <t>Compliance</t>
        </is>
      </c>
      <c r="F21" s="12" t="inlineStr">
        <is>
          <t>Compliance data steward</t>
        </is>
      </c>
      <c r="G21" s="12" t="inlineStr">
        <is>
          <t>Before the first archive load</t>
        </is>
      </c>
      <c r="H21" s="12" t="n"/>
      <c r="I21" s="12" t="n"/>
      <c r="J21" s="12" t="n"/>
      <c r="K21" s="25" t="n"/>
    </row>
    <row r="22">
      <c r="A22" s="12" t="inlineStr">
        <is>
          <t>LOV:CIVIL_STATUS</t>
        </is>
      </c>
      <c r="B22" s="12" t="inlineStr">
        <is>
          <t>Legacy values of the list civil status</t>
        </is>
      </c>
      <c r="C22" s="12" t="inlineStr">
        <is>
          <t>Lists of values</t>
        </is>
      </c>
      <c r="D22" s="12" t="inlineStr">
        <is>
          <t>R01, C01, P01, F01</t>
        </is>
      </c>
      <c r="E22" s="12" t="inlineStr">
        <is>
          <t>Product Owner, MBS</t>
        </is>
      </c>
      <c r="F22" s="12" t="inlineStr">
        <is>
          <t>MBS data steward</t>
        </is>
      </c>
      <c r="G22" s="12" t="inlineStr">
        <is>
          <t>M5 (18 Jun 2027)</t>
        </is>
      </c>
      <c r="H22" s="12" t="n"/>
      <c r="I22" s="12" t="n"/>
      <c r="J22" s="12" t="n"/>
      <c r="K22" s="25" t="n"/>
    </row>
    <row r="23">
      <c r="A23" s="12" t="inlineStr">
        <is>
          <t>LOV:ID_TYPE</t>
        </is>
      </c>
      <c r="B23" s="12" t="inlineStr">
        <is>
          <t>Legacy values of the list ID type</t>
        </is>
      </c>
      <c r="C23" s="12" t="inlineStr">
        <is>
          <t>Lists of values</t>
        </is>
      </c>
      <c r="D23" s="12" t="inlineStr">
        <is>
          <t>R01, C01, P01, F01</t>
        </is>
      </c>
      <c r="E23" s="12" t="inlineStr">
        <is>
          <t>Product Owner, MBS</t>
        </is>
      </c>
      <c r="F23" s="12" t="inlineStr">
        <is>
          <t>MBS data steward</t>
        </is>
      </c>
      <c r="G23" s="12" t="inlineStr">
        <is>
          <t>M5 (18 Jun 2027)</t>
        </is>
      </c>
      <c r="H23" s="12" t="n"/>
      <c r="I23" s="12" t="n"/>
      <c r="J23" s="12" t="n"/>
      <c r="K23" s="25" t="n"/>
    </row>
    <row r="24">
      <c r="A24" s="12" t="inlineStr">
        <is>
          <t>LOV:KYC_RISK_RATING</t>
        </is>
      </c>
      <c r="B24" s="12" t="inlineStr">
        <is>
          <t>Legacy values of the list kyc risk rating</t>
        </is>
      </c>
      <c r="C24" s="12" t="inlineStr">
        <is>
          <t>Lists of values</t>
        </is>
      </c>
      <c r="D24" s="12" t="inlineStr">
        <is>
          <t>R01, C01, P01, F01</t>
        </is>
      </c>
      <c r="E24" s="12" t="inlineStr">
        <is>
          <t>Product Owner, MBS</t>
        </is>
      </c>
      <c r="F24" s="12" t="inlineStr">
        <is>
          <t>MBS data steward</t>
        </is>
      </c>
      <c r="G24" s="12" t="inlineStr">
        <is>
          <t>M5 (18 Jun 2027)</t>
        </is>
      </c>
      <c r="H24" s="12" t="n"/>
      <c r="I24" s="12" t="n"/>
      <c r="J24" s="12" t="n"/>
      <c r="K24" s="25" t="n"/>
    </row>
    <row r="25">
      <c r="A25" s="12" t="inlineStr">
        <is>
          <t>LOV:MARKET_SEGMENT</t>
        </is>
      </c>
      <c r="B25" s="12" t="inlineStr">
        <is>
          <t>Legacy values of the list market segment</t>
        </is>
      </c>
      <c r="C25" s="12" t="inlineStr">
        <is>
          <t>Lists of values</t>
        </is>
      </c>
      <c r="D25" s="12" t="inlineStr">
        <is>
          <t>R01, C01, P01, F01</t>
        </is>
      </c>
      <c r="E25" s="12" t="inlineStr">
        <is>
          <t>Product Owner, MBS</t>
        </is>
      </c>
      <c r="F25" s="12" t="inlineStr">
        <is>
          <t>MBS data steward</t>
        </is>
      </c>
      <c r="G25" s="12" t="inlineStr">
        <is>
          <t>M5 (18 Jun 2027)</t>
        </is>
      </c>
      <c r="H25" s="12" t="n"/>
      <c r="I25" s="12" t="n"/>
      <c r="J25" s="12" t="n"/>
      <c r="K25" s="25" t="n"/>
    </row>
    <row r="26">
      <c r="A26" s="12" t="inlineStr">
        <is>
          <t>LOV:NATIONALITY</t>
        </is>
      </c>
      <c r="B26" s="12" t="inlineStr">
        <is>
          <t>Legacy values of the list nationality</t>
        </is>
      </c>
      <c r="C26" s="12" t="inlineStr">
        <is>
          <t>Lists of values</t>
        </is>
      </c>
      <c r="D26" s="12" t="inlineStr">
        <is>
          <t>R01, C01, P01, F01</t>
        </is>
      </c>
      <c r="E26" s="12" t="inlineStr">
        <is>
          <t>Product Owner, MBS</t>
        </is>
      </c>
      <c r="F26" s="12" t="inlineStr">
        <is>
          <t>MBS data steward</t>
        </is>
      </c>
      <c r="G26" s="12" t="inlineStr">
        <is>
          <t>M5 (18 Jun 2027)</t>
        </is>
      </c>
      <c r="H26" s="12" t="n"/>
      <c r="I26" s="12" t="n"/>
      <c r="J26" s="12" t="n"/>
      <c r="K26" s="25" t="n"/>
    </row>
    <row r="27">
      <c r="A27" s="12" t="inlineStr">
        <is>
          <t>LOV:PAYEE_CLASS</t>
        </is>
      </c>
      <c r="B27" s="12" t="inlineStr">
        <is>
          <t>Legacy values of the list payee class</t>
        </is>
      </c>
      <c r="C27" s="12" t="inlineStr">
        <is>
          <t>Lists of values</t>
        </is>
      </c>
      <c r="D27" s="12" t="inlineStr">
        <is>
          <t>R01, C01, P01, F01</t>
        </is>
      </c>
      <c r="E27" s="12" t="inlineStr">
        <is>
          <t>Product Owner, MBS</t>
        </is>
      </c>
      <c r="F27" s="12" t="inlineStr">
        <is>
          <t>MBS data steward</t>
        </is>
      </c>
      <c r="G27" s="12" t="inlineStr">
        <is>
          <t>M5 (18 Jun 2027)</t>
        </is>
      </c>
      <c r="H27" s="12" t="n"/>
      <c r="I27" s="12" t="n"/>
      <c r="J27" s="12" t="n"/>
      <c r="K27" s="25" t="n"/>
    </row>
    <row r="28">
      <c r="A28" s="12" t="inlineStr">
        <is>
          <t>LOV:SOURCE_OF_FUNDS</t>
        </is>
      </c>
      <c r="B28" s="12" t="inlineStr">
        <is>
          <t>Legacy values of the list source of funds</t>
        </is>
      </c>
      <c r="C28" s="12" t="inlineStr">
        <is>
          <t>Lists of values</t>
        </is>
      </c>
      <c r="D28" s="12" t="inlineStr">
        <is>
          <t>R01, C01, P01, F01</t>
        </is>
      </c>
      <c r="E28" s="12" t="inlineStr">
        <is>
          <t>Product Owner, MBS</t>
        </is>
      </c>
      <c r="F28" s="12" t="inlineStr">
        <is>
          <t>MBS data steward</t>
        </is>
      </c>
      <c r="G28" s="12" t="inlineStr">
        <is>
          <t>M5 (18 Jun 2027)</t>
        </is>
      </c>
      <c r="H28" s="12" t="n"/>
      <c r="I28" s="12" t="n"/>
      <c r="J28" s="12" t="n"/>
      <c r="K28" s="25" t="n"/>
    </row>
    <row r="29">
      <c r="A29" s="12" t="inlineStr">
        <is>
          <t>MIS:BUSINESS_ORIGIN</t>
        </is>
      </c>
      <c r="B29" s="12" t="inlineStr">
        <is>
          <t>Legacy values of the MIS field business origin</t>
        </is>
      </c>
      <c r="C29" s="12" t="inlineStr">
        <is>
          <t>MIS fields</t>
        </is>
      </c>
      <c r="D29" s="12" t="inlineStr">
        <is>
          <t>R01, C01, P01</t>
        </is>
      </c>
      <c r="E29" s="12" t="inlineStr">
        <is>
          <t>Product Owner, MBS</t>
        </is>
      </c>
      <c r="F29" s="12" t="inlineStr">
        <is>
          <t>MBS data steward</t>
        </is>
      </c>
      <c r="G29" s="12" t="inlineStr">
        <is>
          <t>M5 (18 Jun 2027)</t>
        </is>
      </c>
      <c r="H29" s="12" t="n"/>
      <c r="I29" s="12" t="n"/>
      <c r="J29" s="12" t="n"/>
      <c r="K29" s="25" t="n"/>
    </row>
    <row r="30">
      <c r="A30" s="12" t="inlineStr">
        <is>
          <t>MIS:CUSTOMER_SEGMENT</t>
        </is>
      </c>
      <c r="B30" s="12" t="inlineStr">
        <is>
          <t>Legacy values of the MIS field customer segment</t>
        </is>
      </c>
      <c r="C30" s="12" t="inlineStr">
        <is>
          <t>MIS fields</t>
        </is>
      </c>
      <c r="D30" s="12" t="inlineStr">
        <is>
          <t>R01, C01, P01</t>
        </is>
      </c>
      <c r="E30" s="12" t="inlineStr">
        <is>
          <t>Product Owner, MBS</t>
        </is>
      </c>
      <c r="F30" s="12" t="inlineStr">
        <is>
          <t>MBS data steward</t>
        </is>
      </c>
      <c r="G30" s="12" t="inlineStr">
        <is>
          <t>M5 (18 Jun 2027)</t>
        </is>
      </c>
      <c r="H30" s="12" t="n"/>
      <c r="I30" s="12" t="n"/>
      <c r="J30" s="12" t="n"/>
      <c r="K30" s="25" t="n"/>
    </row>
    <row r="31">
      <c r="A31" s="12" t="inlineStr">
        <is>
          <t>STATUS:CLIENT</t>
        </is>
      </c>
      <c r="B31" s="12" t="inlineStr">
        <is>
          <t>Legacy statuses of client</t>
        </is>
      </c>
      <c r="C31" s="12" t="inlineStr">
        <is>
          <t>Status of the BIBS record</t>
        </is>
      </c>
      <c r="D31" s="12" t="inlineStr">
        <is>
          <t>C01, R04, R05, P01, F02, F04, F06</t>
        </is>
      </c>
      <c r="E31" s="12" t="inlineStr">
        <is>
          <t>Owner of the object</t>
        </is>
      </c>
      <c r="F31" s="12" t="inlineStr">
        <is>
          <t>Steward of the object</t>
        </is>
      </c>
      <c r="G31" s="12" t="inlineStr">
        <is>
          <t>M5 (18 Jun 2027)</t>
        </is>
      </c>
      <c r="H31" s="12" t="n"/>
      <c r="I31" s="12" t="n"/>
      <c r="J31" s="12" t="n"/>
      <c r="K31" s="25" t="n"/>
    </row>
    <row r="32">
      <c r="A32" s="12" t="inlineStr">
        <is>
          <t>STATUS:INSURER</t>
        </is>
      </c>
      <c r="B32" s="12" t="inlineStr">
        <is>
          <t>Legacy statuses of insurer</t>
        </is>
      </c>
      <c r="C32" s="12" t="inlineStr">
        <is>
          <t>Status of the BIBS record</t>
        </is>
      </c>
      <c r="D32" s="12" t="inlineStr">
        <is>
          <t>C01, R04, R05, P01, F02, F04, F06</t>
        </is>
      </c>
      <c r="E32" s="12" t="inlineStr">
        <is>
          <t>Owner of the object</t>
        </is>
      </c>
      <c r="F32" s="12" t="inlineStr">
        <is>
          <t>Steward of the object</t>
        </is>
      </c>
      <c r="G32" s="12" t="inlineStr">
        <is>
          <t>M5 (18 Jun 2027)</t>
        </is>
      </c>
      <c r="H32" s="12" t="n"/>
      <c r="I32" s="12" t="n"/>
      <c r="J32" s="12" t="n"/>
      <c r="K32" s="25" t="n"/>
    </row>
    <row r="33">
      <c r="A33" s="12" t="inlineStr">
        <is>
          <t>STATUS:KYC</t>
        </is>
      </c>
      <c r="B33" s="12" t="inlineStr">
        <is>
          <t>Legacy statuses of kyc</t>
        </is>
      </c>
      <c r="C33" s="12" t="inlineStr">
        <is>
          <t>Status of the BIBS record</t>
        </is>
      </c>
      <c r="D33" s="12" t="inlineStr">
        <is>
          <t>C01, R04, R05, P01, F02, F04, F06</t>
        </is>
      </c>
      <c r="E33" s="12" t="inlineStr">
        <is>
          <t>Owner of the object</t>
        </is>
      </c>
      <c r="F33" s="12" t="inlineStr">
        <is>
          <t>Steward of the object</t>
        </is>
      </c>
      <c r="G33" s="12" t="inlineStr">
        <is>
          <t>M5 (18 Jun 2027)</t>
        </is>
      </c>
      <c r="H33" s="12" t="n"/>
      <c r="I33" s="12" t="n"/>
      <c r="J33" s="12" t="n"/>
      <c r="K33" s="25" t="n"/>
    </row>
    <row r="34">
      <c r="A34" s="12" t="inlineStr">
        <is>
          <t>STATUS:PDC</t>
        </is>
      </c>
      <c r="B34" s="12" t="inlineStr">
        <is>
          <t>Legacy statuses of pdc</t>
        </is>
      </c>
      <c r="C34" s="12" t="inlineStr">
        <is>
          <t>Status of the BIBS record</t>
        </is>
      </c>
      <c r="D34" s="12" t="inlineStr">
        <is>
          <t>C01, R04, R05, P01, F02, F04, F06</t>
        </is>
      </c>
      <c r="E34" s="12" t="inlineStr">
        <is>
          <t>Owner of the object</t>
        </is>
      </c>
      <c r="F34" s="12" t="inlineStr">
        <is>
          <t>Steward of the object</t>
        </is>
      </c>
      <c r="G34" s="12" t="inlineStr">
        <is>
          <t>M5 (18 Jun 2027)</t>
        </is>
      </c>
      <c r="H34" s="12" t="n"/>
      <c r="I34" s="12" t="n"/>
      <c r="J34" s="12" t="n"/>
      <c r="K34" s="25" t="n"/>
    </row>
    <row r="35">
      <c r="A35" s="12" t="inlineStr">
        <is>
          <t>STATUS:POLICY</t>
        </is>
      </c>
      <c r="B35" s="12" t="inlineStr">
        <is>
          <t>Legacy statuses of policy</t>
        </is>
      </c>
      <c r="C35" s="12" t="inlineStr">
        <is>
          <t>Status of the BIBS record</t>
        </is>
      </c>
      <c r="D35" s="12" t="inlineStr">
        <is>
          <t>C01, R04, R05, P01, F02, F04, F06</t>
        </is>
      </c>
      <c r="E35" s="12" t="inlineStr">
        <is>
          <t>Owner of the object</t>
        </is>
      </c>
      <c r="F35" s="12" t="inlineStr">
        <is>
          <t>Steward of the object</t>
        </is>
      </c>
      <c r="G35" s="12" t="inlineStr">
        <is>
          <t>M5 (18 Jun 2027)</t>
        </is>
      </c>
      <c r="H35" s="12" t="n"/>
      <c r="I35" s="12" t="n"/>
      <c r="J35" s="12" t="n"/>
      <c r="K35" s="25" t="n"/>
    </row>
    <row r="36">
      <c r="A36" s="12" t="inlineStr">
        <is>
          <t>STATUS:PRODUCT</t>
        </is>
      </c>
      <c r="B36" s="12" t="inlineStr">
        <is>
          <t>Legacy statuses of product</t>
        </is>
      </c>
      <c r="C36" s="12" t="inlineStr">
        <is>
          <t>Status of the BIBS record</t>
        </is>
      </c>
      <c r="D36" s="12" t="inlineStr">
        <is>
          <t>C01, R04, R05, P01, F02, F04, F06</t>
        </is>
      </c>
      <c r="E36" s="12" t="inlineStr">
        <is>
          <t>Owner of the object</t>
        </is>
      </c>
      <c r="F36" s="12" t="inlineStr">
        <is>
          <t>Steward of the object</t>
        </is>
      </c>
      <c r="G36" s="12" t="inlineStr">
        <is>
          <t>M5 (18 Jun 2027)</t>
        </is>
      </c>
      <c r="H36" s="12" t="n"/>
      <c r="I36" s="12" t="n"/>
      <c r="J36" s="12" t="n"/>
      <c r="K36" s="25" t="n"/>
    </row>
    <row r="37">
      <c r="A37" s="12" t="inlineStr">
        <is>
          <t>STATUS:REMITTANCE</t>
        </is>
      </c>
      <c r="B37" s="12" t="inlineStr">
        <is>
          <t>Legacy statuses of remittance</t>
        </is>
      </c>
      <c r="C37" s="12" t="inlineStr">
        <is>
          <t>Status of the BIBS record</t>
        </is>
      </c>
      <c r="D37" s="12" t="inlineStr">
        <is>
          <t>C01, R04, R05, P01, F02, F04, F06</t>
        </is>
      </c>
      <c r="E37" s="12" t="inlineStr">
        <is>
          <t>Owner of the object</t>
        </is>
      </c>
      <c r="F37" s="12" t="inlineStr">
        <is>
          <t>Steward of the object</t>
        </is>
      </c>
      <c r="G37" s="12" t="inlineStr">
        <is>
          <t>M5 (18 Jun 2027)</t>
        </is>
      </c>
      <c r="H37" s="12" t="n"/>
      <c r="I37" s="12" t="n"/>
      <c r="J37" s="12" t="n"/>
      <c r="K37" s="25" t="n"/>
    </row>
    <row r="38">
      <c r="A38" s="12" t="inlineStr">
        <is>
          <t>STATUS:UPP</t>
        </is>
      </c>
      <c r="B38" s="12" t="inlineStr">
        <is>
          <t>Legacy statuses of upp</t>
        </is>
      </c>
      <c r="C38" s="12" t="inlineStr">
        <is>
          <t>Status of the BIBS record</t>
        </is>
      </c>
      <c r="D38" s="12" t="inlineStr">
        <is>
          <t>C01, R04, R05, P01, F02, F04, F06</t>
        </is>
      </c>
      <c r="E38" s="12" t="inlineStr">
        <is>
          <t>Owner of the object</t>
        </is>
      </c>
      <c r="F38" s="12" t="inlineStr">
        <is>
          <t>Steward of the object</t>
        </is>
      </c>
      <c r="G38" s="12" t="inlineStr">
        <is>
          <t>M5 (18 Jun 2027)</t>
        </is>
      </c>
      <c r="H38" s="12" t="n"/>
      <c r="I38" s="12" t="n"/>
      <c r="J38" s="12" t="n"/>
      <c r="K38" s="25" t="n"/>
    </row>
  </sheetData>
  <autoFilter ref="A4:K38"/>
  <mergeCells count="1">
    <mergeCell ref="A2:K2"/>
  </mergeCells>
  <conditionalFormatting sqref="A5:K538">
    <cfRule type="expression" priority="1" dxfId="0">
      <formula>AND(MOD(ROW(),2)=0,$A5&lt;&gt;"")</formula>
    </cfRule>
  </conditionalFormatting>
  <dataValidations count="2">
    <dataValidation sqref="H5:H538" showDropDown="0" showInputMessage="0" showErrorMessage="1" allowBlank="1" errorTitle="BU review" error="Choose a value from the list (BU review)." type="list">
      <formula1>'_lists'!$H$1:$H$3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4.xml><?xml version="1.0" encoding="utf-8"?>
<worksheet xmlns="http://schemas.openxmlformats.org/spreadsheetml/2006/main">
  <sheetPr>
    <outlinePr summaryBelow="1" summaryRight="1"/>
    <pageSetUpPr fitToPage="1"/>
  </sheetPr>
  <dimension ref="A1:J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16" customWidth="1" min="3" max="3"/>
    <col width="28" customWidth="1" min="4" max="4"/>
    <col width="12" customWidth="1" min="5" max="5"/>
    <col width="18" customWidth="1" min="6" max="6"/>
    <col width="10" customWidth="1" min="7" max="7"/>
    <col width="18" customWidth="1" min="8" max="8"/>
    <col width="34" customWidth="1" min="9" max="9"/>
    <col width="11" customWidth="1" min="10" max="10"/>
  </cols>
  <sheetData>
    <row r="1" ht="24" customHeight="1">
      <c r="A1" s="19" t="inlineStr">
        <is>
          <t>Code map template</t>
        </is>
      </c>
    </row>
    <row r="2">
      <c r="A2" s="22" t="inlineStr">
        <is>
          <t>Columns of a code map version as exported and imported in Excel on the Code Maps screen (the columns source_system to remarks; illustrative rows)</t>
        </is>
      </c>
    </row>
    <row r="3" ht="6" customHeight="1">
      <c r="A3" s="23" t="n"/>
      <c r="B3" s="23" t="n"/>
      <c r="C3" s="23" t="n"/>
      <c r="D3" s="23" t="n"/>
      <c r="E3" s="23" t="n"/>
      <c r="F3" s="23" t="n"/>
      <c r="G3" s="23" t="n"/>
      <c r="H3" s="23" t="n"/>
      <c r="I3" s="23" t="n"/>
      <c r="J3" s="23" t="n"/>
    </row>
    <row r="4" ht="30" customHeight="1">
      <c r="A4" s="24" t="inlineStr">
        <is>
          <t>Code map</t>
        </is>
      </c>
      <c r="B4" s="24" t="inlineStr">
        <is>
          <t>source_system</t>
        </is>
      </c>
      <c r="C4" s="24" t="inlineStr">
        <is>
          <t>legacy_code</t>
        </is>
      </c>
      <c r="D4" s="24" t="inlineStr">
        <is>
          <t>legacy_description</t>
        </is>
      </c>
      <c r="E4" s="24" t="inlineStr">
        <is>
          <t>qualifier</t>
        </is>
      </c>
      <c r="F4" s="24" t="inlineStr">
        <is>
          <t>qualifier_value</t>
        </is>
      </c>
      <c r="G4" s="24" t="inlineStr">
        <is>
          <t>action</t>
        </is>
      </c>
      <c r="H4" s="24" t="inlineStr">
        <is>
          <t>target_code</t>
        </is>
      </c>
      <c r="I4" s="24" t="inlineStr">
        <is>
          <t>remarks</t>
        </is>
      </c>
      <c r="J4" s="24" t="inlineStr">
        <is>
          <t>Rows using it</t>
        </is>
      </c>
    </row>
    <row r="5">
      <c r="A5" s="12" t="inlineStr">
        <is>
          <t>INSURER</t>
        </is>
      </c>
      <c r="B5" s="12" t="inlineStr">
        <is>
          <t>EBIX</t>
        </is>
      </c>
      <c r="C5" s="12" t="inlineStr">
        <is>
          <t>MAL</t>
        </is>
      </c>
      <c r="D5" s="12" t="inlineStr">
        <is>
          <t>Malayan Insurance Co., Inc.</t>
        </is>
      </c>
      <c r="E5" s="12" t="inlineStr"/>
      <c r="F5" s="12" t="inlineStr"/>
      <c r="G5" s="12" t="inlineStr">
        <is>
          <t>MAP</t>
        </is>
      </c>
      <c r="H5" s="12" t="inlineStr">
        <is>
          <t>INS-MAL</t>
        </is>
      </c>
      <c r="I5" s="12" t="inlineStr"/>
      <c r="J5" s="12" t="inlineStr">
        <is>
          <t>1,240</t>
        </is>
      </c>
    </row>
    <row r="6">
      <c r="A6" s="12" t="inlineStr">
        <is>
          <t>INSURER</t>
        </is>
      </c>
      <c r="B6" s="12" t="inlineStr">
        <is>
          <t>QPS</t>
        </is>
      </c>
      <c r="C6" s="12" t="inlineStr">
        <is>
          <t>0012</t>
        </is>
      </c>
      <c r="D6" s="12" t="inlineStr">
        <is>
          <t>Malayan Insurance</t>
        </is>
      </c>
      <c r="E6" s="12" t="inlineStr"/>
      <c r="F6" s="12" t="inlineStr"/>
      <c r="G6" s="12" t="inlineStr">
        <is>
          <t>MAP</t>
        </is>
      </c>
      <c r="H6" s="12" t="inlineStr">
        <is>
          <t>INS-MAL</t>
        </is>
      </c>
      <c r="I6" s="12" t="inlineStr">
        <is>
          <t>QPS numeric code of the same insurer</t>
        </is>
      </c>
      <c r="J6" s="12" t="inlineStr">
        <is>
          <t>310</t>
        </is>
      </c>
    </row>
    <row r="7">
      <c r="A7" s="12" t="inlineStr">
        <is>
          <t>LOV:MARKET_SEGMENT</t>
        </is>
      </c>
      <c r="B7" s="12" t="inlineStr">
        <is>
          <t>QPS</t>
        </is>
      </c>
      <c r="C7" s="12" t="inlineStr">
        <is>
          <t>CBG</t>
        </is>
      </c>
      <c r="D7" s="12" t="inlineStr">
        <is>
          <t>Consumer Banking Group</t>
        </is>
      </c>
      <c r="E7" s="12" t="inlineStr"/>
      <c r="F7" s="12" t="inlineStr"/>
      <c r="G7" s="12" t="inlineStr">
        <is>
          <t>MAP</t>
        </is>
      </c>
      <c r="H7" s="12" t="inlineStr">
        <is>
          <t>CBG</t>
        </is>
      </c>
      <c r="I7" s="12" t="inlineStr"/>
      <c r="J7" s="12" t="inlineStr">
        <is>
          <t>88,410</t>
        </is>
      </c>
    </row>
    <row r="8">
      <c r="A8" s="12" t="inlineStr">
        <is>
          <t>LOV:MARKET_SEGMENT</t>
        </is>
      </c>
      <c r="B8" s="12" t="inlineStr">
        <is>
          <t>QPS</t>
        </is>
      </c>
      <c r="C8" s="12" t="inlineStr">
        <is>
          <t>OLD-RET</t>
        </is>
      </c>
      <c r="D8" s="12" t="inlineStr">
        <is>
          <t>Retail (discontinued 2019)</t>
        </is>
      </c>
      <c r="E8" s="12" t="inlineStr"/>
      <c r="F8" s="12" t="inlineStr"/>
      <c r="G8" s="12" t="inlineStr">
        <is>
          <t>DEFAULT</t>
        </is>
      </c>
      <c r="H8" s="12" t="inlineStr"/>
      <c r="I8" s="12" t="inlineStr">
        <is>
          <t>Segment discontinued; the default of the set applies</t>
        </is>
      </c>
      <c r="J8" s="12" t="inlineStr">
        <is>
          <t>12</t>
        </is>
      </c>
    </row>
    <row r="9">
      <c r="A9" s="12" t="inlineStr">
        <is>
          <t>PRODUCT</t>
        </is>
      </c>
      <c r="B9" s="12" t="inlineStr">
        <is>
          <t>EBIX</t>
        </is>
      </c>
      <c r="C9" s="12" t="inlineStr">
        <is>
          <t>MC-PC-COMP</t>
        </is>
      </c>
      <c r="D9" s="12" t="inlineStr">
        <is>
          <t>Private Car Own Damage and Theft</t>
        </is>
      </c>
      <c r="E9" s="12" t="inlineStr"/>
      <c r="F9" s="12" t="inlineStr"/>
      <c r="G9" s="12" t="inlineStr">
        <is>
          <t>MAP</t>
        </is>
      </c>
      <c r="H9" s="12" t="inlineStr">
        <is>
          <t>MCPC01</t>
        </is>
      </c>
      <c r="I9" s="12" t="inlineStr"/>
      <c r="J9" s="12" t="inlineStr">
        <is>
          <t>41,002</t>
        </is>
      </c>
    </row>
    <row r="10">
      <c r="A10" s="12" t="inlineStr">
        <is>
          <t>STATUS:UPP</t>
        </is>
      </c>
      <c r="B10" s="12" t="inlineStr">
        <is>
          <t>EBIX</t>
        </is>
      </c>
      <c r="C10" s="12" t="inlineStr">
        <is>
          <t>FOR_MONITORING</t>
        </is>
      </c>
      <c r="D10" s="12" t="inlineStr">
        <is>
          <t>For monitoring</t>
        </is>
      </c>
      <c r="E10" s="12" t="inlineStr"/>
      <c r="F10" s="12" t="inlineStr"/>
      <c r="G10" s="12" t="inlineStr">
        <is>
          <t>MAP</t>
        </is>
      </c>
      <c r="H10" s="12" t="inlineStr">
        <is>
          <t>MONITORING</t>
        </is>
      </c>
      <c r="I10" s="12" t="inlineStr">
        <is>
          <t>Monitoring tab of the Unapplied workbench</t>
        </is>
      </c>
      <c r="J10" s="12" t="inlineStr">
        <is>
          <t>815</t>
        </is>
      </c>
    </row>
    <row r="11">
      <c r="A11" s="12" t="inlineStr">
        <is>
          <t>USER</t>
        </is>
      </c>
      <c r="B11" s="12" t="inlineStr">
        <is>
          <t>QPS</t>
        </is>
      </c>
      <c r="C11" s="12" t="inlineStr">
        <is>
          <t>mreyes</t>
        </is>
      </c>
      <c r="D11" s="12" t="inlineStr">
        <is>
          <t>Maria Reyes</t>
        </is>
      </c>
      <c r="E11" s="12" t="inlineStr"/>
      <c r="F11" s="12" t="inlineStr"/>
      <c r="G11" s="12" t="inlineStr">
        <is>
          <t>MAP</t>
        </is>
      </c>
      <c r="H11" s="12" t="inlineStr">
        <is>
          <t>maria.reyes</t>
        </is>
      </c>
      <c r="I11" s="12" t="inlineStr">
        <is>
          <t>BIBS user created through User Access</t>
        </is>
      </c>
      <c r="J11" s="12" t="inlineStr">
        <is>
          <t>3,112</t>
        </is>
      </c>
    </row>
    <row r="12">
      <c r="A12" s="12" t="inlineStr">
        <is>
          <t>MIS:BUSINESS_ORIGIN</t>
        </is>
      </c>
      <c r="B12" s="12" t="inlineStr">
        <is>
          <t>QPS</t>
        </is>
      </c>
      <c r="C12" s="12" t="inlineStr">
        <is>
          <t>WALKIN</t>
        </is>
      </c>
      <c r="D12" s="12" t="inlineStr">
        <is>
          <t>Walk-in</t>
        </is>
      </c>
      <c r="E12" s="12" t="inlineStr"/>
      <c r="F12" s="12" t="inlineStr"/>
      <c r="G12" s="12" t="inlineStr">
        <is>
          <t>CREATE</t>
        </is>
      </c>
      <c r="H12" s="12" t="inlineStr">
        <is>
          <t>WALK_IN</t>
        </is>
      </c>
      <c r="I12" s="12" t="inlineStr">
        <is>
          <t>New MIS value; authorised in the LOV master</t>
        </is>
      </c>
      <c r="J12" s="12" t="inlineStr">
        <is>
          <t>57</t>
        </is>
      </c>
    </row>
    <row r="13">
      <c r="A13" s="12" t="inlineStr">
        <is>
          <t>PACKAGE</t>
        </is>
      </c>
      <c r="B13" s="12" t="inlineStr">
        <is>
          <t>QPS</t>
        </is>
      </c>
      <c r="C13" s="12" t="inlineStr">
        <is>
          <t>PKG-MC-PRIV</t>
        </is>
      </c>
      <c r="D13" s="12" t="inlineStr">
        <is>
          <t>Private Car Package 2027</t>
        </is>
      </c>
      <c r="E13" s="12" t="inlineStr">
        <is>
          <t>SI_BAND</t>
        </is>
      </c>
      <c r="F13" s="12" t="inlineStr">
        <is>
          <t>0.00-2000000.00</t>
        </is>
      </c>
      <c r="G13" s="12" t="inlineStr">
        <is>
          <t>MAP</t>
        </is>
      </c>
      <c r="H13" s="12" t="inlineStr">
        <is>
          <t>MC-PRIVATE-STD v1</t>
        </is>
      </c>
      <c r="I13" s="12" t="inlineStr">
        <is>
          <t>Sum insured up to 2,000,000.00 (DMQ36)</t>
        </is>
      </c>
      <c r="J13" s="12" t="inlineStr">
        <is>
          <t>18,240</t>
        </is>
      </c>
    </row>
    <row r="14">
      <c r="A14" s="12" t="inlineStr">
        <is>
          <t>PACKAGE</t>
        </is>
      </c>
      <c r="B14" s="12" t="inlineStr">
        <is>
          <t>QPS</t>
        </is>
      </c>
      <c r="C14" s="12" t="inlineStr">
        <is>
          <t>PKG-MC-PRIV</t>
        </is>
      </c>
      <c r="D14" s="12" t="inlineStr">
        <is>
          <t>Private Car Package 2027</t>
        </is>
      </c>
      <c r="E14" s="12" t="inlineStr">
        <is>
          <t>SI_BAND</t>
        </is>
      </c>
      <c r="F14" s="12" t="inlineStr">
        <is>
          <t>2000000.01-999999999.99</t>
        </is>
      </c>
      <c r="G14" s="12" t="inlineStr">
        <is>
          <t>MAP</t>
        </is>
      </c>
      <c r="H14" s="12" t="inlineStr">
        <is>
          <t>MC-PRIVATE-HV v1</t>
        </is>
      </c>
      <c r="I14" s="12" t="inlineStr">
        <is>
          <t>Sum insured above 2,000,000.00 (DMQ36)</t>
        </is>
      </c>
      <c r="J14" s="12" t="inlineStr">
        <is>
          <t>1,115</t>
        </is>
      </c>
    </row>
    <row r="15">
      <c r="A15" s="12" t="inlineStr">
        <is>
          <t>PACKAGE</t>
        </is>
      </c>
      <c r="B15" s="12" t="inlineStr">
        <is>
          <t>QPS</t>
        </is>
      </c>
      <c r="C15" s="12" t="inlineStr">
        <is>
          <t>PKG-HOME-01</t>
        </is>
      </c>
      <c r="D15" s="12" t="inlineStr">
        <is>
          <t>Home Protect (withdrawn)</t>
        </is>
      </c>
      <c r="E15" s="12" t="inlineStr"/>
      <c r="F15" s="12" t="inlineStr"/>
      <c r="G15" s="12" t="inlineStr">
        <is>
          <t>REJECT</t>
        </is>
      </c>
      <c r="H15" s="12" t="inlineStr"/>
      <c r="I15" s="12" t="inlineStr">
        <is>
          <t>No BIBS package; at renewal the candidate goes to the Exception bucket (Renewal processing team)</t>
        </is>
      </c>
      <c r="J15" s="12" t="inlineStr">
        <is>
          <t>96</t>
        </is>
      </c>
    </row>
  </sheetData>
  <autoFilter ref="A4:J15"/>
  <mergeCells count="1">
    <mergeCell ref="A2:J2"/>
  </mergeCells>
  <conditionalFormatting sqref="A5:J515">
    <cfRule type="expression" priority="1" dxfId="0">
      <formula>AND(MOD(ROW(),2)=0,$A5&lt;&gt;"")</formula>
    </cfRule>
  </conditionalFormatting>
  <dataValidations count="2">
    <dataValidation sqref="B5:B515" showDropDown="0" showInputMessage="0" showErrorMessage="1" allowBlank="1" errorTitle="source_system" error="Choose a value from the list (source_system)." type="list">
      <formula1>'_lists'!$I$1:$I$5</formula1>
    </dataValidation>
    <dataValidation sqref="G5:G515" showDropDown="0" showInputMessage="0" showErrorMessage="1" allowBlank="1" errorTitle="action" error="Choose a value from the list (action)." type="list">
      <formula1>'_lists'!$J$1:$J$4</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5.xml><?xml version="1.0" encoding="utf-8"?>
<worksheet xmlns="http://schemas.openxmlformats.org/spreadsheetml/2006/main">
  <sheetPr>
    <outlinePr summaryBelow="1" summaryRight="1"/>
    <pageSetUpPr fitToPage="1"/>
  </sheetPr>
  <dimension ref="A1:L5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2" customWidth="1" min="3" max="3"/>
    <col width="14" customWidth="1" min="4" max="4"/>
    <col width="50" customWidth="1" min="5" max="5"/>
    <col width="22" customWidth="1" min="6" max="6"/>
    <col width="40" customWidth="1" min="7" max="7"/>
    <col width="24" customWidth="1" min="8" max="8"/>
    <col width="16" customWidth="1" min="9" max="9"/>
    <col width="40" customWidth="1" min="10" max="10"/>
    <col width="18" customWidth="1" min="11" max="11"/>
    <col width="13" customWidth="1" min="12" max="12"/>
  </cols>
  <sheetData>
    <row r="1" ht="24" customHeight="1">
      <c r="A1" s="19" t="inlineStr">
        <is>
          <t>Validation rules</t>
        </is>
      </c>
    </row>
    <row r="2">
      <c r="A2" s="22" t="inlineStr">
        <is>
          <t>Data-quality rules applied to every staged row (Layouts and Rules, Data-Quality Rules). Thresholds: master data 0.5 percent rejected or waived; financial objects none</t>
        </is>
      </c>
    </row>
    <row r="3" ht="6" customHeight="1">
      <c r="A3" s="23" t="n"/>
      <c r="B3" s="23" t="n"/>
      <c r="C3" s="23" t="n"/>
      <c r="D3" s="23" t="n"/>
      <c r="E3" s="23" t="n"/>
      <c r="F3" s="23" t="n"/>
      <c r="G3" s="23" t="n"/>
      <c r="H3" s="23" t="n"/>
      <c r="I3" s="23" t="n"/>
      <c r="J3" s="23" t="n"/>
      <c r="K3" s="23" t="n"/>
      <c r="L3" s="23" t="n"/>
    </row>
    <row r="4" ht="30" customHeight="1">
      <c r="A4" s="24" t="inlineStr">
        <is>
          <t>Rule</t>
        </is>
      </c>
      <c r="B4" s="24" t="inlineStr">
        <is>
          <t>Layouts</t>
        </is>
      </c>
      <c r="C4" s="24" t="inlineStr">
        <is>
          <t>Columns</t>
        </is>
      </c>
      <c r="D4" s="24" t="inlineStr">
        <is>
          <t>Kind</t>
        </is>
      </c>
      <c r="E4" s="24" t="inlineStr">
        <is>
          <t>Rule</t>
        </is>
      </c>
      <c r="F4" s="24" t="inlineStr">
        <is>
          <t>Severity</t>
        </is>
      </c>
      <c r="G4" s="24" t="inlineStr">
        <is>
          <t>Message</t>
        </is>
      </c>
      <c r="H4" s="24" t="inlineStr">
        <is>
          <t>Fixed by</t>
        </is>
      </c>
      <c r="I4" s="24" t="inlineStr">
        <is>
          <t>BU review</t>
        </is>
      </c>
      <c r="J4" s="24" t="inlineStr">
        <is>
          <t>BU comment</t>
        </is>
      </c>
      <c r="K4" s="24" t="inlineStr">
        <is>
          <t>Reviewer</t>
        </is>
      </c>
      <c r="L4" s="24" t="inlineStr">
        <is>
          <t>Review date</t>
        </is>
      </c>
    </row>
    <row r="5">
      <c r="A5" s="12" t="inlineStr">
        <is>
          <t>DQ-001</t>
        </is>
      </c>
      <c r="B5" s="12" t="inlineStr">
        <is>
          <t>All</t>
        </is>
      </c>
      <c r="C5" s="12" t="inlineStr">
        <is>
          <t>Mandatory columns</t>
        </is>
      </c>
      <c r="D5" s="12" t="inlineStr">
        <is>
          <t>Mandatory</t>
        </is>
      </c>
      <c r="E5" s="12" t="inlineStr">
        <is>
          <t>A column marked Y in the layout has a value; a column marked C has a value when its condition holds</t>
        </is>
      </c>
      <c r="F5" s="12" t="inlineStr">
        <is>
          <t>Error - the row is not loaded</t>
        </is>
      </c>
      <c r="G5" s="12" t="inlineStr">
        <is>
          <t>{field} is mandatory</t>
        </is>
      </c>
      <c r="H5" s="12" t="inlineStr">
        <is>
          <t>BDOI data steward (fix at source)</t>
        </is>
      </c>
      <c r="I5" s="12" t="n"/>
      <c r="J5" s="12" t="n"/>
      <c r="K5" s="12" t="n"/>
      <c r="L5" s="25" t="n"/>
    </row>
    <row r="6">
      <c r="A6" s="12" t="inlineStr">
        <is>
          <t>DQ-002</t>
        </is>
      </c>
      <c r="B6" s="12" t="inlineStr">
        <is>
          <t>All</t>
        </is>
      </c>
      <c r="C6" s="12" t="inlineStr">
        <is>
          <t>Date and amount columns</t>
        </is>
      </c>
      <c r="D6" s="12" t="inlineStr">
        <is>
          <t>Format</t>
        </is>
      </c>
      <c r="E6" s="12" t="inlineStr">
        <is>
          <t>Dates are yyyy-MM-dd; timestamps yyyy-MM-dd HH:mm:ss; amounts have a dot decimal, 2 decimals and no thousands separator</t>
        </is>
      </c>
      <c r="F6" s="12" t="inlineStr">
        <is>
          <t>Error - the row is not loaded</t>
        </is>
      </c>
      <c r="G6" s="12" t="inlineStr">
        <is>
          <t>{field} {value} is not a valid {type}</t>
        </is>
      </c>
      <c r="H6" s="12" t="inlineStr">
        <is>
          <t>BDOI IT (extract)</t>
        </is>
      </c>
      <c r="I6" s="12" t="n"/>
      <c r="J6" s="12" t="n"/>
      <c r="K6" s="12" t="n"/>
      <c r="L6" s="25" t="n"/>
    </row>
    <row r="7">
      <c r="A7" s="12" t="inlineStr">
        <is>
          <t>DQ-003</t>
        </is>
      </c>
      <c r="B7" s="12" t="inlineStr">
        <is>
          <t>All</t>
        </is>
      </c>
      <c r="C7" s="12" t="inlineStr">
        <is>
          <t>Coded columns</t>
        </is>
      </c>
      <c r="D7" s="12" t="inlineStr">
        <is>
          <t>Code map</t>
        </is>
      </c>
      <c r="E7" s="12" t="inlineStr">
        <is>
          <t>Every coded column has an entry in the approved version of its code map set</t>
        </is>
      </c>
      <c r="F7" s="12" t="inlineStr">
        <is>
          <t>Error - the row is not loaded</t>
        </is>
      </c>
      <c r="G7" s="12" t="inlineStr">
        <is>
          <t>Code {code} of {set} is not mapped</t>
        </is>
      </c>
      <c r="H7" s="12" t="inlineStr">
        <is>
          <t>Data Steward (code map)</t>
        </is>
      </c>
      <c r="I7" s="12" t="n"/>
      <c r="J7" s="12" t="n"/>
      <c r="K7" s="12" t="n"/>
      <c r="L7" s="25" t="n"/>
    </row>
    <row r="8">
      <c r="A8" s="12" t="inlineStr">
        <is>
          <t>DQ-004</t>
        </is>
      </c>
      <c r="B8" s="12" t="inlineStr">
        <is>
          <t>All</t>
        </is>
      </c>
      <c r="C8" s="12" t="inlineStr">
        <is>
          <t>Key columns</t>
        </is>
      </c>
      <c r="D8" s="12" t="inlineStr">
        <is>
          <t>Unique</t>
        </is>
      </c>
      <c r="E8" s="12" t="inlineStr">
        <is>
          <t>The legacy key of the layout is unique in the file</t>
        </is>
      </c>
      <c r="F8" s="12" t="inlineStr">
        <is>
          <t>Error - the row is not loaded</t>
        </is>
      </c>
      <c r="G8" s="12" t="inlineStr">
        <is>
          <t>{key} appears twice</t>
        </is>
      </c>
      <c r="H8" s="12" t="inlineStr">
        <is>
          <t>BDOI IT (extract)</t>
        </is>
      </c>
      <c r="I8" s="12" t="n"/>
      <c r="J8" s="12" t="n"/>
      <c r="K8" s="12" t="n"/>
      <c r="L8" s="25" t="n"/>
    </row>
    <row r="9">
      <c r="A9" s="12" t="inlineStr">
        <is>
          <t>DQ-005</t>
        </is>
      </c>
      <c r="B9" s="12" t="inlineStr">
        <is>
          <t>All</t>
        </is>
      </c>
      <c r="C9" s="12" t="inlineStr">
        <is>
          <t>Length</t>
        </is>
      </c>
      <c r="D9" s="12" t="inlineStr">
        <is>
          <t>Format</t>
        </is>
      </c>
      <c r="E9" s="12" t="inlineStr">
        <is>
          <t>No value is longer than the length of the layout</t>
        </is>
      </c>
      <c r="F9" s="12" t="inlineStr">
        <is>
          <t>Error - the row is not loaded</t>
        </is>
      </c>
      <c r="G9" s="12" t="inlineStr">
        <is>
          <t>{field} is longer than {n} characters</t>
        </is>
      </c>
      <c r="H9" s="12" t="inlineStr">
        <is>
          <t>BDOI data steward</t>
        </is>
      </c>
      <c r="I9" s="12" t="n"/>
      <c r="J9" s="12" t="n"/>
      <c r="K9" s="12" t="n"/>
      <c r="L9" s="25" t="n"/>
    </row>
    <row r="10">
      <c r="A10" s="12" t="inlineStr">
        <is>
          <t>DQ-006</t>
        </is>
      </c>
      <c r="B10" s="12" t="inlineStr">
        <is>
          <t>C01</t>
        </is>
      </c>
      <c r="C10" s="12" t="inlineStr">
        <is>
          <t>tin</t>
        </is>
      </c>
      <c r="D10" s="12" t="inlineStr">
        <is>
          <t>Format</t>
        </is>
      </c>
      <c r="E10" s="12" t="inlineStr">
        <is>
          <t>TIN has 9 to 12 digits after removing separators</t>
        </is>
      </c>
      <c r="F10" s="12" t="inlineStr">
        <is>
          <t>Error - the row is not loaded</t>
        </is>
      </c>
      <c r="G10" s="12" t="inlineStr">
        <is>
          <t>TIN {value} is not valid</t>
        </is>
      </c>
      <c r="H10" s="12" t="inlineStr">
        <is>
          <t>BDOI data steward</t>
        </is>
      </c>
      <c r="I10" s="12" t="n"/>
      <c r="J10" s="12" t="n"/>
      <c r="K10" s="12" t="n"/>
      <c r="L10" s="25" t="n"/>
    </row>
    <row r="11">
      <c r="A11" s="12" t="inlineStr">
        <is>
          <t>DQ-007</t>
        </is>
      </c>
      <c r="B11" s="12" t="inlineStr">
        <is>
          <t>C01</t>
        </is>
      </c>
      <c r="C11" s="12" t="inlineStr">
        <is>
          <t>email, mobile</t>
        </is>
      </c>
      <c r="D11" s="12" t="inlineStr">
        <is>
          <t>Format</t>
        </is>
      </c>
      <c r="E11" s="12" t="inlineStr">
        <is>
          <t>E-mail and PH mobile follow the client formats of BIBS (09xxxxxxxxx or +639xxxxxxxxx)</t>
        </is>
      </c>
      <c r="F11" s="12" t="inlineStr">
        <is>
          <t>Warning - loaded and reported</t>
        </is>
      </c>
      <c r="G11" s="12" t="inlineStr">
        <is>
          <t>{field} {value} is not valid; it is loaded blank</t>
        </is>
      </c>
      <c r="H11" s="12" t="inlineStr">
        <is>
          <t>BDOI data steward</t>
        </is>
      </c>
      <c r="I11" s="12" t="n"/>
      <c r="J11" s="12" t="n"/>
      <c r="K11" s="12" t="n"/>
      <c r="L11" s="25" t="n"/>
    </row>
    <row r="12">
      <c r="A12" s="12" t="inlineStr">
        <is>
          <t>DQ-008</t>
        </is>
      </c>
      <c r="B12" s="12" t="inlineStr">
        <is>
          <t>C01</t>
        </is>
      </c>
      <c r="C12" s="12" t="inlineStr">
        <is>
          <t>birth_date</t>
        </is>
      </c>
      <c r="D12" s="12" t="inlineStr">
        <is>
          <t>Plausibility</t>
        </is>
      </c>
      <c r="E12" s="12" t="inlineStr">
        <is>
          <t>Birth date not in the future and age at most 120 years</t>
        </is>
      </c>
      <c r="F12" s="12" t="inlineStr">
        <is>
          <t>Error - the row is not loaded</t>
        </is>
      </c>
      <c r="G12" s="12" t="inlineStr">
        <is>
          <t>Birth date {value} is not plausible</t>
        </is>
      </c>
      <c r="H12" s="12" t="inlineStr">
        <is>
          <t>BDOI data steward</t>
        </is>
      </c>
      <c r="I12" s="12" t="n"/>
      <c r="J12" s="12" t="n"/>
      <c r="K12" s="12" t="n"/>
      <c r="L12" s="25" t="n"/>
    </row>
    <row r="13">
      <c r="A13" s="12" t="inlineStr">
        <is>
          <t>DQ-009</t>
        </is>
      </c>
      <c r="B13" s="12" t="inlineStr">
        <is>
          <t>C01</t>
        </is>
      </c>
      <c r="C13" s="12" t="inlineStr">
        <is>
          <t>client_type, names</t>
        </is>
      </c>
      <c r="D13" s="12" t="inlineStr">
        <is>
          <t>Cross-field</t>
        </is>
      </c>
      <c r="E13" s="12" t="inlineStr">
        <is>
          <t>Individual has last and first name; corporate has corporate name</t>
        </is>
      </c>
      <c r="F13" s="12" t="inlineStr">
        <is>
          <t>Error - the row is not loaded</t>
        </is>
      </c>
      <c r="G13" s="12" t="inlineStr">
        <is>
          <t>{field} is mandatory for client type {type}</t>
        </is>
      </c>
      <c r="H13" s="12" t="inlineStr">
        <is>
          <t>BDOI data steward</t>
        </is>
      </c>
      <c r="I13" s="12" t="n"/>
      <c r="J13" s="12" t="n"/>
      <c r="K13" s="12" t="n"/>
      <c r="L13" s="25" t="n"/>
    </row>
    <row r="14">
      <c r="A14" s="12" t="inlineStr">
        <is>
          <t>DQ-010</t>
        </is>
      </c>
      <c r="B14" s="12" t="inlineStr">
        <is>
          <t>C01</t>
        </is>
      </c>
      <c r="C14" s="12" t="inlineStr">
        <is>
          <t>All identity keys</t>
        </is>
      </c>
      <c r="D14" s="12" t="inlineStr">
        <is>
          <t>Duplicate client</t>
        </is>
      </c>
      <c r="E14" s="12" t="inlineStr">
        <is>
          <t>Pairs scoring 90 or more merge automatically; 60 to 89 go to the review queue</t>
        </is>
      </c>
      <c r="F14" s="12" t="inlineStr">
        <is>
          <t>Warning - loaded and reported</t>
        </is>
      </c>
      <c r="G14" s="12" t="inlineStr">
        <is>
          <t>{n} client pairs are waiting for review</t>
        </is>
      </c>
      <c r="H14" s="12" t="inlineStr">
        <is>
          <t>Data Steward (review queue)</t>
        </is>
      </c>
      <c r="I14" s="12" t="n"/>
      <c r="J14" s="12" t="n"/>
      <c r="K14" s="12" t="n"/>
      <c r="L14" s="25" t="n"/>
    </row>
    <row r="15">
      <c r="A15" s="12" t="inlineStr">
        <is>
          <t>DQ-011</t>
        </is>
      </c>
      <c r="B15" s="12" t="inlineStr">
        <is>
          <t>C01</t>
        </is>
      </c>
      <c r="C15" s="12" t="inlineStr">
        <is>
          <t>created_date</t>
        </is>
      </c>
      <c r="D15" s="12" t="inlineStr">
        <is>
          <t>Plausibility</t>
        </is>
      </c>
      <c r="E15" s="12" t="inlineStr">
        <is>
          <t>Client in scope per (created from 2020, or with an in-force policy or open item)</t>
        </is>
      </c>
      <c r="F15" s="12" t="inlineStr">
        <is>
          <t>Warning - loaded and reported</t>
        </is>
      </c>
      <c r="G15" s="12" t="inlineStr">
        <is>
          <t>Client {no} is outside the migration scope</t>
        </is>
      </c>
      <c r="H15" s="12" t="inlineStr">
        <is>
          <t>Data owner (decision)</t>
        </is>
      </c>
      <c r="I15" s="12" t="n"/>
      <c r="J15" s="12" t="n"/>
      <c r="K15" s="12" t="n"/>
      <c r="L15" s="25" t="n"/>
    </row>
    <row r="16">
      <c r="A16" s="12" t="inlineStr">
        <is>
          <t>DQ-012</t>
        </is>
      </c>
      <c r="B16" s="12" t="inlineStr">
        <is>
          <t>C02</t>
        </is>
      </c>
      <c r="C16" s="12" t="inlineStr">
        <is>
          <t>legacy_client_no</t>
        </is>
      </c>
      <c r="D16" s="12" t="inlineStr">
        <is>
          <t>Reference</t>
        </is>
      </c>
      <c r="E16" s="12" t="inlineStr">
        <is>
          <t>The client exists in C01 of the same source</t>
        </is>
      </c>
      <c r="F16" s="12" t="inlineStr">
        <is>
          <t>Error - the row is not loaded</t>
        </is>
      </c>
      <c r="G16" s="12" t="inlineStr">
        <is>
          <t>{parent} {key} is not loaded</t>
        </is>
      </c>
      <c r="H16" s="12" t="inlineStr">
        <is>
          <t>BDOI IT (extract)</t>
        </is>
      </c>
      <c r="I16" s="12" t="n"/>
      <c r="J16" s="12" t="n"/>
      <c r="K16" s="12" t="n"/>
      <c r="L16" s="25" t="n"/>
    </row>
    <row r="17">
      <c r="A17" s="12" t="inlineStr">
        <is>
          <t>DQ-013</t>
        </is>
      </c>
      <c r="B17" s="12" t="inlineStr">
        <is>
          <t>C02</t>
        </is>
      </c>
      <c r="C17" s="12" t="inlineStr">
        <is>
          <t>primary_flag</t>
        </is>
      </c>
      <c r="D17" s="12" t="inlineStr">
        <is>
          <t>Cross-field</t>
        </is>
      </c>
      <c r="E17" s="12" t="inlineStr">
        <is>
          <t>One primary ADDRESS per client</t>
        </is>
      </c>
      <c r="F17" s="12" t="inlineStr">
        <is>
          <t>Warning - loaded and reported</t>
        </is>
      </c>
      <c r="G17" s="12" t="inlineStr">
        <is>
          <t>Client {no} has {n} primary addresses; the latest is kept</t>
        </is>
      </c>
      <c r="H17" s="12" t="inlineStr">
        <is>
          <t>BDOI data steward</t>
        </is>
      </c>
      <c r="I17" s="12" t="n"/>
      <c r="J17" s="12" t="n"/>
      <c r="K17" s="12" t="n"/>
      <c r="L17" s="25" t="n"/>
    </row>
    <row r="18">
      <c r="A18" s="12" t="inlineStr">
        <is>
          <t>DQ-014</t>
        </is>
      </c>
      <c r="B18" s="12" t="inlineStr">
        <is>
          <t>P01</t>
        </is>
      </c>
      <c r="C18" s="12" t="inlineStr">
        <is>
          <t>inception_date, expiry_date</t>
        </is>
      </c>
      <c r="D18" s="12" t="inlineStr">
        <is>
          <t>Cross-field</t>
        </is>
      </c>
      <c r="E18" s="12" t="inlineStr">
        <is>
          <t>Expiry after inception and on or after the cut-over date</t>
        </is>
      </c>
      <c r="F18" s="12" t="inlineStr">
        <is>
          <t>Error - the row is not loaded</t>
        </is>
      </c>
      <c r="G18" s="12" t="inlineStr">
        <is>
          <t>The expiry date is before the inception date</t>
        </is>
      </c>
      <c r="H18" s="12" t="inlineStr">
        <is>
          <t>BDOI data steward</t>
        </is>
      </c>
      <c r="I18" s="12" t="n"/>
      <c r="J18" s="12" t="n"/>
      <c r="K18" s="12" t="n"/>
      <c r="L18" s="25" t="n"/>
    </row>
    <row r="19">
      <c r="A19" s="12" t="inlineStr">
        <is>
          <t>DQ-015</t>
        </is>
      </c>
      <c r="B19" s="12" t="inlineStr">
        <is>
          <t>P01S</t>
        </is>
      </c>
      <c r="C19" s="12" t="inlineStr">
        <is>
          <t>share_pct</t>
        </is>
      </c>
      <c r="D19" s="12" t="inlineStr">
        <is>
          <t>Cross-field</t>
        </is>
      </c>
      <c r="E19" s="12" t="inlineStr">
        <is>
          <t>Shares of a policy add up to 100 and exactly one lead</t>
        </is>
      </c>
      <c r="F19" s="12" t="inlineStr">
        <is>
          <t>Error - the row is not loaded</t>
        </is>
      </c>
      <c r="G19" s="12" t="inlineStr">
        <is>
          <t>Insurer shares add up to {x} percent</t>
        </is>
      </c>
      <c r="H19" s="12" t="inlineStr">
        <is>
          <t>BDOI data steward</t>
        </is>
      </c>
      <c r="I19" s="12" t="n"/>
      <c r="J19" s="12" t="n"/>
      <c r="K19" s="12" t="n"/>
      <c r="L19" s="25" t="n"/>
    </row>
    <row r="20">
      <c r="A20" s="12" t="inlineStr">
        <is>
          <t>DQ-016</t>
        </is>
      </c>
      <c r="B20" s="12" t="inlineStr">
        <is>
          <t>P01</t>
        </is>
      </c>
      <c r="C20" s="12" t="inlineStr">
        <is>
          <t>legacy_client_no</t>
        </is>
      </c>
      <c r="D20" s="12" t="inlineStr">
        <is>
          <t>Reference</t>
        </is>
      </c>
      <c r="E20" s="12" t="inlineStr">
        <is>
          <t>The client is loaded (cross-reference of migrated keys) or in the same load</t>
        </is>
      </c>
      <c r="F20" s="12" t="inlineStr">
        <is>
          <t>Error - the row is not loaded</t>
        </is>
      </c>
      <c r="G20" s="12" t="inlineStr">
        <is>
          <t>{parent} {key} is not loaded</t>
        </is>
      </c>
      <c r="H20" s="12" t="inlineStr">
        <is>
          <t>iorta TechNXT (load order) / BDOI (extract)</t>
        </is>
      </c>
      <c r="I20" s="12" t="n"/>
      <c r="J20" s="12" t="n"/>
      <c r="K20" s="12" t="n"/>
      <c r="L20" s="25" t="n"/>
    </row>
    <row r="21">
      <c r="A21" s="12" t="inlineStr">
        <is>
          <t>DQ-017</t>
        </is>
      </c>
      <c r="B21" s="12" t="inlineStr">
        <is>
          <t>P01</t>
        </is>
      </c>
      <c r="C21" s="12" t="inlineStr">
        <is>
          <t>risk_code, line_code</t>
        </is>
      </c>
      <c r="D21" s="12" t="inlineStr">
        <is>
          <t>Cross-field</t>
        </is>
      </c>
      <c r="E21" s="12" t="inlineStr">
        <is>
          <t>The product belongs to the line (line of the product in the product master)</t>
        </is>
      </c>
      <c r="F21" s="12" t="inlineStr">
        <is>
          <t>Error - the row is not loaded</t>
        </is>
      </c>
      <c r="G21" s="12" t="inlineStr">
        <is>
          <t>Product {code} is not in line {line}</t>
        </is>
      </c>
      <c r="H21" s="12" t="inlineStr">
        <is>
          <t>Data Steward (code map)</t>
        </is>
      </c>
      <c r="I21" s="12" t="n"/>
      <c r="J21" s="12" t="n"/>
      <c r="K21" s="12" t="n"/>
      <c r="L21" s="25" t="n"/>
    </row>
    <row r="22">
      <c r="A22" s="12" t="inlineStr">
        <is>
          <t>DQ-018</t>
        </is>
      </c>
      <c r="B22" s="12" t="inlineStr">
        <is>
          <t>P03</t>
        </is>
      </c>
      <c r="C22" s="12" t="inlineStr">
        <is>
          <t>legacy_policy_ref</t>
        </is>
      </c>
      <c r="D22" s="12" t="inlineStr">
        <is>
          <t>Reference</t>
        </is>
      </c>
      <c r="E22" s="12" t="inlineStr">
        <is>
          <t>The expiring policy header exists in P01 of the same load</t>
        </is>
      </c>
      <c r="F22" s="12" t="inlineStr">
        <is>
          <t>Error - the row is not loaded</t>
        </is>
      </c>
      <c r="G22" s="12" t="inlineStr">
        <is>
          <t>Cover {no} has no migrated header</t>
        </is>
      </c>
      <c r="H22" s="12" t="inlineStr">
        <is>
          <t>Renewal processing team (maker)</t>
        </is>
      </c>
      <c r="I22" s="12" t="n"/>
      <c r="J22" s="12" t="n"/>
      <c r="K22" s="12" t="n"/>
      <c r="L22" s="25" t="n"/>
    </row>
    <row r="23">
      <c r="A23" s="12" t="inlineStr">
        <is>
          <t>DQ-019</t>
        </is>
      </c>
      <c r="B23" s="12" t="inlineStr">
        <is>
          <t>P03</t>
        </is>
      </c>
      <c r="C23" s="12" t="inlineStr">
        <is>
          <t>expiry_date</t>
        </is>
      </c>
      <c r="D23" s="12" t="inlineStr">
        <is>
          <t>Cross-field</t>
        </is>
      </c>
      <c r="E23" s="12" t="inlineStr">
        <is>
          <t>Expiry equals the P01 expiry and falls from the cut-over date T to 31-May-2028 (go-live renewal window)</t>
        </is>
      </c>
      <c r="F23" s="12" t="inlineStr">
        <is>
          <t>Error - the row is not loaded</t>
        </is>
      </c>
      <c r="G23" s="12" t="inlineStr">
        <is>
          <t>Expiry {date} is outside the go-live renewal window or differs from the header</t>
        </is>
      </c>
      <c r="H23" s="12" t="inlineStr">
        <is>
          <t>Renewal processing team (maker)</t>
        </is>
      </c>
      <c r="I23" s="12" t="n"/>
      <c r="J23" s="12" t="n"/>
      <c r="K23" s="12" t="n"/>
      <c r="L23" s="25" t="n"/>
    </row>
    <row r="24">
      <c r="A24" s="12" t="inlineStr">
        <is>
          <t>DQ-020</t>
        </is>
      </c>
      <c r="B24" s="12" t="inlineStr">
        <is>
          <t>F01</t>
        </is>
      </c>
      <c r="C24" s="12" t="inlineStr">
        <is>
          <t>legacy_invoice_no</t>
        </is>
      </c>
      <c r="D24" s="12" t="inlineStr">
        <is>
          <t>Unique</t>
        </is>
      </c>
      <c r="E24" s="12" t="inlineStr">
        <is>
          <t>Invoice number unique across EBIX and QPS; a collision is prefixed with the source system</t>
        </is>
      </c>
      <c r="F24" s="12" t="inlineStr">
        <is>
          <t>Warning - loaded and reported</t>
        </is>
      </c>
      <c r="G24" s="12" t="inlineStr">
        <is>
          <t>Invoice {no} exists in two source systems; loaded as {source}-{no}</t>
        </is>
      </c>
      <c r="H24" s="12" t="inlineStr">
        <is>
          <t>iorta TechNXT (loader)</t>
        </is>
      </c>
      <c r="I24" s="12" t="n"/>
      <c r="J24" s="12" t="n"/>
      <c r="K24" s="12" t="n"/>
      <c r="L24" s="25" t="n"/>
    </row>
    <row r="25">
      <c r="A25" s="12" t="inlineStr">
        <is>
          <t>DQ-021</t>
        </is>
      </c>
      <c r="B25" s="12" t="inlineStr">
        <is>
          <t>F01</t>
        </is>
      </c>
      <c r="C25" s="12" t="inlineStr">
        <is>
          <t>gross_premium</t>
        </is>
      </c>
      <c r="D25" s="12" t="inlineStr">
        <is>
          <t>Cross-field</t>
        </is>
      </c>
      <c r="E25" s="12" t="inlineStr">
        <is>
          <t>Gross premium = sum of the booked amounts of the six premium components in F01C</t>
        </is>
      </c>
      <c r="F25" s="12" t="inlineStr">
        <is>
          <t>Error - the row is not loaded</t>
        </is>
      </c>
      <c r="G25" s="12" t="inlineStr">
        <is>
          <t>The premium components add up to {x}; the gross premium is {y}</t>
        </is>
      </c>
      <c r="H25" s="12" t="inlineStr">
        <is>
          <t>BDOI IT (extract)</t>
        </is>
      </c>
      <c r="I25" s="12" t="n"/>
      <c r="J25" s="12" t="n"/>
      <c r="K25" s="12" t="n"/>
      <c r="L25" s="25" t="n"/>
    </row>
    <row r="26">
      <c r="A26" s="12" t="inlineStr">
        <is>
          <t>DQ-022</t>
        </is>
      </c>
      <c r="B26" s="12" t="inlineStr">
        <is>
          <t>F01C</t>
        </is>
      </c>
      <c r="C26" s="12" t="inlineStr">
        <is>
          <t>open_balance</t>
        </is>
      </c>
      <c r="D26" s="12" t="inlineStr">
        <is>
          <t>Balance</t>
        </is>
      </c>
      <c r="E26" s="12" t="inlineStr">
        <is>
          <t>Premium components and PR2307 - open = booked + adjusted - paid - written off; DTIP, commission, VAT on commission, WTAX - open = booked + adjusted - remitted - written off</t>
        </is>
      </c>
      <c r="F26" s="12" t="inlineStr">
        <is>
          <t>Error - the row is not loaded</t>
        </is>
      </c>
      <c r="G26" s="12" t="inlineStr">
        <is>
          <t>The open balance of {component} does not equal booked + adjusted - paid / remitted - written off</t>
        </is>
      </c>
      <c r="H26" s="12" t="inlineStr">
        <is>
          <t>BDOI IT (extract)</t>
        </is>
      </c>
      <c r="I26" s="12" t="n"/>
      <c r="J26" s="12" t="n"/>
      <c r="K26" s="12" t="n"/>
      <c r="L26" s="25" t="n"/>
    </row>
    <row r="27">
      <c r="A27" s="12" t="inlineStr">
        <is>
          <t>DQ-023</t>
        </is>
      </c>
      <c r="B27" s="12" t="inlineStr">
        <is>
          <t>F01C</t>
        </is>
      </c>
      <c r="C27" s="12" t="inlineStr">
        <is>
          <t>open_balance</t>
        </is>
      </c>
      <c r="D27" s="12" t="inlineStr">
        <is>
          <t>Balance</t>
        </is>
      </c>
      <c r="E27" s="12" t="inlineStr">
        <is>
          <t>Open balance within 0 and booked + adjusted (same sign as the invoice)</t>
        </is>
      </c>
      <c r="F27" s="12" t="inlineStr">
        <is>
          <t>Error - the row is not loaded</t>
        </is>
      </c>
      <c r="G27" s="12" t="inlineStr">
        <is>
          <t>The open balance of {component} is outside the booked amount</t>
        </is>
      </c>
      <c r="H27" s="12" t="inlineStr">
        <is>
          <t>BDOI data steward</t>
        </is>
      </c>
      <c r="I27" s="12" t="n"/>
      <c r="J27" s="12" t="n"/>
      <c r="K27" s="12" t="n"/>
      <c r="L27" s="25" t="n"/>
    </row>
    <row r="28">
      <c r="A28" s="12" t="inlineStr">
        <is>
          <t>DQ-024</t>
        </is>
      </c>
      <c r="B28" s="12" t="inlineStr">
        <is>
          <t>F01</t>
        </is>
      </c>
      <c r="C28" s="12" t="inlineStr">
        <is>
          <t>every row</t>
        </is>
      </c>
      <c r="D28" s="12" t="inlineStr">
        <is>
          <t>Cross-field</t>
        </is>
      </c>
      <c r="E28" s="12" t="inlineStr">
        <is>
          <t>At least one component has an open balance</t>
        </is>
      </c>
      <c r="F28" s="12" t="inlineStr">
        <is>
          <t>Warning - loaded and reported</t>
        </is>
      </c>
      <c r="G28" s="12" t="inlineStr">
        <is>
          <t>Invoice {no} has no open balance</t>
        </is>
      </c>
      <c r="H28" s="12" t="inlineStr">
        <is>
          <t>Data owner (decision)</t>
        </is>
      </c>
      <c r="I28" s="12" t="n"/>
      <c r="J28" s="12" t="n"/>
      <c r="K28" s="12" t="n"/>
      <c r="L28" s="25" t="n"/>
    </row>
    <row r="29">
      <c r="A29" s="12" t="inlineStr">
        <is>
          <t>DQ-025</t>
        </is>
      </c>
      <c r="B29" s="12" t="inlineStr">
        <is>
          <t>F01S</t>
        </is>
      </c>
      <c r="C29" s="12" t="inlineStr">
        <is>
          <t>share_pct</t>
        </is>
      </c>
      <c r="D29" s="12" t="inlineStr">
        <is>
          <t>Cross-field</t>
        </is>
      </c>
      <c r="E29" s="12" t="inlineStr">
        <is>
          <t>Shares of an invoice add up to 100 and exactly one lead</t>
        </is>
      </c>
      <c r="F29" s="12" t="inlineStr">
        <is>
          <t>Error - the row is not loaded</t>
        </is>
      </c>
      <c r="G29" s="12" t="inlineStr">
        <is>
          <t>Insurer shares add up to {x} percent</t>
        </is>
      </c>
      <c r="H29" s="12" t="inlineStr">
        <is>
          <t>BDOI data steward</t>
        </is>
      </c>
      <c r="I29" s="12" t="n"/>
      <c r="J29" s="12" t="n"/>
      <c r="K29" s="12" t="n"/>
      <c r="L29" s="25" t="n"/>
    </row>
    <row r="30">
      <c r="A30" s="12" t="inlineStr">
        <is>
          <t>DQ-026</t>
        </is>
      </c>
      <c r="B30" s="12" t="inlineStr">
        <is>
          <t>F01</t>
        </is>
      </c>
      <c r="C30" s="12" t="inlineStr">
        <is>
          <t>parent_invoice_no</t>
        </is>
      </c>
      <c r="D30" s="12" t="inlineStr">
        <is>
          <t>Reference</t>
        </is>
      </c>
      <c r="E30" s="12" t="inlineStr">
        <is>
          <t>The parent invoice of an endorsement invoice is in the file or loaded</t>
        </is>
      </c>
      <c r="F30" s="12" t="inlineStr">
        <is>
          <t>Error - the row is not loaded</t>
        </is>
      </c>
      <c r="G30" s="12" t="inlineStr">
        <is>
          <t>{parent} {key} is not loaded</t>
        </is>
      </c>
      <c r="H30" s="12" t="inlineStr">
        <is>
          <t>BDOI IT (extract)</t>
        </is>
      </c>
      <c r="I30" s="12" t="n"/>
      <c r="J30" s="12" t="n"/>
      <c r="K30" s="12" t="n"/>
      <c r="L30" s="25" t="n"/>
    </row>
    <row r="31">
      <c r="A31" s="12" t="inlineStr">
        <is>
          <t>DQ-027</t>
        </is>
      </c>
      <c r="B31" s="12" t="inlineStr">
        <is>
          <t>F01</t>
        </is>
      </c>
      <c r="C31" s="12" t="inlineStr">
        <is>
          <t>commission_realised, deferred_vat_open</t>
        </is>
      </c>
      <c r="D31" s="12" t="inlineStr">
        <is>
          <t>Balance</t>
        </is>
      </c>
      <c r="E31" s="12" t="inlineStr">
        <is>
          <t>Realised commission within 0 and commission; deferred VAT within 0 and VAT on commission</t>
        </is>
      </c>
      <c r="F31" s="12" t="inlineStr">
        <is>
          <t>Error - the row is not loaded</t>
        </is>
      </c>
      <c r="G31" s="12" t="inlineStr">
        <is>
          <t>{field} is outside 0 and {limit}</t>
        </is>
      </c>
      <c r="H31" s="12" t="inlineStr">
        <is>
          <t>BDOI (Comptrollership)</t>
        </is>
      </c>
      <c r="I31" s="12" t="n"/>
      <c r="J31" s="12" t="n"/>
      <c r="K31" s="12" t="n"/>
      <c r="L31" s="25" t="n"/>
    </row>
    <row r="32">
      <c r="A32" s="12" t="inlineStr">
        <is>
          <t>DQ-028</t>
        </is>
      </c>
      <c r="B32" s="12" t="inlineStr">
        <is>
          <t>F01</t>
        </is>
      </c>
      <c r="C32" s="12" t="inlineStr">
        <is>
          <t>due_date</t>
        </is>
      </c>
      <c r="D32" s="12" t="inlineStr">
        <is>
          <t>Plausibility</t>
        </is>
      </c>
      <c r="E32" s="12" t="inlineStr">
        <is>
          <t>Invoice open more than 5 years</t>
        </is>
      </c>
      <c r="F32" s="12" t="inlineStr">
        <is>
          <t>Warning - loaded and reported</t>
        </is>
      </c>
      <c r="G32" s="12" t="inlineStr">
        <is>
          <t>Invoice {no} has been open since {date}</t>
        </is>
      </c>
      <c r="H32" s="12" t="inlineStr">
        <is>
          <t>Data owner (review)</t>
        </is>
      </c>
      <c r="I32" s="12" t="n"/>
      <c r="J32" s="12" t="n"/>
      <c r="K32" s="12" t="n"/>
      <c r="L32" s="25" t="n"/>
    </row>
    <row r="33">
      <c r="A33" s="12" t="inlineStr">
        <is>
          <t>DQ-029</t>
        </is>
      </c>
      <c r="B33" s="12" t="inlineStr">
        <is>
          <t>F01</t>
        </is>
      </c>
      <c r="C33" s="12" t="inlineStr">
        <is>
          <t>currency, booking_fx_rate</t>
        </is>
      </c>
      <c r="D33" s="12" t="inlineStr">
        <is>
          <t>Cross-field</t>
        </is>
      </c>
      <c r="E33" s="12" t="inlineStr">
        <is>
          <t>Foreign-currency invoice has a booking rate</t>
        </is>
      </c>
      <c r="F33" s="12" t="inlineStr">
        <is>
          <t>Error - the row is not loaded</t>
        </is>
      </c>
      <c r="G33" s="12" t="inlineStr">
        <is>
          <t>booking_fx_rate is mandatory for currency {currency}</t>
        </is>
      </c>
      <c r="H33" s="12" t="inlineStr">
        <is>
          <t>BDOI IT (extract)</t>
        </is>
      </c>
      <c r="I33" s="12" t="n"/>
      <c r="J33" s="12" t="n"/>
      <c r="K33" s="12" t="n"/>
      <c r="L33" s="25" t="n"/>
    </row>
    <row r="34">
      <c r="A34" s="12" t="inlineStr">
        <is>
          <t>DQ-030</t>
        </is>
      </c>
      <c r="B34" s="12" t="inlineStr">
        <is>
          <t>F02</t>
        </is>
      </c>
      <c r="C34" s="12" t="inlineStr">
        <is>
          <t>balance, amount</t>
        </is>
      </c>
      <c r="D34" s="12" t="inlineStr">
        <is>
          <t>Balance</t>
        </is>
      </c>
      <c r="E34" s="12" t="inlineStr">
        <is>
          <t>Balance above 0 and at most amount</t>
        </is>
      </c>
      <c r="F34" s="12" t="inlineStr">
        <is>
          <t>Error - the row is not loaded</t>
        </is>
      </c>
      <c r="G34" s="12" t="inlineStr">
        <is>
          <t>The balance is more than the amount received</t>
        </is>
      </c>
      <c r="H34" s="12" t="inlineStr">
        <is>
          <t>BDOI data steward</t>
        </is>
      </c>
      <c r="I34" s="12" t="n"/>
      <c r="J34" s="12" t="n"/>
      <c r="K34" s="12" t="n"/>
      <c r="L34" s="25" t="n"/>
    </row>
    <row r="35">
      <c r="A35" s="12" t="inlineStr">
        <is>
          <t>DQ-031</t>
        </is>
      </c>
      <c r="B35" s="12" t="inlineStr">
        <is>
          <t>F02</t>
        </is>
      </c>
      <c r="C35" s="12" t="inlineStr">
        <is>
          <t>ref_ columns</t>
        </is>
      </c>
      <c r="D35" s="12" t="inlineStr">
        <is>
          <t>Plausibility</t>
        </is>
      </c>
      <c r="E35" s="12" t="inlineStr">
        <is>
          <t>At least one match reference is given</t>
        </is>
      </c>
      <c r="F35" s="12" t="inlineStr">
        <is>
          <t>Warning - loaded and reported</t>
        </is>
      </c>
      <c r="G35" s="12" t="inlineStr">
        <is>
          <t>UPP {ref} has no reference to match; it stays for manual disposition</t>
        </is>
      </c>
      <c r="H35" s="12" t="inlineStr">
        <is>
          <t>BDOI data steward</t>
        </is>
      </c>
      <c r="I35" s="12" t="n"/>
      <c r="J35" s="12" t="n"/>
      <c r="K35" s="12" t="n"/>
      <c r="L35" s="25" t="n"/>
    </row>
    <row r="36">
      <c r="A36" s="12" t="inlineStr">
        <is>
          <t>DQ-032</t>
        </is>
      </c>
      <c r="B36" s="12" t="inlineStr">
        <is>
          <t>F02</t>
        </is>
      </c>
      <c r="C36" s="12" t="inlineStr">
        <is>
          <t>value_date</t>
        </is>
      </c>
      <c r="D36" s="12" t="inlineStr">
        <is>
          <t>Plausibility</t>
        </is>
      </c>
      <c r="E36" s="12" t="inlineStr">
        <is>
          <t>UPP older than 2 years</t>
        </is>
      </c>
      <c r="F36" s="12" t="inlineStr">
        <is>
          <t>Warning - loaded and reported</t>
        </is>
      </c>
      <c r="G36" s="12" t="inlineStr">
        <is>
          <t>UPP {ref} is older than 2 years</t>
        </is>
      </c>
      <c r="H36" s="12" t="inlineStr">
        <is>
          <t>Data owner (review; candidate for income reclassification)</t>
        </is>
      </c>
      <c r="I36" s="12" t="n"/>
      <c r="J36" s="12" t="n"/>
      <c r="K36" s="12" t="n"/>
      <c r="L36" s="25" t="n"/>
    </row>
    <row r="37">
      <c r="A37" s="12" t="inlineStr">
        <is>
          <t>DQ-033</t>
        </is>
      </c>
      <c r="B37" s="12" t="inlineStr">
        <is>
          <t>F03</t>
        </is>
      </c>
      <c r="C37" s="12" t="inlineStr">
        <is>
          <t>legacy_invoice_no</t>
        </is>
      </c>
      <c r="D37" s="12" t="inlineStr">
        <is>
          <t>Reference</t>
        </is>
      </c>
      <c r="E37" s="12" t="inlineStr">
        <is>
          <t>The invoice is in F01</t>
        </is>
      </c>
      <c r="F37" s="12" t="inlineStr">
        <is>
          <t>Error - the row is not loaded</t>
        </is>
      </c>
      <c r="G37" s="12" t="inlineStr">
        <is>
          <t>{parent} {key} is not loaded</t>
        </is>
      </c>
      <c r="H37" s="12" t="inlineStr">
        <is>
          <t>BDOI IT (extract)</t>
        </is>
      </c>
      <c r="I37" s="12" t="n"/>
      <c r="J37" s="12" t="n"/>
      <c r="K37" s="12" t="n"/>
      <c r="L37" s="25" t="n"/>
    </row>
    <row r="38">
      <c r="A38" s="12" t="inlineStr">
        <is>
          <t>DQ-034</t>
        </is>
      </c>
      <c r="B38" s="12" t="inlineStr">
        <is>
          <t>F03</t>
        </is>
      </c>
      <c r="C38" s="12" t="inlineStr">
        <is>
          <t>promise_amount</t>
        </is>
      </c>
      <c r="D38" s="12" t="inlineStr">
        <is>
          <t>Balance</t>
        </is>
      </c>
      <c r="E38" s="12" t="inlineStr">
        <is>
          <t>Promise at most the open premium receivable of the invoice</t>
        </is>
      </c>
      <c r="F38" s="12" t="inlineStr">
        <is>
          <t>Warning - loaded and reported</t>
        </is>
      </c>
      <c r="G38" s="12" t="inlineStr">
        <is>
          <t>Promise {amount} is above the open balance {balance}</t>
        </is>
      </c>
      <c r="H38" s="12" t="inlineStr">
        <is>
          <t>BDOI data steward</t>
        </is>
      </c>
      <c r="I38" s="12" t="n"/>
      <c r="J38" s="12" t="n"/>
      <c r="K38" s="12" t="n"/>
      <c r="L38" s="25" t="n"/>
    </row>
    <row r="39">
      <c r="A39" s="12" t="inlineStr">
        <is>
          <t>DQ-035</t>
        </is>
      </c>
      <c r="B39" s="12" t="inlineStr">
        <is>
          <t>F04</t>
        </is>
      </c>
      <c r="C39" s="12" t="inlineStr">
        <is>
          <t>amount</t>
        </is>
      </c>
      <c r="D39" s="12" t="inlineStr">
        <is>
          <t>Balance</t>
        </is>
      </c>
      <c r="E39" s="12" t="inlineStr">
        <is>
          <t>Hold or special amount at most the open DTIP of the invoice</t>
        </is>
      </c>
      <c r="F39" s="12" t="inlineStr">
        <is>
          <t>Error - the row is not loaded</t>
        </is>
      </c>
      <c r="G39" s="12" t="inlineStr">
        <is>
          <t>Amount {x} is above the open DTIP {y}</t>
        </is>
      </c>
      <c r="H39" s="12" t="inlineStr">
        <is>
          <t>BDOI data steward</t>
        </is>
      </c>
      <c r="I39" s="12" t="n"/>
      <c r="J39" s="12" t="n"/>
      <c r="K39" s="12" t="n"/>
      <c r="L39" s="25" t="n"/>
    </row>
    <row r="40">
      <c r="A40" s="12" t="inlineStr">
        <is>
          <t>DQ-036</t>
        </is>
      </c>
      <c r="B40" s="12" t="inlineStr">
        <is>
          <t>F06</t>
        </is>
      </c>
      <c r="C40" s="12" t="inlineStr">
        <is>
          <t>check_no, bank_code</t>
        </is>
      </c>
      <c r="D40" s="12" t="inlineStr">
        <is>
          <t>Unique</t>
        </is>
      </c>
      <c r="E40" s="12" t="inlineStr">
        <is>
          <t>Check number and bank unique among PDCs</t>
        </is>
      </c>
      <c r="F40" s="12" t="inlineStr">
        <is>
          <t>Error - the row is not loaded</t>
        </is>
      </c>
      <c r="G40" s="12" t="inlineStr">
        <is>
          <t>Check {no} of {bank} appears twice</t>
        </is>
      </c>
      <c r="H40" s="12" t="inlineStr">
        <is>
          <t>BDOI data steward</t>
        </is>
      </c>
      <c r="I40" s="12" t="n"/>
      <c r="J40" s="12" t="n"/>
      <c r="K40" s="12" t="n"/>
      <c r="L40" s="25" t="n"/>
    </row>
    <row r="41">
      <c r="A41" s="12" t="inlineStr">
        <is>
          <t>DQ-037</t>
        </is>
      </c>
      <c r="B41" s="12" t="inlineStr">
        <is>
          <t>G01</t>
        </is>
      </c>
      <c r="C41" s="12" t="inlineStr">
        <is>
          <t>debit_php, credit_php</t>
        </is>
      </c>
      <c r="D41" s="12" t="inlineStr">
        <is>
          <t>Balance</t>
        </is>
      </c>
      <c r="E41" s="12" t="inlineStr">
        <is>
          <t>Total debit = total credit per branch and currency</t>
        </is>
      </c>
      <c r="F41" s="12" t="inlineStr">
        <is>
          <t>Error - the row is not loaded</t>
        </is>
      </c>
      <c r="G41" s="12" t="inlineStr">
        <is>
          <t>The trial balance of {branch} {currency} is out of balance by {x}</t>
        </is>
      </c>
      <c r="H41" s="12" t="inlineStr">
        <is>
          <t>BDOI (Comptrollership)</t>
        </is>
      </c>
      <c r="I41" s="12" t="n"/>
      <c r="J41" s="12" t="n"/>
      <c r="K41" s="12" t="n"/>
      <c r="L41" s="25" t="n"/>
    </row>
    <row r="42">
      <c r="A42" s="12" t="inlineStr">
        <is>
          <t>DQ-038</t>
        </is>
      </c>
      <c r="B42" s="12" t="inlineStr">
        <is>
          <t>G01</t>
        </is>
      </c>
      <c r="C42" s="12" t="inlineStr">
        <is>
          <t>debit_fc, credit_fc</t>
        </is>
      </c>
      <c r="D42" s="12" t="inlineStr">
        <is>
          <t>Cross-field</t>
        </is>
      </c>
      <c r="E42" s="12" t="inlineStr">
        <is>
          <t>A line is debit or credit and not both</t>
        </is>
      </c>
      <c r="F42" s="12" t="inlineStr">
        <is>
          <t>Error - the row is not loaded</t>
        </is>
      </c>
      <c r="G42" s="12" t="inlineStr">
        <is>
          <t>Line {account} has a debit and a credit</t>
        </is>
      </c>
      <c r="H42" s="12" t="inlineStr">
        <is>
          <t>BDOI IT (extract)</t>
        </is>
      </c>
      <c r="I42" s="12" t="n"/>
      <c r="J42" s="12" t="n"/>
      <c r="K42" s="12" t="n"/>
      <c r="L42" s="25" t="n"/>
    </row>
    <row r="43">
      <c r="A43" s="12" t="inlineStr">
        <is>
          <t>DQ-039</t>
        </is>
      </c>
      <c r="B43" s="12" t="inlineStr">
        <is>
          <t>G01</t>
        </is>
      </c>
      <c r="C43" s="12" t="inlineStr">
        <is>
          <t>legacy_account_code</t>
        </is>
      </c>
      <c r="D43" s="12" t="inlineStr">
        <is>
          <t>Code map</t>
        </is>
      </c>
      <c r="E43" s="12" t="inlineStr">
        <is>
          <t>Every account maps to a BIBS account or to Migration Clearing (legacy control accounts)</t>
        </is>
      </c>
      <c r="F43" s="12" t="inlineStr">
        <is>
          <t>Error - the row is not loaded</t>
        </is>
      </c>
      <c r="G43" s="12" t="inlineStr">
        <is>
          <t>Account {code} is not mapped</t>
        </is>
      </c>
      <c r="H43" s="12" t="inlineStr">
        <is>
          <t>BDOI (Comptrollership)</t>
        </is>
      </c>
      <c r="I43" s="12" t="n"/>
      <c r="J43" s="12" t="n"/>
      <c r="K43" s="12" t="n"/>
      <c r="L43" s="25" t="n"/>
    </row>
    <row r="44">
      <c r="A44" s="12" t="inlineStr">
        <is>
          <t>DQ-040</t>
        </is>
      </c>
      <c r="B44" s="12" t="inlineStr">
        <is>
          <t>G01 with F01 and F02</t>
        </is>
      </c>
      <c r="C44" s="12" t="inlineStr">
        <is>
          <t>control accounts</t>
        </is>
      </c>
      <c r="D44" s="12" t="inlineStr">
        <is>
          <t>Balance</t>
        </is>
      </c>
      <c r="E44" s="12" t="inlineStr">
        <is>
          <t>Per branch and currency, the trial balance lines of each legacy control account equal the F01 / F02 opening detail (Migration Clearing nets to 0.00)</t>
        </is>
      </c>
      <c r="F44" s="12" t="inlineStr">
        <is>
          <t>Error - the row is not loaded</t>
        </is>
      </c>
      <c r="G44" s="12" t="inlineStr">
        <is>
          <t>Migration Clearing is {amount} in {branch} {currency}; it must be zero</t>
        </is>
      </c>
      <c r="H44" s="12" t="inlineStr">
        <is>
          <t>BDOI (Comptrollership) with iorta</t>
        </is>
      </c>
      <c r="I44" s="12" t="n"/>
      <c r="J44" s="12" t="n"/>
      <c r="K44" s="12" t="n"/>
      <c r="L44" s="25" t="n"/>
    </row>
    <row r="45">
      <c r="A45" s="12" t="inlineStr">
        <is>
          <t>DQ-041</t>
        </is>
      </c>
      <c r="B45" s="12" t="inlineStr">
        <is>
          <t>R11</t>
        </is>
      </c>
      <c r="C45" s="12" t="inlineStr">
        <is>
          <t>next_no</t>
        </is>
      </c>
      <c r="D45" s="12" t="inlineStr">
        <is>
          <t>Cross-field</t>
        </is>
      </c>
      <c r="E45" s="12" t="inlineStr">
        <is>
          <t>The next number is the last used number + 1 and lies within the series (from and to numbers)</t>
        </is>
      </c>
      <c r="F45" s="12" t="inlineStr">
        <is>
          <t>Error - the row is not loaded</t>
        </is>
      </c>
      <c r="G45" s="12" t="inlineStr">
        <is>
          <t>Next number {n} is outside the series</t>
        </is>
      </c>
      <c r="H45" s="12" t="inlineStr">
        <is>
          <t>BDOI data steward</t>
        </is>
      </c>
      <c r="I45" s="12" t="n"/>
      <c r="J45" s="12" t="n"/>
      <c r="K45" s="12" t="n"/>
      <c r="L45" s="25" t="n"/>
    </row>
    <row r="46">
      <c r="A46" s="12" t="inlineStr">
        <is>
          <t>DQ-042</t>
        </is>
      </c>
      <c r="B46" s="12" t="inlineStr">
        <is>
          <t>R06</t>
        </is>
      </c>
      <c r="C46" s="12" t="inlineStr">
        <is>
          <t>share_pct</t>
        </is>
      </c>
      <c r="D46" s="12" t="inlineStr">
        <is>
          <t>Cross-field</t>
        </is>
      </c>
      <c r="E46" s="12" t="inlineStr">
        <is>
          <t>Shares of a package version add up to 100</t>
        </is>
      </c>
      <c r="F46" s="12" t="inlineStr">
        <is>
          <t>Error - the row is not loaded</t>
        </is>
      </c>
      <c r="G46" s="12" t="inlineStr">
        <is>
          <t>Insurer shares add up to {x} percent</t>
        </is>
      </c>
      <c r="H46" s="12" t="inlineStr">
        <is>
          <t>BDOI data steward</t>
        </is>
      </c>
      <c r="I46" s="12" t="n"/>
      <c r="J46" s="12" t="n"/>
      <c r="K46" s="12" t="n"/>
      <c r="L46" s="25" t="n"/>
    </row>
    <row r="47">
      <c r="A47" s="12" t="inlineStr">
        <is>
          <t>DQ-043</t>
        </is>
      </c>
      <c r="B47" s="12" t="inlineStr">
        <is>
          <t>R07</t>
        </is>
      </c>
      <c r="C47" s="12" t="inlineStr">
        <is>
          <t>effective_from, effective_to</t>
        </is>
      </c>
      <c r="D47" s="12" t="inlineStr">
        <is>
          <t>Cross-field</t>
        </is>
      </c>
      <c r="E47" s="12" t="inlineStr">
        <is>
          <t>No two rates overlap for the same insurer and product</t>
        </is>
      </c>
      <c r="F47" s="12" t="inlineStr">
        <is>
          <t>Error - the row is not loaded</t>
        </is>
      </c>
      <c r="G47" s="12" t="inlineStr">
        <is>
          <t>Rates of {insurer} {product} overlap</t>
        </is>
      </c>
      <c r="H47" s="12" t="inlineStr">
        <is>
          <t>BDOI data steward</t>
        </is>
      </c>
      <c r="I47" s="12" t="n"/>
      <c r="J47" s="12" t="n"/>
      <c r="K47" s="12" t="n"/>
      <c r="L47" s="25" t="n"/>
    </row>
    <row r="48">
      <c r="A48" s="12" t="inlineStr">
        <is>
          <t>DQ-044</t>
        </is>
      </c>
      <c r="B48" s="12" t="inlineStr">
        <is>
          <t>H01</t>
        </is>
      </c>
      <c r="C48" s="12" t="inlineStr">
        <is>
          <t>record_type, legacy_key</t>
        </is>
      </c>
      <c r="D48" s="12" t="inlineStr">
        <is>
          <t>Unique</t>
        </is>
      </c>
      <c r="E48" s="12" t="inlineStr">
        <is>
          <t>Key unique per record type</t>
        </is>
      </c>
      <c r="F48" s="12" t="inlineStr">
        <is>
          <t>Error - the row is not loaded</t>
        </is>
      </c>
      <c r="G48" s="12" t="inlineStr">
        <is>
          <t>{key} appears twice</t>
        </is>
      </c>
      <c r="H48" s="12" t="inlineStr">
        <is>
          <t>BDOI IT (extract)</t>
        </is>
      </c>
      <c r="I48" s="12" t="n"/>
      <c r="J48" s="12" t="n"/>
      <c r="K48" s="12" t="n"/>
      <c r="L48" s="25" t="n"/>
    </row>
    <row r="49">
      <c r="A49" s="12" t="inlineStr">
        <is>
          <t>DQ-045</t>
        </is>
      </c>
      <c r="B49" s="12" t="inlineStr">
        <is>
          <t>H02</t>
        </is>
      </c>
      <c r="C49" s="12" t="inlineStr">
        <is>
          <t>sha256, file_size_bytes</t>
        </is>
      </c>
      <c r="D49" s="12" t="inlineStr">
        <is>
          <t>Format</t>
        </is>
      </c>
      <c r="E49" s="12" t="inlineStr">
        <is>
          <t>Checksum and size equal the received file</t>
        </is>
      </c>
      <c r="F49" s="12" t="inlineStr">
        <is>
          <t>Error - the row is not loaded</t>
        </is>
      </c>
      <c r="G49" s="12" t="inlineStr">
        <is>
          <t>File {name} does not match its checksum</t>
        </is>
      </c>
      <c r="H49" s="12" t="inlineStr">
        <is>
          <t>BDOI IT (transfer)</t>
        </is>
      </c>
      <c r="I49" s="12" t="n"/>
      <c r="J49" s="12" t="n"/>
      <c r="K49" s="12" t="n"/>
      <c r="L49" s="25" t="n"/>
    </row>
    <row r="50">
      <c r="A50" s="12" t="inlineStr">
        <is>
          <t>DQ-046</t>
        </is>
      </c>
      <c r="B50" s="12" t="inlineStr">
        <is>
          <t>All</t>
        </is>
      </c>
      <c r="C50" s="12" t="inlineStr">
        <is>
          <t>as_of (control file)</t>
        </is>
      </c>
      <c r="D50" s="12" t="inlineStr">
        <is>
          <t>Format</t>
        </is>
      </c>
      <c r="E50" s="12" t="inlineStr">
        <is>
          <t>The data file agrees with its control file - SHA-256, row count, amount totals, hash total</t>
        </is>
      </c>
      <c r="F50" s="12" t="inlineStr">
        <is>
          <t>Error - the row is not loaded</t>
        </is>
      </c>
      <c r="G50" s="12" t="inlineStr">
        <is>
          <t>The file has {n} rows; the control file says {m}</t>
        </is>
      </c>
      <c r="H50" s="12" t="inlineStr">
        <is>
          <t>BDOI IT (extract)</t>
        </is>
      </c>
      <c r="I50" s="12" t="n"/>
      <c r="J50" s="12" t="n"/>
      <c r="K50" s="12" t="n"/>
      <c r="L50" s="25" t="n"/>
    </row>
    <row r="51">
      <c r="A51" s="12" t="inlineStr">
        <is>
          <t>DQ-047</t>
        </is>
      </c>
      <c r="B51" s="12" t="inlineStr">
        <is>
          <t>P03</t>
        </is>
      </c>
      <c r="C51" s="12" t="inlineStr">
        <is>
          <t>ra_sent_date</t>
        </is>
      </c>
      <c r="D51" s="12" t="inlineStr">
        <is>
          <t>Cross-field</t>
        </is>
      </c>
      <c r="E51" s="12" t="inlineStr">
        <is>
          <t>The RA date is not after the last legacy business day (T-5)</t>
        </is>
      </c>
      <c r="F51" s="12" t="inlineStr">
        <is>
          <t>Error - the row is not loaded</t>
        </is>
      </c>
      <c r="G51" s="12" t="inlineStr">
        <is>
          <t>RA date {date} is after the last legacy business day</t>
        </is>
      </c>
      <c r="H51" s="12" t="inlineStr">
        <is>
          <t>Renewal processing team (maker)</t>
        </is>
      </c>
      <c r="I51" s="12" t="n"/>
      <c r="J51" s="12" t="n"/>
      <c r="K51" s="12" t="n"/>
      <c r="L51" s="25" t="n"/>
    </row>
    <row r="52">
      <c r="A52" s="12" t="inlineStr">
        <is>
          <t>DQ-048</t>
        </is>
      </c>
      <c r="B52" s="12" t="inlineStr">
        <is>
          <t>P03</t>
        </is>
      </c>
      <c r="C52" s="12" t="inlineStr">
        <is>
          <t>ra_sent_date, expiry_date</t>
        </is>
      </c>
      <c r="D52" s="12" t="inlineStr">
        <is>
          <t>Plausibility</t>
        </is>
      </c>
      <c r="E52" s="12" t="inlineStr">
        <is>
          <t>The RA date is not more than 140 days before the expiry</t>
        </is>
      </c>
      <c r="F52" s="12" t="inlineStr">
        <is>
          <t>Warning - loaded and reported</t>
        </is>
      </c>
      <c r="G52" s="12" t="inlineStr">
        <is>
          <t>RA date {date} is more than 140 days before expiry {expiry}; check the tracker</t>
        </is>
      </c>
      <c r="H52" s="12" t="inlineStr">
        <is>
          <t>Renewal processing team (checker)</t>
        </is>
      </c>
      <c r="I52" s="12" t="n"/>
      <c r="J52" s="12" t="n"/>
      <c r="K52" s="12" t="n"/>
      <c r="L52" s="25" t="n"/>
    </row>
    <row r="53">
      <c r="A53" s="12" t="inlineStr">
        <is>
          <t>DQ-049</t>
        </is>
      </c>
      <c r="B53" s="12" t="inlineStr">
        <is>
          <t>P03 with P01</t>
        </is>
      </c>
      <c r="C53" s="12" t="inlineStr">
        <is>
          <t>legacy_policy_ref, expiry_date</t>
        </is>
      </c>
      <c r="D53" s="12" t="inlineStr">
        <is>
          <t>Reference</t>
        </is>
      </c>
      <c r="E53" s="12" t="inlineStr">
        <is>
          <t>Not renewed in legacy already - no P01 term of the same cover starts on this expiry</t>
        </is>
      </c>
      <c r="F53" s="12" t="inlineStr">
        <is>
          <t>Error - the row is not loaded</t>
        </is>
      </c>
      <c r="G53" s="12" t="inlineStr">
        <is>
          <t>Cover {no} was already renewed in legacy as {ref}; remove the row</t>
        </is>
      </c>
      <c r="H53" s="12" t="inlineStr">
        <is>
          <t>Renewal processing team (maker)</t>
        </is>
      </c>
      <c r="I53" s="12" t="n"/>
      <c r="J53" s="12" t="n"/>
      <c r="K53" s="12" t="n"/>
      <c r="L53" s="25" t="n"/>
    </row>
    <row r="54">
      <c r="A54" s="12" t="inlineStr">
        <is>
          <t>DQ-052</t>
        </is>
      </c>
      <c r="B54" s="12" t="inlineStr">
        <is>
          <t>G03</t>
        </is>
      </c>
      <c r="C54" s="12" t="inlineStr">
        <is>
          <t>debit_php, credit_php, debit_fc, credit_fc</t>
        </is>
      </c>
      <c r="D54" s="12" t="inlineStr">
        <is>
          <t>Balance</t>
        </is>
      </c>
      <c r="E54" s="12" t="inlineStr">
        <is>
          <t>Each legacy journal balances per branch and currency</t>
        </is>
      </c>
      <c r="F54" s="12" t="inlineStr">
        <is>
          <t>Error - the row is not loaded</t>
        </is>
      </c>
      <c r="G54" s="12" t="inlineStr">
        <is>
          <t>Journal {no} is out of balance by {amount} in {branch} {currency}</t>
        </is>
      </c>
      <c r="H54" s="12" t="inlineStr">
        <is>
          <t>BDOI (Comptrollership)</t>
        </is>
      </c>
      <c r="I54" s="12" t="n"/>
      <c r="J54" s="12" t="n"/>
      <c r="K54" s="12" t="n"/>
      <c r="L54" s="25" t="n"/>
    </row>
    <row r="55">
      <c r="A55" s="12" t="inlineStr">
        <is>
          <t>DQ-053</t>
        </is>
      </c>
      <c r="B55" s="12" t="inlineStr">
        <is>
          <t>G03</t>
        </is>
      </c>
      <c r="C55" s="12" t="inlineStr">
        <is>
          <t>legacy_journal_date, posted_at</t>
        </is>
      </c>
      <c r="D55" s="12" t="inlineStr">
        <is>
          <t>Cross-field</t>
        </is>
      </c>
      <c r="E55" s="12" t="inlineStr">
        <is>
          <t>Journal dated in FY2027 (1-Jan to 31-Dec-2027) and posted in legacy after the freeze (T-3 22:00)</t>
        </is>
      </c>
      <c r="F55" s="12" t="inlineStr">
        <is>
          <t>Error - the row is not loaded</t>
        </is>
      </c>
      <c r="G55" s="12" t="inlineStr">
        <is>
          <t>Journal {no} is dated {date}, outside FY2027</t>
        </is>
      </c>
      <c r="H55" s="12" t="inlineStr">
        <is>
          <t>BDOI (Comptrollership)</t>
        </is>
      </c>
      <c r="I55" s="12" t="n"/>
      <c r="J55" s="12" t="n"/>
      <c r="K55" s="12" t="n"/>
      <c r="L55" s="25" t="n"/>
    </row>
    <row r="56">
      <c r="A56" s="12" t="inlineStr">
        <is>
          <t>DQ-054</t>
        </is>
      </c>
      <c r="B56" s="12" t="inlineStr">
        <is>
          <t>G03</t>
        </is>
      </c>
      <c r="C56" s="12" t="inlineStr">
        <is>
          <t>register_ref, prepared_by, approved_by</t>
        </is>
      </c>
      <c r="D56" s="12" t="inlineStr">
        <is>
          <t>Reference</t>
        </is>
      </c>
      <c r="E56" s="12" t="inlineStr">
        <is>
          <t>The journal is in the FY2027 adjustment register; preparer and approver are on the Comptrollership access list and are different users</t>
        </is>
      </c>
      <c r="F56" s="12" t="inlineStr">
        <is>
          <t>Error - the row is not loaded</t>
        </is>
      </c>
      <c r="G56" s="12" t="inlineStr">
        <is>
          <t>Journal {no} is not in the FY2027 adjustment register</t>
        </is>
      </c>
      <c r="H56" s="12" t="inlineStr">
        <is>
          <t>BDOI (Comptrollership)</t>
        </is>
      </c>
      <c r="I56" s="12" t="n"/>
      <c r="J56" s="12" t="n"/>
      <c r="K56" s="12" t="n"/>
      <c r="L56" s="25" t="n"/>
    </row>
    <row r="57">
      <c r="A57" s="12" t="inlineStr">
        <is>
          <t>DQ-055</t>
        </is>
      </c>
      <c r="B57" s="12" t="inlineStr">
        <is>
          <t>G03 with G03D</t>
        </is>
      </c>
      <c r="C57" s="12" t="inlineStr">
        <is>
          <t>legacy_account_code, amount</t>
        </is>
      </c>
      <c r="D57" s="12" t="inlineStr">
        <is>
          <t>Balance</t>
        </is>
      </c>
      <c r="E57" s="12" t="inlineStr">
        <is>
          <t>Per legacy journal line on a legacy control account, the G03D detail adds up to the line (branch and currency)</t>
        </is>
      </c>
      <c r="F57" s="12" t="inlineStr">
        <is>
          <t>Error - the row is not loaded</t>
        </is>
      </c>
      <c r="G57" s="12" t="inlineStr">
        <is>
          <t>{account} adjustment of {amount} has no matching open-item detail</t>
        </is>
      </c>
      <c r="H57" s="12" t="inlineStr">
        <is>
          <t>BDOI (Comptrollership)</t>
        </is>
      </c>
      <c r="I57" s="12" t="n"/>
      <c r="J57" s="12" t="n"/>
      <c r="K57" s="12" t="n"/>
      <c r="L57" s="25" t="n"/>
    </row>
    <row r="58">
      <c r="A58" s="12" t="inlineStr">
        <is>
          <t>DQ-056</t>
        </is>
      </c>
      <c r="B58" s="12" t="inlineStr">
        <is>
          <t>G03D</t>
        </is>
      </c>
      <c r="C58" s="12" t="inlineStr">
        <is>
          <t>item_ref, component, amount</t>
        </is>
      </c>
      <c r="D58" s="12" t="inlineStr">
        <is>
          <t>Reference</t>
        </is>
      </c>
      <c r="E58" s="12" t="inlineStr">
        <is>
          <t>The item is loaded (F01 or F02) and the adjustment keeps its open balance within 0 and booked + adjusted</t>
        </is>
      </c>
      <c r="F58" s="12" t="inlineStr">
        <is>
          <t>Error - the row is not loaded</t>
        </is>
      </c>
      <c r="G58" s="12" t="inlineStr">
        <is>
          <t>Adjustment of {component} on {item} makes the open balance {amount}</t>
        </is>
      </c>
      <c r="H58" s="12" t="inlineStr">
        <is>
          <t>BDOI (Comptrollership)</t>
        </is>
      </c>
      <c r="I58" s="12" t="n"/>
      <c r="J58" s="12" t="n"/>
      <c r="K58" s="12" t="n"/>
      <c r="L58" s="25" t="n"/>
    </row>
  </sheetData>
  <autoFilter ref="A4:L58"/>
  <mergeCells count="1">
    <mergeCell ref="A2:L2"/>
  </mergeCells>
  <conditionalFormatting sqref="A5:L558">
    <cfRule type="expression" priority="1" dxfId="0">
      <formula>AND(MOD(ROW(),2)=0,$A5&lt;&gt;"")</formula>
    </cfRule>
  </conditionalFormatting>
  <dataValidations count="2">
    <dataValidation sqref="I5:I558" showDropDown="0" showInputMessage="0" showErrorMessage="1" allowBlank="1" errorTitle="BU review" error="Choose a value from the list (BU review)." type="list">
      <formula1>'_lists'!$K$1:$K$3</formula1>
    </dataValidation>
    <dataValidation sqref="L5:L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6.xml><?xml version="1.0" encoding="utf-8"?>
<worksheet xmlns="http://schemas.openxmlformats.org/spreadsheetml/2006/main">
  <sheetPr>
    <outlinePr summaryBelow="1" summaryRight="1"/>
    <pageSetUpPr fitToPage="1"/>
  </sheetPr>
  <dimension ref="A1:G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36" customWidth="1" min="3" max="3"/>
    <col width="16" customWidth="1" min="4" max="4"/>
    <col width="40" customWidth="1" min="5" max="5"/>
    <col width="18" customWidth="1" min="6" max="6"/>
    <col width="13" customWidth="1" min="7" max="7"/>
  </cols>
  <sheetData>
    <row r="1" ht="24" customHeight="1">
      <c r="A1" s="19" t="inlineStr">
        <is>
          <t>Masking</t>
        </is>
      </c>
    </row>
    <row r="2">
      <c r="A2" s="22" t="inlineStr">
        <is>
          <t>Personal data masked when a file is received in any environment other than production</t>
        </is>
      </c>
    </row>
    <row r="3" ht="6" customHeight="1">
      <c r="A3" s="23" t="n"/>
      <c r="B3" s="23" t="n"/>
      <c r="C3" s="23" t="n"/>
      <c r="D3" s="23" t="n"/>
      <c r="E3" s="23" t="n"/>
      <c r="F3" s="23" t="n"/>
      <c r="G3" s="23" t="n"/>
    </row>
    <row r="4" ht="30" customHeight="1">
      <c r="A4" s="24" t="inlineStr">
        <is>
          <t>Layout</t>
        </is>
      </c>
      <c r="B4" s="24" t="inlineStr">
        <is>
          <t>Column</t>
        </is>
      </c>
      <c r="C4" s="24" t="inlineStr">
        <is>
          <t>Masking outside production</t>
        </is>
      </c>
      <c r="D4" s="24" t="inlineStr">
        <is>
          <t>BU review</t>
        </is>
      </c>
      <c r="E4" s="24" t="inlineStr">
        <is>
          <t>BU comment</t>
        </is>
      </c>
      <c r="F4" s="24" t="inlineStr">
        <is>
          <t>Reviewer</t>
        </is>
      </c>
      <c r="G4" s="24" t="inlineStr">
        <is>
          <t>Review date</t>
        </is>
      </c>
    </row>
    <row r="5">
      <c r="A5" s="12" t="inlineStr">
        <is>
          <t>C01</t>
        </is>
      </c>
      <c r="B5" s="12" t="inlineStr">
        <is>
          <t>last_name</t>
        </is>
      </c>
      <c r="C5" s="12" t="inlineStr">
        <is>
          <t>Substitute last name</t>
        </is>
      </c>
      <c r="D5" s="12" t="n"/>
      <c r="E5" s="12" t="n"/>
      <c r="F5" s="12" t="n"/>
      <c r="G5" s="25" t="n"/>
    </row>
    <row r="6">
      <c r="A6" s="12" t="inlineStr">
        <is>
          <t>C01</t>
        </is>
      </c>
      <c r="B6" s="12" t="inlineStr">
        <is>
          <t>first_name</t>
        </is>
      </c>
      <c r="C6" s="12" t="inlineStr">
        <is>
          <t>Substitute first name</t>
        </is>
      </c>
      <c r="D6" s="12" t="n"/>
      <c r="E6" s="12" t="n"/>
      <c r="F6" s="12" t="n"/>
      <c r="G6" s="25" t="n"/>
    </row>
    <row r="7">
      <c r="A7" s="12" t="inlineStr">
        <is>
          <t>C01</t>
        </is>
      </c>
      <c r="B7" s="12" t="inlineStr">
        <is>
          <t>middle_name</t>
        </is>
      </c>
      <c r="C7" s="12" t="inlineStr">
        <is>
          <t>Substitute first name</t>
        </is>
      </c>
      <c r="D7" s="12" t="n"/>
      <c r="E7" s="12" t="n"/>
      <c r="F7" s="12" t="n"/>
      <c r="G7" s="25" t="n"/>
    </row>
    <row r="8">
      <c r="A8" s="12" t="inlineStr">
        <is>
          <t>C01</t>
        </is>
      </c>
      <c r="B8" s="12" t="inlineStr">
        <is>
          <t>corporate_name</t>
        </is>
      </c>
      <c r="C8" s="12" t="inlineStr">
        <is>
          <t>Substitute company name</t>
        </is>
      </c>
      <c r="D8" s="12" t="n"/>
      <c r="E8" s="12" t="n"/>
      <c r="F8" s="12" t="n"/>
      <c r="G8" s="25" t="n"/>
    </row>
    <row r="9">
      <c r="A9" s="12" t="inlineStr">
        <is>
          <t>C01</t>
        </is>
      </c>
      <c r="B9" s="12" t="inlineStr">
        <is>
          <t>birth_date</t>
        </is>
      </c>
      <c r="C9" s="12" t="inlineStr">
        <is>
          <t>Date shifted by up to 30 days</t>
        </is>
      </c>
      <c r="D9" s="12" t="n"/>
      <c r="E9" s="12" t="n"/>
      <c r="F9" s="12" t="n"/>
      <c r="G9" s="25" t="n"/>
    </row>
    <row r="10">
      <c r="A10" s="12" t="inlineStr">
        <is>
          <t>C01</t>
        </is>
      </c>
      <c r="B10" s="12" t="inlineStr">
        <is>
          <t>tin</t>
        </is>
      </c>
      <c r="C10" s="12" t="inlineStr">
        <is>
          <t>Digits replaced, length kept</t>
        </is>
      </c>
      <c r="D10" s="12" t="n"/>
      <c r="E10" s="12" t="n"/>
      <c r="F10" s="12" t="n"/>
      <c r="G10" s="25" t="n"/>
    </row>
    <row r="11">
      <c r="A11" s="12" t="inlineStr">
        <is>
          <t>C01</t>
        </is>
      </c>
      <c r="B11" s="12" t="inlineStr">
        <is>
          <t>id_number</t>
        </is>
      </c>
      <c r="C11" s="12" t="inlineStr">
        <is>
          <t>Digits replaced, length kept</t>
        </is>
      </c>
      <c r="D11" s="12" t="n"/>
      <c r="E11" s="12" t="n"/>
      <c r="F11" s="12" t="n"/>
      <c r="G11" s="25" t="n"/>
    </row>
    <row r="12">
      <c r="A12" s="12" t="inlineStr">
        <is>
          <t>C01</t>
        </is>
      </c>
      <c r="B12" s="12" t="inlineStr">
        <is>
          <t>bank_cif</t>
        </is>
      </c>
      <c r="C12" s="12" t="inlineStr">
        <is>
          <t>Digits replaced, length kept</t>
        </is>
      </c>
      <c r="D12" s="12" t="n"/>
      <c r="E12" s="12" t="n"/>
      <c r="F12" s="12" t="n"/>
      <c r="G12" s="25" t="n"/>
    </row>
    <row r="13">
      <c r="A13" s="12" t="inlineStr">
        <is>
          <t>C01</t>
        </is>
      </c>
      <c r="B13" s="12" t="inlineStr">
        <is>
          <t>email</t>
        </is>
      </c>
      <c r="C13" s="12" t="inlineStr">
        <is>
          <t>Substitute e-mail address</t>
        </is>
      </c>
      <c r="D13" s="12" t="n"/>
      <c r="E13" s="12" t="n"/>
      <c r="F13" s="12" t="n"/>
      <c r="G13" s="25" t="n"/>
    </row>
    <row r="14">
      <c r="A14" s="12" t="inlineStr">
        <is>
          <t>C01</t>
        </is>
      </c>
      <c r="B14" s="12" t="inlineStr">
        <is>
          <t>mobile</t>
        </is>
      </c>
      <c r="C14" s="12" t="inlineStr">
        <is>
          <t>Digits replaced, length kept</t>
        </is>
      </c>
      <c r="D14" s="12" t="n"/>
      <c r="E14" s="12" t="n"/>
      <c r="F14" s="12" t="n"/>
      <c r="G14" s="25" t="n"/>
    </row>
    <row r="15">
      <c r="A15" s="12" t="inlineStr">
        <is>
          <t>C01</t>
        </is>
      </c>
      <c r="B15" s="12" t="inlineStr">
        <is>
          <t>phone</t>
        </is>
      </c>
      <c r="C15" s="12" t="inlineStr">
        <is>
          <t>Digits replaced, length kept</t>
        </is>
      </c>
      <c r="D15" s="12" t="n"/>
      <c r="E15" s="12" t="n"/>
      <c r="F15" s="12" t="n"/>
      <c r="G15" s="25" t="n"/>
    </row>
    <row r="16">
      <c r="A16" s="12" t="inlineStr">
        <is>
          <t>C01</t>
        </is>
      </c>
      <c r="B16" s="12" t="inlineStr">
        <is>
          <t>address_line</t>
        </is>
      </c>
      <c r="C16" s="12" t="inlineStr">
        <is>
          <t>Substitute address</t>
        </is>
      </c>
      <c r="D16" s="12" t="n"/>
      <c r="E16" s="12" t="n"/>
      <c r="F16" s="12" t="n"/>
      <c r="G16" s="25" t="n"/>
    </row>
    <row r="17">
      <c r="A17" s="12" t="inlineStr">
        <is>
          <t>C02</t>
        </is>
      </c>
      <c r="B17" s="12" t="inlineStr">
        <is>
          <t>address_line</t>
        </is>
      </c>
      <c r="C17" s="12" t="inlineStr">
        <is>
          <t>Substitute address</t>
        </is>
      </c>
      <c r="D17" s="12" t="n"/>
      <c r="E17" s="12" t="n"/>
      <c r="F17" s="12" t="n"/>
      <c r="G17" s="25" t="n"/>
    </row>
    <row r="18">
      <c r="A18" s="12" t="inlineStr">
        <is>
          <t>C02</t>
        </is>
      </c>
      <c r="B18" s="12" t="inlineStr">
        <is>
          <t>contact_name</t>
        </is>
      </c>
      <c r="C18" s="12" t="inlineStr">
        <is>
          <t>Substitute name</t>
        </is>
      </c>
      <c r="D18" s="12" t="n"/>
      <c r="E18" s="12" t="n"/>
      <c r="F18" s="12" t="n"/>
      <c r="G18" s="25" t="n"/>
    </row>
    <row r="19">
      <c r="A19" s="12" t="inlineStr">
        <is>
          <t>C02</t>
        </is>
      </c>
      <c r="B19" s="12" t="inlineStr">
        <is>
          <t>email</t>
        </is>
      </c>
      <c r="C19" s="12" t="inlineStr">
        <is>
          <t>Substitute e-mail address</t>
        </is>
      </c>
      <c r="D19" s="12" t="n"/>
      <c r="E19" s="12" t="n"/>
      <c r="F19" s="12" t="n"/>
      <c r="G19" s="25" t="n"/>
    </row>
    <row r="20">
      <c r="A20" s="12" t="inlineStr">
        <is>
          <t>C02</t>
        </is>
      </c>
      <c r="B20" s="12" t="inlineStr">
        <is>
          <t>mobile</t>
        </is>
      </c>
      <c r="C20" s="12" t="inlineStr">
        <is>
          <t>Digits replaced, length kept</t>
        </is>
      </c>
      <c r="D20" s="12" t="n"/>
      <c r="E20" s="12" t="n"/>
      <c r="F20" s="12" t="n"/>
      <c r="G20" s="25" t="n"/>
    </row>
    <row r="21">
      <c r="A21" s="12" t="inlineStr">
        <is>
          <t>C03</t>
        </is>
      </c>
      <c r="B21" s="12" t="inlineStr">
        <is>
          <t>payee_name</t>
        </is>
      </c>
      <c r="C21" s="12" t="inlineStr">
        <is>
          <t>Substitute name</t>
        </is>
      </c>
      <c r="D21" s="12" t="n"/>
      <c r="E21" s="12" t="n"/>
      <c r="F21" s="12" t="n"/>
      <c r="G21" s="25" t="n"/>
    </row>
    <row r="22">
      <c r="A22" s="12" t="inlineStr">
        <is>
          <t>C03</t>
        </is>
      </c>
      <c r="B22" s="12" t="inlineStr">
        <is>
          <t>account_no</t>
        </is>
      </c>
      <c r="C22" s="12" t="inlineStr">
        <is>
          <t>Digits replaced, length kept</t>
        </is>
      </c>
      <c r="D22" s="12" t="n"/>
      <c r="E22" s="12" t="n"/>
      <c r="F22" s="12" t="n"/>
      <c r="G22" s="25" t="n"/>
    </row>
    <row r="23">
      <c r="A23" s="12" t="inlineStr">
        <is>
          <t>P01</t>
        </is>
      </c>
      <c r="B23" s="12" t="inlineStr">
        <is>
          <t>assured_name</t>
        </is>
      </c>
      <c r="C23" s="12" t="inlineStr">
        <is>
          <t>Substitute name</t>
        </is>
      </c>
      <c r="D23" s="12" t="n"/>
      <c r="E23" s="12" t="n"/>
      <c r="F23" s="12" t="n"/>
      <c r="G23" s="25" t="n"/>
    </row>
    <row r="24">
      <c r="A24" s="12" t="inlineStr">
        <is>
          <t>P03</t>
        </is>
      </c>
      <c r="B24" s="12" t="inlineStr">
        <is>
          <t>sent_to</t>
        </is>
      </c>
      <c r="C24" s="12" t="inlineStr">
        <is>
          <t>Substitute name</t>
        </is>
      </c>
      <c r="D24" s="12" t="n"/>
      <c r="E24" s="12" t="n"/>
      <c r="F24" s="12" t="n"/>
      <c r="G24" s="25" t="n"/>
    </row>
    <row r="25">
      <c r="A25" s="12" t="inlineStr">
        <is>
          <t>F01</t>
        </is>
      </c>
      <c r="B25" s="12" t="inlineStr">
        <is>
          <t>assured_name</t>
        </is>
      </c>
      <c r="C25" s="12" t="inlineStr">
        <is>
          <t>Substitute name</t>
        </is>
      </c>
      <c r="D25" s="12" t="n"/>
      <c r="E25" s="12" t="n"/>
      <c r="F25" s="12" t="n"/>
      <c r="G25" s="25" t="n"/>
    </row>
    <row r="26">
      <c r="A26" s="12" t="inlineStr">
        <is>
          <t>F01</t>
        </is>
      </c>
      <c r="B26" s="12" t="inlineStr">
        <is>
          <t>payor_name</t>
        </is>
      </c>
      <c r="C26" s="12" t="inlineStr">
        <is>
          <t>Substitute name</t>
        </is>
      </c>
      <c r="D26" s="12" t="n"/>
      <c r="E26" s="12" t="n"/>
      <c r="F26" s="12" t="n"/>
      <c r="G26" s="25" t="n"/>
    </row>
    <row r="27">
      <c r="A27" s="12" t="inlineStr">
        <is>
          <t>F02</t>
        </is>
      </c>
      <c r="B27" s="12" t="inlineStr">
        <is>
          <t>payor_name</t>
        </is>
      </c>
      <c r="C27" s="12" t="inlineStr">
        <is>
          <t>Substitute name</t>
        </is>
      </c>
      <c r="D27" s="12" t="n"/>
      <c r="E27" s="12" t="n"/>
      <c r="F27" s="12" t="n"/>
      <c r="G27" s="25" t="n"/>
    </row>
    <row r="28">
      <c r="A28" s="12" t="inlineStr">
        <is>
          <t>F06</t>
        </is>
      </c>
      <c r="B28" s="12" t="inlineStr">
        <is>
          <t>payor_name</t>
        </is>
      </c>
      <c r="C28" s="12" t="inlineStr">
        <is>
          <t>Substitute name</t>
        </is>
      </c>
      <c r="D28" s="12" t="n"/>
      <c r="E28" s="12" t="n"/>
      <c r="F28" s="12" t="n"/>
      <c r="G28" s="25" t="n"/>
    </row>
    <row r="29">
      <c r="A29" s="12" t="inlineStr">
        <is>
          <t>F06</t>
        </is>
      </c>
      <c r="B29" s="12" t="inlineStr">
        <is>
          <t>check_no</t>
        </is>
      </c>
      <c r="C29" s="12" t="inlineStr">
        <is>
          <t>Digits replaced, length kept</t>
        </is>
      </c>
      <c r="D29" s="12" t="n"/>
      <c r="E29" s="12" t="n"/>
      <c r="F29" s="12" t="n"/>
      <c r="G29" s="25" t="n"/>
    </row>
    <row r="30">
      <c r="A30" s="12" t="inlineStr">
        <is>
          <t>R09</t>
        </is>
      </c>
      <c r="B30" s="12" t="inlineStr">
        <is>
          <t>name</t>
        </is>
      </c>
      <c r="C30" s="12" t="inlineStr">
        <is>
          <t>Substitute company name</t>
        </is>
      </c>
      <c r="D30" s="12" t="n"/>
      <c r="E30" s="12" t="n"/>
      <c r="F30" s="12" t="n"/>
      <c r="G30" s="25" t="n"/>
    </row>
    <row r="31">
      <c r="A31" s="12" t="inlineStr">
        <is>
          <t>R09</t>
        </is>
      </c>
      <c r="B31" s="12" t="inlineStr">
        <is>
          <t>tin</t>
        </is>
      </c>
      <c r="C31" s="12" t="inlineStr">
        <is>
          <t>Digits replaced, length kept</t>
        </is>
      </c>
      <c r="D31" s="12" t="n"/>
      <c r="E31" s="12" t="n"/>
      <c r="F31" s="12" t="n"/>
      <c r="G31" s="25" t="n"/>
    </row>
    <row r="32">
      <c r="A32" s="12" t="inlineStr">
        <is>
          <t>R09</t>
        </is>
      </c>
      <c r="B32" s="12" t="inlineStr">
        <is>
          <t>email</t>
        </is>
      </c>
      <c r="C32" s="12" t="inlineStr">
        <is>
          <t>Substitute e-mail address</t>
        </is>
      </c>
      <c r="D32" s="12" t="n"/>
      <c r="E32" s="12" t="n"/>
      <c r="F32" s="12" t="n"/>
      <c r="G32" s="25" t="n"/>
    </row>
    <row r="33">
      <c r="A33" s="12" t="inlineStr">
        <is>
          <t>R09</t>
        </is>
      </c>
      <c r="B33" s="12" t="inlineStr">
        <is>
          <t>address</t>
        </is>
      </c>
      <c r="C33" s="12" t="inlineStr">
        <is>
          <t>Substitute address</t>
        </is>
      </c>
      <c r="D33" s="12" t="n"/>
      <c r="E33" s="12" t="n"/>
      <c r="F33" s="12" t="n"/>
      <c r="G33" s="25" t="n"/>
    </row>
    <row r="34">
      <c r="A34" s="12" t="inlineStr">
        <is>
          <t>R09</t>
        </is>
      </c>
      <c r="B34" s="12" t="inlineStr">
        <is>
          <t>account_no</t>
        </is>
      </c>
      <c r="C34" s="12" t="inlineStr">
        <is>
          <t>Digits replaced, length kept</t>
        </is>
      </c>
      <c r="D34" s="12" t="n"/>
      <c r="E34" s="12" t="n"/>
      <c r="F34" s="12" t="n"/>
      <c r="G34" s="25" t="n"/>
    </row>
    <row r="35">
      <c r="A35" s="12" t="inlineStr">
        <is>
          <t>H01</t>
        </is>
      </c>
      <c r="B35" s="12" t="inlineStr">
        <is>
          <t>client_name</t>
        </is>
      </c>
      <c r="C35" s="12" t="inlineStr">
        <is>
          <t>Substitute name</t>
        </is>
      </c>
      <c r="D35" s="12" t="n"/>
      <c r="E35" s="12" t="n"/>
      <c r="F35" s="12" t="n"/>
      <c r="G35" s="25" t="n"/>
    </row>
  </sheetData>
  <autoFilter ref="A4:G35"/>
  <mergeCells count="1">
    <mergeCell ref="A2:G2"/>
  </mergeCells>
  <conditionalFormatting sqref="A5:G535">
    <cfRule type="expression" priority="1" dxfId="0">
      <formula>AND(MOD(ROW(),2)=0,$A5&lt;&gt;"")</formula>
    </cfRule>
  </conditionalFormatting>
  <dataValidations count="2">
    <dataValidation sqref="D5:D535" showDropDown="0" showInputMessage="0" showErrorMessage="1" allowBlank="1" errorTitle="BU review" error="Choose a value from the list (BU review)." type="list">
      <formula1>'_lists'!$L$1:$L$3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7.xml><?xml version="1.0" encoding="utf-8"?>
<worksheet xmlns="http://schemas.openxmlformats.org/spreadsheetml/2006/main">
  <sheetPr>
    <outlinePr summaryBelow="1" summaryRight="1"/>
    <pageSetUpPr fitToPage="1"/>
  </sheetPr>
  <dimension ref="A1:P9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7" customWidth="1" min="3" max="3"/>
    <col width="8" customWidth="1" min="4" max="4"/>
    <col width="58" customWidth="1" min="5" max="5"/>
    <col width="8" customWidth="1" min="6" max="6"/>
    <col width="6" customWidth="1" min="7" max="7"/>
    <col width="16" customWidth="1" min="8" max="8"/>
    <col width="40" customWidth="1" min="9" max="9"/>
    <col width="11" customWidth="1" min="10" max="10"/>
    <col width="16" customWidth="1" min="11" max="11"/>
    <col width="12" customWidth="1" min="12" max="12"/>
    <col width="16" customWidth="1" min="13" max="13"/>
    <col width="40" customWidth="1" min="14" max="14"/>
    <col width="18" customWidth="1" min="15" max="15"/>
    <col width="13" customWidth="1" min="16" max="16"/>
  </cols>
  <sheetData>
    <row r="1" ht="24" customHeight="1">
      <c r="A1" s="19" t="inlineStr">
        <is>
          <t>Cut-over tasks</t>
        </is>
      </c>
    </row>
    <row r="2">
      <c r="A2" s="22" t="inlineStr">
        <is>
          <t>The production cut-over plan from T-30 to the close of the opening-balance adjustments</t>
        </is>
      </c>
    </row>
    <row r="3" ht="6" customHeight="1">
      <c r="A3" s="23" t="n"/>
      <c r="B3" s="23" t="n"/>
      <c r="C3" s="23" t="n"/>
      <c r="D3" s="23" t="n"/>
      <c r="E3" s="23" t="n"/>
      <c r="F3" s="23" t="n"/>
      <c r="G3" s="23" t="n"/>
      <c r="H3" s="23" t="n"/>
      <c r="I3" s="23" t="n"/>
      <c r="J3" s="23" t="n"/>
      <c r="K3" s="23" t="n"/>
      <c r="L3" s="23" t="n"/>
      <c r="M3" s="23" t="n"/>
      <c r="N3" s="23" t="n"/>
      <c r="O3" s="23" t="n"/>
      <c r="P3" s="23" t="n"/>
    </row>
    <row r="4" ht="30" customHeight="1">
      <c r="A4" s="24" t="inlineStr">
        <is>
          <t>Task</t>
        </is>
      </c>
      <c r="B4" s="24" t="inlineStr">
        <is>
          <t>Phase</t>
        </is>
      </c>
      <c r="C4" s="24" t="inlineStr">
        <is>
          <t>Day</t>
        </is>
      </c>
      <c r="D4" s="24" t="inlineStr">
        <is>
          <t>Start (PHT)</t>
        </is>
      </c>
      <c r="E4" s="24" t="inlineStr">
        <is>
          <t>Task</t>
        </is>
      </c>
      <c r="F4" s="24" t="inlineStr">
        <is>
          <t>Owner</t>
        </is>
      </c>
      <c r="G4" s="24" t="inlineStr">
        <is>
          <t>Hours</t>
        </is>
      </c>
      <c r="H4" s="24" t="inlineStr">
        <is>
          <t>After</t>
        </is>
      </c>
      <c r="I4" s="24" t="inlineStr">
        <is>
          <t>Verification</t>
        </is>
      </c>
      <c r="J4" s="24" t="inlineStr">
        <is>
          <t>Checkpoint</t>
        </is>
      </c>
      <c r="K4" s="24" t="inlineStr">
        <is>
          <t>Assignee (name)</t>
        </is>
      </c>
      <c r="L4" s="24" t="inlineStr">
        <is>
          <t>Status</t>
        </is>
      </c>
      <c r="M4" s="24" t="inlineStr">
        <is>
          <t>BU review</t>
        </is>
      </c>
      <c r="N4" s="24" t="inlineStr">
        <is>
          <t>BU comment</t>
        </is>
      </c>
      <c r="O4" s="24" t="inlineStr">
        <is>
          <t>Reviewer</t>
        </is>
      </c>
      <c r="P4" s="24" t="inlineStr">
        <is>
          <t>Review date</t>
        </is>
      </c>
    </row>
    <row r="5">
      <c r="A5" s="12" t="inlineStr">
        <is>
          <t>CT-001</t>
        </is>
      </c>
      <c r="B5" s="12" t="inlineStr">
        <is>
          <t>A Readiness</t>
        </is>
      </c>
      <c r="C5" s="12" t="inlineStr">
        <is>
          <t>T-30</t>
        </is>
      </c>
      <c r="D5" s="12" t="inlineStr"/>
      <c r="E5" s="12" t="inlineStr">
        <is>
          <t>Confirm the dress rehearsal met its exit criteria (all objects loaded and reconciled L1-L5, window met with 20 percent margin, rollback rehearsed, go-live renewal extraction run)</t>
        </is>
      </c>
      <c r="F5" s="12" t="inlineStr">
        <is>
          <t>DML</t>
        </is>
      </c>
      <c r="G5" s="12" t="n">
        <v>4</v>
      </c>
      <c r="H5" s="12" t="inlineStr"/>
      <c r="I5" s="12" t="inlineStr">
        <is>
          <t>Dress rehearsal report signed by the Data Migration Lead and the iorta Migration Lead</t>
        </is>
      </c>
      <c r="J5" s="12" t="inlineStr"/>
      <c r="K5" s="12" t="n"/>
      <c r="L5" s="75" t="inlineStr">
        <is>
          <t>NOT STARTED</t>
        </is>
      </c>
      <c r="M5" s="12" t="n"/>
      <c r="N5" s="12" t="n"/>
      <c r="O5" s="12" t="n"/>
      <c r="P5" s="25" t="n"/>
    </row>
    <row r="6">
      <c r="A6" s="12" t="inlineStr">
        <is>
          <t>CT-002</t>
        </is>
      </c>
      <c r="B6" s="12" t="inlineStr">
        <is>
          <t>A Readiness</t>
        </is>
      </c>
      <c r="C6" s="12" t="inlineStr">
        <is>
          <t>T-30</t>
        </is>
      </c>
      <c r="D6" s="12" t="inlineStr"/>
      <c r="E6" s="12" t="inlineStr">
        <is>
          <t>Confirm the go-live date, the freeze start (last legacy EOD) and the blackout dates (DMQ25) with Comptrollership's confirmation of the year-end option A (DMQ39); publish the cutover calendar</t>
        </is>
      </c>
      <c r="F6" s="12" t="inlineStr">
        <is>
          <t>PM</t>
        </is>
      </c>
      <c r="G6" s="12" t="n">
        <v>2</v>
      </c>
      <c r="H6" s="12" t="inlineStr">
        <is>
          <t>CT-001</t>
        </is>
      </c>
      <c r="I6" s="12" t="inlineStr">
        <is>
          <t>Calendar approved by the Program Manager and circulated; option A confirmed in writing by the Head of Comptrollership</t>
        </is>
      </c>
      <c r="J6" s="12" t="inlineStr"/>
      <c r="K6" s="12" t="n"/>
      <c r="L6" s="75" t="inlineStr">
        <is>
          <t>NOT STARTED</t>
        </is>
      </c>
      <c r="M6" s="12" t="n"/>
      <c r="N6" s="12" t="n"/>
      <c r="O6" s="12" t="n"/>
      <c r="P6" s="25" t="n"/>
    </row>
    <row r="7">
      <c r="A7" s="12" t="inlineStr">
        <is>
          <t>CT-003</t>
        </is>
      </c>
      <c r="B7" s="12" t="inlineStr">
        <is>
          <t>A Readiness</t>
        </is>
      </c>
      <c r="C7" s="12" t="inlineStr">
        <is>
          <t>T-29</t>
        </is>
      </c>
      <c r="D7" s="12" t="inlineStr"/>
      <c r="E7" s="12" t="inlineStr">
        <is>
          <t>Name the cutover team, the command centre room and bridge line, and the hypercare roster (section Hypercare)</t>
        </is>
      </c>
      <c r="F7" s="12" t="inlineStr">
        <is>
          <t>PM</t>
        </is>
      </c>
      <c r="G7" s="12" t="n">
        <v>4</v>
      </c>
      <c r="H7" s="12" t="inlineStr">
        <is>
          <t>CT-002</t>
        </is>
      </c>
      <c r="I7" s="12" t="inlineStr">
        <is>
          <t>Roster with names and phone numbers in the runbook annex</t>
        </is>
      </c>
      <c r="J7" s="12" t="inlineStr"/>
      <c r="K7" s="12" t="n"/>
      <c r="L7" s="75" t="inlineStr">
        <is>
          <t>NOT STARTED</t>
        </is>
      </c>
      <c r="M7" s="12" t="n"/>
      <c r="N7" s="12" t="n"/>
      <c r="O7" s="12" t="n"/>
      <c r="P7" s="25" t="n"/>
    </row>
    <row r="8">
      <c r="A8" s="12" t="inlineStr">
        <is>
          <t>CT-004</t>
        </is>
      </c>
      <c r="B8" s="12" t="inlineStr">
        <is>
          <t>A Readiness</t>
        </is>
      </c>
      <c r="C8" s="12" t="inlineStr">
        <is>
          <t>T-28</t>
        </is>
      </c>
      <c r="D8" s="12" t="inlineStr"/>
      <c r="E8" s="12" t="inlineStr">
        <is>
          <t>Freeze the production cutover plan in the Migration Console (plan kind Production cut-over, tasks and owners from this list)</t>
        </is>
      </c>
      <c r="F8" s="12" t="inlineStr">
        <is>
          <t>IML</t>
        </is>
      </c>
      <c r="G8" s="12" t="n">
        <v>4</v>
      </c>
      <c r="H8" s="12" t="inlineStr">
        <is>
          <t>CT-002</t>
        </is>
      </c>
      <c r="I8" s="12" t="inlineStr">
        <is>
          <t>the Cutover Runbook Status report shows the plan with every task owned</t>
        </is>
      </c>
      <c r="J8" s="12" t="inlineStr"/>
      <c r="K8" s="12" t="n"/>
      <c r="L8" s="75" t="inlineStr">
        <is>
          <t>NOT STARTED</t>
        </is>
      </c>
      <c r="M8" s="12" t="n"/>
      <c r="N8" s="12" t="n"/>
      <c r="O8" s="12" t="n"/>
      <c r="P8" s="25" t="n"/>
    </row>
    <row r="9">
      <c r="A9" s="12" t="inlineStr">
        <is>
          <t>CT-005</t>
        </is>
      </c>
      <c r="B9" s="12" t="inlineStr">
        <is>
          <t>A Readiness</t>
        </is>
      </c>
      <c r="C9" s="12" t="inlineStr">
        <is>
          <t>T-28</t>
        </is>
      </c>
      <c r="D9" s="12" t="inlineStr"/>
      <c r="E9" s="12" t="inlineStr">
        <is>
          <t>Production environment ready - the go-live release of BIBS installed; migration parameters set (environment class Production, go-live date T, opening value date 1-Jan-2028, go-live renewal window to 31-May-2028, urgent renewals to 31-Jan-2028); scheduled jobs set</t>
        </is>
      </c>
      <c r="F9" s="12" t="inlineStr">
        <is>
          <t>IDO</t>
        </is>
      </c>
      <c r="G9" s="12" t="n">
        <v>8</v>
      </c>
      <c r="H9" s="12" t="inlineStr"/>
      <c r="I9" s="12" t="inlineStr">
        <is>
          <t>Deployment record; parameter screen; job list</t>
        </is>
      </c>
      <c r="J9" s="12" t="inlineStr"/>
      <c r="K9" s="12" t="n"/>
      <c r="L9" s="75" t="inlineStr">
        <is>
          <t>NOT STARTED</t>
        </is>
      </c>
      <c r="M9" s="12" t="n"/>
      <c r="N9" s="12" t="n"/>
      <c r="O9" s="12" t="n"/>
      <c r="P9" s="25" t="n"/>
    </row>
    <row r="10">
      <c r="A10" s="12" t="inlineStr">
        <is>
          <t>CT-006</t>
        </is>
      </c>
      <c r="B10" s="12" t="inlineStr">
        <is>
          <t>A Readiness</t>
        </is>
      </c>
      <c r="C10" s="12" t="inlineStr">
        <is>
          <t>T-27</t>
        </is>
      </c>
      <c r="D10" s="12" t="inlineStr"/>
      <c r="E10" s="12" t="inlineStr">
        <is>
          <t>Grant the migration roles in production (Data Migration Lead, Data Steward, data owner, Migration Operator, reconciliation approver, go / no-go board), the opening-balance adjustment rights of Comptrollership and the P03 rights of the Renewal processing team (maker and checker) through User Access requests; check the Philippines-only network access</t>
        </is>
      </c>
      <c r="F10" s="12" t="inlineStr">
        <is>
          <t>IDO</t>
        </is>
      </c>
      <c r="G10" s="12" t="n">
        <v>8</v>
      </c>
      <c r="H10" s="12" t="inlineStr">
        <is>
          <t>CT-005</t>
        </is>
      </c>
      <c r="I10" s="12" t="inlineStr">
        <is>
          <t>User Access approvals; access test from an allowed and a blocked location</t>
        </is>
      </c>
      <c r="J10" s="12" t="inlineStr"/>
      <c r="K10" s="12" t="n"/>
      <c r="L10" s="75" t="inlineStr">
        <is>
          <t>NOT STARTED</t>
        </is>
      </c>
      <c r="M10" s="12" t="n"/>
      <c r="N10" s="12" t="n"/>
      <c r="O10" s="12" t="n"/>
      <c r="P10" s="25" t="n"/>
    </row>
    <row r="11">
      <c r="A11" s="12" t="inlineStr">
        <is>
          <t>CT-007</t>
        </is>
      </c>
      <c r="B11" s="12" t="inlineStr">
        <is>
          <t>A Readiness</t>
        </is>
      </c>
      <c r="C11" s="12" t="inlineStr">
        <is>
          <t>T-25</t>
        </is>
      </c>
      <c r="D11" s="12" t="inlineStr"/>
      <c r="E11" s="12" t="inlineStr">
        <is>
          <t>Comptrollership sets up in production the legacy control accounts, Migration Clearing, the LG_ accounting rule lines (DMQ18) and the retained earnings account of the opening, through maker-checker</t>
        </is>
      </c>
      <c r="F11" s="12" t="inlineStr">
        <is>
          <t>COMP</t>
        </is>
      </c>
      <c r="G11" s="12" t="n">
        <v>16</v>
      </c>
      <c r="H11" s="12" t="inlineStr">
        <is>
          <t>CT-005</t>
        </is>
      </c>
      <c r="I11" s="12" t="inlineStr">
        <is>
          <t>Chart and accounting rules approved; test posting in the dress rehearsal environment matched</t>
        </is>
      </c>
      <c r="J11" s="12" t="inlineStr"/>
      <c r="K11" s="12" t="n"/>
      <c r="L11" s="75" t="inlineStr">
        <is>
          <t>NOT STARTED</t>
        </is>
      </c>
      <c r="M11" s="12" t="n"/>
      <c r="N11" s="12" t="n"/>
      <c r="O11" s="12" t="n"/>
      <c r="P11" s="25" t="n"/>
    </row>
    <row r="12">
      <c r="A12" s="12" t="inlineStr">
        <is>
          <t>CT-008</t>
        </is>
      </c>
      <c r="B12" s="12" t="inlineStr">
        <is>
          <t>A Readiness</t>
        </is>
      </c>
      <c r="C12" s="12" t="inlineStr">
        <is>
          <t>T-25</t>
        </is>
      </c>
      <c r="D12" s="12" t="inlineStr"/>
      <c r="E12" s="12" t="inlineStr">
        <is>
          <t>Approve the final code map versions for production (all sets, including the package code map loaded for Renewal); record versions in the plan</t>
        </is>
      </c>
      <c r="F12" s="12" t="inlineStr">
        <is>
          <t>OWN</t>
        </is>
      </c>
      <c r="G12" s="12" t="n">
        <v>16</v>
      </c>
      <c r="H12" s="12" t="inlineStr"/>
      <c r="I12" s="12" t="inlineStr">
        <is>
          <t>the Code Map Versions report lists one approved version per set</t>
        </is>
      </c>
      <c r="J12" s="12" t="inlineStr"/>
      <c r="K12" s="12" t="n"/>
      <c r="L12" s="75" t="inlineStr">
        <is>
          <t>NOT STARTED</t>
        </is>
      </c>
      <c r="M12" s="12" t="n"/>
      <c r="N12" s="12" t="n"/>
      <c r="O12" s="12" t="n"/>
      <c r="P12" s="25" t="n"/>
    </row>
    <row r="13">
      <c r="A13" s="12" t="inlineStr">
        <is>
          <t>CT-009</t>
        </is>
      </c>
      <c r="B13" s="12" t="inlineStr">
        <is>
          <t>A Readiness</t>
        </is>
      </c>
      <c r="C13" s="12" t="inlineStr">
        <is>
          <t>T-24</t>
        </is>
      </c>
      <c r="D13" s="12" t="inlineStr"/>
      <c r="E13" s="12" t="inlineStr">
        <is>
          <t>Users of every persona created and trained; BIBS menus checked per persona (UAT readiness items 1 and 14)</t>
        </is>
      </c>
      <c r="F13" s="12" t="inlineStr">
        <is>
          <t>PM</t>
        </is>
      </c>
      <c r="G13" s="12" t="n">
        <v>40</v>
      </c>
      <c r="H13" s="12" t="inlineStr">
        <is>
          <t>CT-006</t>
        </is>
      </c>
      <c r="I13" s="12" t="inlineStr">
        <is>
          <t>User list; training attendance; persona menu check</t>
        </is>
      </c>
      <c r="J13" s="12" t="inlineStr"/>
      <c r="K13" s="12" t="n"/>
      <c r="L13" s="75" t="inlineStr">
        <is>
          <t>NOT STARTED</t>
        </is>
      </c>
      <c r="M13" s="12" t="n"/>
      <c r="N13" s="12" t="n"/>
      <c r="O13" s="12" t="n"/>
      <c r="P13" s="25" t="n"/>
    </row>
    <row r="14">
      <c r="A14" s="12" t="inlineStr">
        <is>
          <t>CT-010</t>
        </is>
      </c>
      <c r="B14" s="12" t="inlineStr">
        <is>
          <t>A Readiness</t>
        </is>
      </c>
      <c r="C14" s="12" t="inlineStr">
        <is>
          <t>T-21</t>
        </is>
      </c>
      <c r="D14" s="12" t="inlineStr"/>
      <c r="E14" s="12" t="inlineStr">
        <is>
          <t>Communicate the go-live and freeze to branches, insurers and bank channels (autopay files carry the legacy invoice number after go-live)</t>
        </is>
      </c>
      <c r="F14" s="12" t="inlineStr">
        <is>
          <t>PM</t>
        </is>
      </c>
      <c r="G14" s="12" t="n">
        <v>4</v>
      </c>
      <c r="H14" s="12" t="inlineStr">
        <is>
          <t>CT-002</t>
        </is>
      </c>
      <c r="I14" s="12" t="inlineStr">
        <is>
          <t>Communications sent (communication plan items 1-6)</t>
        </is>
      </c>
      <c r="J14" s="12" t="inlineStr"/>
      <c r="K14" s="12" t="n"/>
      <c r="L14" s="75" t="inlineStr">
        <is>
          <t>NOT STARTED</t>
        </is>
      </c>
      <c r="M14" s="12" t="n"/>
      <c r="N14" s="12" t="n"/>
      <c r="O14" s="12" t="n"/>
      <c r="P14" s="25" t="n"/>
    </row>
    <row r="15">
      <c r="A15" s="12" t="inlineStr">
        <is>
          <t>CT-011</t>
        </is>
      </c>
      <c r="B15" s="12" t="inlineStr">
        <is>
          <t>A Readiness</t>
        </is>
      </c>
      <c r="C15" s="12" t="inlineStr">
        <is>
          <t>T-21</t>
        </is>
      </c>
      <c r="D15" s="12" t="inlineStr"/>
      <c r="E15" s="12" t="inlineStr">
        <is>
          <t>Legacy December soft close - accruals and cut-offs, bank reconciliations, sub-ledger to GL reconciliations, known year-end adjustments posted - completed by 20 December 2027 (T-14)</t>
        </is>
      </c>
      <c r="F15" s="12" t="inlineStr">
        <is>
          <t>COMP</t>
        </is>
      </c>
      <c r="G15" s="12" t="n">
        <v>56</v>
      </c>
      <c r="H15" s="12" t="inlineStr"/>
      <c r="I15" s="12" t="inlineStr">
        <is>
          <t>Soft-close checklist signed by the Head of Comptrollership on 20 Dec 2027</t>
        </is>
      </c>
      <c r="J15" s="12" t="inlineStr"/>
      <c r="K15" s="12" t="n"/>
      <c r="L15" s="75" t="inlineStr">
        <is>
          <t>NOT STARTED</t>
        </is>
      </c>
      <c r="M15" s="12" t="n"/>
      <c r="N15" s="12" t="n"/>
      <c r="O15" s="12" t="n"/>
      <c r="P15" s="25" t="n"/>
    </row>
    <row r="16">
      <c r="A16" s="12" t="inlineStr">
        <is>
          <t>CT-012</t>
        </is>
      </c>
      <c r="B16" s="12" t="inlineStr">
        <is>
          <t>A Readiness</t>
        </is>
      </c>
      <c r="C16" s="12" t="inlineStr">
        <is>
          <t>T-20</t>
        </is>
      </c>
      <c r="D16" s="12" t="inlineStr"/>
      <c r="E16" s="12" t="inlineStr">
        <is>
          <t>Legacy clean-up drives - UPP with no reference, invoices open more than 5 years, duplicate clients flagged in Trial migration 3, unmapped codes</t>
        </is>
      </c>
      <c r="F16" s="12" t="inlineStr">
        <is>
          <t>STW</t>
        </is>
      </c>
      <c r="G16" s="12" t="n">
        <v>80</v>
      </c>
      <c r="H16" s="12" t="inlineStr"/>
      <c r="I16" s="12" t="inlineStr">
        <is>
          <t>Clean-up tracker; counts reduced against Trial migration 3 profiling</t>
        </is>
      </c>
      <c r="J16" s="12" t="inlineStr"/>
      <c r="K16" s="12" t="n"/>
      <c r="L16" s="75" t="inlineStr">
        <is>
          <t>NOT STARTED</t>
        </is>
      </c>
      <c r="M16" s="12" t="n"/>
      <c r="N16" s="12" t="n"/>
      <c r="O16" s="12" t="n"/>
      <c r="P16" s="25" t="n"/>
    </row>
    <row r="17">
      <c r="A17" s="12" t="inlineStr">
        <is>
          <t>CT-013</t>
        </is>
      </c>
      <c r="B17" s="12" t="inlineStr">
        <is>
          <t>A Readiness</t>
        </is>
      </c>
      <c r="C17" s="12" t="inlineStr">
        <is>
          <t>T-20</t>
        </is>
      </c>
      <c r="D17" s="12" t="inlineStr"/>
      <c r="E17" s="12" t="inlineStr">
        <is>
          <t>Renewal processing team ready for the January expiries - staffing plan for January (handlers, overtime, back-up) signed; BIBS Renewal training completed; day-1 priority queue worked on the Trial migration 4 and dress-rehearsal data; draft RA-sent file from the Excel trackers validated and its rejects reviewed (maker-checker)</t>
        </is>
      </c>
      <c r="F17" s="12" t="inlineStr">
        <is>
          <t>RNW</t>
        </is>
      </c>
      <c r="G17" s="12" t="n">
        <v>16</v>
      </c>
      <c r="H17" s="12" t="inlineStr">
        <is>
          <t>CT-009</t>
        </is>
      </c>
      <c r="I17" s="12" t="inlineStr">
        <is>
          <t>Staffing plan signed by the Head of the Renewal processing team; draft P03 validated; rejects corrected and approved</t>
        </is>
      </c>
      <c r="J17" s="12" t="inlineStr"/>
      <c r="K17" s="12" t="n"/>
      <c r="L17" s="75" t="inlineStr">
        <is>
          <t>NOT STARTED</t>
        </is>
      </c>
      <c r="M17" s="12" t="n"/>
      <c r="N17" s="12" t="n"/>
      <c r="O17" s="12" t="n"/>
      <c r="P17" s="25" t="n"/>
    </row>
    <row r="18">
      <c r="A18" s="12" t="inlineStr">
        <is>
          <t>CT-014</t>
        </is>
      </c>
      <c r="B18" s="12" t="inlineStr">
        <is>
          <t>A Readiness</t>
        </is>
      </c>
      <c r="C18" s="12" t="inlineStr">
        <is>
          <t>T-18</t>
        </is>
      </c>
      <c r="D18" s="12" t="inlineStr"/>
      <c r="E18" s="12" t="inlineStr">
        <is>
          <t>Secure file drop or console upload path tested end to end from BDOI IT with a masked file; checksum verified</t>
        </is>
      </c>
      <c r="F18" s="12" t="inlineStr">
        <is>
          <t>BIT</t>
        </is>
      </c>
      <c r="G18" s="12" t="n">
        <v>4</v>
      </c>
      <c r="H18" s="12" t="inlineStr">
        <is>
          <t>CT-005</t>
        </is>
      </c>
      <c r="I18" s="12" t="inlineStr">
        <is>
          <t>Test extract accepted and purged</t>
        </is>
      </c>
      <c r="J18" s="12" t="inlineStr"/>
      <c r="K18" s="12" t="n"/>
      <c r="L18" s="75" t="inlineStr">
        <is>
          <t>NOT STARTED</t>
        </is>
      </c>
      <c r="M18" s="12" t="n"/>
      <c r="N18" s="12" t="n"/>
      <c r="O18" s="12" t="n"/>
      <c r="P18" s="25" t="n"/>
    </row>
    <row r="19">
      <c r="A19" s="12" t="inlineStr">
        <is>
          <t>CT-015</t>
        </is>
      </c>
      <c r="B19" s="12" t="inlineStr">
        <is>
          <t>A Readiness</t>
        </is>
      </c>
      <c r="C19" s="12" t="inlineStr">
        <is>
          <t>T-15</t>
        </is>
      </c>
      <c r="D19" s="12" t="inlineStr"/>
      <c r="E19" s="12" t="inlineStr">
        <is>
          <t>Go / no-go checkpoint GNG-1 (readiness to start the pre-load)</t>
        </is>
      </c>
      <c r="F19" s="12" t="inlineStr">
        <is>
          <t>GNG</t>
        </is>
      </c>
      <c r="G19" s="12" t="n">
        <v>2</v>
      </c>
      <c r="H19" s="12" t="inlineStr">
        <is>
          <t>CT-001, CT-004, CT-006, CT-007, CT-008, CT-013, CT-014</t>
        </is>
      </c>
      <c r="I19" s="12" t="inlineStr">
        <is>
          <t>Decision recorded in the console with the GNG-1 criteria</t>
        </is>
      </c>
      <c r="J19" s="12" t="inlineStr">
        <is>
          <t>GNG-1</t>
        </is>
      </c>
      <c r="K19" s="12" t="n"/>
      <c r="L19" s="75" t="inlineStr">
        <is>
          <t>NOT STARTED</t>
        </is>
      </c>
      <c r="M19" s="12" t="n"/>
      <c r="N19" s="12" t="n"/>
      <c r="O19" s="12" t="n"/>
      <c r="P19" s="25" t="n"/>
    </row>
    <row r="20">
      <c r="A20" s="12" t="inlineStr">
        <is>
          <t>CT-016</t>
        </is>
      </c>
      <c r="B20" s="12" t="inlineStr">
        <is>
          <t>B Pre-load and daily deltas</t>
        </is>
      </c>
      <c r="C20" s="12" t="inlineStr">
        <is>
          <t>T-14</t>
        </is>
      </c>
      <c r="D20" s="12" t="inlineStr">
        <is>
          <t>08:00</t>
        </is>
      </c>
      <c r="E20" s="12" t="inlineStr">
        <is>
          <t>Take a full backup (snapshot) of production before the pre-load</t>
        </is>
      </c>
      <c r="F20" s="12" t="inlineStr">
        <is>
          <t>IDO</t>
        </is>
      </c>
      <c r="G20" s="12" t="n">
        <v>1</v>
      </c>
      <c r="H20" s="12" t="inlineStr">
        <is>
          <t>CT-015</t>
        </is>
      </c>
      <c r="I20" s="12" t="inlineStr">
        <is>
          <t>Snapshot ID recorded in the plan</t>
        </is>
      </c>
      <c r="J20" s="12" t="inlineStr"/>
      <c r="K20" s="12" t="n"/>
      <c r="L20" s="75" t="inlineStr">
        <is>
          <t>NOT STARTED</t>
        </is>
      </c>
      <c r="M20" s="12" t="n"/>
      <c r="N20" s="12" t="n"/>
      <c r="O20" s="12" t="n"/>
      <c r="P20" s="25" t="n"/>
    </row>
    <row r="21">
      <c r="A21" s="12" t="inlineStr">
        <is>
          <t>CT-017</t>
        </is>
      </c>
      <c r="B21" s="12" t="inlineStr">
        <is>
          <t>B Pre-load and daily deltas</t>
        </is>
      </c>
      <c r="C21" s="12" t="inlineStr">
        <is>
          <t>T-14</t>
        </is>
      </c>
      <c r="D21" s="12" t="inlineStr">
        <is>
          <t>09:00</t>
        </is>
      </c>
      <c r="E21" s="12" t="inlineStr">
        <is>
          <t>Extract and send R01-R08 and R11 (current values; R06 is the package code map prepared by TSU) with control files</t>
        </is>
      </c>
      <c r="F21" s="12" t="inlineStr">
        <is>
          <t>BIT</t>
        </is>
      </c>
      <c r="G21" s="12" t="n">
        <v>6</v>
      </c>
      <c r="H21" s="12" t="inlineStr">
        <is>
          <t>CT-016</t>
        </is>
      </c>
      <c r="I21" s="12" t="inlineStr">
        <is>
          <t>Files received; intake checks passed (extract status CHECKED)</t>
        </is>
      </c>
      <c r="J21" s="12" t="inlineStr"/>
      <c r="K21" s="12" t="n"/>
      <c r="L21" s="75" t="inlineStr">
        <is>
          <t>NOT STARTED</t>
        </is>
      </c>
      <c r="M21" s="12" t="n"/>
      <c r="N21" s="12" t="n"/>
      <c r="O21" s="12" t="n"/>
      <c r="P21" s="25" t="n"/>
    </row>
    <row r="22">
      <c r="A22" s="12" t="inlineStr">
        <is>
          <t>CT-018</t>
        </is>
      </c>
      <c r="B22" s="12" t="inlineStr">
        <is>
          <t>B Pre-load and daily deltas</t>
        </is>
      </c>
      <c r="C22" s="12" t="inlineStr">
        <is>
          <t>T-14</t>
        </is>
      </c>
      <c r="D22" s="12" t="inlineStr">
        <is>
          <t>15:00</t>
        </is>
      </c>
      <c r="E22" s="12" t="inlineStr">
        <is>
          <t>Validate and load reference data R01-R08 (R06 into the Renewal package map); authorise CREATE values in each master</t>
        </is>
      </c>
      <c r="F22" s="12" t="inlineStr">
        <is>
          <t>IOP</t>
        </is>
      </c>
      <c r="G22" s="12" t="n">
        <v>8</v>
      </c>
      <c r="H22" s="12" t="inlineStr">
        <is>
          <t>CT-017</t>
        </is>
      </c>
      <c r="I22" s="12" t="inlineStr">
        <is>
          <t>Batches loaded; the Unmapped Legacy Codes report empty for R objects</t>
        </is>
      </c>
      <c r="J22" s="12" t="inlineStr"/>
      <c r="K22" s="12" t="n"/>
      <c r="L22" s="75" t="inlineStr">
        <is>
          <t>NOT STARTED</t>
        </is>
      </c>
      <c r="M22" s="12" t="n"/>
      <c r="N22" s="12" t="n"/>
      <c r="O22" s="12" t="n"/>
      <c r="P22" s="25" t="n"/>
    </row>
    <row r="23">
      <c r="A23" s="12" t="inlineStr">
        <is>
          <t>CT-019</t>
        </is>
      </c>
      <c r="B23" s="12" t="inlineStr">
        <is>
          <t>B Pre-load and daily deltas</t>
        </is>
      </c>
      <c r="C23" s="12" t="inlineStr">
        <is>
          <t>T-13</t>
        </is>
      </c>
      <c r="D23" s="12" t="inlineStr"/>
      <c r="E23" s="12" t="inlineStr">
        <is>
          <t>Reconcile and sign off the reference objects (G5, G6)</t>
        </is>
      </c>
      <c r="F23" s="12" t="inlineStr">
        <is>
          <t>DML</t>
        </is>
      </c>
      <c r="G23" s="12" t="n">
        <v>6</v>
      </c>
      <c r="H23" s="12" t="inlineStr">
        <is>
          <t>CT-018</t>
        </is>
      </c>
      <c r="I23" s="12" t="inlineStr">
        <is>
          <t>the Sign-off Status report shows G6 for R01-R08</t>
        </is>
      </c>
      <c r="J23" s="12" t="inlineStr"/>
      <c r="K23" s="12" t="n"/>
      <c r="L23" s="75" t="inlineStr">
        <is>
          <t>NOT STARTED</t>
        </is>
      </c>
      <c r="M23" s="12" t="n"/>
      <c r="N23" s="12" t="n"/>
      <c r="O23" s="12" t="n"/>
      <c r="P23" s="25" t="n"/>
    </row>
    <row r="24">
      <c r="A24" s="12" t="inlineStr">
        <is>
          <t>CT-020</t>
        </is>
      </c>
      <c r="B24" s="12" t="inlineStr">
        <is>
          <t>B Pre-load and daily deltas</t>
        </is>
      </c>
      <c r="C24" s="12" t="inlineStr">
        <is>
          <t>T-13</t>
        </is>
      </c>
      <c r="D24" s="12" t="inlineStr"/>
      <c r="E24" s="12" t="inlineStr">
        <is>
          <t>Load payees R09 if in scope (DMQ30)</t>
        </is>
      </c>
      <c r="F24" s="12" t="inlineStr">
        <is>
          <t>IOP</t>
        </is>
      </c>
      <c r="G24" s="12" t="n">
        <v>4</v>
      </c>
      <c r="H24" s="12" t="inlineStr">
        <is>
          <t>CT-019</t>
        </is>
      </c>
      <c r="I24" s="12" t="inlineStr">
        <is>
          <t>Batch accepted</t>
        </is>
      </c>
      <c r="J24" s="12" t="inlineStr"/>
      <c r="K24" s="12" t="n"/>
      <c r="L24" s="75" t="inlineStr">
        <is>
          <t>NOT STARTED</t>
        </is>
      </c>
      <c r="M24" s="12" t="n"/>
      <c r="N24" s="12" t="n"/>
      <c r="O24" s="12" t="n"/>
      <c r="P24" s="25" t="n"/>
    </row>
    <row r="25">
      <c r="A25" s="12" t="inlineStr">
        <is>
          <t>CT-021</t>
        </is>
      </c>
      <c r="B25" s="12" t="inlineStr">
        <is>
          <t>B Pre-load and daily deltas</t>
        </is>
      </c>
      <c r="C25" s="12" t="inlineStr">
        <is>
          <t>T-12</t>
        </is>
      </c>
      <c r="D25" s="12" t="inlineStr"/>
      <c r="E25" s="12" t="inlineStr">
        <is>
          <t>Extract and send the full client extract C01, C02, C03 (as of the previous EOD)</t>
        </is>
      </c>
      <c r="F25" s="12" t="inlineStr">
        <is>
          <t>BIT</t>
        </is>
      </c>
      <c r="G25" s="12" t="n">
        <v>8</v>
      </c>
      <c r="H25" s="12" t="inlineStr">
        <is>
          <t>CT-019</t>
        </is>
      </c>
      <c r="I25" s="12" t="inlineStr">
        <is>
          <t>Files CHECKED; counts against the Trial migration 4 volumes within 5 percent</t>
        </is>
      </c>
      <c r="J25" s="12" t="inlineStr"/>
      <c r="K25" s="12" t="n"/>
      <c r="L25" s="75" t="inlineStr">
        <is>
          <t>NOT STARTED</t>
        </is>
      </c>
      <c r="M25" s="12" t="n"/>
      <c r="N25" s="12" t="n"/>
      <c r="O25" s="12" t="n"/>
      <c r="P25" s="25" t="n"/>
    </row>
    <row r="26">
      <c r="A26" s="12" t="inlineStr">
        <is>
          <t>CT-022</t>
        </is>
      </c>
      <c r="B26" s="12" t="inlineStr">
        <is>
          <t>B Pre-load and daily deltas</t>
        </is>
      </c>
      <c r="C26" s="12" t="inlineStr">
        <is>
          <t>T-12</t>
        </is>
      </c>
      <c r="D26" s="12" t="inlineStr"/>
      <c r="E26" s="12" t="inlineStr">
        <is>
          <t>Validate clients; run matching; clear the review queue</t>
        </is>
      </c>
      <c r="F26" s="12" t="inlineStr">
        <is>
          <t>STW</t>
        </is>
      </c>
      <c r="G26" s="12" t="n">
        <v>24</v>
      </c>
      <c r="H26" s="12" t="inlineStr">
        <is>
          <t>CT-021</t>
        </is>
      </c>
      <c r="I26" s="12" t="inlineStr">
        <is>
          <t>Review queue empty; the Client Matching report reviewed</t>
        </is>
      </c>
      <c r="J26" s="12" t="inlineStr"/>
      <c r="K26" s="12" t="n"/>
      <c r="L26" s="75" t="inlineStr">
        <is>
          <t>NOT STARTED</t>
        </is>
      </c>
      <c r="M26" s="12" t="n"/>
      <c r="N26" s="12" t="n"/>
      <c r="O26" s="12" t="n"/>
      <c r="P26" s="25" t="n"/>
    </row>
    <row r="27">
      <c r="A27" s="12" t="inlineStr">
        <is>
          <t>CT-023</t>
        </is>
      </c>
      <c r="B27" s="12" t="inlineStr">
        <is>
          <t>B Pre-load and daily deltas</t>
        </is>
      </c>
      <c r="C27" s="12" t="inlineStr">
        <is>
          <t>T-11</t>
        </is>
      </c>
      <c r="D27" s="12" t="inlineStr"/>
      <c r="E27" s="12" t="inlineStr">
        <is>
          <t>Load clients C01-C03; reconcile L1-L4; business sample checks; sign off (G5, G6)</t>
        </is>
      </c>
      <c r="F27" s="12" t="inlineStr">
        <is>
          <t>IOP</t>
        </is>
      </c>
      <c r="G27" s="12" t="n">
        <v>16</v>
      </c>
      <c r="H27" s="12" t="inlineStr">
        <is>
          <t>CT-022</t>
        </is>
      </c>
      <c r="I27" s="12" t="inlineStr">
        <is>
          <t>the Reconciliation Summary report all matched or explained; G6 signed</t>
        </is>
      </c>
      <c r="J27" s="12" t="inlineStr"/>
      <c r="K27" s="12" t="n"/>
      <c r="L27" s="75" t="inlineStr">
        <is>
          <t>NOT STARTED</t>
        </is>
      </c>
      <c r="M27" s="12" t="n"/>
      <c r="N27" s="12" t="n"/>
      <c r="O27" s="12" t="n"/>
      <c r="P27" s="25" t="n"/>
    </row>
    <row r="28">
      <c r="A28" s="12" t="inlineStr">
        <is>
          <t>CT-024</t>
        </is>
      </c>
      <c r="B28" s="12" t="inlineStr">
        <is>
          <t>B Pre-load and daily deltas</t>
        </is>
      </c>
      <c r="C28" s="12" t="inlineStr">
        <is>
          <t>T-11</t>
        </is>
      </c>
      <c r="D28" s="12" t="inlineStr"/>
      <c r="E28" s="12" t="inlineStr">
        <is>
          <t>Daily client delta (new and changed clients of the day) from T-11 to T-5 - extract 23:00, load 00:30 (daily client delta job)</t>
        </is>
      </c>
      <c r="F28" s="12" t="inlineStr">
        <is>
          <t>BIT</t>
        </is>
      </c>
      <c r="G28" s="12" t="n">
        <v>1</v>
      </c>
      <c r="H28" s="12" t="inlineStr">
        <is>
          <t>CT-023</t>
        </is>
      </c>
      <c r="I28" s="12" t="inlineStr">
        <is>
          <t>Delta batch accepted each morning by 07:00</t>
        </is>
      </c>
      <c r="J28" s="12" t="inlineStr"/>
      <c r="K28" s="12" t="n"/>
      <c r="L28" s="75" t="inlineStr">
        <is>
          <t>NOT STARTED</t>
        </is>
      </c>
      <c r="M28" s="12" t="n"/>
      <c r="N28" s="12" t="n"/>
      <c r="O28" s="12" t="n"/>
      <c r="P28" s="25" t="n"/>
    </row>
    <row r="29">
      <c r="A29" s="12" t="inlineStr">
        <is>
          <t>CT-025</t>
        </is>
      </c>
      <c r="B29" s="12" t="inlineStr">
        <is>
          <t>B Pre-load and daily deltas</t>
        </is>
      </c>
      <c r="C29" s="12" t="inlineStr">
        <is>
          <t>T-12</t>
        </is>
      </c>
      <c r="D29" s="12" t="inlineStr"/>
      <c r="E29" s="12" t="inlineStr">
        <is>
          <t>Complete legacy remittance batches in process, or tag the holds and special remittances that carry forward (DMQ21)</t>
        </is>
      </c>
      <c r="F29" s="12" t="inlineStr">
        <is>
          <t>OPS</t>
        </is>
      </c>
      <c r="G29" s="12" t="n">
        <v>40</v>
      </c>
      <c r="H29" s="12" t="inlineStr"/>
      <c r="I29" s="12" t="inlineStr">
        <is>
          <t>List of carried items for F04 agreed by Operations - Remittance</t>
        </is>
      </c>
      <c r="J29" s="12" t="inlineStr"/>
      <c r="K29" s="12" t="n"/>
      <c r="L29" s="75" t="inlineStr">
        <is>
          <t>NOT STARTED</t>
        </is>
      </c>
      <c r="M29" s="12" t="n"/>
      <c r="N29" s="12" t="n"/>
      <c r="O29" s="12" t="n"/>
      <c r="P29" s="25" t="n"/>
    </row>
    <row r="30">
      <c r="A30" s="12" t="inlineStr">
        <is>
          <t>CT-026</t>
        </is>
      </c>
      <c r="B30" s="12" t="inlineStr">
        <is>
          <t>B Pre-load and daily deltas</t>
        </is>
      </c>
      <c r="C30" s="12" t="inlineStr">
        <is>
          <t>T-12</t>
        </is>
      </c>
      <c r="D30" s="12" t="inlineStr"/>
      <c r="E30" s="12" t="inlineStr">
        <is>
          <t>Complete in-flight legacy items where possible - pending endorsements, un-booked accounts, renewals placed or bound in legacy and not yet booked (booked before the freeze so that the new term migrates as a header), check pick-ups, refunds (DMQ33)</t>
        </is>
      </c>
      <c r="F30" s="12" t="inlineStr">
        <is>
          <t>OPS</t>
        </is>
      </c>
      <c r="G30" s="12" t="n">
        <v>40</v>
      </c>
      <c r="H30" s="12" t="inlineStr"/>
      <c r="I30" s="12" t="inlineStr">
        <is>
          <t>In-flight list reduced; the rest listed for carry-forward or re-keying</t>
        </is>
      </c>
      <c r="J30" s="12" t="inlineStr"/>
      <c r="K30" s="12" t="n"/>
      <c r="L30" s="75" t="inlineStr">
        <is>
          <t>NOT STARTED</t>
        </is>
      </c>
      <c r="M30" s="12" t="n"/>
      <c r="N30" s="12" t="n"/>
      <c r="O30" s="12" t="n"/>
      <c r="P30" s="25" t="n"/>
    </row>
    <row r="31">
      <c r="A31" s="12" t="inlineStr">
        <is>
          <t>CT-027</t>
        </is>
      </c>
      <c r="B31" s="12" t="inlineStr">
        <is>
          <t>B Pre-load and daily deltas</t>
        </is>
      </c>
      <c r="C31" s="12" t="inlineStr">
        <is>
          <t>T-7</t>
        </is>
      </c>
      <c r="D31" s="12" t="inlineStr"/>
      <c r="E31" s="12" t="inlineStr">
        <is>
          <t>Code map freeze - no new legacy code without a change request and a map version</t>
        </is>
      </c>
      <c r="F31" s="12" t="inlineStr">
        <is>
          <t>OWN</t>
        </is>
      </c>
      <c r="G31" s="12" t="n">
        <v>1</v>
      </c>
      <c r="H31" s="12" t="inlineStr">
        <is>
          <t>CT-019</t>
        </is>
      </c>
      <c r="I31" s="12" t="inlineStr">
        <is>
          <t>Freeze notice sent; change log opened</t>
        </is>
      </c>
      <c r="J31" s="12" t="inlineStr"/>
      <c r="K31" s="12" t="n"/>
      <c r="L31" s="75" t="inlineStr">
        <is>
          <t>NOT STARTED</t>
        </is>
      </c>
      <c r="M31" s="12" t="n"/>
      <c r="N31" s="12" t="n"/>
      <c r="O31" s="12" t="n"/>
      <c r="P31" s="25" t="n"/>
    </row>
    <row r="32">
      <c r="A32" s="12" t="inlineStr">
        <is>
          <t>CT-028</t>
        </is>
      </c>
      <c r="B32" s="12" t="inlineStr">
        <is>
          <t>B Pre-load and daily deltas</t>
        </is>
      </c>
      <c r="C32" s="12" t="inlineStr">
        <is>
          <t>T-7</t>
        </is>
      </c>
      <c r="D32" s="12" t="inlineStr"/>
      <c r="E32" s="12" t="inlineStr">
        <is>
          <t>Legacy reference-data change freeze in EBIX and QPS (insurers, products, packages, AOs, branches)</t>
        </is>
      </c>
      <c r="F32" s="12" t="inlineStr">
        <is>
          <t>BIT</t>
        </is>
      </c>
      <c r="G32" s="12" t="n">
        <v>1</v>
      </c>
      <c r="H32" s="12" t="inlineStr">
        <is>
          <t>CT-027</t>
        </is>
      </c>
      <c r="I32" s="12" t="inlineStr">
        <is>
          <t>Maintenance screens locked or change log reviewed daily</t>
        </is>
      </c>
      <c r="J32" s="12" t="inlineStr"/>
      <c r="K32" s="12" t="n"/>
      <c r="L32" s="75" t="inlineStr">
        <is>
          <t>NOT STARTED</t>
        </is>
      </c>
      <c r="M32" s="12" t="n"/>
      <c r="N32" s="12" t="n"/>
      <c r="O32" s="12" t="n"/>
      <c r="P32" s="25" t="n"/>
    </row>
    <row r="33">
      <c r="A33" s="12" t="inlineStr">
        <is>
          <t>CT-029</t>
        </is>
      </c>
      <c r="B33" s="12" t="inlineStr">
        <is>
          <t>B Pre-load and daily deltas</t>
        </is>
      </c>
      <c r="C33" s="12" t="inlineStr">
        <is>
          <t>T-7</t>
        </is>
      </c>
      <c r="D33" s="12" t="inlineStr"/>
      <c r="E33" s="12" t="inlineStr">
        <is>
          <t>Dry run of the final extract jobs on the current day's data (timing and control files; P01 covers every expiry to 31-May-2028 and every booked renewal term starting on or after T)</t>
        </is>
      </c>
      <c r="F33" s="12" t="inlineStr">
        <is>
          <t>BIT</t>
        </is>
      </c>
      <c r="G33" s="12" t="n">
        <v>6</v>
      </c>
      <c r="H33" s="12" t="inlineStr">
        <is>
          <t>CT-017</t>
        </is>
      </c>
      <c r="I33" s="12" t="inlineStr">
        <is>
          <t>Extract timings within the plan; control files correct; P01 dry run checked against the legacy in-force list</t>
        </is>
      </c>
      <c r="J33" s="12" t="inlineStr"/>
      <c r="K33" s="12" t="n"/>
      <c r="L33" s="75" t="inlineStr">
        <is>
          <t>NOT STARTED</t>
        </is>
      </c>
      <c r="M33" s="12" t="n"/>
      <c r="N33" s="12" t="n"/>
      <c r="O33" s="12" t="n"/>
      <c r="P33" s="25" t="n"/>
    </row>
    <row r="34">
      <c r="A34" s="12" t="inlineStr">
        <is>
          <t>CT-030</t>
        </is>
      </c>
      <c r="B34" s="12" t="inlineStr">
        <is>
          <t>B Pre-load and daily deltas</t>
        </is>
      </c>
      <c r="C34" s="12" t="inlineStr">
        <is>
          <t>T-5</t>
        </is>
      </c>
      <c r="D34" s="12" t="inlineStr"/>
      <c r="E34" s="12" t="inlineStr">
        <is>
          <t>Go / no-go checkpoint GNG-2 (enter the legacy freeze)</t>
        </is>
      </c>
      <c r="F34" s="12" t="inlineStr">
        <is>
          <t>GNG</t>
        </is>
      </c>
      <c r="G34" s="12" t="n">
        <v>2</v>
      </c>
      <c r="H34" s="12" t="inlineStr">
        <is>
          <t>CT-013, CT-023, CT-024, CT-025, CT-026, CT-029</t>
        </is>
      </c>
      <c r="I34" s="12" t="inlineStr">
        <is>
          <t>Decision recorded with the GNG-2 criteria</t>
        </is>
      </c>
      <c r="J34" s="12" t="inlineStr">
        <is>
          <t>GNG-2</t>
        </is>
      </c>
      <c r="K34" s="12" t="n"/>
      <c r="L34" s="75" t="inlineStr">
        <is>
          <t>NOT STARTED</t>
        </is>
      </c>
      <c r="M34" s="12" t="n"/>
      <c r="N34" s="12" t="n"/>
      <c r="O34" s="12" t="n"/>
      <c r="P34" s="25" t="n"/>
    </row>
    <row r="35">
      <c r="A35" s="12" t="inlineStr">
        <is>
          <t>CT-031</t>
        </is>
      </c>
      <c r="B35" s="12" t="inlineStr">
        <is>
          <t>B Pre-load and daily deltas</t>
        </is>
      </c>
      <c r="C35" s="12" t="inlineStr">
        <is>
          <t>T-5</t>
        </is>
      </c>
      <c r="D35" s="12" t="inlineStr"/>
      <c r="E35" s="12" t="inlineStr">
        <is>
          <t>Announce the freeze and the Monday opening to all users, branches and insurers</t>
        </is>
      </c>
      <c r="F35" s="12" t="inlineStr">
        <is>
          <t>PM</t>
        </is>
      </c>
      <c r="G35" s="12" t="n">
        <v>1</v>
      </c>
      <c r="H35" s="12" t="inlineStr">
        <is>
          <t>CT-030</t>
        </is>
      </c>
      <c r="I35" s="12" t="inlineStr">
        <is>
          <t>Communication plan item 7 sent</t>
        </is>
      </c>
      <c r="J35" s="12" t="inlineStr"/>
      <c r="K35" s="12" t="n"/>
      <c r="L35" s="75" t="inlineStr">
        <is>
          <t>NOT STARTED</t>
        </is>
      </c>
      <c r="M35" s="12" t="n"/>
      <c r="N35" s="12" t="n"/>
      <c r="O35" s="12" t="n"/>
      <c r="P35" s="25" t="n"/>
    </row>
    <row r="36">
      <c r="A36" s="12" t="inlineStr">
        <is>
          <t>CT-032</t>
        </is>
      </c>
      <c r="B36" s="12" t="inlineStr">
        <is>
          <t>B Pre-load and daily deltas</t>
        </is>
      </c>
      <c r="C36" s="12" t="inlineStr">
        <is>
          <t>T-5</t>
        </is>
      </c>
      <c r="D36" s="12" t="inlineStr">
        <is>
          <t>17:00</t>
        </is>
      </c>
      <c r="E36" s="12" t="inlineStr">
        <is>
          <t>Last legacy business day - last business transactions; cashiers deposit and close; UPP of the day recorded (30 and 31 December are holidays, DMQ39)</t>
        </is>
      </c>
      <c r="F36" s="12" t="inlineStr">
        <is>
          <t>OPS</t>
        </is>
      </c>
      <c r="G36" s="12" t="n">
        <v>3</v>
      </c>
      <c r="H36" s="12" t="inlineStr">
        <is>
          <t>CT-030</t>
        </is>
      </c>
      <c r="I36" s="12" t="inlineStr">
        <is>
          <t>Branch close checklist from every branch</t>
        </is>
      </c>
      <c r="J36" s="12" t="inlineStr"/>
      <c r="K36" s="12" t="n"/>
      <c r="L36" s="75" t="inlineStr">
        <is>
          <t>NOT STARTED</t>
        </is>
      </c>
      <c r="M36" s="12" t="n"/>
      <c r="N36" s="12" t="n"/>
      <c r="O36" s="12" t="n"/>
      <c r="P36" s="25" t="n"/>
    </row>
    <row r="37">
      <c r="A37" s="12" t="inlineStr">
        <is>
          <t>CT-033</t>
        </is>
      </c>
      <c r="B37" s="12" t="inlineStr">
        <is>
          <t>B Pre-load and daily deltas</t>
        </is>
      </c>
      <c r="C37" s="12" t="inlineStr">
        <is>
          <t>T-5</t>
        </is>
      </c>
      <c r="D37" s="12" t="inlineStr">
        <is>
          <t>18:00</t>
        </is>
      </c>
      <c r="E37" s="12" t="inlineStr">
        <is>
          <t>Final RA-sent file (P03) compiled from the Excel trackers with the RAs sent up to the last business day (maker); the checker compares it with the trackers and releases it; trackers closed for new RAs</t>
        </is>
      </c>
      <c r="F37" s="12" t="inlineStr">
        <is>
          <t>RNW</t>
        </is>
      </c>
      <c r="G37" s="12" t="n">
        <v>3</v>
      </c>
      <c r="H37" s="12" t="inlineStr">
        <is>
          <t>CT-032</t>
        </is>
      </c>
      <c r="I37" s="12" t="inlineStr">
        <is>
          <t>File and control file ready; checker's release recorded</t>
        </is>
      </c>
      <c r="J37" s="12" t="inlineStr"/>
      <c r="K37" s="12" t="n"/>
      <c r="L37" s="75" t="inlineStr">
        <is>
          <t>NOT STARTED</t>
        </is>
      </c>
      <c r="M37" s="12" t="n"/>
      <c r="N37" s="12" t="n"/>
      <c r="O37" s="12" t="n"/>
      <c r="P37" s="25" t="n"/>
    </row>
    <row r="38">
      <c r="A38" s="12" t="inlineStr">
        <is>
          <t>CT-034</t>
        </is>
      </c>
      <c r="B38" s="12" t="inlineStr">
        <is>
          <t>B Pre-load and daily deltas</t>
        </is>
      </c>
      <c r="C38" s="12" t="inlineStr">
        <is>
          <t>T-5</t>
        </is>
      </c>
      <c r="D38" s="12" t="inlineStr">
        <is>
          <t>18:00</t>
        </is>
      </c>
      <c r="E38" s="12" t="inlineStr">
        <is>
          <t>Name the Comptrollership users who may post FY2027 closing and audit adjustments in the legacy GL after the freeze; open the FY2027 adjustment register</t>
        </is>
      </c>
      <c r="F38" s="12" t="inlineStr">
        <is>
          <t>COMP</t>
        </is>
      </c>
      <c r="G38" s="12" t="n">
        <v>2</v>
      </c>
      <c r="H38" s="12" t="inlineStr">
        <is>
          <t>CT-030</t>
        </is>
      </c>
      <c r="I38" s="12" t="inlineStr">
        <is>
          <t>Access list signed by the Head of Comptrollership; register opened</t>
        </is>
      </c>
      <c r="J38" s="12" t="inlineStr"/>
      <c r="K38" s="12" t="n"/>
      <c r="L38" s="75" t="inlineStr">
        <is>
          <t>NOT STARTED</t>
        </is>
      </c>
      <c r="M38" s="12" t="n"/>
      <c r="N38" s="12" t="n"/>
      <c r="O38" s="12" t="n"/>
      <c r="P38" s="25" t="n"/>
    </row>
    <row r="39">
      <c r="A39" s="12" t="inlineStr">
        <is>
          <t>CT-035</t>
        </is>
      </c>
      <c r="B39" s="12" t="inlineStr">
        <is>
          <t>C Legacy freeze and final extracts</t>
        </is>
      </c>
      <c r="C39" s="12" t="inlineStr">
        <is>
          <t>T-3</t>
        </is>
      </c>
      <c r="D39" s="12" t="inlineStr">
        <is>
          <t>20:00</t>
        </is>
      </c>
      <c r="E39" s="12" t="inlineStr">
        <is>
          <t>Last legacy EOD (EBIX, QPS, ISYS, CMS); preliminary December 2027 trial balance run</t>
        </is>
      </c>
      <c r="F39" s="12" t="inlineStr">
        <is>
          <t>BIT</t>
        </is>
      </c>
      <c r="G39" s="12" t="n">
        <v>2</v>
      </c>
      <c r="H39" s="12" t="inlineStr">
        <is>
          <t>CT-032</t>
        </is>
      </c>
      <c r="I39" s="12" t="inlineStr">
        <is>
          <t>EOD logs complete without error; preliminary TB printed per branch and currency</t>
        </is>
      </c>
      <c r="J39" s="12" t="inlineStr"/>
      <c r="K39" s="12" t="n"/>
      <c r="L39" s="75" t="inlineStr">
        <is>
          <t>NOT STARTED</t>
        </is>
      </c>
      <c r="M39" s="12" t="n"/>
      <c r="N39" s="12" t="n"/>
      <c r="O39" s="12" t="n"/>
      <c r="P39" s="25" t="n"/>
    </row>
    <row r="40">
      <c r="A40" s="12" t="inlineStr">
        <is>
          <t>CT-036</t>
        </is>
      </c>
      <c r="B40" s="12" t="inlineStr">
        <is>
          <t>C Legacy freeze and final extracts</t>
        </is>
      </c>
      <c r="C40" s="12" t="inlineStr">
        <is>
          <t>T-3</t>
        </is>
      </c>
      <c r="D40" s="12" t="inlineStr">
        <is>
          <t>22:00</t>
        </is>
      </c>
      <c r="E40" s="12" t="inlineStr">
        <is>
          <t>Legacy business freeze - EBIX, QPS, CMS business modules set to read-only; batch jobs that post are disabled; legacy GL restricted to the named Comptrollership users and to FY2027 periods (FY2028 periods are not opened in legacy)</t>
        </is>
      </c>
      <c r="F40" s="12" t="inlineStr">
        <is>
          <t>BIT</t>
        </is>
      </c>
      <c r="G40" s="12" t="n">
        <v>1</v>
      </c>
      <c r="H40" s="12" t="inlineStr">
        <is>
          <t>CT-035, CT-034</t>
        </is>
      </c>
      <c r="I40" s="12" t="inlineStr">
        <is>
          <t>Test posting refused in each business module and by a GL user not on the list; job list shows disabled jobs</t>
        </is>
      </c>
      <c r="J40" s="12" t="inlineStr">
        <is>
          <t>FREEZE</t>
        </is>
      </c>
      <c r="K40" s="12" t="n"/>
      <c r="L40" s="75" t="inlineStr">
        <is>
          <t>NOT STARTED</t>
        </is>
      </c>
      <c r="M40" s="12" t="n"/>
      <c r="N40" s="12" t="n"/>
      <c r="O40" s="12" t="n"/>
      <c r="P40" s="25" t="n"/>
    </row>
    <row r="41">
      <c r="A41" s="12" t="inlineStr">
        <is>
          <t>CT-037</t>
        </is>
      </c>
      <c r="B41" s="12" t="inlineStr">
        <is>
          <t>C Legacy freeze and final extracts</t>
        </is>
      </c>
      <c r="C41" s="12" t="inlineStr">
        <is>
          <t>T-3</t>
        </is>
      </c>
      <c r="D41" s="12" t="inlineStr">
        <is>
          <t>22:15</t>
        </is>
      </c>
      <c r="E41" s="12" t="inlineStr">
        <is>
          <t>Final client delta (last changes of the day) extracted and loaded</t>
        </is>
      </c>
      <c r="F41" s="12" t="inlineStr">
        <is>
          <t>IOP</t>
        </is>
      </c>
      <c r="G41" s="12" t="n">
        <v>2</v>
      </c>
      <c r="H41" s="12" t="inlineStr">
        <is>
          <t>CT-036</t>
        </is>
      </c>
      <c r="I41" s="12" t="inlineStr">
        <is>
          <t>Last delta batch accepted</t>
        </is>
      </c>
      <c r="J41" s="12" t="inlineStr"/>
      <c r="K41" s="12" t="n"/>
      <c r="L41" s="75" t="inlineStr">
        <is>
          <t>NOT STARTED</t>
        </is>
      </c>
      <c r="M41" s="12" t="n"/>
      <c r="N41" s="12" t="n"/>
      <c r="O41" s="12" t="n"/>
      <c r="P41" s="25" t="n"/>
    </row>
    <row r="42">
      <c r="A42" s="12" t="inlineStr">
        <is>
          <t>CT-038</t>
        </is>
      </c>
      <c r="B42" s="12" t="inlineStr">
        <is>
          <t>C Legacy freeze and final extracts</t>
        </is>
      </c>
      <c r="C42" s="12" t="inlineStr">
        <is>
          <t>T-3</t>
        </is>
      </c>
      <c r="D42" s="12" t="inlineStr">
        <is>
          <t>22:30</t>
        </is>
      </c>
      <c r="E42" s="12" t="inlineStr">
        <is>
          <t>Final extracts after the EOD - P01, P01S, P03 (the RA-sent file of the Renewal processing team), F01, F01S, F01C, F02, F03, F04, F06, R11 (final numbers), G01 preliminary December TB (version PROVISIONAL)</t>
        </is>
      </c>
      <c r="F42" s="12" t="inlineStr">
        <is>
          <t>BIT</t>
        </is>
      </c>
      <c r="G42" s="12" t="n">
        <v>5</v>
      </c>
      <c r="H42" s="12" t="inlineStr">
        <is>
          <t>CT-036, CT-033</t>
        </is>
      </c>
      <c r="I42" s="12" t="inlineStr">
        <is>
          <t>Every file and control file in the intake; SHA-256 recorded</t>
        </is>
      </c>
      <c r="J42" s="12" t="inlineStr"/>
      <c r="K42" s="12" t="n"/>
      <c r="L42" s="75" t="inlineStr">
        <is>
          <t>NOT STARTED</t>
        </is>
      </c>
      <c r="M42" s="12" t="n"/>
      <c r="N42" s="12" t="n"/>
      <c r="O42" s="12" t="n"/>
      <c r="P42" s="25" t="n"/>
    </row>
    <row r="43">
      <c r="A43" s="12" t="inlineStr">
        <is>
          <t>CT-039</t>
        </is>
      </c>
      <c r="B43" s="12" t="inlineStr">
        <is>
          <t>C Legacy freeze and final extracts</t>
        </is>
      </c>
      <c r="C43" s="12" t="inlineStr">
        <is>
          <t>T-3</t>
        </is>
      </c>
      <c r="D43" s="12" t="inlineStr">
        <is>
          <t>23:30</t>
        </is>
      </c>
      <c r="E43" s="12" t="inlineStr">
        <is>
          <t>Comptrollership signs the preliminary December trial balance as the provisional opening - balanced per branch and currency, with the FY2027 result per branch and currency</t>
        </is>
      </c>
      <c r="F43" s="12" t="inlineStr">
        <is>
          <t>COMP</t>
        </is>
      </c>
      <c r="G43" s="12" t="n">
        <v>2</v>
      </c>
      <c r="H43" s="12" t="inlineStr">
        <is>
          <t>CT-035</t>
        </is>
      </c>
      <c r="I43" s="12" t="inlineStr">
        <is>
          <t>Signed TB totals and FY2027 result per branch and currency</t>
        </is>
      </c>
      <c r="J43" s="12" t="inlineStr"/>
      <c r="K43" s="12" t="n"/>
      <c r="L43" s="75" t="inlineStr">
        <is>
          <t>NOT STARTED</t>
        </is>
      </c>
      <c r="M43" s="12" t="n"/>
      <c r="N43" s="12" t="n"/>
      <c r="O43" s="12" t="n"/>
      <c r="P43" s="25" t="n"/>
    </row>
    <row r="44">
      <c r="A44" s="12" t="inlineStr">
        <is>
          <t>CT-040</t>
        </is>
      </c>
      <c r="B44" s="12" t="inlineStr">
        <is>
          <t>D Production load</t>
        </is>
      </c>
      <c r="C44" s="12" t="inlineStr">
        <is>
          <t>T-2</t>
        </is>
      </c>
      <c r="D44" s="12" t="inlineStr">
        <is>
          <t>02:00</t>
        </is>
      </c>
      <c r="E44" s="12" t="inlineStr">
        <is>
          <t>Take the full backup (snapshot) of production - the rollback point</t>
        </is>
      </c>
      <c r="F44" s="12" t="inlineStr">
        <is>
          <t>IDO</t>
        </is>
      </c>
      <c r="G44" s="12" t="n">
        <v>1</v>
      </c>
      <c r="H44" s="12" t="inlineStr">
        <is>
          <t>CT-037, CT-038</t>
        </is>
      </c>
      <c r="I44" s="12" t="inlineStr">
        <is>
          <t>Snapshot ID and restore test of the snapshot metadata recorded</t>
        </is>
      </c>
      <c r="J44" s="12" t="inlineStr">
        <is>
          <t>ROLLBACK POINT</t>
        </is>
      </c>
      <c r="K44" s="12" t="n"/>
      <c r="L44" s="75" t="inlineStr">
        <is>
          <t>NOT STARTED</t>
        </is>
      </c>
      <c r="M44" s="12" t="n"/>
      <c r="N44" s="12" t="n"/>
      <c r="O44" s="12" t="n"/>
      <c r="P44" s="25" t="n"/>
    </row>
    <row r="45">
      <c r="A45" s="12" t="inlineStr">
        <is>
          <t>CT-041</t>
        </is>
      </c>
      <c r="B45" s="12" t="inlineStr">
        <is>
          <t>D Production load</t>
        </is>
      </c>
      <c r="C45" s="12" t="inlineStr">
        <is>
          <t>T-2</t>
        </is>
      </c>
      <c r="D45" s="12" t="inlineStr">
        <is>
          <t>03:00</t>
        </is>
      </c>
      <c r="E45" s="12" t="inlineStr">
        <is>
          <t>Intake checks of all final extracts (checksum, layout, row count, control totals, hash totals)</t>
        </is>
      </c>
      <c r="F45" s="12" t="inlineStr">
        <is>
          <t>IOP</t>
        </is>
      </c>
      <c r="G45" s="12" t="n">
        <v>1</v>
      </c>
      <c r="H45" s="12" t="inlineStr">
        <is>
          <t>CT-040</t>
        </is>
      </c>
      <c r="I45" s="12" t="inlineStr">
        <is>
          <t>Every extract CHECKED; rejected files re-sent within 1 hour</t>
        </is>
      </c>
      <c r="J45" s="12" t="inlineStr"/>
      <c r="K45" s="12" t="n"/>
      <c r="L45" s="75" t="inlineStr">
        <is>
          <t>NOT STARTED</t>
        </is>
      </c>
      <c r="M45" s="12" t="n"/>
      <c r="N45" s="12" t="n"/>
      <c r="O45" s="12" t="n"/>
      <c r="P45" s="25" t="n"/>
    </row>
    <row r="46">
      <c r="A46" s="12" t="inlineStr">
        <is>
          <t>CT-042</t>
        </is>
      </c>
      <c r="B46" s="12" t="inlineStr">
        <is>
          <t>D Production load</t>
        </is>
      </c>
      <c r="C46" s="12" t="inlineStr">
        <is>
          <t>T-2</t>
        </is>
      </c>
      <c r="D46" s="12" t="inlineStr">
        <is>
          <t>04:00</t>
        </is>
      </c>
      <c r="E46" s="12" t="inlineStr">
        <is>
          <t>Validate P01 and P01S; resolve issues; approve load (G3, G4)</t>
        </is>
      </c>
      <c r="F46" s="12" t="inlineStr">
        <is>
          <t>IOP</t>
        </is>
      </c>
      <c r="G46" s="12" t="n">
        <v>2</v>
      </c>
      <c r="H46" s="12" t="inlineStr">
        <is>
          <t>CT-041</t>
        </is>
      </c>
      <c r="I46" s="12" t="inlineStr">
        <is>
          <t>Error rate within the master threshold; every expiry to 31-May-2028 present against the legacy in-force list; G4 signed by the Data Migration Lead</t>
        </is>
      </c>
      <c r="J46" s="12" t="inlineStr"/>
      <c r="K46" s="12" t="n"/>
      <c r="L46" s="75" t="inlineStr">
        <is>
          <t>NOT STARTED</t>
        </is>
      </c>
      <c r="M46" s="12" t="n"/>
      <c r="N46" s="12" t="n"/>
      <c r="O46" s="12" t="n"/>
      <c r="P46" s="25" t="n"/>
    </row>
    <row r="47">
      <c r="A47" s="12" t="inlineStr">
        <is>
          <t>CT-043</t>
        </is>
      </c>
      <c r="B47" s="12" t="inlineStr">
        <is>
          <t>D Production load</t>
        </is>
      </c>
      <c r="C47" s="12" t="inlineStr">
        <is>
          <t>T-2</t>
        </is>
      </c>
      <c r="D47" s="12" t="inlineStr">
        <is>
          <t>06:00</t>
        </is>
      </c>
      <c r="E47" s="12" t="inlineStr">
        <is>
          <t>Load policy headers P01; reconcile L1-L4</t>
        </is>
      </c>
      <c r="F47" s="12" t="inlineStr">
        <is>
          <t>IOP</t>
        </is>
      </c>
      <c r="G47" s="12" t="n">
        <v>3</v>
      </c>
      <c r="H47" s="12" t="inlineStr">
        <is>
          <t>CT-042</t>
        </is>
      </c>
      <c r="I47" s="12" t="inlineStr">
        <is>
          <t>the Reconciliation Summary report for P01 matched</t>
        </is>
      </c>
      <c r="J47" s="12" t="inlineStr"/>
      <c r="K47" s="12" t="n"/>
      <c r="L47" s="75" t="inlineStr">
        <is>
          <t>NOT STARTED</t>
        </is>
      </c>
      <c r="M47" s="12" t="n"/>
      <c r="N47" s="12" t="n"/>
      <c r="O47" s="12" t="n"/>
      <c r="P47" s="25" t="n"/>
    </row>
    <row r="48">
      <c r="A48" s="12" t="inlineStr">
        <is>
          <t>CT-044</t>
        </is>
      </c>
      <c r="B48" s="12" t="inlineStr">
        <is>
          <t>D Production load</t>
        </is>
      </c>
      <c r="C48" s="12" t="inlineStr">
        <is>
          <t>T-2</t>
        </is>
      </c>
      <c r="D48" s="12" t="inlineStr">
        <is>
          <t>06:00</t>
        </is>
      </c>
      <c r="E48" s="12" t="inlineStr">
        <is>
          <t>Validate F01, F01S, F01C; resolve issues; approve load (G3, G4)</t>
        </is>
      </c>
      <c r="F48" s="12" t="inlineStr">
        <is>
          <t>IOP</t>
        </is>
      </c>
      <c r="G48" s="12" t="n">
        <v>3</v>
      </c>
      <c r="H48" s="12" t="inlineStr">
        <is>
          <t>CT-041</t>
        </is>
      </c>
      <c r="I48" s="12" t="inlineStr">
        <is>
          <t>0 financial errors or owner-approved exclusions with manual-entry plan</t>
        </is>
      </c>
      <c r="J48" s="12" t="inlineStr"/>
      <c r="K48" s="12" t="n"/>
      <c r="L48" s="75" t="inlineStr">
        <is>
          <t>NOT STARTED</t>
        </is>
      </c>
      <c r="M48" s="12" t="n"/>
      <c r="N48" s="12" t="n"/>
      <c r="O48" s="12" t="n"/>
      <c r="P48" s="25" t="n"/>
    </row>
    <row r="49">
      <c r="A49" s="12" t="inlineStr">
        <is>
          <t>CT-045</t>
        </is>
      </c>
      <c r="B49" s="12" t="inlineStr">
        <is>
          <t>D Production load</t>
        </is>
      </c>
      <c r="C49" s="12" t="inlineStr">
        <is>
          <t>T-2</t>
        </is>
      </c>
      <c r="D49" s="12" t="inlineStr">
        <is>
          <t>09:00</t>
        </is>
      </c>
      <c r="E49" s="12" t="inlineStr">
        <is>
          <t>Load open legacy invoices F01 with their opening entries</t>
        </is>
      </c>
      <c r="F49" s="12" t="inlineStr">
        <is>
          <t>IOP</t>
        </is>
      </c>
      <c r="G49" s="12" t="n">
        <v>5</v>
      </c>
      <c r="H49" s="12" t="inlineStr">
        <is>
          <t>CT-043, CT-044</t>
        </is>
      </c>
      <c r="I49" s="12" t="inlineStr">
        <is>
          <t>Batch loaded without rejects</t>
        </is>
      </c>
      <c r="J49" s="12" t="inlineStr"/>
      <c r="K49" s="12" t="n"/>
      <c r="L49" s="75" t="inlineStr">
        <is>
          <t>NOT STARTED</t>
        </is>
      </c>
      <c r="M49" s="12" t="n"/>
      <c r="N49" s="12" t="n"/>
      <c r="O49" s="12" t="n"/>
      <c r="P49" s="25" t="n"/>
    </row>
    <row r="50">
      <c r="A50" s="12" t="inlineStr">
        <is>
          <t>CT-046</t>
        </is>
      </c>
      <c r="B50" s="12" t="inlineStr">
        <is>
          <t>D Production load</t>
        </is>
      </c>
      <c r="C50" s="12" t="inlineStr">
        <is>
          <t>T-2</t>
        </is>
      </c>
      <c r="D50" s="12" t="inlineStr">
        <is>
          <t>09:00</t>
        </is>
      </c>
      <c r="E50" s="12" t="inlineStr">
        <is>
          <t>Validate and load UPP F02 with their opening entries</t>
        </is>
      </c>
      <c r="F50" s="12" t="inlineStr">
        <is>
          <t>IOP</t>
        </is>
      </c>
      <c r="G50" s="12" t="n">
        <v>3</v>
      </c>
      <c r="H50" s="12" t="inlineStr">
        <is>
          <t>CT-041, CT-023</t>
        </is>
      </c>
      <c r="I50" s="12" t="inlineStr">
        <is>
          <t>Batch loaded without rejects</t>
        </is>
      </c>
      <c r="J50" s="12" t="inlineStr"/>
      <c r="K50" s="12" t="n"/>
      <c r="L50" s="75" t="inlineStr">
        <is>
          <t>NOT STARTED</t>
        </is>
      </c>
      <c r="M50" s="12" t="n"/>
      <c r="N50" s="12" t="n"/>
      <c r="O50" s="12" t="n"/>
      <c r="P50" s="25" t="n"/>
    </row>
    <row r="51">
      <c r="A51" s="12" t="inlineStr">
        <is>
          <t>CT-047</t>
        </is>
      </c>
      <c r="B51" s="12" t="inlineStr">
        <is>
          <t>D Production load</t>
        </is>
      </c>
      <c r="C51" s="12" t="inlineStr">
        <is>
          <t>T-2</t>
        </is>
      </c>
      <c r="D51" s="12" t="inlineStr">
        <is>
          <t>14:00</t>
        </is>
      </c>
      <c r="E51" s="12" t="inlineStr">
        <is>
          <t>Load collection state F03, remittance items F04, PDCs and pick-ups F06</t>
        </is>
      </c>
      <c r="F51" s="12" t="inlineStr">
        <is>
          <t>IOP</t>
        </is>
      </c>
      <c r="G51" s="12" t="n">
        <v>3</v>
      </c>
      <c r="H51" s="12" t="inlineStr">
        <is>
          <t>CT-045</t>
        </is>
      </c>
      <c r="I51" s="12" t="inlineStr">
        <is>
          <t>Batches loaded</t>
        </is>
      </c>
      <c r="J51" s="12" t="inlineStr"/>
      <c r="K51" s="12" t="n"/>
      <c r="L51" s="75" t="inlineStr">
        <is>
          <t>NOT STARTED</t>
        </is>
      </c>
      <c r="M51" s="12" t="n"/>
      <c r="N51" s="12" t="n"/>
      <c r="O51" s="12" t="n"/>
      <c r="P51" s="25" t="n"/>
    </row>
    <row r="52">
      <c r="A52" s="12" t="inlineStr">
        <is>
          <t>CT-048</t>
        </is>
      </c>
      <c r="B52" s="12" t="inlineStr">
        <is>
          <t>D Production load</t>
        </is>
      </c>
      <c r="C52" s="12" t="inlineStr">
        <is>
          <t>T-2</t>
        </is>
      </c>
      <c r="D52" s="12" t="inlineStr">
        <is>
          <t>15:00</t>
        </is>
      </c>
      <c r="E52" s="12" t="inlineStr">
        <is>
          <t>Load the provisional GL opening G01 - OPENING journals per branch and currency, value date 1-Jan-2028; balance-sheet lines; FY2027 result to retained earnings; legacy control-account lines to Migration Clearing</t>
        </is>
      </c>
      <c r="F52" s="12" t="inlineStr">
        <is>
          <t>IOP</t>
        </is>
      </c>
      <c r="G52" s="12" t="n">
        <v>2</v>
      </c>
      <c r="H52" s="12" t="inlineStr">
        <is>
          <t>CT-039, CT-045, CT-046</t>
        </is>
      </c>
      <c r="I52" s="12" t="inlineStr">
        <is>
          <t>Journals posted and flagged PROVISIONAL; balance sheet in BIBS equals the preliminary TB; P&amp;L accounts 0.00</t>
        </is>
      </c>
      <c r="J52" s="12" t="inlineStr"/>
      <c r="K52" s="12" t="n"/>
      <c r="L52" s="75" t="inlineStr">
        <is>
          <t>NOT STARTED</t>
        </is>
      </c>
      <c r="M52" s="12" t="n"/>
      <c r="N52" s="12" t="n"/>
      <c r="O52" s="12" t="n"/>
      <c r="P52" s="25" t="n"/>
    </row>
    <row r="53">
      <c r="A53" s="12" t="inlineStr">
        <is>
          <t>CT-049</t>
        </is>
      </c>
      <c r="B53" s="12" t="inlineStr">
        <is>
          <t>D Production load</t>
        </is>
      </c>
      <c r="C53" s="12" t="inlineStr">
        <is>
          <t>T-2</t>
        </is>
      </c>
      <c r="D53" s="12" t="inlineStr">
        <is>
          <t>16:00</t>
        </is>
      </c>
      <c r="E53" s="12" t="inlineStr">
        <is>
          <t>Validate and load the RA-sent file P03; send the Rejected Rows report of P03 to the Renewal processing team (maker and checker)</t>
        </is>
      </c>
      <c r="F53" s="12" t="inlineStr">
        <is>
          <t>IOP</t>
        </is>
      </c>
      <c r="G53" s="12" t="n">
        <v>2</v>
      </c>
      <c r="H53" s="12" t="inlineStr">
        <is>
          <t>CT-043</t>
        </is>
      </c>
      <c r="I53" s="12" t="inlineStr">
        <is>
          <t>Batch loaded, or loaded with rejects; rejection report with correction columns sent</t>
        </is>
      </c>
      <c r="J53" s="12" t="inlineStr"/>
      <c r="K53" s="12" t="n"/>
      <c r="L53" s="75" t="inlineStr">
        <is>
          <t>NOT STARTED</t>
        </is>
      </c>
      <c r="M53" s="12" t="n"/>
      <c r="N53" s="12" t="n"/>
      <c r="O53" s="12" t="n"/>
      <c r="P53" s="25" t="n"/>
    </row>
    <row r="54">
      <c r="A54" s="12" t="inlineStr">
        <is>
          <t>CT-050</t>
        </is>
      </c>
      <c r="B54" s="12" t="inlineStr">
        <is>
          <t>D Production load</t>
        </is>
      </c>
      <c r="C54" s="12" t="inlineStr">
        <is>
          <t>T-2</t>
        </is>
      </c>
      <c r="D54" s="12" t="inlineStr">
        <is>
          <t>17:00</t>
        </is>
      </c>
      <c r="E54" s="12" t="inlineStr">
        <is>
          <t>Update the receipt series R11 to the final next numbers</t>
        </is>
      </c>
      <c r="F54" s="12" t="inlineStr">
        <is>
          <t>IOP</t>
        </is>
      </c>
      <c r="G54" s="12" t="n">
        <v>1</v>
      </c>
      <c r="H54" s="12" t="inlineStr">
        <is>
          <t>CT-041</t>
        </is>
      </c>
      <c r="I54" s="12" t="inlineStr">
        <is>
          <t>Next AR / OR numbers = legacy last used + 1 per branch</t>
        </is>
      </c>
      <c r="J54" s="12" t="inlineStr"/>
      <c r="K54" s="12" t="n"/>
      <c r="L54" s="75" t="inlineStr">
        <is>
          <t>NOT STARTED</t>
        </is>
      </c>
      <c r="M54" s="12" t="n"/>
      <c r="N54" s="12" t="n"/>
      <c r="O54" s="12" t="n"/>
      <c r="P54" s="25" t="n"/>
    </row>
    <row r="55">
      <c r="A55" s="12" t="inlineStr">
        <is>
          <t>CT-051</t>
        </is>
      </c>
      <c r="B55" s="12" t="inlineStr">
        <is>
          <t>D Production load</t>
        </is>
      </c>
      <c r="C55" s="12" t="inlineStr">
        <is>
          <t>T-2</t>
        </is>
      </c>
      <c r="D55" s="12" t="inlineStr">
        <is>
          <t>18:00</t>
        </is>
      </c>
      <c r="E55" s="12" t="inlineStr">
        <is>
          <t>Reconcile L1-L4 of every financial object; run L5 - Migration Clearing per branch and currency, legacy control accounts vs sub-ledgers (ACSL, context LEGACY)</t>
        </is>
      </c>
      <c r="F55" s="12" t="inlineStr">
        <is>
          <t>IML</t>
        </is>
      </c>
      <c r="G55" s="12" t="n">
        <v>4</v>
      </c>
      <c r="H55" s="12" t="inlineStr">
        <is>
          <t>CT-047, CT-048</t>
        </is>
      </c>
      <c r="I55" s="12" t="inlineStr">
        <is>
          <t>the Migration Clearing report shows 0.00 per branch and currency</t>
        </is>
      </c>
      <c r="J55" s="12" t="inlineStr"/>
      <c r="K55" s="12" t="n"/>
      <c r="L55" s="75" t="inlineStr">
        <is>
          <t>NOT STARTED</t>
        </is>
      </c>
      <c r="M55" s="12" t="n"/>
      <c r="N55" s="12" t="n"/>
      <c r="O55" s="12" t="n"/>
      <c r="P55" s="25" t="n"/>
    </row>
    <row r="56">
      <c r="A56" s="12" t="inlineStr">
        <is>
          <t>CT-052</t>
        </is>
      </c>
      <c r="B56" s="12" t="inlineStr">
        <is>
          <t>D Production load</t>
        </is>
      </c>
      <c r="C56" s="12" t="inlineStr">
        <is>
          <t>T-2</t>
        </is>
      </c>
      <c r="D56" s="12" t="inlineStr">
        <is>
          <t>22:00</t>
        </is>
      </c>
      <c r="E56" s="12" t="inlineStr">
        <is>
          <t>Explain or fix every break (rerun batches); reconciliation approver signs G5 per object</t>
        </is>
      </c>
      <c r="F56" s="12" t="inlineStr">
        <is>
          <t>COMP</t>
        </is>
      </c>
      <c r="G56" s="12" t="n">
        <v>6</v>
      </c>
      <c r="H56" s="12" t="inlineStr">
        <is>
          <t>CT-051</t>
        </is>
      </c>
      <c r="I56" s="12" t="inlineStr">
        <is>
          <t>the Reconciliation Summary report all matched or explained with approval</t>
        </is>
      </c>
      <c r="J56" s="12" t="inlineStr"/>
      <c r="K56" s="12" t="n"/>
      <c r="L56" s="75" t="inlineStr">
        <is>
          <t>NOT STARTED</t>
        </is>
      </c>
      <c r="M56" s="12" t="n"/>
      <c r="N56" s="12" t="n"/>
      <c r="O56" s="12" t="n"/>
      <c r="P56" s="25" t="n"/>
    </row>
    <row r="57">
      <c r="A57" s="12" t="inlineStr">
        <is>
          <t>CT-053</t>
        </is>
      </c>
      <c r="B57" s="12" t="inlineStr">
        <is>
          <t>E Reconciliation, verification and go / no-go</t>
        </is>
      </c>
      <c r="C57" s="12" t="inlineStr">
        <is>
          <t>T-1</t>
        </is>
      </c>
      <c r="D57" s="12" t="inlineStr">
        <is>
          <t>06:00</t>
        </is>
      </c>
      <c r="E57" s="12" t="inlineStr">
        <is>
          <t>Start the full sanction screening run of migrated clients (periodic screening job with the full re-screen option)</t>
        </is>
      </c>
      <c r="F57" s="12" t="inlineStr">
        <is>
          <t>IOP</t>
        </is>
      </c>
      <c r="G57" s="12" t="n">
        <v>6</v>
      </c>
      <c r="H57" s="12" t="inlineStr">
        <is>
          <t>CT-023</t>
        </is>
      </c>
      <c r="I57" s="12" t="inlineStr">
        <is>
          <t>Run completed; hits in the screening queue for Compliance</t>
        </is>
      </c>
      <c r="J57" s="12" t="inlineStr"/>
      <c r="K57" s="12" t="n"/>
      <c r="L57" s="75" t="inlineStr">
        <is>
          <t>NOT STARTED</t>
        </is>
      </c>
      <c r="M57" s="12" t="n"/>
      <c r="N57" s="12" t="n"/>
      <c r="O57" s="12" t="n"/>
      <c r="P57" s="25" t="n"/>
    </row>
    <row r="58">
      <c r="A58" s="12" t="inlineStr">
        <is>
          <t>CT-054</t>
        </is>
      </c>
      <c r="B58" s="12" t="inlineStr">
        <is>
          <t>E Reconciliation, verification and go / no-go</t>
        </is>
      </c>
      <c r="C58" s="12" t="inlineStr">
        <is>
          <t>T-1</t>
        </is>
      </c>
      <c r="D58" s="12" t="inlineStr">
        <is>
          <t>07:00</t>
        </is>
      </c>
      <c r="E58" s="12" t="inlineStr">
        <is>
          <t>Business verification of samples per object on the BIBS screens (Reconciliation Approach, sample plan); data owners sign G6</t>
        </is>
      </c>
      <c r="F58" s="12" t="inlineStr">
        <is>
          <t>OWN</t>
        </is>
      </c>
      <c r="G58" s="12" t="n">
        <v>6</v>
      </c>
      <c r="H58" s="12" t="inlineStr">
        <is>
          <t>CT-052</t>
        </is>
      </c>
      <c r="I58" s="12" t="inlineStr">
        <is>
          <t>Sample checklists signed; G6 for every Day-1 object</t>
        </is>
      </c>
      <c r="J58" s="12" t="inlineStr"/>
      <c r="K58" s="12" t="n"/>
      <c r="L58" s="75" t="inlineStr">
        <is>
          <t>NOT STARTED</t>
        </is>
      </c>
      <c r="M58" s="12" t="n"/>
      <c r="N58" s="12" t="n"/>
      <c r="O58" s="12" t="n"/>
      <c r="P58" s="25" t="n"/>
    </row>
    <row r="59">
      <c r="A59" s="12" t="inlineStr">
        <is>
          <t>CT-055</t>
        </is>
      </c>
      <c r="B59" s="12" t="inlineStr">
        <is>
          <t>E Reconciliation, verification and go / no-go</t>
        </is>
      </c>
      <c r="C59" s="12" t="inlineStr">
        <is>
          <t>T-1</t>
        </is>
      </c>
      <c r="D59" s="12" t="inlineStr">
        <is>
          <t>08:00</t>
        </is>
      </c>
      <c r="E59" s="12" t="inlineStr">
        <is>
          <t>P03 rejects - the maker corrects each row and prepares the resubmission; the checker approves it by 12:00 (resubmission deadline); the operator loads the rerun batch; rows still rejected are listed for the day-1 queue</t>
        </is>
      </c>
      <c r="F59" s="12" t="inlineStr">
        <is>
          <t>RNW</t>
        </is>
      </c>
      <c r="G59" s="12" t="n">
        <v>4</v>
      </c>
      <c r="H59" s="12" t="inlineStr">
        <is>
          <t>CT-049</t>
        </is>
      </c>
      <c r="I59" s="12" t="inlineStr">
        <is>
          <t>Resubmission approved by a checker other than the maker; rerun reconciled; list of rows still rejected</t>
        </is>
      </c>
      <c r="J59" s="12" t="inlineStr"/>
      <c r="K59" s="12" t="n"/>
      <c r="L59" s="75" t="inlineStr">
        <is>
          <t>NOT STARTED</t>
        </is>
      </c>
      <c r="M59" s="12" t="n"/>
      <c r="N59" s="12" t="n"/>
      <c r="O59" s="12" t="n"/>
      <c r="P59" s="25" t="n"/>
    </row>
    <row r="60">
      <c r="A60" s="12" t="inlineStr">
        <is>
          <t>CT-056</t>
        </is>
      </c>
      <c r="B60" s="12" t="inlineStr">
        <is>
          <t>E Reconciliation, verification and go / no-go</t>
        </is>
      </c>
      <c r="C60" s="12" t="inlineStr">
        <is>
          <t>T-1</t>
        </is>
      </c>
      <c r="D60" s="12" t="inlineStr">
        <is>
          <t>09:00</t>
        </is>
      </c>
      <c r="E60" s="12" t="inlineStr">
        <is>
          <t>Business smoke test on production with test-marked transactions reversed afterwards - OTC payment preview on a legacy invoice, automatch preview, remittance extraction preview, Invoice 360, client and policy search by legacy reference</t>
        </is>
      </c>
      <c r="F60" s="12" t="inlineStr">
        <is>
          <t>IQA</t>
        </is>
      </c>
      <c r="G60" s="12" t="n">
        <v>4</v>
      </c>
      <c r="H60" s="12" t="inlineStr">
        <is>
          <t>CT-052</t>
        </is>
      </c>
      <c r="I60" s="12" t="inlineStr">
        <is>
          <t>Smoke test checklist passed; no posting left open</t>
        </is>
      </c>
      <c r="J60" s="12" t="inlineStr"/>
      <c r="K60" s="12" t="n"/>
      <c r="L60" s="75" t="inlineStr">
        <is>
          <t>NOT STARTED</t>
        </is>
      </c>
      <c r="M60" s="12" t="n"/>
      <c r="N60" s="12" t="n"/>
      <c r="O60" s="12" t="n"/>
      <c r="P60" s="25" t="n"/>
    </row>
    <row r="61">
      <c r="A61" s="12" t="inlineStr">
        <is>
          <t>CT-057</t>
        </is>
      </c>
      <c r="B61" s="12" t="inlineStr">
        <is>
          <t>E Reconciliation, verification and go / no-go</t>
        </is>
      </c>
      <c r="C61" s="12" t="inlineStr">
        <is>
          <t>T-1</t>
        </is>
      </c>
      <c r="D61" s="12" t="inlineStr">
        <is>
          <t>13:00</t>
        </is>
      </c>
      <c r="E61" s="12" t="inlineStr">
        <is>
          <t>Check jobs, alerts and integrations for Monday (Renewal go-live extraction at T 04:00, payment automatch hourly, payment file uploads, daily Renewal extraction, e-mail)</t>
        </is>
      </c>
      <c r="F61" s="12" t="inlineStr">
        <is>
          <t>IDO</t>
        </is>
      </c>
      <c r="G61" s="12" t="n">
        <v>2</v>
      </c>
      <c r="H61" s="12" t="inlineStr">
        <is>
          <t>CT-056</t>
        </is>
      </c>
      <c r="I61" s="12" t="inlineStr">
        <is>
          <t>Job schedule and alert routing checked</t>
        </is>
      </c>
      <c r="J61" s="12" t="inlineStr"/>
      <c r="K61" s="12" t="n"/>
      <c r="L61" s="75" t="inlineStr">
        <is>
          <t>NOT STARTED</t>
        </is>
      </c>
      <c r="M61" s="12" t="n"/>
      <c r="N61" s="12" t="n"/>
      <c r="O61" s="12" t="n"/>
      <c r="P61" s="25" t="n"/>
    </row>
    <row r="62">
      <c r="A62" s="12" t="inlineStr">
        <is>
          <t>CT-058</t>
        </is>
      </c>
      <c r="B62" s="12" t="inlineStr">
        <is>
          <t>E Reconciliation, verification and go / no-go</t>
        </is>
      </c>
      <c r="C62" s="12" t="inlineStr">
        <is>
          <t>T-1</t>
        </is>
      </c>
      <c r="D62" s="12" t="inlineStr">
        <is>
          <t>15:00</t>
        </is>
      </c>
      <c r="E62" s="12" t="inlineStr">
        <is>
          <t>Prepare the go / no-go pack - the Go / No-Go report with measured criteria, open issues, sign-off status</t>
        </is>
      </c>
      <c r="F62" s="12" t="inlineStr">
        <is>
          <t>IML</t>
        </is>
      </c>
      <c r="G62" s="12" t="n">
        <v>2</v>
      </c>
      <c r="H62" s="12" t="inlineStr">
        <is>
          <t>CT-053, CT-054, CT-055, CT-056, CT-057</t>
        </is>
      </c>
      <c r="I62" s="12" t="inlineStr">
        <is>
          <t>Pack circulated to the board by 17:00</t>
        </is>
      </c>
      <c r="J62" s="12" t="inlineStr"/>
      <c r="K62" s="12" t="n"/>
      <c r="L62" s="75" t="inlineStr">
        <is>
          <t>NOT STARTED</t>
        </is>
      </c>
      <c r="M62" s="12" t="n"/>
      <c r="N62" s="12" t="n"/>
      <c r="O62" s="12" t="n"/>
      <c r="P62" s="25" t="n"/>
    </row>
    <row r="63">
      <c r="A63" s="12" t="inlineStr">
        <is>
          <t>CT-059</t>
        </is>
      </c>
      <c r="B63" s="12" t="inlineStr">
        <is>
          <t>E Reconciliation, verification and go / no-go</t>
        </is>
      </c>
      <c r="C63" s="12" t="inlineStr">
        <is>
          <t>T-1</t>
        </is>
      </c>
      <c r="D63" s="12" t="inlineStr">
        <is>
          <t>18:00</t>
        </is>
      </c>
      <c r="E63" s="12" t="inlineStr">
        <is>
          <t>Go / no-go decision GNG-3 (go-live)</t>
        </is>
      </c>
      <c r="F63" s="12" t="inlineStr">
        <is>
          <t>GNG</t>
        </is>
      </c>
      <c r="G63" s="12" t="n">
        <v>1</v>
      </c>
      <c r="H63" s="12" t="inlineStr">
        <is>
          <t>CT-058</t>
        </is>
      </c>
      <c r="I63" s="12" t="inlineStr">
        <is>
          <t>Decision recorded in the console with every criterion value</t>
        </is>
      </c>
      <c r="J63" s="12" t="inlineStr">
        <is>
          <t>GNG-3</t>
        </is>
      </c>
      <c r="K63" s="12" t="n"/>
      <c r="L63" s="75" t="inlineStr">
        <is>
          <t>NOT STARTED</t>
        </is>
      </c>
      <c r="M63" s="12" t="n"/>
      <c r="N63" s="12" t="n"/>
      <c r="O63" s="12" t="n"/>
      <c r="P63" s="25" t="n"/>
    </row>
    <row r="64">
      <c r="A64" s="12" t="inlineStr">
        <is>
          <t>CT-060</t>
        </is>
      </c>
      <c r="B64" s="12" t="inlineStr">
        <is>
          <t>E Reconciliation, verification and go / no-go</t>
        </is>
      </c>
      <c r="C64" s="12" t="inlineStr">
        <is>
          <t>T-1</t>
        </is>
      </c>
      <c r="D64" s="12" t="inlineStr">
        <is>
          <t>19:00</t>
        </is>
      </c>
      <c r="E64" s="12" t="inlineStr">
        <is>
          <t>If NO-GO - execute the rollback procedure (section Rollback) and reopen legacy for Monday</t>
        </is>
      </c>
      <c r="F64" s="12" t="inlineStr">
        <is>
          <t>IDO</t>
        </is>
      </c>
      <c r="G64" s="12" t="n">
        <v>6</v>
      </c>
      <c r="H64" s="12" t="inlineStr">
        <is>
          <t>CT-059</t>
        </is>
      </c>
      <c r="I64" s="12" t="inlineStr">
        <is>
          <t>Legacy open for business Monday 08:00; BIBS restored to the rollback point</t>
        </is>
      </c>
      <c r="J64" s="12" t="inlineStr"/>
      <c r="K64" s="12" t="n"/>
      <c r="L64" s="75" t="inlineStr">
        <is>
          <t>NOT STARTED</t>
        </is>
      </c>
      <c r="M64" s="12" t="n"/>
      <c r="N64" s="12" t="n"/>
      <c r="O64" s="12" t="n"/>
      <c r="P64" s="25" t="n"/>
    </row>
    <row r="65">
      <c r="A65" s="12" t="inlineStr">
        <is>
          <t>CT-061</t>
        </is>
      </c>
      <c r="B65" s="12" t="inlineStr">
        <is>
          <t>E Reconciliation, verification and go / no-go</t>
        </is>
      </c>
      <c r="C65" s="12" t="inlineStr">
        <is>
          <t>T-1</t>
        </is>
      </c>
      <c r="D65" s="12" t="inlineStr">
        <is>
          <t>19:00</t>
        </is>
      </c>
      <c r="E65" s="12" t="inlineStr">
        <is>
          <t>If GO - send the go-live notice; open BIBS roles for business users from 06:00 Monday</t>
        </is>
      </c>
      <c r="F65" s="12" t="inlineStr">
        <is>
          <t>PM</t>
        </is>
      </c>
      <c r="G65" s="12" t="n">
        <v>1</v>
      </c>
      <c r="H65" s="12" t="inlineStr">
        <is>
          <t>CT-059</t>
        </is>
      </c>
      <c r="I65" s="12" t="inlineStr">
        <is>
          <t>Communication plan item 8 sent</t>
        </is>
      </c>
      <c r="J65" s="12" t="inlineStr"/>
      <c r="K65" s="12" t="n"/>
      <c r="L65" s="75" t="inlineStr">
        <is>
          <t>NOT STARTED</t>
        </is>
      </c>
      <c r="M65" s="12" t="n"/>
      <c r="N65" s="12" t="n"/>
      <c r="O65" s="12" t="n"/>
      <c r="P65" s="25" t="n"/>
    </row>
    <row r="66">
      <c r="A66" s="12" t="inlineStr">
        <is>
          <t>CT-062</t>
        </is>
      </c>
      <c r="B66" s="12" t="inlineStr">
        <is>
          <t>F Go-live</t>
        </is>
      </c>
      <c r="C66" s="12" t="inlineStr">
        <is>
          <t>T</t>
        </is>
      </c>
      <c r="D66" s="12" t="inlineStr">
        <is>
          <t>04:00</t>
        </is>
      </c>
      <c r="E66" s="12" t="inlineStr">
        <is>
          <t>Renewal go-live extraction - a candidate for every migrated header expiring 3-Jan to 31-May-2028 that was not renewed in legacy; priority by expiry date, January expiries flagged URGENT; RAs already sent recorded from P03; extraction check the go-live renewal extraction check</t>
        </is>
      </c>
      <c r="F66" s="12" t="inlineStr">
        <is>
          <t>IOP</t>
        </is>
      </c>
      <c r="G66" s="12" t="n">
        <v>2</v>
      </c>
      <c r="H66" s="12" t="inlineStr">
        <is>
          <t>CT-061</t>
        </is>
      </c>
      <c r="I66" s="12" t="inlineStr">
        <is>
          <t>the go-live renewal extraction check balances for every month January-May 2028; URGENT count = January headers</t>
        </is>
      </c>
      <c r="J66" s="12" t="inlineStr"/>
      <c r="K66" s="12" t="n"/>
      <c r="L66" s="75" t="inlineStr">
        <is>
          <t>NOT STARTED</t>
        </is>
      </c>
      <c r="M66" s="12" t="n"/>
      <c r="N66" s="12" t="n"/>
      <c r="O66" s="12" t="n"/>
      <c r="P66" s="25" t="n"/>
    </row>
    <row r="67">
      <c r="A67" s="12" t="inlineStr">
        <is>
          <t>CT-063</t>
        </is>
      </c>
      <c r="B67" s="12" t="inlineStr">
        <is>
          <t>F Go-live</t>
        </is>
      </c>
      <c r="C67" s="12" t="inlineStr">
        <is>
          <t>T</t>
        </is>
      </c>
      <c r="D67" s="12" t="inlineStr">
        <is>
          <t>06:00</t>
        </is>
      </c>
      <c r="E67" s="12" t="inlineStr">
        <is>
          <t>Enable business logins; confirm legacy business modules stay read-only; legacy links shown in BIBS</t>
        </is>
      </c>
      <c r="F67" s="12" t="inlineStr">
        <is>
          <t>IDO</t>
        </is>
      </c>
      <c r="G67" s="12" t="n">
        <v>1</v>
      </c>
      <c r="H67" s="12" t="inlineStr">
        <is>
          <t>CT-061</t>
        </is>
      </c>
      <c r="I67" s="12" t="inlineStr">
        <is>
          <t>Log-in test per persona; legacy posting refused</t>
        </is>
      </c>
      <c r="J67" s="12" t="inlineStr"/>
      <c r="K67" s="12" t="n"/>
      <c r="L67" s="75" t="inlineStr">
        <is>
          <t>NOT STARTED</t>
        </is>
      </c>
      <c r="M67" s="12" t="n"/>
      <c r="N67" s="12" t="n"/>
      <c r="O67" s="12" t="n"/>
      <c r="P67" s="25" t="n"/>
    </row>
    <row r="68">
      <c r="A68" s="12" t="inlineStr">
        <is>
          <t>CT-064</t>
        </is>
      </c>
      <c r="B68" s="12" t="inlineStr">
        <is>
          <t>F Go-live</t>
        </is>
      </c>
      <c r="C68" s="12" t="inlineStr">
        <is>
          <t>T</t>
        </is>
      </c>
      <c r="D68" s="12" t="inlineStr">
        <is>
          <t>07:00</t>
        </is>
      </c>
      <c r="E68" s="12" t="inlineStr">
        <is>
          <t>Command centre opens; hypercare roster on duty</t>
        </is>
      </c>
      <c r="F68" s="12" t="inlineStr">
        <is>
          <t>IPM</t>
        </is>
      </c>
      <c r="G68" s="12" t="n">
        <v>1</v>
      </c>
      <c r="H68" s="12" t="inlineStr">
        <is>
          <t>CT-063</t>
        </is>
      </c>
      <c r="I68" s="12" t="inlineStr">
        <is>
          <t>Attendance on the bridge</t>
        </is>
      </c>
      <c r="J68" s="12" t="inlineStr"/>
      <c r="K68" s="12" t="n"/>
      <c r="L68" s="75" t="inlineStr">
        <is>
          <t>NOT STARTED</t>
        </is>
      </c>
      <c r="M68" s="12" t="n"/>
      <c r="N68" s="12" t="n"/>
      <c r="O68" s="12" t="n"/>
      <c r="P68" s="25" t="n"/>
    </row>
    <row r="69">
      <c r="A69" s="12" t="inlineStr">
        <is>
          <t>CT-065</t>
        </is>
      </c>
      <c r="B69" s="12" t="inlineStr">
        <is>
          <t>F Go-live</t>
        </is>
      </c>
      <c r="C69" s="12" t="inlineStr">
        <is>
          <t>T</t>
        </is>
      </c>
      <c r="D69" s="12" t="inlineStr">
        <is>
          <t>08:00</t>
        </is>
      </c>
      <c r="E69" s="12" t="inlineStr">
        <is>
          <t>BIBS open for business</t>
        </is>
      </c>
      <c r="F69" s="12" t="inlineStr">
        <is>
          <t>PM</t>
        </is>
      </c>
      <c r="G69" s="12" t="n">
        <v>0</v>
      </c>
      <c r="H69" s="12" t="inlineStr">
        <is>
          <t>CT-064</t>
        </is>
      </c>
      <c r="I69" s="12" t="inlineStr">
        <is>
          <t>First transactions observed in each branch</t>
        </is>
      </c>
      <c r="J69" s="12" t="inlineStr">
        <is>
          <t>GO-LIVE</t>
        </is>
      </c>
      <c r="K69" s="12" t="n"/>
      <c r="L69" s="75" t="inlineStr">
        <is>
          <t>NOT STARTED</t>
        </is>
      </c>
      <c r="M69" s="12" t="n"/>
      <c r="N69" s="12" t="n"/>
      <c r="O69" s="12" t="n"/>
      <c r="P69" s="25" t="n"/>
    </row>
    <row r="70">
      <c r="A70" s="12" t="inlineStr">
        <is>
          <t>CT-066</t>
        </is>
      </c>
      <c r="B70" s="12" t="inlineStr">
        <is>
          <t>F Go-live</t>
        </is>
      </c>
      <c r="C70" s="12" t="inlineStr">
        <is>
          <t>T</t>
        </is>
      </c>
      <c r="D70" s="12" t="inlineStr">
        <is>
          <t>08:00</t>
        </is>
      </c>
      <c r="E70" s="12" t="inlineStr">
        <is>
          <t>Renewal processing team works the day-1 priority queue - URGENT January expiries first, earliest expiry first; insurer requests and RAs for the expiries without an RA; the tracker is checked first for rows still rejected in P03</t>
        </is>
      </c>
      <c r="F70" s="12" t="inlineStr">
        <is>
          <t>RNW</t>
        </is>
      </c>
      <c r="G70" s="12" t="n">
        <v>10</v>
      </c>
      <c r="H70" s="12" t="inlineStr">
        <is>
          <t>CT-062, CT-065</t>
        </is>
      </c>
      <c r="I70" s="12" t="inlineStr">
        <is>
          <t>End-of-day count of URGENT candidates with an RA sent or an insurer request made</t>
        </is>
      </c>
      <c r="J70" s="12" t="inlineStr"/>
      <c r="K70" s="12" t="n"/>
      <c r="L70" s="75" t="inlineStr">
        <is>
          <t>NOT STARTED</t>
        </is>
      </c>
      <c r="M70" s="12" t="n"/>
      <c r="N70" s="12" t="n"/>
      <c r="O70" s="12" t="n"/>
      <c r="P70" s="25" t="n"/>
    </row>
    <row r="71">
      <c r="A71" s="12" t="inlineStr">
        <is>
          <t>CT-067</t>
        </is>
      </c>
      <c r="B71" s="12" t="inlineStr">
        <is>
          <t>F Go-live</t>
        </is>
      </c>
      <c r="C71" s="12" t="inlineStr">
        <is>
          <t>T</t>
        </is>
      </c>
      <c r="D71" s="12" t="inlineStr">
        <is>
          <t>09:00</t>
        </is>
      </c>
      <c r="E71" s="12" t="inlineStr">
        <is>
          <t>First payment file uploads and the first automatch run including migrated UPP; review results</t>
        </is>
      </c>
      <c r="F71" s="12" t="inlineStr">
        <is>
          <t>OPS</t>
        </is>
      </c>
      <c r="G71" s="12" t="n">
        <v>2</v>
      </c>
      <c r="H71" s="12" t="inlineStr">
        <is>
          <t>CT-065</t>
        </is>
      </c>
      <c r="I71" s="12" t="inlineStr">
        <is>
          <t>Run summary; legacy and new postings in the right accounts</t>
        </is>
      </c>
      <c r="J71" s="12" t="inlineStr"/>
      <c r="K71" s="12" t="n"/>
      <c r="L71" s="75" t="inlineStr">
        <is>
          <t>NOT STARTED</t>
        </is>
      </c>
      <c r="M71" s="12" t="n"/>
      <c r="N71" s="12" t="n"/>
      <c r="O71" s="12" t="n"/>
      <c r="P71" s="25" t="n"/>
    </row>
    <row r="72">
      <c r="A72" s="12" t="inlineStr">
        <is>
          <t>CT-068</t>
        </is>
      </c>
      <c r="B72" s="12" t="inlineStr">
        <is>
          <t>F Go-live</t>
        </is>
      </c>
      <c r="C72" s="12" t="inlineStr">
        <is>
          <t>T</t>
        </is>
      </c>
      <c r="D72" s="12" t="inlineStr">
        <is>
          <t>12:00</t>
        </is>
      </c>
      <c r="E72" s="12" t="inlineStr">
        <is>
          <t>Midday check - issues, queues, Migration Clearing still 0.00, no legacy business posting</t>
        </is>
      </c>
      <c r="F72" s="12" t="inlineStr">
        <is>
          <t>IML</t>
        </is>
      </c>
      <c r="G72" s="12" t="n">
        <v>1</v>
      </c>
      <c r="H72" s="12" t="inlineStr">
        <is>
          <t>CT-065</t>
        </is>
      </c>
      <c r="I72" s="12" t="inlineStr">
        <is>
          <t>Midday report to the board</t>
        </is>
      </c>
      <c r="J72" s="12" t="inlineStr"/>
      <c r="K72" s="12" t="n"/>
      <c r="L72" s="75" t="inlineStr">
        <is>
          <t>NOT STARTED</t>
        </is>
      </c>
      <c r="M72" s="12" t="n"/>
      <c r="N72" s="12" t="n"/>
      <c r="O72" s="12" t="n"/>
      <c r="P72" s="25" t="n"/>
    </row>
    <row r="73">
      <c r="A73" s="12" t="inlineStr">
        <is>
          <t>CT-069</t>
        </is>
      </c>
      <c r="B73" s="12" t="inlineStr">
        <is>
          <t>F Go-live</t>
        </is>
      </c>
      <c r="C73" s="12" t="inlineStr">
        <is>
          <t>T</t>
        </is>
      </c>
      <c r="D73" s="12" t="inlineStr">
        <is>
          <t>18:00</t>
        </is>
      </c>
      <c r="E73" s="12" t="inlineStr">
        <is>
          <t>End-of-day review - point of no return (DMQ32); decide continue or fallback</t>
        </is>
      </c>
      <c r="F73" s="12" t="inlineStr">
        <is>
          <t>GNG</t>
        </is>
      </c>
      <c r="G73" s="12" t="n">
        <v>1</v>
      </c>
      <c r="H73" s="12" t="inlineStr">
        <is>
          <t>CT-068</t>
        </is>
      </c>
      <c r="I73" s="12" t="inlineStr">
        <is>
          <t>Decision recorded</t>
        </is>
      </c>
      <c r="J73" s="12" t="inlineStr">
        <is>
          <t>POINT OF NO RETURN</t>
        </is>
      </c>
      <c r="K73" s="12" t="n"/>
      <c r="L73" s="75" t="inlineStr">
        <is>
          <t>NOT STARTED</t>
        </is>
      </c>
      <c r="M73" s="12" t="n"/>
      <c r="N73" s="12" t="n"/>
      <c r="O73" s="12" t="n"/>
      <c r="P73" s="25" t="n"/>
    </row>
    <row r="74">
      <c r="A74" s="12" t="inlineStr">
        <is>
          <t>CT-070</t>
        </is>
      </c>
      <c r="B74" s="12" t="inlineStr">
        <is>
          <t>F Go-live</t>
        </is>
      </c>
      <c r="C74" s="12" t="inlineStr">
        <is>
          <t>T</t>
        </is>
      </c>
      <c r="D74" s="12" t="inlineStr">
        <is>
          <t>20:00</t>
        </is>
      </c>
      <c r="E74" s="12" t="inlineStr">
        <is>
          <t>First BIBS EOD jobs; check GL posting, sub-ledgers and the Cash Receipts Book</t>
        </is>
      </c>
      <c r="F74" s="12" t="inlineStr">
        <is>
          <t>IDO</t>
        </is>
      </c>
      <c r="G74" s="12" t="n">
        <v>2</v>
      </c>
      <c r="H74" s="12" t="inlineStr">
        <is>
          <t>CT-069</t>
        </is>
      </c>
      <c r="I74" s="12" t="inlineStr">
        <is>
          <t>Job run log; CRB lists the day's receipts</t>
        </is>
      </c>
      <c r="J74" s="12" t="inlineStr"/>
      <c r="K74" s="12" t="n"/>
      <c r="L74" s="75" t="inlineStr">
        <is>
          <t>NOT STARTED</t>
        </is>
      </c>
      <c r="M74" s="12" t="n"/>
      <c r="N74" s="12" t="n"/>
      <c r="O74" s="12" t="n"/>
      <c r="P74" s="25" t="n"/>
    </row>
    <row r="75">
      <c r="A75" s="12" t="inlineStr">
        <is>
          <t>CT-071</t>
        </is>
      </c>
      <c r="B75" s="12" t="inlineStr">
        <is>
          <t>G Hypercare and true-up 1</t>
        </is>
      </c>
      <c r="C75" s="12" t="inlineStr">
        <is>
          <t>T+1</t>
        </is>
      </c>
      <c r="D75" s="12" t="inlineStr"/>
      <c r="E75" s="12" t="inlineStr">
        <is>
          <t>Daily hypercare check - Migration Clearing 0.00, legacy control accounts vs sub-ledgers, automatch results, exception queues, URGENT January renewals without an RA or insurer request, failed jobs (daily until exit)</t>
        </is>
      </c>
      <c r="F75" s="12" t="inlineStr">
        <is>
          <t>IML</t>
        </is>
      </c>
      <c r="G75" s="12" t="n">
        <v>1</v>
      </c>
      <c r="H75" s="12" t="inlineStr">
        <is>
          <t>CT-070</t>
        </is>
      </c>
      <c r="I75" s="12" t="inlineStr">
        <is>
          <t>Daily hypercare report</t>
        </is>
      </c>
      <c r="J75" s="12" t="inlineStr"/>
      <c r="K75" s="12" t="n"/>
      <c r="L75" s="75" t="inlineStr">
        <is>
          <t>NOT STARTED</t>
        </is>
      </c>
      <c r="M75" s="12" t="n"/>
      <c r="N75" s="12" t="n"/>
      <c r="O75" s="12" t="n"/>
      <c r="P75" s="25" t="n"/>
    </row>
    <row r="76">
      <c r="A76" s="12" t="inlineStr">
        <is>
          <t>CT-072</t>
        </is>
      </c>
      <c r="B76" s="12" t="inlineStr">
        <is>
          <t>G Hypercare and true-up 1</t>
        </is>
      </c>
      <c r="C76" s="12" t="inlineStr">
        <is>
          <t>T+1</t>
        </is>
      </c>
      <c r="D76" s="12" t="inlineStr"/>
      <c r="E76" s="12" t="inlineStr">
        <is>
          <t>Issue triage twice a day (10:00 and 16:00) with Operations, Comptrollership, Renewal and iorta QA</t>
        </is>
      </c>
      <c r="F76" s="12" t="inlineStr">
        <is>
          <t>IQA</t>
        </is>
      </c>
      <c r="G76" s="12" t="n">
        <v>1</v>
      </c>
      <c r="H76" s="12" t="inlineStr">
        <is>
          <t>CT-070</t>
        </is>
      </c>
      <c r="I76" s="12" t="inlineStr">
        <is>
          <t>Issue log updated; severity agreed</t>
        </is>
      </c>
      <c r="J76" s="12" t="inlineStr"/>
      <c r="K76" s="12" t="n"/>
      <c r="L76" s="75" t="inlineStr">
        <is>
          <t>NOT STARTED</t>
        </is>
      </c>
      <c r="M76" s="12" t="n"/>
      <c r="N76" s="12" t="n"/>
      <c r="O76" s="12" t="n"/>
      <c r="P76" s="25" t="n"/>
    </row>
    <row r="77">
      <c r="A77" s="12" t="inlineStr">
        <is>
          <t>CT-073</t>
        </is>
      </c>
      <c r="B77" s="12" t="inlineStr">
        <is>
          <t>G Hypercare and true-up 1</t>
        </is>
      </c>
      <c r="C77" s="12" t="inlineStr">
        <is>
          <t>T+2</t>
        </is>
      </c>
      <c r="D77" s="12" t="inlineStr"/>
      <c r="E77" s="12" t="inlineStr">
        <is>
          <t>First remittance extraction with legacy invoices for the main insurers; compare with the legacy remittance pattern</t>
        </is>
      </c>
      <c r="F77" s="12" t="inlineStr">
        <is>
          <t>OPS</t>
        </is>
      </c>
      <c r="G77" s="12" t="n">
        <v>4</v>
      </c>
      <c r="H77" s="12" t="inlineStr">
        <is>
          <t>CT-070</t>
        </is>
      </c>
      <c r="I77" s="12" t="inlineStr">
        <is>
          <t>Schedules show legacy invoice numbers; the remittance posts to DTIP - Legacy</t>
        </is>
      </c>
      <c r="J77" s="12" t="inlineStr"/>
      <c r="K77" s="12" t="n"/>
      <c r="L77" s="75" t="inlineStr">
        <is>
          <t>NOT STARTED</t>
        </is>
      </c>
      <c r="M77" s="12" t="n"/>
      <c r="N77" s="12" t="n"/>
      <c r="O77" s="12" t="n"/>
      <c r="P77" s="25" t="n"/>
    </row>
    <row r="78">
      <c r="A78" s="12" t="inlineStr">
        <is>
          <t>CT-074</t>
        </is>
      </c>
      <c r="B78" s="12" t="inlineStr">
        <is>
          <t>G Hypercare and true-up 1</t>
        </is>
      </c>
      <c r="C78" s="12" t="inlineStr">
        <is>
          <t>T+3</t>
        </is>
      </c>
      <c r="D78" s="12" t="inlineStr"/>
      <c r="E78" s="12" t="inlineStr">
        <is>
          <t>First Collections worklist refresh with legacy invoices; collectors confirm carried promises and assignments</t>
        </is>
      </c>
      <c r="F78" s="12" t="inlineStr">
        <is>
          <t>OPS</t>
        </is>
      </c>
      <c r="G78" s="12" t="n">
        <v>2</v>
      </c>
      <c r="H78" s="12" t="inlineStr">
        <is>
          <t>CT-070</t>
        </is>
      </c>
      <c r="I78" s="12" t="inlineStr">
        <is>
          <t>Worklist counts agree with F03</t>
        </is>
      </c>
      <c r="J78" s="12" t="inlineStr"/>
      <c r="K78" s="12" t="n"/>
      <c r="L78" s="75" t="inlineStr">
        <is>
          <t>NOT STARTED</t>
        </is>
      </c>
      <c r="M78" s="12" t="n"/>
      <c r="N78" s="12" t="n"/>
      <c r="O78" s="12" t="n"/>
      <c r="P78" s="25" t="n"/>
    </row>
    <row r="79">
      <c r="A79" s="12" t="inlineStr">
        <is>
          <t>CT-075</t>
        </is>
      </c>
      <c r="B79" s="12" t="inlineStr">
        <is>
          <t>G Hypercare and true-up 1</t>
        </is>
      </c>
      <c r="C79" s="12" t="inlineStr">
        <is>
          <t>T+5</t>
        </is>
      </c>
      <c r="D79" s="12" t="inlineStr"/>
      <c r="E79" s="12" t="inlineStr">
        <is>
          <t>Staging purge - staged records and intake files of the signed-off production batches deleted within 5 days (staging purge job)</t>
        </is>
      </c>
      <c r="F79" s="12" t="inlineStr">
        <is>
          <t>IDO</t>
        </is>
      </c>
      <c r="G79" s="12" t="n">
        <v>1</v>
      </c>
      <c r="H79" s="12" t="inlineStr">
        <is>
          <t>CT-059</t>
        </is>
      </c>
      <c r="I79" s="12" t="inlineStr">
        <is>
          <t>No staged record older than 5 days after sign-off; purge log</t>
        </is>
      </c>
      <c r="J79" s="12" t="inlineStr"/>
      <c r="K79" s="12" t="n"/>
      <c r="L79" s="75" t="inlineStr">
        <is>
          <t>NOT STARTED</t>
        </is>
      </c>
      <c r="M79" s="12" t="n"/>
      <c r="N79" s="12" t="n"/>
      <c r="O79" s="12" t="n"/>
      <c r="P79" s="25" t="n"/>
    </row>
    <row r="80">
      <c r="A80" s="12" t="inlineStr">
        <is>
          <t>CT-076</t>
        </is>
      </c>
      <c r="B80" s="12" t="inlineStr">
        <is>
          <t>G Hypercare and true-up 1</t>
        </is>
      </c>
      <c r="C80" s="12" t="inlineStr">
        <is>
          <t>T+7</t>
        </is>
      </c>
      <c r="D80" s="12" t="inlineStr"/>
      <c r="E80" s="12" t="inlineStr">
        <is>
          <t>Week-1 review with the board - issues, volumes, performance, renewal queue, user feedback</t>
        </is>
      </c>
      <c r="F80" s="12" t="inlineStr">
        <is>
          <t>GNG</t>
        </is>
      </c>
      <c r="G80" s="12" t="n">
        <v>2</v>
      </c>
      <c r="H80" s="12" t="inlineStr">
        <is>
          <t>CT-071</t>
        </is>
      </c>
      <c r="I80" s="12" t="inlineStr">
        <is>
          <t>Minutes; actions</t>
        </is>
      </c>
      <c r="J80" s="12" t="inlineStr"/>
      <c r="K80" s="12" t="n"/>
      <c r="L80" s="75" t="inlineStr">
        <is>
          <t>NOT STARTED</t>
        </is>
      </c>
      <c r="M80" s="12" t="n"/>
      <c r="N80" s="12" t="n"/>
      <c r="O80" s="12" t="n"/>
      <c r="P80" s="25" t="n"/>
    </row>
    <row r="81">
      <c r="A81" s="12" t="inlineStr">
        <is>
          <t>CT-077</t>
        </is>
      </c>
      <c r="B81" s="12" t="inlineStr">
        <is>
          <t>G Hypercare and true-up 1</t>
        </is>
      </c>
      <c r="C81" s="12" t="inlineStr">
        <is>
          <t>T+10</t>
        </is>
      </c>
      <c r="D81" s="12" t="inlineStr"/>
      <c r="E81" s="12" t="inlineStr">
        <is>
          <t>First daily Renewal extraction that creates new candidates - expiry 1-Jun-2028 on 13-Jan-2028; headers already extracted at go-live are skipped</t>
        </is>
      </c>
      <c r="F81" s="12" t="inlineStr">
        <is>
          <t>RNW</t>
        </is>
      </c>
      <c r="G81" s="12" t="n">
        <v>1</v>
      </c>
      <c r="H81" s="12" t="inlineStr">
        <is>
          <t>CT-062</t>
        </is>
      </c>
      <c r="I81" s="12" t="inlineStr">
        <is>
          <t>Candidates of 1-Jun-2028 created; no duplicate of a go-live candidate</t>
        </is>
      </c>
      <c r="J81" s="12" t="inlineStr"/>
      <c r="K81" s="12" t="n"/>
      <c r="L81" s="75" t="inlineStr">
        <is>
          <t>NOT STARTED</t>
        </is>
      </c>
      <c r="M81" s="12" t="n"/>
      <c r="N81" s="12" t="n"/>
      <c r="O81" s="12" t="n"/>
      <c r="P81" s="25" t="n"/>
    </row>
    <row r="82">
      <c r="A82" s="12" t="inlineStr">
        <is>
          <t>CT-078</t>
        </is>
      </c>
      <c r="B82" s="12" t="inlineStr">
        <is>
          <t>G Hypercare and true-up 1</t>
        </is>
      </c>
      <c r="C82" s="12" t="inlineStr">
        <is>
          <t>T+10</t>
        </is>
      </c>
      <c r="D82" s="12" t="inlineStr"/>
      <c r="E82" s="12" t="inlineStr">
        <is>
          <t>First DPPR or PR2307 legacy reversal batch (if any) approved and posted</t>
        </is>
      </c>
      <c r="F82" s="12" t="inlineStr">
        <is>
          <t>COMP</t>
        </is>
      </c>
      <c r="G82" s="12" t="n">
        <v>4</v>
      </c>
      <c r="H82" s="12" t="inlineStr">
        <is>
          <t>CT-070</t>
        </is>
      </c>
      <c r="I82" s="12" t="inlineStr">
        <is>
          <t>Run report; legacy sub-ledgers reduced by the batch total</t>
        </is>
      </c>
      <c r="J82" s="12" t="inlineStr"/>
      <c r="K82" s="12" t="n"/>
      <c r="L82" s="75" t="inlineStr">
        <is>
          <t>NOT STARTED</t>
        </is>
      </c>
      <c r="M82" s="12" t="n"/>
      <c r="N82" s="12" t="n"/>
      <c r="O82" s="12" t="n"/>
      <c r="P82" s="25" t="n"/>
    </row>
    <row r="83">
      <c r="A83" s="12" t="inlineStr">
        <is>
          <t>CT-079</t>
        </is>
      </c>
      <c r="B83" s="12" t="inlineStr">
        <is>
          <t>G Hypercare and true-up 1</t>
        </is>
      </c>
      <c r="C83" s="12" t="inlineStr">
        <is>
          <t>T+14</t>
        </is>
      </c>
      <c r="D83" s="12" t="inlineStr"/>
      <c r="E83" s="12" t="inlineStr">
        <is>
          <t>Hypercare mid-point review against the exit criteria</t>
        </is>
      </c>
      <c r="F83" s="12" t="inlineStr">
        <is>
          <t>GNG</t>
        </is>
      </c>
      <c r="G83" s="12" t="n">
        <v>2</v>
      </c>
      <c r="H83" s="12" t="inlineStr">
        <is>
          <t>CT-076</t>
        </is>
      </c>
      <c r="I83" s="12" t="inlineStr">
        <is>
          <t>Criteria status recorded</t>
        </is>
      </c>
      <c r="J83" s="12" t="inlineStr">
        <is>
          <t>CHECKPOINT</t>
        </is>
      </c>
      <c r="K83" s="12" t="n"/>
      <c r="L83" s="75" t="inlineStr">
        <is>
          <t>NOT STARTED</t>
        </is>
      </c>
      <c r="M83" s="12" t="n"/>
      <c r="N83" s="12" t="n"/>
      <c r="O83" s="12" t="n"/>
      <c r="P83" s="25" t="n"/>
    </row>
    <row r="84">
      <c r="A84" s="12" t="inlineStr">
        <is>
          <t>CT-080</t>
        </is>
      </c>
      <c r="B84" s="12" t="inlineStr">
        <is>
          <t>G Hypercare and true-up 1</t>
        </is>
      </c>
      <c r="C84" s="12" t="inlineStr">
        <is>
          <t>T+15</t>
        </is>
      </c>
      <c r="D84" s="12" t="inlineStr"/>
      <c r="E84" s="12" t="inlineStr">
        <is>
          <t>Legacy FY2027 year-end close completed by Comptrollership - closing adjustments posted in legacy, each entered in the FY2027 adjustment register</t>
        </is>
      </c>
      <c r="F84" s="12" t="inlineStr">
        <is>
          <t>COMP</t>
        </is>
      </c>
      <c r="G84" s="12" t="n">
        <v>8</v>
      </c>
      <c r="H84" s="12" t="inlineStr">
        <is>
          <t>CT-036</t>
        </is>
      </c>
      <c r="I84" s="12" t="inlineStr">
        <is>
          <t>Register complete for the close; legacy post-close TB run</t>
        </is>
      </c>
      <c r="J84" s="12" t="inlineStr"/>
      <c r="K84" s="12" t="n"/>
      <c r="L84" s="75" t="inlineStr">
        <is>
          <t>NOT STARTED</t>
        </is>
      </c>
      <c r="M84" s="12" t="n"/>
      <c r="N84" s="12" t="n"/>
      <c r="O84" s="12" t="n"/>
      <c r="P84" s="25" t="n"/>
    </row>
    <row r="85">
      <c r="A85" s="12" t="inlineStr">
        <is>
          <t>CT-081</t>
        </is>
      </c>
      <c r="B85" s="12" t="inlineStr">
        <is>
          <t>G Hypercare and true-up 1</t>
        </is>
      </c>
      <c r="C85" s="12" t="inlineStr">
        <is>
          <t>T+16</t>
        </is>
      </c>
      <c r="D85" s="12" t="inlineStr"/>
      <c r="E85" s="12" t="inlineStr">
        <is>
          <t>Extract for true-up 1 - legacy TB after the close (G01, version TU1), adjustment journal lines since the freeze (G03), open-item detail of the lines on legacy control accounts (G03D), legacy journal listing since the freeze from the audit trail; control files</t>
        </is>
      </c>
      <c r="F85" s="12" t="inlineStr">
        <is>
          <t>BIT</t>
        </is>
      </c>
      <c r="G85" s="12" t="n">
        <v>4</v>
      </c>
      <c r="H85" s="12" t="inlineStr">
        <is>
          <t>CT-080</t>
        </is>
      </c>
      <c r="I85" s="12" t="inlineStr">
        <is>
          <t>Every file and control file CHECKED</t>
        </is>
      </c>
      <c r="J85" s="12" t="inlineStr"/>
      <c r="K85" s="12" t="n"/>
      <c r="L85" s="75" t="inlineStr">
        <is>
          <t>NOT STARTED</t>
        </is>
      </c>
      <c r="M85" s="12" t="n"/>
      <c r="N85" s="12" t="n"/>
      <c r="O85" s="12" t="n"/>
      <c r="P85" s="25" t="n"/>
    </row>
    <row r="86">
      <c r="A86" s="12" t="inlineStr">
        <is>
          <t>CT-082</t>
        </is>
      </c>
      <c r="B86" s="12" t="inlineStr">
        <is>
          <t>G Hypercare and true-up 1</t>
        </is>
      </c>
      <c r="C86" s="12" t="inlineStr">
        <is>
          <t>T+17</t>
        </is>
      </c>
      <c r="D86" s="12" t="inlineStr"/>
      <c r="E86" s="12" t="inlineStr">
        <is>
          <t>Validate true-up 1 (cut-off, FY2027 dates, register, balance, mapping, open-item detail); the Comptrollership GL lead prepares and submits it</t>
        </is>
      </c>
      <c r="F86" s="12" t="inlineStr">
        <is>
          <t>COMP</t>
        </is>
      </c>
      <c r="G86" s="12" t="n">
        <v>6</v>
      </c>
      <c r="H86" s="12" t="inlineStr">
        <is>
          <t>CT-081</t>
        </is>
      </c>
      <c r="I86" s="12" t="inlineStr">
        <is>
          <t>Validation without error; true-up 1 submitted</t>
        </is>
      </c>
      <c r="J86" s="12" t="inlineStr"/>
      <c r="K86" s="12" t="n"/>
      <c r="L86" s="75" t="inlineStr">
        <is>
          <t>NOT STARTED</t>
        </is>
      </c>
      <c r="M86" s="12" t="n"/>
      <c r="N86" s="12" t="n"/>
      <c r="O86" s="12" t="n"/>
      <c r="P86" s="25" t="n"/>
    </row>
    <row r="87">
      <c r="A87" s="12" t="inlineStr">
        <is>
          <t>CT-083</t>
        </is>
      </c>
      <c r="B87" s="12" t="inlineStr">
        <is>
          <t>G Hypercare and true-up 1</t>
        </is>
      </c>
      <c r="C87" s="12" t="inlineStr">
        <is>
          <t>T+18</t>
        </is>
      </c>
      <c r="D87" s="12" t="inlineStr"/>
      <c r="E87" s="12" t="inlineStr">
        <is>
          <t>Head of Comptrollership approves true-up 1; BIBS posts the opening-balance adjustment journals MIG-TU-1 (opening journals, value date 1-Jan-2028) and the open-item adjustments</t>
        </is>
      </c>
      <c r="F87" s="12" t="inlineStr">
        <is>
          <t>COMP</t>
        </is>
      </c>
      <c r="G87" s="12" t="n">
        <v>2</v>
      </c>
      <c r="H87" s="12" t="inlineStr">
        <is>
          <t>CT-082</t>
        </is>
      </c>
      <c r="I87" s="12" t="inlineStr">
        <is>
          <t>Journals posted; approver is not the preparer</t>
        </is>
      </c>
      <c r="J87" s="12" t="inlineStr"/>
      <c r="K87" s="12" t="n"/>
      <c r="L87" s="75" t="inlineStr">
        <is>
          <t>NOT STARTED</t>
        </is>
      </c>
      <c r="M87" s="12" t="n"/>
      <c r="N87" s="12" t="n"/>
      <c r="O87" s="12" t="n"/>
      <c r="P87" s="25" t="n"/>
    </row>
    <row r="88">
      <c r="A88" s="12" t="inlineStr">
        <is>
          <t>CT-084</t>
        </is>
      </c>
      <c r="B88" s="12" t="inlineStr">
        <is>
          <t>G Hypercare and true-up 1</t>
        </is>
      </c>
      <c r="C88" s="12" t="inlineStr">
        <is>
          <t>T+18</t>
        </is>
      </c>
      <c r="D88" s="12" t="inlineStr"/>
      <c r="E88" s="12" t="inlineStr">
        <is>
          <t>Reconcile true-up 1 (the Opening-Balance Adjustment Reconciliation report) - cut-off; movement = legacy TB change = register; BIBS opening = legacy post-close TB; Migration Clearing 0.00; legacy control accounts = sub-ledgers; the Head of Comptrollership signs</t>
        </is>
      </c>
      <c r="F88" s="12" t="inlineStr">
        <is>
          <t>COMP</t>
        </is>
      </c>
      <c r="G88" s="12" t="n">
        <v>4</v>
      </c>
      <c r="H88" s="12" t="inlineStr">
        <is>
          <t>CT-083</t>
        </is>
      </c>
      <c r="I88" s="12" t="inlineStr">
        <is>
          <t>All checks met; true-up 1 signed</t>
        </is>
      </c>
      <c r="J88" s="12" t="inlineStr"/>
      <c r="K88" s="12" t="n"/>
      <c r="L88" s="75" t="inlineStr">
        <is>
          <t>NOT STARTED</t>
        </is>
      </c>
      <c r="M88" s="12" t="n"/>
      <c r="N88" s="12" t="n"/>
      <c r="O88" s="12" t="n"/>
      <c r="P88" s="25" t="n"/>
    </row>
    <row r="89">
      <c r="A89" s="12" t="inlineStr">
        <is>
          <t>CT-085</t>
        </is>
      </c>
      <c r="B89" s="12" t="inlineStr">
        <is>
          <t>G Hypercare and true-up 1</t>
        </is>
      </c>
      <c r="C89" s="12" t="inlineStr">
        <is>
          <t>T+30</t>
        </is>
      </c>
      <c r="D89" s="12" t="inlineStr"/>
      <c r="E89" s="12" t="inlineStr">
        <is>
          <t>First month-end close with legacy control accounts; ACSL GL-SL reconciliation with context LEGACY</t>
        </is>
      </c>
      <c r="F89" s="12" t="inlineStr">
        <is>
          <t>COMP</t>
        </is>
      </c>
      <c r="G89" s="12" t="n">
        <v>16</v>
      </c>
      <c r="H89" s="12" t="inlineStr">
        <is>
          <t>CT-079, CT-084</t>
        </is>
      </c>
      <c r="I89" s="12" t="inlineStr">
        <is>
          <t>ACSL reconciliation without difference; FRBS schedules include legacy balances; opening balances include true-up 1</t>
        </is>
      </c>
      <c r="J89" s="12" t="inlineStr"/>
      <c r="K89" s="12" t="n"/>
      <c r="L89" s="75" t="inlineStr">
        <is>
          <t>NOT STARTED</t>
        </is>
      </c>
      <c r="M89" s="12" t="n"/>
      <c r="N89" s="12" t="n"/>
      <c r="O89" s="12" t="n"/>
      <c r="P89" s="25" t="n"/>
    </row>
    <row r="90">
      <c r="A90" s="12" t="inlineStr">
        <is>
          <t>CT-086</t>
        </is>
      </c>
      <c r="B90" s="12" t="inlineStr">
        <is>
          <t>G Hypercare and true-up 1</t>
        </is>
      </c>
      <c r="C90" s="12" t="inlineStr">
        <is>
          <t>T+30</t>
        </is>
      </c>
      <c r="D90" s="12" t="inlineStr"/>
      <c r="E90" s="12" t="inlineStr">
        <is>
          <t>Hypercare exit decision</t>
        </is>
      </c>
      <c r="F90" s="12" t="inlineStr">
        <is>
          <t>GNG</t>
        </is>
      </c>
      <c r="G90" s="12" t="n">
        <v>2</v>
      </c>
      <c r="H90" s="12" t="inlineStr">
        <is>
          <t>CT-085</t>
        </is>
      </c>
      <c r="I90" s="12" t="inlineStr">
        <is>
          <t>Exit criteria met; hand-over to production support (L1 / L2 / L3)</t>
        </is>
      </c>
      <c r="J90" s="12" t="inlineStr">
        <is>
          <t>HYPERCARE EXIT</t>
        </is>
      </c>
      <c r="K90" s="12" t="n"/>
      <c r="L90" s="75" t="inlineStr">
        <is>
          <t>NOT STARTED</t>
        </is>
      </c>
      <c r="M90" s="12" t="n"/>
      <c r="N90" s="12" t="n"/>
      <c r="O90" s="12" t="n"/>
      <c r="P90" s="25" t="n"/>
    </row>
    <row r="91">
      <c r="A91" s="12" t="inlineStr">
        <is>
          <t>CT-087</t>
        </is>
      </c>
      <c r="B91" s="12" t="inlineStr">
        <is>
          <t>H Final true-up and legacy GL close</t>
        </is>
      </c>
      <c r="C91" s="12" t="inlineStr">
        <is>
          <t>T+60</t>
        </is>
      </c>
      <c r="D91" s="12" t="inlineStr"/>
      <c r="E91" s="12" t="inlineStr">
        <is>
          <t>Interim true-up 2 when Comptrollership has posted material FY2027 adjustments since true-up 1 - same steps as true-up 1; skipped when there are none</t>
        </is>
      </c>
      <c r="F91" s="12" t="inlineStr">
        <is>
          <t>COMP</t>
        </is>
      </c>
      <c r="G91" s="12" t="n">
        <v>16</v>
      </c>
      <c r="H91" s="12" t="inlineStr">
        <is>
          <t>CT-084</t>
        </is>
      </c>
      <c r="I91" s="12" t="inlineStr">
        <is>
          <t>True-up 2 signed, or 'none' recorded by the Head of Comptrollership</t>
        </is>
      </c>
      <c r="J91" s="12" t="inlineStr"/>
      <c r="K91" s="12" t="n"/>
      <c r="L91" s="75" t="inlineStr">
        <is>
          <t>NOT STARTED</t>
        </is>
      </c>
      <c r="M91" s="12" t="n"/>
      <c r="N91" s="12" t="n"/>
      <c r="O91" s="12" t="n"/>
      <c r="P91" s="25" t="n"/>
    </row>
    <row r="92">
      <c r="A92" s="12" t="inlineStr">
        <is>
          <t>CT-088</t>
        </is>
      </c>
      <c r="B92" s="12" t="inlineStr">
        <is>
          <t>H Final true-up and legacy GL close</t>
        </is>
      </c>
      <c r="C92" s="12" t="inlineStr">
        <is>
          <t>T+85</t>
        </is>
      </c>
      <c r="D92" s="12" t="inlineStr"/>
      <c r="E92" s="12" t="inlineStr">
        <is>
          <t>Auditor's adjustments agreed and posted in legacy; audited FY2027 financial statements signed (about March-April 2028; the date follows the audit timetable)</t>
        </is>
      </c>
      <c r="F92" s="12" t="inlineStr">
        <is>
          <t>COMP</t>
        </is>
      </c>
      <c r="G92" s="12" t="n">
        <v>16</v>
      </c>
      <c r="H92" s="12" t="inlineStr">
        <is>
          <t>CT-080</t>
        </is>
      </c>
      <c r="I92" s="12" t="inlineStr">
        <is>
          <t>Audited FS; register complete with the AUDIT adjustments</t>
        </is>
      </c>
      <c r="J92" s="12" t="inlineStr"/>
      <c r="K92" s="12" t="n"/>
      <c r="L92" s="75" t="inlineStr">
        <is>
          <t>NOT STARTED</t>
        </is>
      </c>
      <c r="M92" s="12" t="n"/>
      <c r="N92" s="12" t="n"/>
      <c r="O92" s="12" t="n"/>
      <c r="P92" s="25" t="n"/>
    </row>
    <row r="93">
      <c r="A93" s="12" t="inlineStr">
        <is>
          <t>CT-089</t>
        </is>
      </c>
      <c r="B93" s="12" t="inlineStr">
        <is>
          <t>H Final true-up and legacy GL close</t>
        </is>
      </c>
      <c r="C93" s="12" t="inlineStr">
        <is>
          <t>T+92</t>
        </is>
      </c>
      <c r="D93" s="12" t="inlineStr"/>
      <c r="E93" s="12" t="inlineStr">
        <is>
          <t>Extract for the final true-up - legacy audited TB (G01, version FINAL), adjustment lines since the previous true-up (G03), their open-item detail (G03D), legacy journal listing since the freeze; control files</t>
        </is>
      </c>
      <c r="F93" s="12" t="inlineStr">
        <is>
          <t>BIT</t>
        </is>
      </c>
      <c r="G93" s="12" t="n">
        <v>4</v>
      </c>
      <c r="H93" s="12" t="inlineStr">
        <is>
          <t>CT-087, CT-088</t>
        </is>
      </c>
      <c r="I93" s="12" t="inlineStr">
        <is>
          <t>Every file and control file CHECKED</t>
        </is>
      </c>
      <c r="J93" s="12" t="inlineStr"/>
      <c r="K93" s="12" t="n"/>
      <c r="L93" s="75" t="inlineStr">
        <is>
          <t>NOT STARTED</t>
        </is>
      </c>
      <c r="M93" s="12" t="n"/>
      <c r="N93" s="12" t="n"/>
      <c r="O93" s="12" t="n"/>
      <c r="P93" s="25" t="n"/>
    </row>
    <row r="94">
      <c r="A94" s="12" t="inlineStr">
        <is>
          <t>CT-090</t>
        </is>
      </c>
      <c r="B94" s="12" t="inlineStr">
        <is>
          <t>H Final true-up and legacy GL close</t>
        </is>
      </c>
      <c r="C94" s="12" t="inlineStr">
        <is>
          <t>T+95</t>
        </is>
      </c>
      <c r="D94" s="12" t="inlineStr"/>
      <c r="E94" s="12" t="inlineStr">
        <is>
          <t>Validate the final true-up; the Comptrollership GL lead prepares and submits it</t>
        </is>
      </c>
      <c r="F94" s="12" t="inlineStr">
        <is>
          <t>COMP</t>
        </is>
      </c>
      <c r="G94" s="12" t="n">
        <v>6</v>
      </c>
      <c r="H94" s="12" t="inlineStr">
        <is>
          <t>CT-089</t>
        </is>
      </c>
      <c r="I94" s="12" t="inlineStr">
        <is>
          <t>Validation without error; final true-up submitted</t>
        </is>
      </c>
      <c r="J94" s="12" t="inlineStr"/>
      <c r="K94" s="12" t="n"/>
      <c r="L94" s="75" t="inlineStr">
        <is>
          <t>NOT STARTED</t>
        </is>
      </c>
      <c r="M94" s="12" t="n"/>
      <c r="N94" s="12" t="n"/>
      <c r="O94" s="12" t="n"/>
      <c r="P94" s="25" t="n"/>
    </row>
    <row r="95">
      <c r="A95" s="12" t="inlineStr">
        <is>
          <t>CT-091</t>
        </is>
      </c>
      <c r="B95" s="12" t="inlineStr">
        <is>
          <t>H Final true-up and legacy GL close</t>
        </is>
      </c>
      <c r="C95" s="12" t="inlineStr">
        <is>
          <t>T+99</t>
        </is>
      </c>
      <c r="D95" s="12" t="inlineStr"/>
      <c r="E95" s="12" t="inlineStr">
        <is>
          <t>Head of Comptrollership approves the final true-up; January 2028 is reopened for the posting when closed; BIBS posts MIG-TU-F; January is closed again the same day</t>
        </is>
      </c>
      <c r="F95" s="12" t="inlineStr">
        <is>
          <t>COMP</t>
        </is>
      </c>
      <c r="G95" s="12" t="n">
        <v>4</v>
      </c>
      <c r="H95" s="12" t="inlineStr">
        <is>
          <t>CT-090</t>
        </is>
      </c>
      <c r="I95" s="12" t="inlineStr">
        <is>
          <t>Journals posted; period reopen and close logged with the reason</t>
        </is>
      </c>
      <c r="J95" s="12" t="inlineStr"/>
      <c r="K95" s="12" t="n"/>
      <c r="L95" s="75" t="inlineStr">
        <is>
          <t>NOT STARTED</t>
        </is>
      </c>
      <c r="M95" s="12" t="n"/>
      <c r="N95" s="12" t="n"/>
      <c r="O95" s="12" t="n"/>
      <c r="P95" s="25" t="n"/>
    </row>
    <row r="96">
      <c r="A96" s="12" t="inlineStr">
        <is>
          <t>CT-092</t>
        </is>
      </c>
      <c r="B96" s="12" t="inlineStr">
        <is>
          <t>H Final true-up and legacy GL close</t>
        </is>
      </c>
      <c r="C96" s="12" t="inlineStr">
        <is>
          <t>T+99</t>
        </is>
      </c>
      <c r="D96" s="12" t="inlineStr"/>
      <c r="E96" s="12" t="inlineStr">
        <is>
          <t>FY2027 BIR annual returns and the audited FS filed from legacy data by Comptrollership (not a BIBS task; BIBS is the source from FY2028)</t>
        </is>
      </c>
      <c r="F96" s="12" t="inlineStr">
        <is>
          <t>COMP</t>
        </is>
      </c>
      <c r="G96" s="12" t="n">
        <v>8</v>
      </c>
      <c r="H96" s="12" t="inlineStr">
        <is>
          <t>CT-088</t>
        </is>
      </c>
      <c r="I96" s="12" t="inlineStr">
        <is>
          <t>Filing evidence recorded</t>
        </is>
      </c>
      <c r="J96" s="12" t="inlineStr"/>
      <c r="K96" s="12" t="n"/>
      <c r="L96" s="75" t="inlineStr">
        <is>
          <t>NOT STARTED</t>
        </is>
      </c>
      <c r="M96" s="12" t="n"/>
      <c r="N96" s="12" t="n"/>
      <c r="O96" s="12" t="n"/>
      <c r="P96" s="25" t="n"/>
    </row>
    <row r="97">
      <c r="A97" s="12" t="inlineStr">
        <is>
          <t>CT-093</t>
        </is>
      </c>
      <c r="B97" s="12" t="inlineStr">
        <is>
          <t>H Final true-up and legacy GL close</t>
        </is>
      </c>
      <c r="C97" s="12" t="inlineStr">
        <is>
          <t>T+100</t>
        </is>
      </c>
      <c r="D97" s="12" t="inlineStr"/>
      <c r="E97" s="12" t="inlineStr">
        <is>
          <t>Reconcile the final true-up to the audited FY2027 TB (the Opening-Balance Adjustment Reconciliation report); re-run the February and March 2028 balance-sheet reports it changed; the Head of Comptrollership signs and shares the reconciliation with the external auditor</t>
        </is>
      </c>
      <c r="F97" s="12" t="inlineStr">
        <is>
          <t>COMP</t>
        </is>
      </c>
      <c r="G97" s="12" t="n">
        <v>8</v>
      </c>
      <c r="H97" s="12" t="inlineStr">
        <is>
          <t>CT-091</t>
        </is>
      </c>
      <c r="I97" s="12" t="inlineStr">
        <is>
          <t>All checks met; final true-up signed; reports re-filed</t>
        </is>
      </c>
      <c r="J97" s="12" t="inlineStr"/>
      <c r="K97" s="12" t="n"/>
      <c r="L97" s="75" t="inlineStr">
        <is>
          <t>NOT STARTED</t>
        </is>
      </c>
      <c r="M97" s="12" t="n"/>
      <c r="N97" s="12" t="n"/>
      <c r="O97" s="12" t="n"/>
      <c r="P97" s="25" t="n"/>
    </row>
    <row r="98">
      <c r="A98" s="12" t="inlineStr">
        <is>
          <t>CT-094</t>
        </is>
      </c>
      <c r="B98" s="12" t="inlineStr">
        <is>
          <t>H Final true-up and legacy GL close</t>
        </is>
      </c>
      <c r="C98" s="12" t="inlineStr">
        <is>
          <t>T+106</t>
        </is>
      </c>
      <c r="D98" s="12" t="inlineStr"/>
      <c r="E98" s="12" t="inlineStr">
        <is>
          <t>Lock the legacy GL for all users (FY2027 closed in legacy); close the FY2027 adjustment register</t>
        </is>
      </c>
      <c r="F98" s="12" t="inlineStr">
        <is>
          <t>BIT</t>
        </is>
      </c>
      <c r="G98" s="12" t="n">
        <v>2</v>
      </c>
      <c r="H98" s="12" t="inlineStr">
        <is>
          <t>CT-093</t>
        </is>
      </c>
      <c r="I98" s="12" t="inlineStr">
        <is>
          <t>Test posting refused in the legacy GL; register closed</t>
        </is>
      </c>
      <c r="J98" s="12" t="inlineStr"/>
      <c r="K98" s="12" t="n"/>
      <c r="L98" s="75" t="inlineStr">
        <is>
          <t>NOT STARTED</t>
        </is>
      </c>
      <c r="M98" s="12" t="n"/>
      <c r="N98" s="12" t="n"/>
      <c r="O98" s="12" t="n"/>
      <c r="P98" s="25" t="n"/>
    </row>
    <row r="99">
      <c r="A99" s="12" t="inlineStr">
        <is>
          <t>CT-095</t>
        </is>
      </c>
      <c r="B99" s="12" t="inlineStr">
        <is>
          <t>H Final true-up and legacy GL close</t>
        </is>
      </c>
      <c r="C99" s="12" t="inlineStr">
        <is>
          <t>T+120</t>
        </is>
      </c>
      <c r="D99" s="12" t="inlineStr"/>
      <c r="E99" s="12" t="inlineStr">
        <is>
          <t>Close the true-ups - final opening statement signed by the Head of Comptrollership and the Program Manager; opening journals no longer PROVISIONAL; a later FY2027 finding is a prior-period adjustment in BIBS outside the migration</t>
        </is>
      </c>
      <c r="F99" s="12" t="inlineStr">
        <is>
          <t>PM</t>
        </is>
      </c>
      <c r="G99" s="12" t="n">
        <v>2</v>
      </c>
      <c r="H99" s="12" t="inlineStr">
        <is>
          <t>CT-094</t>
        </is>
      </c>
      <c r="I99" s="12" t="inlineStr">
        <is>
          <t>Closure recorded in the console</t>
        </is>
      </c>
      <c r="J99" s="12" t="inlineStr">
        <is>
          <t>TRUE-UP CLOSED</t>
        </is>
      </c>
      <c r="K99" s="12" t="n"/>
      <c r="L99" s="75" t="inlineStr">
        <is>
          <t>NOT STARTED</t>
        </is>
      </c>
      <c r="M99" s="12" t="n"/>
      <c r="N99" s="12" t="n"/>
      <c r="O99" s="12" t="n"/>
      <c r="P99" s="25" t="n"/>
    </row>
  </sheetData>
  <autoFilter ref="A4:P99"/>
  <mergeCells count="1">
    <mergeCell ref="A2:P2"/>
  </mergeCells>
  <conditionalFormatting sqref="L5:L599">
    <cfRule type="cellIs" priority="1" operator="equal" dxfId="2" stopIfTrue="1">
      <formula>"IN PROGRESS"</formula>
    </cfRule>
    <cfRule type="cellIs" priority="2" operator="equal" dxfId="4" stopIfTrue="1">
      <formula>"DONE"</formula>
    </cfRule>
    <cfRule type="cellIs" priority="3" operator="equal" dxfId="5" stopIfTrue="1">
      <formula>"BLOCKED"</formula>
    </cfRule>
    <cfRule type="cellIs" priority="4" operator="equal" dxfId="1" stopIfTrue="1">
      <formula>"N/A"</formula>
    </cfRule>
  </conditionalFormatting>
  <conditionalFormatting sqref="A5:P599">
    <cfRule type="expression" priority="5" dxfId="0">
      <formula>AND(MOD(ROW(),2)=0,$A5&lt;&gt;"")</formula>
    </cfRule>
  </conditionalFormatting>
  <dataValidations count="3">
    <dataValidation sqref="L5:L599" showDropDown="0" showInputMessage="0" showErrorMessage="1" allowBlank="1" errorTitle="Status" error="Choose a value from the list (Status)." type="list">
      <formula1>'_lists'!$M$1:$M$5</formula1>
    </dataValidation>
    <dataValidation sqref="M5:M599" showDropDown="0" showInputMessage="0" showErrorMessage="1" allowBlank="1" errorTitle="BU review" error="Choose a value from the list (BU review)." type="list">
      <formula1>'_lists'!$N$1:$N$3</formula1>
    </dataValidation>
    <dataValidation sqref="P5:P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8.xml><?xml version="1.0" encoding="utf-8"?>
<worksheet xmlns="http://schemas.openxmlformats.org/spreadsheetml/2006/main">
  <sheetPr>
    <outlinePr summaryBelow="1" summaryRight="1"/>
    <pageSetUpPr fitToPage="1"/>
  </sheetPr>
  <dimension ref="A1:D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70" customWidth="1" min="2" max="2"/>
    <col width="24" customWidth="1" min="3" max="3"/>
    <col width="30" customWidth="1" min="4" max="4"/>
  </cols>
  <sheetData>
    <row r="1" ht="24" customHeight="1">
      <c r="A1" s="19" t="inlineStr">
        <is>
          <t>Cut-over roles</t>
        </is>
      </c>
    </row>
    <row r="2">
      <c r="A2" s="22" t="inlineStr">
        <is>
          <t>Owner roles of the task plan</t>
        </is>
      </c>
    </row>
    <row r="3" ht="6" customHeight="1">
      <c r="A3" s="23" t="n"/>
      <c r="B3" s="23" t="n"/>
      <c r="C3" s="23" t="n"/>
      <c r="D3" s="23" t="n"/>
    </row>
    <row r="4" ht="30" customHeight="1">
      <c r="A4" s="24" t="inlineStr">
        <is>
          <t>Code</t>
        </is>
      </c>
      <c r="B4" s="24" t="inlineStr">
        <is>
          <t>Role</t>
        </is>
      </c>
      <c r="C4" s="24" t="inlineStr">
        <is>
          <t>Organisation</t>
        </is>
      </c>
      <c r="D4" s="24" t="inlineStr">
        <is>
          <t>Name and phone (to fill)</t>
        </is>
      </c>
    </row>
    <row r="5">
      <c r="A5" s="12" t="inlineStr">
        <is>
          <t>PM</t>
        </is>
      </c>
      <c r="B5" s="12" t="inlineStr">
        <is>
          <t>BDOI Program Manager (ESG - Business Project Services)</t>
        </is>
      </c>
      <c r="C5" s="12" t="inlineStr">
        <is>
          <t>BDOI</t>
        </is>
      </c>
      <c r="D5" s="12" t="n"/>
    </row>
    <row r="6">
      <c r="A6" s="12" t="inlineStr">
        <is>
          <t>DML</t>
        </is>
      </c>
      <c r="B6" s="12" t="inlineStr">
        <is>
          <t>BDOI Data Migration Lead</t>
        </is>
      </c>
      <c r="C6" s="12" t="inlineStr">
        <is>
          <t>BDOI</t>
        </is>
      </c>
      <c r="D6" s="12" t="n"/>
    </row>
    <row r="7">
      <c r="A7" s="12" t="inlineStr">
        <is>
          <t>OWN</t>
        </is>
      </c>
      <c r="B7" s="12" t="inlineStr">
        <is>
          <t>Data owners (department heads of each object)</t>
        </is>
      </c>
      <c r="C7" s="12" t="inlineStr">
        <is>
          <t>BDOI</t>
        </is>
      </c>
      <c r="D7" s="12" t="n"/>
    </row>
    <row r="8">
      <c r="A8" s="12" t="inlineStr">
        <is>
          <t>STW</t>
        </is>
      </c>
      <c r="B8" s="12" t="inlineStr">
        <is>
          <t>Data stewards</t>
        </is>
      </c>
      <c r="C8" s="12" t="inlineStr">
        <is>
          <t>BDOI</t>
        </is>
      </c>
      <c r="D8" s="12" t="n"/>
    </row>
    <row r="9">
      <c r="A9" s="12" t="inlineStr">
        <is>
          <t>COMP</t>
        </is>
      </c>
      <c r="B9" s="12" t="inlineStr">
        <is>
          <t>Comptrollership (reconciliation approver for financial objects)</t>
        </is>
      </c>
      <c r="C9" s="12" t="inlineStr">
        <is>
          <t>BDOI</t>
        </is>
      </c>
      <c r="D9" s="12" t="n"/>
    </row>
    <row r="10">
      <c r="A10" s="12" t="inlineStr">
        <is>
          <t>OPS</t>
        </is>
      </c>
      <c r="B10" s="12" t="inlineStr">
        <is>
          <t>Operations (Financial Transactions, Cashiering, Remittance, Collections)</t>
        </is>
      </c>
      <c r="C10" s="12" t="inlineStr">
        <is>
          <t>BDOI</t>
        </is>
      </c>
      <c r="D10" s="12" t="n"/>
    </row>
    <row r="11">
      <c r="A11" s="12" t="inlineStr">
        <is>
          <t>MKT</t>
        </is>
      </c>
      <c r="B11" s="12" t="inlineStr">
        <is>
          <t>Marketing (Retail and Corporate)</t>
        </is>
      </c>
      <c r="C11" s="12" t="inlineStr">
        <is>
          <t>BDOI</t>
        </is>
      </c>
      <c r="D11" s="12" t="n"/>
    </row>
    <row r="12">
      <c r="A12" s="12" t="inlineStr">
        <is>
          <t>RNW</t>
        </is>
      </c>
      <c r="B12" s="12" t="inlineStr">
        <is>
          <t>Renewal processing team (makers and checkers; Head of the Renewal processing team)</t>
        </is>
      </c>
      <c r="C12" s="12" t="inlineStr">
        <is>
          <t>BDOI</t>
        </is>
      </c>
      <c r="D12" s="12" t="n"/>
    </row>
    <row r="13">
      <c r="A13" s="12" t="inlineStr">
        <is>
          <t>CMP</t>
        </is>
      </c>
      <c r="B13" s="12" t="inlineStr">
        <is>
          <t>Compliance and Audit</t>
        </is>
      </c>
      <c r="C13" s="12" t="inlineStr">
        <is>
          <t>BDOI</t>
        </is>
      </c>
      <c r="D13" s="12" t="n"/>
    </row>
    <row r="14">
      <c r="A14" s="12" t="inlineStr">
        <is>
          <t>BIT</t>
        </is>
      </c>
      <c r="B14" s="12" t="inlineStr">
        <is>
          <t>BDOI IT (legacy systems, extracts, network, secure file transfer)</t>
        </is>
      </c>
      <c r="C14" s="12" t="inlineStr">
        <is>
          <t>BDOI</t>
        </is>
      </c>
      <c r="D14" s="12" t="n"/>
    </row>
    <row r="15">
      <c r="A15" s="12" t="inlineStr">
        <is>
          <t>GNG</t>
        </is>
      </c>
      <c r="B15" s="12" t="inlineStr">
        <is>
          <t>Go / no-go board (Program Manager, heads of Operations, Comptrollership, Marketing, Compliance, IT; iorta Project Manager)</t>
        </is>
      </c>
      <c r="C15" s="12" t="inlineStr">
        <is>
          <t>BDOI and iorta TechNXT</t>
        </is>
      </c>
      <c r="D15" s="12" t="n"/>
    </row>
    <row r="16">
      <c r="A16" s="12" t="inlineStr">
        <is>
          <t>IPM</t>
        </is>
      </c>
      <c r="B16" s="12" t="inlineStr">
        <is>
          <t>iorta TechNXT Project Manager</t>
        </is>
      </c>
      <c r="C16" s="12" t="inlineStr">
        <is>
          <t>iorta TechNXT</t>
        </is>
      </c>
      <c r="D16" s="12" t="n"/>
    </row>
    <row r="17">
      <c r="A17" s="12" t="inlineStr">
        <is>
          <t>IML</t>
        </is>
      </c>
      <c r="B17" s="12" t="inlineStr">
        <is>
          <t>iorta TechNXT Migration Lead (loads, reconciliation, Migration Console)</t>
        </is>
      </c>
      <c r="C17" s="12" t="inlineStr">
        <is>
          <t>iorta TechNXT</t>
        </is>
      </c>
      <c r="D17" s="12" t="n"/>
    </row>
    <row r="18">
      <c r="A18" s="12" t="inlineStr">
        <is>
          <t>IOP</t>
        </is>
      </c>
      <c r="B18" s="12" t="inlineStr">
        <is>
          <t>iorta TechNXT Migration Operator (intake, validation, loads)</t>
        </is>
      </c>
      <c r="C18" s="12" t="inlineStr">
        <is>
          <t>iorta TechNXT</t>
        </is>
      </c>
      <c r="D18" s="12" t="n"/>
    </row>
    <row r="19">
      <c r="A19" s="12" t="inlineStr">
        <is>
          <t>IDO</t>
        </is>
      </c>
      <c r="B19" s="12" t="inlineStr">
        <is>
          <t>iorta TechNXT infrastructure team (AWS environment, snapshots, access, monitoring)</t>
        </is>
      </c>
      <c r="C19" s="12" t="inlineStr">
        <is>
          <t>iorta TechNXT</t>
        </is>
      </c>
      <c r="D19" s="12" t="n"/>
    </row>
    <row r="20">
      <c r="A20" s="12" t="inlineStr">
        <is>
          <t>IQA</t>
        </is>
      </c>
      <c r="B20" s="12" t="inlineStr">
        <is>
          <t>iorta TechNXT QA (smoke tests, issue triage)</t>
        </is>
      </c>
      <c r="C20" s="12" t="inlineStr">
        <is>
          <t>iorta TechNXT</t>
        </is>
      </c>
      <c r="D20" s="12" t="n"/>
    </row>
  </sheetData>
  <autoFilter ref="A4:D20"/>
  <mergeCells count="1">
    <mergeCell ref="A2:D2"/>
  </mergeCells>
  <conditionalFormatting sqref="A5:D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9.xml><?xml version="1.0" encoding="utf-8"?>
<worksheet xmlns="http://schemas.openxmlformats.org/spreadsheetml/2006/main">
  <sheetPr>
    <outlinePr summaryBelow="1" summaryRight="1"/>
    <pageSetUpPr fitToPage="1"/>
  </sheetPr>
  <dimension ref="A1:C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80" customWidth="1" min="3" max="3"/>
  </cols>
  <sheetData>
    <row r="1" ht="24" customHeight="1">
      <c r="A1" s="19" t="inlineStr">
        <is>
          <t>Cut-over calendar</t>
        </is>
      </c>
    </row>
    <row r="2">
      <c r="A2" s="22" t="inlineStr">
        <is>
          <t>Relative days on the calendar of the proposed go-live (DMQ25, DMQ39)</t>
        </is>
      </c>
    </row>
    <row r="3" ht="6" customHeight="1">
      <c r="A3" s="23" t="n"/>
      <c r="B3" s="23" t="n"/>
      <c r="C3" s="23" t="n"/>
    </row>
    <row r="4" ht="30" customHeight="1">
      <c r="A4" s="24" t="inlineStr">
        <is>
          <t>Day</t>
        </is>
      </c>
      <c r="B4" s="24" t="inlineStr">
        <is>
          <t>Date (T = 3-Jan-2028)</t>
        </is>
      </c>
      <c r="C4" s="24" t="inlineStr">
        <is>
          <t>Note</t>
        </is>
      </c>
    </row>
    <row r="5">
      <c r="A5" s="12" t="inlineStr">
        <is>
          <t>T-30</t>
        </is>
      </c>
      <c r="B5" s="12" t="inlineStr">
        <is>
          <t>Sat 4 Dec 2027</t>
        </is>
      </c>
      <c r="C5" s="12" t="inlineStr">
        <is>
          <t>Dress rehearsal (15-26 Nov 2027) already done; reserve slot 6-10 Dec 2027 if its exit criteria were missed</t>
        </is>
      </c>
    </row>
    <row r="6">
      <c r="A6" s="12" t="inlineStr">
        <is>
          <t>T-26</t>
        </is>
      </c>
      <c r="B6" s="12" t="inlineStr">
        <is>
          <t>Wed 8 Dec 2027</t>
        </is>
      </c>
      <c r="C6" s="12" t="inlineStr">
        <is>
          <t>Feast of the Immaculate Conception (special non-working day) - the Comptrollership set-up (CT-007) is planned from T-25</t>
        </is>
      </c>
    </row>
    <row r="7">
      <c r="A7" s="12" t="inlineStr">
        <is>
          <t>T-21</t>
        </is>
      </c>
      <c r="B7" s="12" t="inlineStr">
        <is>
          <t>Mon 13 Dec 2027</t>
        </is>
      </c>
      <c r="C7" s="12" t="inlineStr">
        <is>
          <t>Communications to branches, insurers and bank channels; legacy December soft close under way</t>
        </is>
      </c>
    </row>
    <row r="8">
      <c r="A8" s="12" t="inlineStr">
        <is>
          <t>T-20</t>
        </is>
      </c>
      <c r="B8" s="12" t="inlineStr">
        <is>
          <t>Tue 14 Dec 2027</t>
        </is>
      </c>
      <c r="C8" s="12" t="inlineStr">
        <is>
          <t>Renewal processing team readiness - January staffing plan, training, day-1 queue rehearsed</t>
        </is>
      </c>
    </row>
    <row r="9">
      <c r="A9" s="12" t="inlineStr">
        <is>
          <t>T-15</t>
        </is>
      </c>
      <c r="B9" s="12" t="inlineStr">
        <is>
          <t>Sun 19 Dec 2027</t>
        </is>
      </c>
      <c r="C9" s="12" t="inlineStr">
        <is>
          <t>GNG-1 (board meets on Friday 17 December if preferred)</t>
        </is>
      </c>
    </row>
    <row r="10">
      <c r="A10" s="12" t="inlineStr">
        <is>
          <t>T-14</t>
        </is>
      </c>
      <c r="B10" s="12" t="inlineStr">
        <is>
          <t>Mon 20 Dec 2027</t>
        </is>
      </c>
      <c r="C10" s="12" t="inlineStr">
        <is>
          <t>December soft close complete; production pre-load of reference data starts</t>
        </is>
      </c>
    </row>
    <row r="11">
      <c r="A11" s="12" t="inlineStr">
        <is>
          <t>T-12</t>
        </is>
      </c>
      <c r="B11" s="12" t="inlineStr">
        <is>
          <t>Wed 22 Dec 2027</t>
        </is>
      </c>
      <c r="C11" s="12" t="inlineStr">
        <is>
          <t>Client extract; completion drives for remittance batches and in-flight items (moved from T-9, Christmas Day)</t>
        </is>
      </c>
    </row>
    <row r="12">
      <c r="A12" s="12" t="inlineStr">
        <is>
          <t>T-11</t>
        </is>
      </c>
      <c r="B12" s="12" t="inlineStr">
        <is>
          <t>Thu 23 Dec 2027</t>
        </is>
      </c>
      <c r="C12" s="12" t="inlineStr">
        <is>
          <t>Client load and sign-off; daily client deltas start (moved from T-10, Christmas Eve)</t>
        </is>
      </c>
    </row>
    <row r="13">
      <c r="A13" s="12" t="inlineStr">
        <is>
          <t>T-10</t>
        </is>
      </c>
      <c r="B13" s="12" t="inlineStr">
        <is>
          <t>Fri 24 Dec 2027</t>
        </is>
      </c>
      <c r="C13" s="12" t="inlineStr">
        <is>
          <t>Christmas Eve (special non-working day) - no task planned</t>
        </is>
      </c>
    </row>
    <row r="14">
      <c r="A14" s="12" t="inlineStr">
        <is>
          <t>T-9</t>
        </is>
      </c>
      <c r="B14" s="12" t="inlineStr">
        <is>
          <t>Sat 25 Dec 2027</t>
        </is>
      </c>
      <c r="C14" s="12" t="inlineStr">
        <is>
          <t>Christmas Day - no task planned</t>
        </is>
      </c>
    </row>
    <row r="15">
      <c r="A15" s="12" t="inlineStr">
        <is>
          <t>T-7</t>
        </is>
      </c>
      <c r="B15" s="12" t="inlineStr">
        <is>
          <t>Mon 27 Dec 2027</t>
        </is>
      </c>
      <c r="C15" s="12" t="inlineStr">
        <is>
          <t>Code map freeze; legacy reference-data change freeze</t>
        </is>
      </c>
    </row>
    <row r="16">
      <c r="A16" s="12" t="inlineStr">
        <is>
          <t>T-5</t>
        </is>
      </c>
      <c r="B16" s="12" t="inlineStr">
        <is>
          <t>Wed 29 Dec 2027</t>
        </is>
      </c>
      <c r="C16" s="12" t="inlineStr">
        <is>
          <t>Last legacy business day; GNG-2 (moved from T-4, Rizal Day); freeze announcement; final RA-sent file; legacy GL access list for FY2027 adjustments</t>
        </is>
      </c>
    </row>
    <row r="17">
      <c r="A17" s="12" t="inlineStr">
        <is>
          <t>T-4</t>
        </is>
      </c>
      <c r="B17" s="12" t="inlineStr">
        <is>
          <t>Thu 30 Dec 2027</t>
        </is>
      </c>
      <c r="C17" s="12" t="inlineStr">
        <is>
          <t>Rizal Day (regular holiday) - no task planned</t>
        </is>
      </c>
    </row>
    <row r="18">
      <c r="A18" s="12" t="inlineStr">
        <is>
          <t>T-3</t>
        </is>
      </c>
      <c r="B18" s="12" t="inlineStr">
        <is>
          <t>Fri 31 Dec 2027</t>
        </is>
      </c>
      <c r="C18" s="12" t="inlineStr">
        <is>
          <t>Last day of the year (special non-working day) - last legacy EOD; preliminary December TB; business freeze 22:00; legacy GL restricted to FY2027 adjustments; final extracts</t>
        </is>
      </c>
    </row>
    <row r="19">
      <c r="A19" s="12" t="inlineStr">
        <is>
          <t>T-2</t>
        </is>
      </c>
      <c r="B19" s="12" t="inlineStr">
        <is>
          <t>Sat 1 Jan 2028</t>
        </is>
      </c>
      <c r="C19" s="12" t="inlineStr">
        <is>
          <t>New Year's Day - production load, provisional GL opening (cut-over team on duty)</t>
        </is>
      </c>
    </row>
    <row r="20">
      <c r="A20" s="12" t="inlineStr">
        <is>
          <t>T-1</t>
        </is>
      </c>
      <c r="B20" s="12" t="inlineStr">
        <is>
          <t>Sun 2 Jan 2028</t>
        </is>
      </c>
      <c r="C20" s="12" t="inlineStr">
        <is>
          <t>Reconciliation, verification, P03 resubmissions until 12:00, GNG-3 at 18:00</t>
        </is>
      </c>
    </row>
    <row r="21">
      <c r="A21" s="12" t="inlineStr">
        <is>
          <t>T</t>
        </is>
      </c>
      <c r="B21" s="12" t="inlineStr">
        <is>
          <t>Mon 3 Jan 2028</t>
        </is>
      </c>
      <c r="C21" s="12" t="inlineStr">
        <is>
          <t>Renewal go-live extraction 04:00; go-live 08:00; day-1 renewal priority queue; point of no return 18:00</t>
        </is>
      </c>
    </row>
    <row r="22">
      <c r="A22" s="12" t="inlineStr">
        <is>
          <t>T+10</t>
        </is>
      </c>
      <c r="B22" s="12" t="inlineStr">
        <is>
          <t>Thu 13 Jan 2028</t>
        </is>
      </c>
      <c r="C22" s="12" t="inlineStr">
        <is>
          <t>First daily Renewal extraction of new expiries (1 June 2028)</t>
        </is>
      </c>
    </row>
    <row r="23">
      <c r="A23" s="12" t="inlineStr">
        <is>
          <t>T+15</t>
        </is>
      </c>
      <c r="B23" s="12" t="inlineStr">
        <is>
          <t>Tue 18 Jan 2028</t>
        </is>
      </c>
      <c r="C23" s="12" t="inlineStr">
        <is>
          <t>Legacy FY2027 year-end close complete</t>
        </is>
      </c>
    </row>
    <row r="24">
      <c r="A24" s="12" t="inlineStr">
        <is>
          <t>T+18</t>
        </is>
      </c>
      <c r="B24" s="12" t="inlineStr">
        <is>
          <t>Fri 21 Jan 2028</t>
        </is>
      </c>
      <c r="C24" s="12" t="inlineStr">
        <is>
          <t>True-up 1 posted, reconciled and signed</t>
        </is>
      </c>
    </row>
    <row r="25">
      <c r="A25" s="12" t="inlineStr">
        <is>
          <t>T+30</t>
        </is>
      </c>
      <c r="B25" s="12" t="inlineStr">
        <is>
          <t>Wed 2 Feb 2028</t>
        </is>
      </c>
      <c r="C25" s="12" t="inlineStr">
        <is>
          <t>First month-end close (January 2028) completed; hypercare exit decision</t>
        </is>
      </c>
    </row>
    <row r="26">
      <c r="A26" s="12" t="inlineStr">
        <is>
          <t>T+60</t>
        </is>
      </c>
      <c r="B26" s="12" t="inlineStr">
        <is>
          <t>Fri 3 Mar 2028</t>
        </is>
      </c>
      <c r="C26" s="12" t="inlineStr">
        <is>
          <t>Interim true-up 2, only when needed</t>
        </is>
      </c>
    </row>
    <row r="27">
      <c r="A27" s="12" t="inlineStr">
        <is>
          <t>T+85</t>
        </is>
      </c>
      <c r="B27" s="12" t="inlineStr">
        <is>
          <t>Tue 28 Mar 2028</t>
        </is>
      </c>
      <c r="C27" s="12" t="inlineStr">
        <is>
          <t>Audited FY2027 financial statements (about March-April 2028; follows the audit timetable)</t>
        </is>
      </c>
    </row>
    <row r="28">
      <c r="A28" s="12" t="inlineStr">
        <is>
          <t>T+99</t>
        </is>
      </c>
      <c r="B28" s="12" t="inlineStr">
        <is>
          <t>Tue 11 Apr 2028</t>
        </is>
      </c>
      <c r="C28" s="12" t="inlineStr">
        <is>
          <t>Final true-up posted; FY2027 BIR annual returns filed from legacy</t>
        </is>
      </c>
    </row>
    <row r="29">
      <c r="A29" s="12" t="inlineStr">
        <is>
          <t>T+106</t>
        </is>
      </c>
      <c r="B29" s="12" t="inlineStr">
        <is>
          <t>Tue 18 Apr 2028</t>
        </is>
      </c>
      <c r="C29" s="12" t="inlineStr">
        <is>
          <t>Legacy GL locked</t>
        </is>
      </c>
    </row>
    <row r="30">
      <c r="A30" s="12" t="inlineStr">
        <is>
          <t>T+120</t>
        </is>
      </c>
      <c r="B30" s="12" t="inlineStr">
        <is>
          <t>Tue 2 May 2028</t>
        </is>
      </c>
      <c r="C30" s="12" t="inlineStr">
        <is>
          <t>True-ups closed</t>
        </is>
      </c>
    </row>
  </sheetData>
  <autoFilter ref="A4:C30"/>
  <mergeCells count="1">
    <mergeCell ref="A2:C2"/>
  </mergeCells>
  <conditionalFormatting sqref="A5:C53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0.xml><?xml version="1.0" encoding="utf-8"?>
<worksheet xmlns="http://schemas.openxmlformats.org/spreadsheetml/2006/main">
  <sheetPr>
    <outlinePr summaryBelow="1" summaryRight="1"/>
    <pageSetUpPr fitToPage="1"/>
  </sheetPr>
  <dimension ref="A1:K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30" customWidth="1" min="3" max="3"/>
    <col width="5" customWidth="1" min="4" max="4"/>
    <col width="70" customWidth="1" min="5" max="5"/>
    <col width="18" customWidth="1" min="6" max="6"/>
    <col width="8" customWidth="1" min="7" max="7"/>
    <col width="16" customWidth="1" min="8" max="8"/>
    <col width="40" customWidth="1" min="9" max="9"/>
    <col width="18" customWidth="1" min="10" max="10"/>
    <col width="13" customWidth="1" min="11" max="11"/>
  </cols>
  <sheetData>
    <row r="1" ht="24" customHeight="1">
      <c r="A1" s="19" t="inlineStr">
        <is>
          <t>Go-no-go checkpoints</t>
        </is>
      </c>
    </row>
    <row r="2">
      <c r="A2" s="22" t="inlineStr">
        <is>
          <t>Go / no-go checkpoints and their criteria</t>
        </is>
      </c>
    </row>
    <row r="3" ht="6" customHeight="1">
      <c r="A3" s="23" t="n"/>
      <c r="B3" s="23" t="n"/>
      <c r="C3" s="23" t="n"/>
      <c r="D3" s="23" t="n"/>
      <c r="E3" s="23" t="n"/>
      <c r="F3" s="23" t="n"/>
      <c r="G3" s="23" t="n"/>
      <c r="H3" s="23" t="n"/>
      <c r="I3" s="23" t="n"/>
      <c r="J3" s="23" t="n"/>
      <c r="K3" s="23" t="n"/>
    </row>
    <row r="4" ht="30" customHeight="1">
      <c r="A4" s="24" t="inlineStr">
        <is>
          <t>Checkpoint</t>
        </is>
      </c>
      <c r="B4" s="24" t="inlineStr">
        <is>
          <t>When</t>
        </is>
      </c>
      <c r="C4" s="24" t="inlineStr">
        <is>
          <t>Decision</t>
        </is>
      </c>
      <c r="D4" s="24" t="inlineStr">
        <is>
          <t>No.</t>
        </is>
      </c>
      <c r="E4" s="24" t="inlineStr">
        <is>
          <t>Criterion</t>
        </is>
      </c>
      <c r="F4" s="24" t="inlineStr">
        <is>
          <t>Measured value</t>
        </is>
      </c>
      <c r="G4" s="24" t="inlineStr">
        <is>
          <t>Met</t>
        </is>
      </c>
      <c r="H4" s="24" t="inlineStr">
        <is>
          <t>BU review</t>
        </is>
      </c>
      <c r="I4" s="24" t="inlineStr">
        <is>
          <t>BU comment</t>
        </is>
      </c>
      <c r="J4" s="24" t="inlineStr">
        <is>
          <t>Reviewer</t>
        </is>
      </c>
      <c r="K4" s="24" t="inlineStr">
        <is>
          <t>Review date</t>
        </is>
      </c>
    </row>
    <row r="5">
      <c r="A5" s="12" t="inlineStr">
        <is>
          <t>GNG-1</t>
        </is>
      </c>
      <c r="B5" s="12" t="inlineStr">
        <is>
          <t>T-15</t>
        </is>
      </c>
      <c r="C5" s="12" t="inlineStr">
        <is>
          <t>Start the production pre-load</t>
        </is>
      </c>
      <c r="D5" s="12" t="n">
        <v>1</v>
      </c>
      <c r="E5" s="12" t="inlineStr">
        <is>
          <t>Dress rehearsal completed within the window with at least 20 percent margin, rollback rehearsed</t>
        </is>
      </c>
      <c r="F5" s="12" t="n"/>
      <c r="G5" s="12" t="n"/>
      <c r="H5" s="12" t="n"/>
      <c r="I5" s="12" t="n"/>
      <c r="J5" s="12" t="n"/>
      <c r="K5" s="25" t="n"/>
    </row>
    <row r="6">
      <c r="A6" s="12" t="inlineStr">
        <is>
          <t>GNG-1</t>
        </is>
      </c>
      <c r="B6" s="12" t="inlineStr">
        <is>
          <t>T-15</t>
        </is>
      </c>
      <c r="C6" s="12" t="inlineStr">
        <is>
          <t>Start the production pre-load</t>
        </is>
      </c>
      <c r="D6" s="12" t="n">
        <v>2</v>
      </c>
      <c r="E6" s="12" t="inlineStr">
        <is>
          <t>Production environment, roles and PH-only access ready; masking off only in production</t>
        </is>
      </c>
      <c r="F6" s="12" t="n"/>
      <c r="G6" s="12" t="n"/>
      <c r="H6" s="12" t="n"/>
      <c r="I6" s="12" t="n"/>
      <c r="J6" s="12" t="n"/>
      <c r="K6" s="25" t="n"/>
    </row>
    <row r="7">
      <c r="A7" s="12" t="inlineStr">
        <is>
          <t>GNG-1</t>
        </is>
      </c>
      <c r="B7" s="12" t="inlineStr">
        <is>
          <t>T-15</t>
        </is>
      </c>
      <c r="C7" s="12" t="inlineStr">
        <is>
          <t>Start the production pre-load</t>
        </is>
      </c>
      <c r="D7" s="12" t="n">
        <v>3</v>
      </c>
      <c r="E7" s="12" t="inlineStr">
        <is>
          <t>Legacy control accounts, Migration Clearing and the legacy accounting rules approved in production (DMQ18)</t>
        </is>
      </c>
      <c r="F7" s="12" t="n"/>
      <c r="G7" s="12" t="n"/>
      <c r="H7" s="12" t="n"/>
      <c r="I7" s="12" t="n"/>
      <c r="J7" s="12" t="n"/>
      <c r="K7" s="25" t="n"/>
    </row>
    <row r="8">
      <c r="A8" s="12" t="inlineStr">
        <is>
          <t>GNG-1</t>
        </is>
      </c>
      <c r="B8" s="12" t="inlineStr">
        <is>
          <t>T-15</t>
        </is>
      </c>
      <c r="C8" s="12" t="inlineStr">
        <is>
          <t>Start the production pre-load</t>
        </is>
      </c>
      <c r="D8" s="12" t="n">
        <v>4</v>
      </c>
      <c r="E8" s="12" t="inlineStr">
        <is>
          <t>Code map versions for production approved</t>
        </is>
      </c>
      <c r="F8" s="12" t="n"/>
      <c r="G8" s="12" t="n"/>
      <c r="H8" s="12" t="n"/>
      <c r="I8" s="12" t="n"/>
      <c r="J8" s="12" t="n"/>
      <c r="K8" s="25" t="n"/>
    </row>
    <row r="9">
      <c r="A9" s="12" t="inlineStr">
        <is>
          <t>GNG-1</t>
        </is>
      </c>
      <c r="B9" s="12" t="inlineStr">
        <is>
          <t>T-15</t>
        </is>
      </c>
      <c r="C9" s="12" t="inlineStr">
        <is>
          <t>Start the production pre-load</t>
        </is>
      </c>
      <c r="D9" s="12" t="n">
        <v>5</v>
      </c>
      <c r="E9" s="12" t="inlineStr">
        <is>
          <t>Transfer path (secure file drop or console) tested</t>
        </is>
      </c>
      <c r="F9" s="12" t="n"/>
      <c r="G9" s="12" t="n"/>
      <c r="H9" s="12" t="n"/>
      <c r="I9" s="12" t="n"/>
      <c r="J9" s="12" t="n"/>
      <c r="K9" s="25" t="n"/>
    </row>
    <row r="10">
      <c r="A10" s="12" t="inlineStr">
        <is>
          <t>GNG-1</t>
        </is>
      </c>
      <c r="B10" s="12" t="inlineStr">
        <is>
          <t>T-15</t>
        </is>
      </c>
      <c r="C10" s="12" t="inlineStr">
        <is>
          <t>Start the production pre-load</t>
        </is>
      </c>
      <c r="D10" s="12" t="n">
        <v>6</v>
      </c>
      <c r="E10" s="12" t="inlineStr">
        <is>
          <t>December soft close on track for 20 December 2027</t>
        </is>
      </c>
      <c r="F10" s="12" t="n"/>
      <c r="G10" s="12" t="n"/>
      <c r="H10" s="12" t="n"/>
      <c r="I10" s="12" t="n"/>
      <c r="J10" s="12" t="n"/>
      <c r="K10" s="25" t="n"/>
    </row>
    <row r="11">
      <c r="A11" s="12" t="inlineStr">
        <is>
          <t>GNG-1</t>
        </is>
      </c>
      <c r="B11" s="12" t="inlineStr">
        <is>
          <t>T-15</t>
        </is>
      </c>
      <c r="C11" s="12" t="inlineStr">
        <is>
          <t>Start the production pre-load</t>
        </is>
      </c>
      <c r="D11" s="12" t="n">
        <v>7</v>
      </c>
      <c r="E11" s="12" t="inlineStr">
        <is>
          <t>Renewal processing team ready - January staffing plan signed, training done, day-1 queue rehearsed</t>
        </is>
      </c>
      <c r="F11" s="12" t="n"/>
      <c r="G11" s="12" t="n"/>
      <c r="H11" s="12" t="n"/>
      <c r="I11" s="12" t="n"/>
      <c r="J11" s="12" t="n"/>
      <c r="K11" s="25" t="n"/>
    </row>
    <row r="12">
      <c r="A12" s="12" t="inlineStr">
        <is>
          <t>GNG-1</t>
        </is>
      </c>
      <c r="B12" s="12" t="inlineStr">
        <is>
          <t>T-15</t>
        </is>
      </c>
      <c r="C12" s="12" t="inlineStr">
        <is>
          <t>Start the production pre-load</t>
        </is>
      </c>
      <c r="D12" s="12" t="n">
        <v>8</v>
      </c>
      <c r="E12" s="12" t="inlineStr">
        <is>
          <t>No open Critical issue of the migration or of a Day-1 module</t>
        </is>
      </c>
      <c r="F12" s="12" t="n"/>
      <c r="G12" s="12" t="n"/>
      <c r="H12" s="12" t="n"/>
      <c r="I12" s="12" t="n"/>
      <c r="J12" s="12" t="n"/>
      <c r="K12" s="25" t="n"/>
    </row>
    <row r="13">
      <c r="A13" s="12" t="inlineStr">
        <is>
          <t>GNG-2</t>
        </is>
      </c>
      <c r="B13" s="12" t="inlineStr">
        <is>
          <t>T-5</t>
        </is>
      </c>
      <c r="C13" s="12" t="inlineStr">
        <is>
          <t>Enter the legacy freeze on T-3</t>
        </is>
      </c>
      <c r="D13" s="12" t="n">
        <v>1</v>
      </c>
      <c r="E13" s="12" t="inlineStr">
        <is>
          <t>Reference data and clients loaded and accepted (G6) in production; daily deltas running</t>
        </is>
      </c>
      <c r="F13" s="12" t="n"/>
      <c r="G13" s="12" t="n"/>
      <c r="H13" s="12" t="n"/>
      <c r="I13" s="12" t="n"/>
      <c r="J13" s="12" t="n"/>
      <c r="K13" s="25" t="n"/>
    </row>
    <row r="14">
      <c r="A14" s="12" t="inlineStr">
        <is>
          <t>GNG-2</t>
        </is>
      </c>
      <c r="B14" s="12" t="inlineStr">
        <is>
          <t>T-5</t>
        </is>
      </c>
      <c r="C14" s="12" t="inlineStr">
        <is>
          <t>Enter the legacy freeze on T-3</t>
        </is>
      </c>
      <c r="D14" s="12" t="n">
        <v>2</v>
      </c>
      <c r="E14" s="12" t="inlineStr">
        <is>
          <t>Client review queue empty</t>
        </is>
      </c>
      <c r="F14" s="12" t="n"/>
      <c r="G14" s="12" t="n"/>
      <c r="H14" s="12" t="n"/>
      <c r="I14" s="12" t="n"/>
      <c r="J14" s="12" t="n"/>
      <c r="K14" s="25" t="n"/>
    </row>
    <row r="15">
      <c r="A15" s="12" t="inlineStr">
        <is>
          <t>GNG-2</t>
        </is>
      </c>
      <c r="B15" s="12" t="inlineStr">
        <is>
          <t>T-5</t>
        </is>
      </c>
      <c r="C15" s="12" t="inlineStr">
        <is>
          <t>Enter the legacy freeze on T-3</t>
        </is>
      </c>
      <c r="D15" s="12" t="n">
        <v>3</v>
      </c>
      <c r="E15" s="12" t="inlineStr">
        <is>
          <t>Final extract jobs timed within the window (dry run)</t>
        </is>
      </c>
      <c r="F15" s="12" t="n"/>
      <c r="G15" s="12" t="n"/>
      <c r="H15" s="12" t="n"/>
      <c r="I15" s="12" t="n"/>
      <c r="J15" s="12" t="n"/>
      <c r="K15" s="25" t="n"/>
    </row>
    <row r="16">
      <c r="A16" s="12" t="inlineStr">
        <is>
          <t>GNG-2</t>
        </is>
      </c>
      <c r="B16" s="12" t="inlineStr">
        <is>
          <t>T-5</t>
        </is>
      </c>
      <c r="C16" s="12" t="inlineStr">
        <is>
          <t>Enter the legacy freeze on T-3</t>
        </is>
      </c>
      <c r="D16" s="12" t="n">
        <v>4</v>
      </c>
      <c r="E16" s="12" t="inlineStr">
        <is>
          <t>In-flight items and remittance batches closed or listed for carry-forward</t>
        </is>
      </c>
      <c r="F16" s="12" t="n"/>
      <c r="G16" s="12" t="n"/>
      <c r="H16" s="12" t="n"/>
      <c r="I16" s="12" t="n"/>
      <c r="J16" s="12" t="n"/>
      <c r="K16" s="25" t="n"/>
    </row>
    <row r="17">
      <c r="A17" s="12" t="inlineStr">
        <is>
          <t>GNG-2</t>
        </is>
      </c>
      <c r="B17" s="12" t="inlineStr">
        <is>
          <t>T-5</t>
        </is>
      </c>
      <c r="C17" s="12" t="inlineStr">
        <is>
          <t>Enter the legacy freeze on T-3</t>
        </is>
      </c>
      <c r="D17" s="12" t="n">
        <v>5</v>
      </c>
      <c r="E17" s="12" t="inlineStr">
        <is>
          <t>P01 dry run covers every expiry to 31 May 2028 and every renewal term booked in legacy starting on or after T</t>
        </is>
      </c>
      <c r="F17" s="12" t="n"/>
      <c r="G17" s="12" t="n"/>
      <c r="H17" s="12" t="n"/>
      <c r="I17" s="12" t="n"/>
      <c r="J17" s="12" t="n"/>
      <c r="K17" s="25" t="n"/>
    </row>
    <row r="18">
      <c r="A18" s="12" t="inlineStr">
        <is>
          <t>GNG-2</t>
        </is>
      </c>
      <c r="B18" s="12" t="inlineStr">
        <is>
          <t>T-5</t>
        </is>
      </c>
      <c r="C18" s="12" t="inlineStr">
        <is>
          <t>Enter the legacy freeze on T-3</t>
        </is>
      </c>
      <c r="D18" s="12" t="n">
        <v>6</v>
      </c>
      <c r="E18" s="12" t="inlineStr">
        <is>
          <t>Draft RA-sent file validated; its rejects reviewed by the Renewal processing team</t>
        </is>
      </c>
      <c r="F18" s="12" t="n"/>
      <c r="G18" s="12" t="n"/>
      <c r="H18" s="12" t="n"/>
      <c r="I18" s="12" t="n"/>
      <c r="J18" s="12" t="n"/>
      <c r="K18" s="25" t="n"/>
    </row>
    <row r="19">
      <c r="A19" s="12" t="inlineStr">
        <is>
          <t>GNG-2</t>
        </is>
      </c>
      <c r="B19" s="12" t="inlineStr">
        <is>
          <t>T-5</t>
        </is>
      </c>
      <c r="C19" s="12" t="inlineStr">
        <is>
          <t>Enter the legacy freeze on T-3</t>
        </is>
      </c>
      <c r="D19" s="12" t="n">
        <v>7</v>
      </c>
      <c r="E19" s="12" t="inlineStr">
        <is>
          <t>Comptrollership access list for the legacy GL after the freeze named</t>
        </is>
      </c>
      <c r="F19" s="12" t="n"/>
      <c r="G19" s="12" t="n"/>
      <c r="H19" s="12" t="n"/>
      <c r="I19" s="12" t="n"/>
      <c r="J19" s="12" t="n"/>
      <c r="K19" s="25" t="n"/>
    </row>
    <row r="20">
      <c r="A20" s="12" t="inlineStr">
        <is>
          <t>GNG-2</t>
        </is>
      </c>
      <c r="B20" s="12" t="inlineStr">
        <is>
          <t>T-5</t>
        </is>
      </c>
      <c r="C20" s="12" t="inlineStr">
        <is>
          <t>Enter the legacy freeze on T-3</t>
        </is>
      </c>
      <c r="D20" s="12" t="n">
        <v>8</v>
      </c>
      <c r="E20" s="12" t="inlineStr">
        <is>
          <t>Communications sent; branches and insurers informed</t>
        </is>
      </c>
      <c r="F20" s="12" t="n"/>
      <c r="G20" s="12" t="n"/>
      <c r="H20" s="12" t="n"/>
      <c r="I20" s="12" t="n"/>
      <c r="J20" s="12" t="n"/>
      <c r="K20" s="25" t="n"/>
    </row>
    <row r="21">
      <c r="A21" s="12" t="inlineStr">
        <is>
          <t>GNG-3</t>
        </is>
      </c>
      <c r="B21" s="12" t="inlineStr">
        <is>
          <t>T-1 18:00</t>
        </is>
      </c>
      <c r="C21" s="12" t="inlineStr">
        <is>
          <t>Go live on T</t>
        </is>
      </c>
      <c r="D21" s="12" t="n">
        <v>1</v>
      </c>
      <c r="E21" s="12" t="inlineStr">
        <is>
          <t>Every Day-1 object at G6 (100 percent)</t>
        </is>
      </c>
      <c r="F21" s="12" t="n"/>
      <c r="G21" s="12" t="n"/>
      <c r="H21" s="12" t="n"/>
      <c r="I21" s="12" t="n"/>
      <c r="J21" s="12" t="n"/>
      <c r="K21" s="25" t="n"/>
    </row>
    <row r="22">
      <c r="A22" s="12" t="inlineStr">
        <is>
          <t>GNG-3</t>
        </is>
      </c>
      <c r="B22" s="12" t="inlineStr">
        <is>
          <t>T-1 18:00</t>
        </is>
      </c>
      <c r="C22" s="12" t="inlineStr">
        <is>
          <t>Go live on T</t>
        </is>
      </c>
      <c r="D22" s="12" t="n">
        <v>2</v>
      </c>
      <c r="E22" s="12" t="inlineStr">
        <is>
          <t>Counts - received = control and loaded + skipped + rejected + excluded = staged, for every object</t>
        </is>
      </c>
      <c r="F22" s="12" t="n"/>
      <c r="G22" s="12" t="n"/>
      <c r="H22" s="12" t="n"/>
      <c r="I22" s="12" t="n"/>
      <c r="J22" s="12" t="n"/>
      <c r="K22" s="25" t="n"/>
    </row>
    <row r="23">
      <c r="A23" s="12" t="inlineStr">
        <is>
          <t>GNG-3</t>
        </is>
      </c>
      <c r="B23" s="12" t="inlineStr">
        <is>
          <t>T-1 18:00</t>
        </is>
      </c>
      <c r="C23" s="12" t="inlineStr">
        <is>
          <t>Go live on T</t>
        </is>
      </c>
      <c r="D23" s="12" t="n">
        <v>3</v>
      </c>
      <c r="E23" s="12" t="inlineStr">
        <is>
          <t>Financial rejects (F01, F02, G01) - 0, or each excluded item approved by the owner with a manual-entry plan</t>
        </is>
      </c>
      <c r="F23" s="12" t="n"/>
      <c r="G23" s="12" t="n"/>
      <c r="H23" s="12" t="n"/>
      <c r="I23" s="12" t="n"/>
      <c r="J23" s="12" t="n"/>
      <c r="K23" s="25" t="n"/>
    </row>
    <row r="24">
      <c r="A24" s="12" t="inlineStr">
        <is>
          <t>GNG-3</t>
        </is>
      </c>
      <c r="B24" s="12" t="inlineStr">
        <is>
          <t>T-1 18:00</t>
        </is>
      </c>
      <c r="C24" s="12" t="inlineStr">
        <is>
          <t>Go live on T</t>
        </is>
      </c>
      <c r="D24" s="12" t="n">
        <v>4</v>
      </c>
      <c r="E24" s="12" t="inlineStr">
        <is>
          <t>Amount reconciliation of open items, UPP and trial balance - 0.00 difference per currency</t>
        </is>
      </c>
      <c r="F24" s="12" t="n"/>
      <c r="G24" s="12" t="n"/>
      <c r="H24" s="12" t="n"/>
      <c r="I24" s="12" t="n"/>
      <c r="J24" s="12" t="n"/>
      <c r="K24" s="25" t="n"/>
    </row>
    <row r="25">
      <c r="A25" s="12" t="inlineStr">
        <is>
          <t>GNG-3</t>
        </is>
      </c>
      <c r="B25" s="12" t="inlineStr">
        <is>
          <t>T-1 18:00</t>
        </is>
      </c>
      <c r="C25" s="12" t="inlineStr">
        <is>
          <t>Go live on T</t>
        </is>
      </c>
      <c r="D25" s="12" t="n">
        <v>5</v>
      </c>
      <c r="E25" s="12" t="inlineStr">
        <is>
          <t>Migration Clearing - 0.00 per branch and currency</t>
        </is>
      </c>
      <c r="F25" s="12" t="n"/>
      <c r="G25" s="12" t="n"/>
      <c r="H25" s="12" t="n"/>
      <c r="I25" s="12" t="n"/>
      <c r="J25" s="12" t="n"/>
      <c r="K25" s="25" t="n"/>
    </row>
    <row r="26">
      <c r="A26" s="12" t="inlineStr">
        <is>
          <t>GNG-3</t>
        </is>
      </c>
      <c r="B26" s="12" t="inlineStr">
        <is>
          <t>T-1 18:00</t>
        </is>
      </c>
      <c r="C26" s="12" t="inlineStr">
        <is>
          <t>Go live on T</t>
        </is>
      </c>
      <c r="D26" s="12" t="n">
        <v>6</v>
      </c>
      <c r="E26" s="12" t="inlineStr">
        <is>
          <t>Legacy control accounts equal their sub-ledgers (ACSL, context LEGACY) - 0.00</t>
        </is>
      </c>
      <c r="F26" s="12" t="n"/>
      <c r="G26" s="12" t="n"/>
      <c r="H26" s="12" t="n"/>
      <c r="I26" s="12" t="n"/>
      <c r="J26" s="12" t="n"/>
      <c r="K26" s="25" t="n"/>
    </row>
    <row r="27">
      <c r="A27" s="12" t="inlineStr">
        <is>
          <t>GNG-3</t>
        </is>
      </c>
      <c r="B27" s="12" t="inlineStr">
        <is>
          <t>T-1 18:00</t>
        </is>
      </c>
      <c r="C27" s="12" t="inlineStr">
        <is>
          <t>Go live on T</t>
        </is>
      </c>
      <c r="D27" s="12" t="n">
        <v>7</v>
      </c>
      <c r="E27" s="12" t="inlineStr">
        <is>
          <t>Client review queue empty; screening run complete</t>
        </is>
      </c>
      <c r="F27" s="12" t="n"/>
      <c r="G27" s="12" t="n"/>
      <c r="H27" s="12" t="n"/>
      <c r="I27" s="12" t="n"/>
      <c r="J27" s="12" t="n"/>
      <c r="K27" s="25" t="n"/>
    </row>
    <row r="28">
      <c r="A28" s="12" t="inlineStr">
        <is>
          <t>GNG-3</t>
        </is>
      </c>
      <c r="B28" s="12" t="inlineStr">
        <is>
          <t>T-1 18:00</t>
        </is>
      </c>
      <c r="C28" s="12" t="inlineStr">
        <is>
          <t>Go live on T</t>
        </is>
      </c>
      <c r="D28" s="12" t="n">
        <v>8</v>
      </c>
      <c r="E28" s="12" t="inlineStr">
        <is>
          <t>Business smoke test passed</t>
        </is>
      </c>
      <c r="F28" s="12" t="n"/>
      <c r="G28" s="12" t="n"/>
      <c r="H28" s="12" t="n"/>
      <c r="I28" s="12" t="n"/>
      <c r="J28" s="12" t="n"/>
      <c r="K28" s="25" t="n"/>
    </row>
    <row r="29">
      <c r="A29" s="12" t="inlineStr">
        <is>
          <t>GNG-3</t>
        </is>
      </c>
      <c r="B29" s="12" t="inlineStr">
        <is>
          <t>T-1 18:00</t>
        </is>
      </c>
      <c r="C29" s="12" t="inlineStr">
        <is>
          <t>Go live on T</t>
        </is>
      </c>
      <c r="D29" s="12" t="n">
        <v>9</v>
      </c>
      <c r="E29" s="12" t="inlineStr">
        <is>
          <t>Rollback point (snapshot) taken and verified</t>
        </is>
      </c>
      <c r="F29" s="12" t="n"/>
      <c r="G29" s="12" t="n"/>
      <c r="H29" s="12" t="n"/>
      <c r="I29" s="12" t="n"/>
      <c r="J29" s="12" t="n"/>
      <c r="K29" s="25" t="n"/>
    </row>
    <row r="30">
      <c r="A30" s="12" t="inlineStr">
        <is>
          <t>GNG-3</t>
        </is>
      </c>
      <c r="B30" s="12" t="inlineStr">
        <is>
          <t>T-1 18:00</t>
        </is>
      </c>
      <c r="C30" s="12" t="inlineStr">
        <is>
          <t>Go live on T</t>
        </is>
      </c>
      <c r="D30" s="12" t="n">
        <v>10</v>
      </c>
      <c r="E30" s="12" t="inlineStr">
        <is>
          <t>Hypercare roster and support channels in place</t>
        </is>
      </c>
      <c r="F30" s="12" t="n"/>
      <c r="G30" s="12" t="n"/>
      <c r="H30" s="12" t="n"/>
      <c r="I30" s="12" t="n"/>
      <c r="J30" s="12" t="n"/>
      <c r="K30" s="25" t="n"/>
    </row>
    <row r="31">
      <c r="A31" s="12" t="inlineStr">
        <is>
          <t>GNG-3</t>
        </is>
      </c>
      <c r="B31" s="12" t="inlineStr">
        <is>
          <t>T-1 18:00</t>
        </is>
      </c>
      <c r="C31" s="12" t="inlineStr">
        <is>
          <t>Go live on T</t>
        </is>
      </c>
      <c r="D31" s="12" t="n">
        <v>11</v>
      </c>
      <c r="E31" s="12" t="inlineStr">
        <is>
          <t>Preliminary December TB signed as the provisional opening; legacy GL restricted to the named FY2027 adjustment users</t>
        </is>
      </c>
      <c r="F31" s="12" t="n"/>
      <c r="G31" s="12" t="n"/>
      <c r="H31" s="12" t="n"/>
      <c r="I31" s="12" t="n"/>
      <c r="J31" s="12" t="n"/>
      <c r="K31" s="25" t="n"/>
    </row>
    <row r="32">
      <c r="A32" s="12" t="inlineStr">
        <is>
          <t>GNG-3</t>
        </is>
      </c>
      <c r="B32" s="12" t="inlineStr">
        <is>
          <t>T-1 18:00</t>
        </is>
      </c>
      <c r="C32" s="12" t="inlineStr">
        <is>
          <t>Go live on T</t>
        </is>
      </c>
      <c r="D32" s="12" t="n">
        <v>12</v>
      </c>
      <c r="E32" s="12" t="inlineStr">
        <is>
          <t>Headers of every expiry to 31 May 2028 loaded; RA-sent file loaded; Renewal January staffing plan confirmed</t>
        </is>
      </c>
      <c r="F32" s="12" t="n"/>
      <c r="G32" s="12" t="n"/>
      <c r="H32" s="12" t="n"/>
      <c r="I32" s="12" t="n"/>
      <c r="J32" s="12" t="n"/>
      <c r="K32" s="25" t="n"/>
    </row>
    <row r="33">
      <c r="A33" s="12" t="inlineStr">
        <is>
          <t>POINT OF NO RETURN</t>
        </is>
      </c>
      <c r="B33" s="12" t="inlineStr">
        <is>
          <t>T 18:00</t>
        </is>
      </c>
      <c r="C33" s="12" t="inlineStr">
        <is>
          <t>Continue in BIBS; fallback to legacy no longer offered (DMQ32)</t>
        </is>
      </c>
      <c r="D33" s="12" t="n">
        <v>1</v>
      </c>
      <c r="E33" s="12" t="inlineStr">
        <is>
          <t>No Critical issue that stops receipts, payment application, remittance or booking</t>
        </is>
      </c>
      <c r="F33" s="12" t="n"/>
      <c r="G33" s="12" t="n"/>
      <c r="H33" s="12" t="n"/>
      <c r="I33" s="12" t="n"/>
      <c r="J33" s="12" t="n"/>
      <c r="K33" s="25" t="n"/>
    </row>
    <row r="34">
      <c r="A34" s="12" t="inlineStr">
        <is>
          <t>POINT OF NO RETURN</t>
        </is>
      </c>
      <c r="B34" s="12" t="inlineStr">
        <is>
          <t>T 18:00</t>
        </is>
      </c>
      <c r="C34" s="12" t="inlineStr">
        <is>
          <t>Continue in BIBS; fallback to legacy no longer offered (DMQ32)</t>
        </is>
      </c>
      <c r="D34" s="12" t="n">
        <v>2</v>
      </c>
      <c r="E34" s="12" t="inlineStr">
        <is>
          <t>Migration Clearing still 0.00; no posting in legacy since the freeze</t>
        </is>
      </c>
      <c r="F34" s="12" t="n"/>
      <c r="G34" s="12" t="n"/>
      <c r="H34" s="12" t="n"/>
      <c r="I34" s="12" t="n"/>
      <c r="J34" s="12" t="n"/>
      <c r="K34" s="25" t="n"/>
    </row>
    <row r="35">
      <c r="A35" s="12" t="inlineStr">
        <is>
          <t>POINT OF NO RETURN</t>
        </is>
      </c>
      <c r="B35" s="12" t="inlineStr">
        <is>
          <t>T 18:00</t>
        </is>
      </c>
      <c r="C35" s="12" t="inlineStr">
        <is>
          <t>Continue in BIBS; fallback to legacy no longer offered (DMQ32)</t>
        </is>
      </c>
      <c r="D35" s="12" t="n">
        <v>3</v>
      </c>
      <c r="E35" s="12" t="inlineStr">
        <is>
          <t>Every branch has transacted in BIBS</t>
        </is>
      </c>
      <c r="F35" s="12" t="n"/>
      <c r="G35" s="12" t="n"/>
      <c r="H35" s="12" t="n"/>
      <c r="I35" s="12" t="n"/>
      <c r="J35" s="12" t="n"/>
      <c r="K35" s="25" t="n"/>
    </row>
    <row r="36">
      <c r="A36" s="12" t="inlineStr">
        <is>
          <t>TRUE-UP CLOSED</t>
        </is>
      </c>
      <c r="B36" s="12" t="inlineStr">
        <is>
          <t>T+120</t>
        </is>
      </c>
      <c r="C36" s="12" t="inlineStr">
        <is>
          <t>Close the FY2027 true-ups</t>
        </is>
      </c>
      <c r="D36" s="12" t="n">
        <v>1</v>
      </c>
      <c r="E36" s="12" t="inlineStr">
        <is>
          <t>Final true-up reconciled to the audited FY2027 TB and signed by the Head of Comptrollership</t>
        </is>
      </c>
      <c r="F36" s="12" t="n"/>
      <c r="G36" s="12" t="n"/>
      <c r="H36" s="12" t="n"/>
      <c r="I36" s="12" t="n"/>
      <c r="J36" s="12" t="n"/>
      <c r="K36" s="25" t="n"/>
    </row>
    <row r="37">
      <c r="A37" s="12" t="inlineStr">
        <is>
          <t>TRUE-UP CLOSED</t>
        </is>
      </c>
      <c r="B37" s="12" t="inlineStr">
        <is>
          <t>T+120</t>
        </is>
      </c>
      <c r="C37" s="12" t="inlineStr">
        <is>
          <t>Close the FY2027 true-ups</t>
        </is>
      </c>
      <c r="D37" s="12" t="n">
        <v>2</v>
      </c>
      <c r="E37" s="12" t="inlineStr">
        <is>
          <t>Legacy GL locked for all users; FY2027 adjustment register closed</t>
        </is>
      </c>
      <c r="F37" s="12" t="n"/>
      <c r="G37" s="12" t="n"/>
      <c r="H37" s="12" t="n"/>
      <c r="I37" s="12" t="n"/>
      <c r="J37" s="12" t="n"/>
      <c r="K37" s="25" t="n"/>
    </row>
    <row r="38">
      <c r="A38" s="12" t="inlineStr">
        <is>
          <t>TRUE-UP CLOSED</t>
        </is>
      </c>
      <c r="B38" s="12" t="inlineStr">
        <is>
          <t>T+120</t>
        </is>
      </c>
      <c r="C38" s="12" t="inlineStr">
        <is>
          <t>Close the FY2027 true-ups</t>
        </is>
      </c>
      <c r="D38" s="12" t="n">
        <v>3</v>
      </c>
      <c r="E38" s="12" t="inlineStr">
        <is>
          <t>Migration Clearing 0.00 and legacy control accounts equal their sub-ledgers after the final true-up</t>
        </is>
      </c>
      <c r="F38" s="12" t="n"/>
      <c r="G38" s="12" t="n"/>
      <c r="H38" s="12" t="n"/>
      <c r="I38" s="12" t="n"/>
      <c r="J38" s="12" t="n"/>
      <c r="K38" s="25" t="n"/>
    </row>
    <row r="39">
      <c r="A39" s="12" t="inlineStr">
        <is>
          <t>TRUE-UP CLOSED</t>
        </is>
      </c>
      <c r="B39" s="12" t="inlineStr">
        <is>
          <t>T+120</t>
        </is>
      </c>
      <c r="C39" s="12" t="inlineStr">
        <is>
          <t>Close the FY2027 true-ups</t>
        </is>
      </c>
      <c r="D39" s="12" t="n">
        <v>4</v>
      </c>
      <c r="E39" s="12" t="inlineStr">
        <is>
          <t>Opening journals no longer marked PROVISIONAL</t>
        </is>
      </c>
      <c r="F39" s="12" t="n"/>
      <c r="G39" s="12" t="n"/>
      <c r="H39" s="12" t="n"/>
      <c r="I39" s="12" t="n"/>
      <c r="J39" s="12" t="n"/>
      <c r="K39" s="25" t="n"/>
    </row>
  </sheetData>
  <autoFilter ref="A4:K39"/>
  <mergeCells count="1">
    <mergeCell ref="A2:K2"/>
  </mergeCells>
  <conditionalFormatting sqref="A5:K539">
    <cfRule type="expression" priority="1" dxfId="0">
      <formula>AND(MOD(ROW(),2)=0,$A5&lt;&gt;"")</formula>
    </cfRule>
  </conditionalFormatting>
  <dataValidations count="3">
    <dataValidation sqref="G5:G539" showDropDown="0" showInputMessage="0" showErrorMessage="1" allowBlank="1" errorTitle="Met" error="Choose a value from the list (Met)." type="list">
      <formula1>'_lists'!$O$1:$O$2</formula1>
    </dataValidation>
    <dataValidation sqref="H5:H539" showDropDown="0" showInputMessage="0" showErrorMessage="1" allowBlank="1" errorTitle="BU review" error="Choose a value from the list (BU review)." type="list">
      <formula1>'_lists'!$P$1:$P$3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1.xml><?xml version="1.0" encoding="utf-8"?>
<worksheet xmlns="http://schemas.openxmlformats.org/spreadsheetml/2006/main">
  <sheetPr>
    <outlinePr summaryBelow="1" summaryRight="1"/>
    <pageSetUpPr fitToPage="1"/>
  </sheetPr>
  <dimension ref="A1:I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2" customWidth="1" min="3" max="3"/>
    <col width="50" customWidth="1" min="4" max="4"/>
    <col width="46" customWidth="1" min="5" max="5"/>
    <col width="16" customWidth="1" min="6" max="6"/>
    <col width="40" customWidth="1" min="7" max="7"/>
    <col width="18" customWidth="1" min="8" max="8"/>
    <col width="13" customWidth="1" min="9" max="9"/>
  </cols>
  <sheetData>
    <row r="1" ht="24" customHeight="1">
      <c r="A1" s="19" t="inlineStr">
        <is>
          <t>Freeze windows</t>
        </is>
      </c>
    </row>
    <row r="2">
      <c r="A2" s="22" t="inlineStr">
        <is>
          <t>Freeze windows of the legacy systems and of BIBS</t>
        </is>
      </c>
    </row>
    <row r="3" ht="6" customHeight="1">
      <c r="A3" s="23" t="n"/>
      <c r="B3" s="23" t="n"/>
      <c r="C3" s="23" t="n"/>
      <c r="D3" s="23" t="n"/>
      <c r="E3" s="23" t="n"/>
      <c r="F3" s="23" t="n"/>
      <c r="G3" s="23" t="n"/>
      <c r="H3" s="23" t="n"/>
      <c r="I3" s="23" t="n"/>
    </row>
    <row r="4" ht="30" customHeight="1">
      <c r="A4" s="24" t="inlineStr">
        <is>
          <t>Freeze</t>
        </is>
      </c>
      <c r="B4" s="24" t="inlineStr">
        <is>
          <t>From</t>
        </is>
      </c>
      <c r="C4" s="24" t="inlineStr">
        <is>
          <t>Until</t>
        </is>
      </c>
      <c r="D4" s="24" t="inlineStr">
        <is>
          <t>Scope</t>
        </is>
      </c>
      <c r="E4" s="24" t="inlineStr">
        <is>
          <t>Exception route</t>
        </is>
      </c>
      <c r="F4" s="24" t="inlineStr">
        <is>
          <t>BU review</t>
        </is>
      </c>
      <c r="G4" s="24" t="inlineStr">
        <is>
          <t>BU comment</t>
        </is>
      </c>
      <c r="H4" s="24" t="inlineStr">
        <is>
          <t>Reviewer</t>
        </is>
      </c>
      <c r="I4" s="24" t="inlineStr">
        <is>
          <t>Review date</t>
        </is>
      </c>
    </row>
    <row r="5">
      <c r="A5" s="12" t="inlineStr">
        <is>
          <t>Reference data</t>
        </is>
      </c>
      <c r="B5" s="12" t="inlineStr">
        <is>
          <t>T-7 (map freeze)</t>
        </is>
      </c>
      <c r="C5" s="12" t="inlineStr">
        <is>
          <t>Go-live</t>
        </is>
      </c>
      <c r="D5" s="12" t="inlineStr">
        <is>
          <t>Insurers, products, risk codes, packages, AOs, branches, LOVs in EBIX and QPS</t>
        </is>
      </c>
      <c r="E5" s="12" t="inlineStr">
        <is>
          <t>Change request approved by the data owner; new code map version; delta load of R objects</t>
        </is>
      </c>
      <c r="F5" s="12" t="n"/>
      <c r="G5" s="12" t="n"/>
      <c r="H5" s="12" t="n"/>
      <c r="I5" s="25" t="n"/>
    </row>
    <row r="6">
      <c r="A6" s="12" t="inlineStr">
        <is>
          <t>Client master</t>
        </is>
      </c>
      <c r="B6" s="12" t="inlineStr">
        <is>
          <t>T-3 22:00 (last delta)</t>
        </is>
      </c>
      <c r="C6" s="12" t="inlineStr">
        <is>
          <t>Go-live</t>
        </is>
      </c>
      <c r="D6" s="12" t="inlineStr">
        <is>
          <t>New and changed clients in QPS / EBIX / CMS</t>
        </is>
      </c>
      <c r="E6" s="12" t="inlineStr">
        <is>
          <t>None after the freeze; changes keyed in BIBS after go-live</t>
        </is>
      </c>
      <c r="F6" s="12" t="n"/>
      <c r="G6" s="12" t="n"/>
      <c r="H6" s="12" t="n"/>
      <c r="I6" s="25" t="n"/>
    </row>
    <row r="7">
      <c r="A7" s="12" t="inlineStr">
        <is>
          <t>Business transactions</t>
        </is>
      </c>
      <c r="B7" s="12" t="inlineStr">
        <is>
          <t>T-3 22:00 (after the last legacy EOD)</t>
        </is>
      </c>
      <c r="C7" s="12" t="inlineStr">
        <is>
          <t>Go-live</t>
        </is>
      </c>
      <c r="D7" s="12" t="inlineStr">
        <is>
          <t>All postings of the business modules of EBIX, QPS, CMS - bookings, receipts, UPP, dispositions, remittances, endorsements; GL journals other than the FY2027 adjustments</t>
        </is>
      </c>
      <c r="E7" s="12" t="inlineStr">
        <is>
          <t>None; an urgent item is recorded on paper and keyed in BIBS on T</t>
        </is>
      </c>
      <c r="F7" s="12" t="n"/>
      <c r="G7" s="12" t="n"/>
      <c r="H7" s="12" t="n"/>
      <c r="I7" s="25" t="n"/>
    </row>
    <row r="8">
      <c r="A8" s="12" t="inlineStr">
        <is>
          <t>Legacy GL (FY2027 adjustments)</t>
        </is>
      </c>
      <c r="B8" s="12" t="inlineStr">
        <is>
          <t>T-3 22:00</t>
        </is>
      </c>
      <c r="C8" s="12" t="inlineStr">
        <is>
          <t>Legacy GL lock (T+106)</t>
        </is>
      </c>
      <c r="D8" s="12" t="inlineStr">
        <is>
          <t>Only FY2027 closing and audit adjustments, by the Comptrollership users on the signed access list; FY2028 periods never opened in legacy; no new business</t>
        </is>
      </c>
      <c r="E8" s="12" t="inlineStr">
        <is>
          <t>Each journal in the FY2027 adjustment register; it reaches BIBS in the next true-up</t>
        </is>
      </c>
      <c r="F8" s="12" t="n"/>
      <c r="G8" s="12" t="n"/>
      <c r="H8" s="12" t="n"/>
      <c r="I8" s="25" t="n"/>
    </row>
    <row r="9">
      <c r="A9" s="12" t="inlineStr">
        <is>
          <t>BIBS configuration</t>
        </is>
      </c>
      <c r="B9" s="12" t="inlineStr">
        <is>
          <t>T-2 00:00</t>
        </is>
      </c>
      <c r="C9" s="12" t="inlineStr">
        <is>
          <t>T+3</t>
        </is>
      </c>
      <c r="D9" s="12" t="inlineStr">
        <is>
          <t>Parameters, accounting rules, code maps, workflows in production</t>
        </is>
      </c>
      <c r="E9" s="12" t="inlineStr">
        <is>
          <t>Emergency change approved by the go / no-go board</t>
        </is>
      </c>
      <c r="F9" s="12" t="n"/>
      <c r="G9" s="12" t="n"/>
      <c r="H9" s="12" t="n"/>
      <c r="I9" s="25" t="n"/>
    </row>
    <row r="10">
      <c r="A10" s="12" t="inlineStr">
        <is>
          <t>BIBS releases</t>
        </is>
      </c>
      <c r="B10" s="12" t="inlineStr">
        <is>
          <t>T-7</t>
        </is>
      </c>
      <c r="C10" s="12" t="inlineStr">
        <is>
          <t>T+14</t>
        </is>
      </c>
      <c r="D10" s="12" t="inlineStr">
        <is>
          <t>Deployments to production</t>
        </is>
      </c>
      <c r="E10" s="12" t="inlineStr">
        <is>
          <t>Hotfix of a Critical issue approved by the go / no-go board</t>
        </is>
      </c>
      <c r="F10" s="12" t="n"/>
      <c r="G10" s="12" t="n"/>
      <c r="H10" s="12" t="n"/>
      <c r="I10" s="25" t="n"/>
    </row>
  </sheetData>
  <autoFilter ref="A4:I10"/>
  <mergeCells count="1">
    <mergeCell ref="A2:I2"/>
  </mergeCells>
  <conditionalFormatting sqref="A5:I510">
    <cfRule type="expression" priority="1" dxfId="0">
      <formula>AND(MOD(ROW(),2)=0,$A5&lt;&gt;"")</formula>
    </cfRule>
  </conditionalFormatting>
  <dataValidations count="2">
    <dataValidation sqref="F5:F510" showDropDown="0" showInputMessage="0" showErrorMessage="1" allowBlank="1" errorTitle="BU review" error="Choose a value from the list (BU review)." type="list">
      <formula1>'_lists'!$Q$1:$Q$3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2.xml><?xml version="1.0" encoding="utf-8"?>
<worksheet xmlns="http://schemas.openxmlformats.org/spreadsheetml/2006/main">
  <sheetPr>
    <outlinePr summaryBelow="1" summaryRight="1"/>
    <pageSetUpPr fitToPage="1"/>
  </sheetPr>
  <dimension ref="A1:I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90" customWidth="1" min="3" max="3"/>
    <col width="8" customWidth="1" min="4" max="4"/>
    <col width="14" customWidth="1" min="5" max="5"/>
    <col width="16" customWidth="1" min="6" max="6"/>
    <col width="40" customWidth="1" min="7" max="7"/>
    <col width="18" customWidth="1" min="8" max="8"/>
    <col width="13" customWidth="1" min="9" max="9"/>
  </cols>
  <sheetData>
    <row r="1" ht="24" customHeight="1">
      <c r="A1" s="19" t="inlineStr">
        <is>
          <t>Rollback</t>
        </is>
      </c>
    </row>
    <row r="2">
      <c r="A2" s="22" t="inlineStr">
        <is>
          <t>Rollback procedure (only on NO-GO, before the point of no return)</t>
        </is>
      </c>
    </row>
    <row r="3" ht="6" customHeight="1">
      <c r="A3" s="23" t="n"/>
      <c r="B3" s="23" t="n"/>
      <c r="C3" s="23" t="n"/>
      <c r="D3" s="23" t="n"/>
      <c r="E3" s="23" t="n"/>
      <c r="F3" s="23" t="n"/>
      <c r="G3" s="23" t="n"/>
      <c r="H3" s="23" t="n"/>
      <c r="I3" s="23" t="n"/>
    </row>
    <row r="4" ht="30" customHeight="1">
      <c r="A4" s="24" t="inlineStr">
        <is>
          <t>Step</t>
        </is>
      </c>
      <c r="B4" s="24" t="inlineStr">
        <is>
          <t>Name</t>
        </is>
      </c>
      <c r="C4" s="24" t="inlineStr">
        <is>
          <t>Action</t>
        </is>
      </c>
      <c r="D4" s="24" t="inlineStr">
        <is>
          <t>Owner</t>
        </is>
      </c>
      <c r="E4" s="24" t="inlineStr">
        <is>
          <t>Done at</t>
        </is>
      </c>
      <c r="F4" s="24" t="inlineStr">
        <is>
          <t>BU review</t>
        </is>
      </c>
      <c r="G4" s="24" t="inlineStr">
        <is>
          <t>BU comment</t>
        </is>
      </c>
      <c r="H4" s="24" t="inlineStr">
        <is>
          <t>Reviewer</t>
        </is>
      </c>
      <c r="I4" s="24" t="inlineStr">
        <is>
          <t>Review date</t>
        </is>
      </c>
    </row>
    <row r="5">
      <c r="A5" s="12" t="inlineStr">
        <is>
          <t>RB-1</t>
        </is>
      </c>
      <c r="B5" s="12" t="inlineStr">
        <is>
          <t>Stop</t>
        </is>
      </c>
      <c r="C5" s="12" t="inlineStr">
        <is>
          <t>The go / no-go board records NO-GO (or a failure before T 18:00 that the board judges unrecoverable). The Program Manager announces the rollback on the bridge.</t>
        </is>
      </c>
      <c r="D5" s="12" t="inlineStr">
        <is>
          <t>GNG</t>
        </is>
      </c>
      <c r="E5" s="12" t="n"/>
      <c r="F5" s="12" t="n"/>
      <c r="G5" s="12" t="n"/>
      <c r="H5" s="12" t="n"/>
      <c r="I5" s="25" t="n"/>
    </row>
    <row r="6">
      <c r="A6" s="12" t="inlineStr">
        <is>
          <t>RB-2</t>
        </is>
      </c>
      <c r="B6" s="12" t="inlineStr">
        <is>
          <t>Lock BIBS</t>
        </is>
      </c>
      <c r="C6" s="12" t="inlineStr">
        <is>
          <t>Disable business logins to BIBS; stop the scheduled jobs (payment automatch, payment file uploads, Renewal extraction, e-mail dispatch).</t>
        </is>
      </c>
      <c r="D6" s="12" t="inlineStr">
        <is>
          <t>IDO</t>
        </is>
      </c>
      <c r="E6" s="12" t="n"/>
      <c r="F6" s="12" t="n"/>
      <c r="G6" s="12" t="n"/>
      <c r="H6" s="12" t="n"/>
      <c r="I6" s="25" t="n"/>
    </row>
    <row r="7">
      <c r="A7" s="12" t="inlineStr">
        <is>
          <t>RB-3</t>
        </is>
      </c>
      <c r="B7" s="12" t="inlineStr">
        <is>
          <t>Capture</t>
        </is>
      </c>
      <c r="C7" s="12" t="inlineStr">
        <is>
          <t>If business transactions were keyed in BIBS after 08:00 on T, export them (receipts, applications, bookings) with the Cutover Runbook Status report and the Operations reports for re-keying in legacy.</t>
        </is>
      </c>
      <c r="D7" s="12" t="inlineStr">
        <is>
          <t>IML</t>
        </is>
      </c>
      <c r="E7" s="12" t="n"/>
      <c r="F7" s="12" t="n"/>
      <c r="G7" s="12" t="n"/>
      <c r="H7" s="12" t="n"/>
      <c r="I7" s="25" t="n"/>
    </row>
    <row r="8">
      <c r="A8" s="12" t="inlineStr">
        <is>
          <t>RB-4</t>
        </is>
      </c>
      <c r="B8" s="12" t="inlineStr">
        <is>
          <t>Restore</t>
        </is>
      </c>
      <c r="C8" s="12" t="inlineStr">
        <is>
          <t>Restore production to the rollback-point backup (CT-040); restore the stored attachments of the same time; verify the restore (record counts of the key records, application start).</t>
        </is>
      </c>
      <c r="D8" s="12" t="inlineStr">
        <is>
          <t>IDO</t>
        </is>
      </c>
      <c r="E8" s="12" t="n"/>
      <c r="F8" s="12" t="n"/>
      <c r="G8" s="12" t="n"/>
      <c r="H8" s="12" t="n"/>
      <c r="I8" s="25" t="n"/>
    </row>
    <row r="9">
      <c r="A9" s="12" t="inlineStr">
        <is>
          <t>RB-5</t>
        </is>
      </c>
      <c r="B9" s="12" t="inlineStr">
        <is>
          <t>Reopen legacy</t>
        </is>
      </c>
      <c r="C9" s="12" t="inlineStr">
        <is>
          <t>Set EBIX, QPS and CMS back to read-write; lift the GL restriction; re-enable the legacy batch jobs; confirm the last legacy EOD is intact.</t>
        </is>
      </c>
      <c r="D9" s="12" t="inlineStr">
        <is>
          <t>BIT</t>
        </is>
      </c>
      <c r="E9" s="12" t="n"/>
      <c r="F9" s="12" t="n"/>
      <c r="G9" s="12" t="n"/>
      <c r="H9" s="12" t="n"/>
      <c r="I9" s="25" t="n"/>
    </row>
    <row r="10">
      <c r="A10" s="12" t="inlineStr">
        <is>
          <t>RB-6</t>
        </is>
      </c>
      <c r="B10" s="12" t="inlineStr">
        <is>
          <t>Re-key</t>
        </is>
      </c>
      <c r="C10" s="12" t="inlineStr">
        <is>
          <t>Operations re-keys in legacy the transactions captured in RB-3, with the BIBS AR numbers voided in the receipt register.</t>
        </is>
      </c>
      <c r="D10" s="12" t="inlineStr">
        <is>
          <t>OPS</t>
        </is>
      </c>
      <c r="E10" s="12" t="n"/>
      <c r="F10" s="12" t="n"/>
      <c r="G10" s="12" t="n"/>
      <c r="H10" s="12" t="n"/>
      <c r="I10" s="25" t="n"/>
    </row>
    <row r="11">
      <c r="A11" s="12" t="inlineStr">
        <is>
          <t>RB-7</t>
        </is>
      </c>
      <c r="B11" s="12" t="inlineStr">
        <is>
          <t>Communicate</t>
        </is>
      </c>
      <c r="C11" s="12" t="inlineStr">
        <is>
          <t>Send the rollback notice to users, branches, insurers and bank channels (communication plan item 7).</t>
        </is>
      </c>
      <c r="D11" s="12" t="inlineStr">
        <is>
          <t>PM</t>
        </is>
      </c>
      <c r="E11" s="12" t="n"/>
      <c r="F11" s="12" t="n"/>
      <c r="G11" s="12" t="n"/>
      <c r="H11" s="12" t="n"/>
      <c r="I11" s="25" t="n"/>
    </row>
    <row r="12">
      <c r="A12" s="12" t="inlineStr">
        <is>
          <t>RB-8</t>
        </is>
      </c>
      <c r="B12" s="12" t="inlineStr">
        <is>
          <t>Review</t>
        </is>
      </c>
      <c r="C12" s="12" t="inlineStr">
        <is>
          <t>Within 2 business days - root cause, new go-live date, which trial migrations to repeat; purge the production staging of the failed cutover within 5 days.</t>
        </is>
      </c>
      <c r="D12" s="12" t="inlineStr">
        <is>
          <t>PM</t>
        </is>
      </c>
      <c r="E12" s="12" t="n"/>
      <c r="F12" s="12" t="n"/>
      <c r="G12" s="12" t="n"/>
      <c r="H12" s="12" t="n"/>
      <c r="I12" s="25" t="n"/>
    </row>
  </sheetData>
  <autoFilter ref="A4:I12"/>
  <mergeCells count="1">
    <mergeCell ref="A2:I2"/>
  </mergeCells>
  <conditionalFormatting sqref="A5:I512">
    <cfRule type="expression" priority="1" dxfId="0">
      <formula>AND(MOD(ROW(),2)=0,$A5&lt;&gt;"")</formula>
    </cfRule>
  </conditionalFormatting>
  <dataValidations count="2">
    <dataValidation sqref="F5:F512" showDropDown="0" showInputMessage="0" showErrorMessage="1" allowBlank="1" errorTitle="BU review" error="Choose a value from the list (BU review)." type="list">
      <formula1>'_lists'!$R$1:$R$3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3.xml><?xml version="1.0" encoding="utf-8"?>
<worksheet xmlns="http://schemas.openxmlformats.org/spreadsheetml/2006/main">
  <sheetPr>
    <outlinePr summaryBelow="1" summaryRight="1"/>
    <pageSetUpPr fitToPage="1"/>
  </sheetPr>
  <dimension ref="A1:G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34" customWidth="1" min="3" max="3"/>
    <col width="26" customWidth="1" min="4" max="4"/>
    <col width="12" customWidth="1" min="5" max="5"/>
    <col width="8" customWidth="1" min="6" max="6"/>
    <col width="14" customWidth="1" min="7" max="7"/>
  </cols>
  <sheetData>
    <row r="1" ht="24" customHeight="1">
      <c r="A1" s="19" t="inlineStr">
        <is>
          <t>Communication</t>
        </is>
      </c>
    </row>
    <row r="2">
      <c r="A2" s="22" t="inlineStr">
        <is>
          <t>Communication plan of the cut-over</t>
        </is>
      </c>
    </row>
    <row r="3" ht="6" customHeight="1">
      <c r="A3" s="23" t="n"/>
      <c r="B3" s="23" t="n"/>
      <c r="C3" s="23" t="n"/>
      <c r="D3" s="23" t="n"/>
      <c r="E3" s="23" t="n"/>
      <c r="F3" s="23" t="n"/>
      <c r="G3" s="23" t="n"/>
    </row>
    <row r="4" ht="30" customHeight="1">
      <c r="A4" s="24" t="inlineStr">
        <is>
          <t>No.</t>
        </is>
      </c>
      <c r="B4" s="24" t="inlineStr">
        <is>
          <t>Message</t>
        </is>
      </c>
      <c r="C4" s="24" t="inlineStr">
        <is>
          <t>Audience</t>
        </is>
      </c>
      <c r="D4" s="24" t="inlineStr">
        <is>
          <t>Channel</t>
        </is>
      </c>
      <c r="E4" s="24" t="inlineStr">
        <is>
          <t>When</t>
        </is>
      </c>
      <c r="F4" s="24" t="inlineStr">
        <is>
          <t>Owner</t>
        </is>
      </c>
      <c r="G4" s="24" t="inlineStr">
        <is>
          <t>Sent on</t>
        </is>
      </c>
    </row>
    <row r="5">
      <c r="A5" s="12" t="n">
        <v>1</v>
      </c>
      <c r="B5" s="12" t="inlineStr">
        <is>
          <t>Go-live date, freeze and what changes for each department</t>
        </is>
      </c>
      <c r="C5" s="12" t="inlineStr">
        <is>
          <t>All BDOI users, branch heads</t>
        </is>
      </c>
      <c r="D5" s="12" t="inlineStr">
        <is>
          <t>E-mail from the Program Manager; team briefings</t>
        </is>
      </c>
      <c r="E5" s="12" t="inlineStr">
        <is>
          <t>T-21</t>
        </is>
      </c>
      <c r="F5" s="12" t="inlineStr">
        <is>
          <t>PM</t>
        </is>
      </c>
      <c r="G5" s="12" t="n"/>
    </row>
    <row r="6">
      <c r="A6" s="12" t="n">
        <v>2</v>
      </c>
      <c r="B6" s="12" t="inlineStr">
        <is>
          <t>Payments after go-live - legacy invoice numbers stay valid; new invoices are BI- numbers</t>
        </is>
      </c>
      <c r="C6" s="12" t="inlineStr">
        <is>
          <t>Insurers, BDO bank channels (bills payment, CLPC, direct credit), corporate clients</t>
        </is>
      </c>
      <c r="D6" s="12" t="inlineStr">
        <is>
          <t>Letter / e-mail from Operations</t>
        </is>
      </c>
      <c r="E6" s="12" t="inlineStr">
        <is>
          <t>T-21</t>
        </is>
      </c>
      <c r="F6" s="12" t="inlineStr">
        <is>
          <t>OPS</t>
        </is>
      </c>
      <c r="G6" s="12" t="n"/>
    </row>
    <row r="7">
      <c r="A7" s="12" t="n">
        <v>3</v>
      </c>
      <c r="B7" s="12" t="inlineStr">
        <is>
          <t>Freeze of reference data and the change request route</t>
        </is>
      </c>
      <c r="C7" s="12" t="inlineStr">
        <is>
          <t>Product, Marketing and Operations maintainers</t>
        </is>
      </c>
      <c r="D7" s="12" t="inlineStr">
        <is>
          <t>E-mail from the Data Migration Lead</t>
        </is>
      </c>
      <c r="E7" s="12" t="inlineStr">
        <is>
          <t>T-8</t>
        </is>
      </c>
      <c r="F7" s="12" t="inlineStr">
        <is>
          <t>DML</t>
        </is>
      </c>
      <c r="G7" s="12" t="n"/>
    </row>
    <row r="8">
      <c r="A8" s="12" t="n">
        <v>4</v>
      </c>
      <c r="B8" s="12" t="inlineStr">
        <is>
          <t>Training schedule and log-in instructions</t>
        </is>
      </c>
      <c r="C8" s="12" t="inlineStr">
        <is>
          <t>All BIBS users per persona</t>
        </is>
      </c>
      <c r="D8" s="12" t="inlineStr">
        <is>
          <t>E-mail; training calendar</t>
        </is>
      </c>
      <c r="E8" s="12" t="inlineStr">
        <is>
          <t>T-20</t>
        </is>
      </c>
      <c r="F8" s="12" t="inlineStr">
        <is>
          <t>PM</t>
        </is>
      </c>
      <c r="G8" s="12" t="n"/>
    </row>
    <row r="9">
      <c r="A9" s="12" t="n">
        <v>5</v>
      </c>
      <c r="B9" s="12" t="inlineStr">
        <is>
          <t>Renewals of the January-May 2028 expiries are processed in BIBS from go-live, January expiries first; RAs already sent are not sent again; RAs sent up to 29 December go in the trackers</t>
        </is>
      </c>
      <c r="C9" s="12" t="inlineStr">
        <is>
          <t>Renewal processing team, Retail and Corporate Marketing, branches</t>
        </is>
      </c>
      <c r="D9" s="12" t="inlineStr">
        <is>
          <t>E-mail from the Head of the Renewal processing team; team briefing</t>
        </is>
      </c>
      <c r="E9" s="12" t="inlineStr">
        <is>
          <t>T-21</t>
        </is>
      </c>
      <c r="F9" s="12" t="inlineStr">
        <is>
          <t>RNW</t>
        </is>
      </c>
      <c r="G9" s="12" t="n"/>
    </row>
    <row r="10">
      <c r="A10" s="12" t="n">
        <v>6</v>
      </c>
      <c r="B10" s="12" t="inlineStr">
        <is>
          <t>Legacy GL after the freeze - FY2027 closing and audit adjustments only, by named users; true-up timetable to April 2028</t>
        </is>
      </c>
      <c r="C10" s="12" t="inlineStr">
        <is>
          <t>Comptrollership, external auditor, BDOI IT</t>
        </is>
      </c>
      <c r="D10" s="12" t="inlineStr">
        <is>
          <t>Memo from the Head of Comptrollership</t>
        </is>
      </c>
      <c r="E10" s="12" t="inlineStr">
        <is>
          <t>T-21</t>
        </is>
      </c>
      <c r="F10" s="12" t="inlineStr">
        <is>
          <t>COMP</t>
        </is>
      </c>
      <c r="G10" s="12" t="n"/>
    </row>
    <row r="11">
      <c r="A11" s="12" t="n">
        <v>7</v>
      </c>
      <c r="B11" s="12" t="inlineStr">
        <is>
          <t>Last legacy business day T-5 (29 December); legacy freeze at T-3 22:00; BIBS opens T 08:00; what to do with urgent items over the holidays</t>
        </is>
      </c>
      <c r="C11" s="12" t="inlineStr">
        <is>
          <t>All users, branches, insurers</t>
        </is>
      </c>
      <c r="D11" s="12" t="inlineStr">
        <is>
          <t>E-mail; branch notice</t>
        </is>
      </c>
      <c r="E11" s="12" t="inlineStr">
        <is>
          <t>T-5</t>
        </is>
      </c>
      <c r="F11" s="12" t="inlineStr">
        <is>
          <t>PM</t>
        </is>
      </c>
      <c r="G11" s="12" t="n"/>
    </row>
    <row r="12">
      <c r="A12" s="12" t="n">
        <v>8</v>
      </c>
      <c r="B12" s="12" t="inlineStr">
        <is>
          <t>Go-live confirmed; support channels and hypercare contacts</t>
        </is>
      </c>
      <c r="C12" s="12" t="inlineStr">
        <is>
          <t>All users</t>
        </is>
      </c>
      <c r="D12" s="12" t="inlineStr">
        <is>
          <t>E-mail; intranet</t>
        </is>
      </c>
      <c r="E12" s="12" t="inlineStr">
        <is>
          <t>T-1 19:00</t>
        </is>
      </c>
      <c r="F12" s="12" t="inlineStr">
        <is>
          <t>PM</t>
        </is>
      </c>
      <c r="G12" s="12" t="n"/>
    </row>
    <row r="13">
      <c r="A13" s="12" t="n">
        <v>9</v>
      </c>
      <c r="B13" s="12" t="inlineStr">
        <is>
          <t>Rollback notice (only if NO-GO) - legacy stays in use; next steps</t>
        </is>
      </c>
      <c r="C13" s="12" t="inlineStr">
        <is>
          <t>All users, branches, insurers, bank channels</t>
        </is>
      </c>
      <c r="D13" s="12" t="inlineStr">
        <is>
          <t>E-mail; phone tree for branch heads</t>
        </is>
      </c>
      <c r="E13" s="12" t="inlineStr">
        <is>
          <t>T-1 on NO-GO</t>
        </is>
      </c>
      <c r="F13" s="12" t="inlineStr">
        <is>
          <t>PM</t>
        </is>
      </c>
      <c r="G13" s="12" t="n"/>
    </row>
    <row r="14">
      <c r="A14" s="12" t="n">
        <v>10</v>
      </c>
      <c r="B14" s="12" t="inlineStr">
        <is>
          <t>Daily hypercare status</t>
        </is>
      </c>
      <c r="C14" s="12" t="inlineStr">
        <is>
          <t>Go / no-go board, department heads</t>
        </is>
      </c>
      <c r="D14" s="12" t="inlineStr">
        <is>
          <t>Daily report and bridge call 17:00</t>
        </is>
      </c>
      <c r="E14" s="12" t="inlineStr">
        <is>
          <t>T to hypercare exit</t>
        </is>
      </c>
      <c r="F14" s="12" t="inlineStr">
        <is>
          <t>IPM</t>
        </is>
      </c>
      <c r="G14" s="12" t="n"/>
    </row>
    <row r="15">
      <c r="A15" s="12" t="n">
        <v>11</v>
      </c>
      <c r="B15" s="12" t="inlineStr">
        <is>
          <t>Hypercare exit and hand-over to production support</t>
        </is>
      </c>
      <c r="C15" s="12" t="inlineStr">
        <is>
          <t>All users, IT</t>
        </is>
      </c>
      <c r="D15" s="12" t="inlineStr">
        <is>
          <t>E-mail</t>
        </is>
      </c>
      <c r="E15" s="12" t="inlineStr">
        <is>
          <t>At exit</t>
        </is>
      </c>
      <c r="F15" s="12" t="inlineStr">
        <is>
          <t>PM</t>
        </is>
      </c>
      <c r="G15" s="12" t="n"/>
    </row>
    <row r="16">
      <c r="A16" s="12" t="n">
        <v>12</v>
      </c>
      <c r="B16" s="12" t="inlineStr">
        <is>
          <t>True-ups closed; legacy GL locked</t>
        </is>
      </c>
      <c r="C16" s="12" t="inlineStr">
        <is>
          <t>Comptrollership, external auditor, Program Manager</t>
        </is>
      </c>
      <c r="D16" s="12" t="inlineStr">
        <is>
          <t>Memo</t>
        </is>
      </c>
      <c r="E16" s="12" t="inlineStr">
        <is>
          <t>T+120</t>
        </is>
      </c>
      <c r="F16" s="12" t="inlineStr">
        <is>
          <t>COMP</t>
        </is>
      </c>
      <c r="G16" s="12" t="n"/>
    </row>
  </sheetData>
  <autoFilter ref="A4:G16"/>
  <mergeCells count="1">
    <mergeCell ref="A2:G2"/>
  </mergeCells>
  <conditionalFormatting sqref="A5:G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4.xml><?xml version="1.0" encoding="utf-8"?>
<worksheet xmlns="http://schemas.openxmlformats.org/spreadsheetml/2006/main">
  <sheetPr>
    <outlinePr summaryBelow="1" summaryRight="1"/>
    <pageSetUpPr fitToPage="1"/>
  </sheetPr>
  <dimension ref="A1:E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36" customWidth="1" min="3" max="3"/>
    <col width="24" customWidth="1" min="4" max="4"/>
    <col width="30" customWidth="1" min="5" max="5"/>
  </cols>
  <sheetData>
    <row r="1" ht="24" customHeight="1">
      <c r="A1" s="19" t="inlineStr">
        <is>
          <t>Hypercare</t>
        </is>
      </c>
    </row>
    <row r="2">
      <c r="A2" s="22" t="inlineStr">
        <is>
          <t>Hypercare roster and exit criteria</t>
        </is>
      </c>
    </row>
    <row r="3" ht="6" customHeight="1">
      <c r="A3" s="23" t="n"/>
      <c r="B3" s="23" t="n"/>
      <c r="C3" s="23" t="n"/>
      <c r="D3" s="23" t="n"/>
      <c r="E3" s="23" t="n"/>
    </row>
    <row r="4" ht="30" customHeight="1">
      <c r="A4" s="24" t="inlineStr">
        <is>
          <t>Function</t>
        </is>
      </c>
      <c r="B4" s="24" t="inlineStr">
        <is>
          <t>Who</t>
        </is>
      </c>
      <c r="C4" s="24" t="inlineStr">
        <is>
          <t>Coverage</t>
        </is>
      </c>
      <c r="D4" s="24" t="inlineStr">
        <is>
          <t>Escalates to</t>
        </is>
      </c>
      <c r="E4" s="24" t="inlineStr">
        <is>
          <t>Names and phone (to fill)</t>
        </is>
      </c>
    </row>
    <row r="5">
      <c r="A5" s="12" t="inlineStr">
        <is>
          <t>Command centre lead</t>
        </is>
      </c>
      <c r="B5" s="12" t="inlineStr">
        <is>
          <t>iorta TechNXT Project Manager</t>
        </is>
      </c>
      <c r="C5" s="12" t="inlineStr">
        <is>
          <t>07:00-20:00 T to T+5; 08:00-18:00 after</t>
        </is>
      </c>
      <c r="D5" s="12" t="inlineStr">
        <is>
          <t>Program Manager</t>
        </is>
      </c>
      <c r="E5" s="12" t="n"/>
    </row>
    <row r="6">
      <c r="A6" s="12" t="inlineStr">
        <is>
          <t>Migration and reconciliation</t>
        </is>
      </c>
      <c r="B6" s="12" t="inlineStr">
        <is>
          <t>iorta Migration Lead; Migration Operator</t>
        </is>
      </c>
      <c r="C6" s="12" t="inlineStr">
        <is>
          <t>07:00-22:00 T to T+5; business hours after</t>
        </is>
      </c>
      <c r="D6" s="12" t="inlineStr">
        <is>
          <t>iorta Project Manager</t>
        </is>
      </c>
      <c r="E6" s="12" t="n"/>
    </row>
    <row r="7">
      <c r="A7" s="12" t="inlineStr">
        <is>
          <t>Application support (L2 / L3)</t>
        </is>
      </c>
      <c r="B7" s="12" t="inlineStr">
        <is>
          <t>iorta developers - Operations, Accounting, CRM, Renewal</t>
        </is>
      </c>
      <c r="C7" s="12" t="inlineStr">
        <is>
          <t>07:00-20:00 T to T+5; on call to 22:00</t>
        </is>
      </c>
      <c r="D7" s="12" t="inlineStr">
        <is>
          <t>iorta Project Manager</t>
        </is>
      </c>
      <c r="E7" s="12" t="n"/>
    </row>
    <row r="8">
      <c r="A8" s="12" t="inlineStr">
        <is>
          <t>Infrastructure</t>
        </is>
      </c>
      <c r="B8" s="12" t="inlineStr">
        <is>
          <t>iorta TechNXT infrastructure team</t>
        </is>
      </c>
      <c r="C8" s="12" t="inlineStr">
        <is>
          <t>24 x 7 on call T-3 to T+5; business hours after</t>
        </is>
      </c>
      <c r="D8" s="12" t="inlineStr">
        <is>
          <t>iorta Project Manager</t>
        </is>
      </c>
      <c r="E8" s="12" t="n"/>
    </row>
    <row r="9">
      <c r="A9" s="12" t="inlineStr">
        <is>
          <t>Business floor support</t>
        </is>
      </c>
      <c r="B9" s="12" t="inlineStr">
        <is>
          <t>BDOI super-users per department (Cashiering, Remittance, Collections, Accounting, Marketing)</t>
        </is>
      </c>
      <c r="C9" s="12" t="inlineStr">
        <is>
          <t>Branch hours T to T+10</t>
        </is>
      </c>
      <c r="D9" s="12" t="inlineStr">
        <is>
          <t>Data Migration Lead</t>
        </is>
      </c>
      <c r="E9" s="12" t="n"/>
    </row>
    <row r="10">
      <c r="A10" s="12" t="inlineStr">
        <is>
          <t>Comptrollership</t>
        </is>
      </c>
      <c r="B10" s="12" t="inlineStr">
        <is>
          <t>Reconciliation approver; GL lead</t>
        </is>
      </c>
      <c r="C10" s="12" t="inlineStr">
        <is>
          <t>Daily 16:00 check T to first month-end; true-ups T+15 to T+120</t>
        </is>
      </c>
      <c r="D10" s="12" t="inlineStr">
        <is>
          <t>Head, Comptrollership</t>
        </is>
      </c>
      <c r="E10" s="12" t="n"/>
    </row>
    <row r="11">
      <c r="A11" s="12" t="inlineStr">
        <is>
          <t>Renewal processing team</t>
        </is>
      </c>
      <c r="B11" s="12" t="inlineStr">
        <is>
          <t>Head of the Renewal processing team; makers and checkers</t>
        </is>
      </c>
      <c r="C11" s="12" t="inlineStr">
        <is>
          <t>08:00-20:00 T to T+10 on the day-1 queue; P03 resubmissions on T-2 and T-1</t>
        </is>
      </c>
      <c r="D11" s="12" t="inlineStr">
        <is>
          <t>Program Manager</t>
        </is>
      </c>
      <c r="E11" s="12" t="n"/>
    </row>
    <row r="12">
      <c r="A12" s="12" t="inlineStr">
        <is>
          <t>Legacy systems</t>
        </is>
      </c>
      <c r="B12" s="12" t="inlineStr">
        <is>
          <t>BDOI IT legacy administrator</t>
        </is>
      </c>
      <c r="C12" s="12" t="inlineStr">
        <is>
          <t>Business hours; on call T-3 to T+1</t>
        </is>
      </c>
      <c r="D12" s="12" t="inlineStr">
        <is>
          <t>BDOI IT head</t>
        </is>
      </c>
      <c r="E12" s="12" t="n"/>
    </row>
    <row r="13">
      <c r="A13" s="12" t="inlineStr">
        <is>
          <t>Service desk (L1)</t>
        </is>
      </c>
      <c r="B13" s="12" t="inlineStr">
        <is>
          <t>BDOI service desk</t>
        </is>
      </c>
      <c r="C13" s="12" t="inlineStr">
        <is>
          <t>Service hours</t>
        </is>
      </c>
      <c r="D13" s="12" t="inlineStr">
        <is>
          <t>BDOI IT head</t>
        </is>
      </c>
      <c r="E13" s="12" t="n"/>
    </row>
    <row r="14">
      <c r="A14" s="12" t="inlineStr">
        <is>
          <t>Exit criterion 1</t>
        </is>
      </c>
      <c r="B14" s="12" t="inlineStr">
        <is>
          <t>No open Critical or High issue; Medium issues have an agreed fix date</t>
        </is>
      </c>
      <c r="C14" s="12" t="n"/>
      <c r="D14" s="12" t="n"/>
      <c r="E14" s="12" t="n"/>
    </row>
    <row r="15">
      <c r="A15" s="12" t="inlineStr">
        <is>
          <t>Exit criterion 2</t>
        </is>
      </c>
      <c r="B15" s="12" t="inlineStr">
        <is>
          <t>Migration Clearing 0.00 and legacy control accounts equal their sub-ledgers on 10 consecutive business days</t>
        </is>
      </c>
      <c r="C15" s="12" t="n"/>
      <c r="D15" s="12" t="n"/>
      <c r="E15" s="12" t="n"/>
    </row>
    <row r="16">
      <c r="A16" s="12" t="inlineStr">
        <is>
          <t>Exit criterion 3</t>
        </is>
      </c>
      <c r="B16" s="12" t="inlineStr">
        <is>
          <t>First month-end close completed with the ACSL GL-SL reconciliation (context LEGACY) without difference</t>
        </is>
      </c>
      <c r="C16" s="12" t="n"/>
      <c r="D16" s="12" t="n"/>
      <c r="E16" s="12" t="n"/>
    </row>
    <row r="17">
      <c r="A17" s="12" t="inlineStr">
        <is>
          <t>Exit criterion 4</t>
        </is>
      </c>
      <c r="B17" s="12" t="inlineStr">
        <is>
          <t>Payment files, automatch, remittance, DPPR / PR2307 batches and endorsements on legacy invoices each processed at least once in production without incident</t>
        </is>
      </c>
      <c r="C17" s="12" t="n"/>
      <c r="D17" s="12" t="n"/>
      <c r="E17" s="12" t="n"/>
    </row>
    <row r="18">
      <c r="A18" s="12" t="inlineStr">
        <is>
          <t>Exit criterion 5</t>
        </is>
      </c>
      <c r="B18" s="12" t="inlineStr">
        <is>
          <t>Staging and extract files of production purged within 5 days of sign-off (purge log)</t>
        </is>
      </c>
      <c r="C18" s="12" t="n"/>
      <c r="D18" s="12" t="n"/>
      <c r="E18" s="12" t="n"/>
    </row>
    <row r="19">
      <c r="A19" s="12" t="inlineStr">
        <is>
          <t>Exit criterion 6</t>
        </is>
      </c>
      <c r="B19" s="12" t="inlineStr">
        <is>
          <t>True-up 1 posted, reconciled and signed</t>
        </is>
      </c>
      <c r="C19" s="12" t="n"/>
      <c r="D19" s="12" t="n"/>
      <c r="E19" s="12" t="n"/>
    </row>
    <row r="20">
      <c r="A20" s="12" t="inlineStr">
        <is>
          <t>Exit criterion 7</t>
        </is>
      </c>
      <c r="B20" s="12" t="inlineStr">
        <is>
          <t>Every URGENT January renewal has an RA sent or an insurer request made</t>
        </is>
      </c>
      <c r="C20" s="12" t="n"/>
      <c r="D20" s="12" t="n"/>
      <c r="E20" s="12" t="n"/>
    </row>
    <row r="21">
      <c r="A21" s="12" t="inlineStr">
        <is>
          <t>Exit criterion 8</t>
        </is>
      </c>
      <c r="B21" s="12" t="inlineStr">
        <is>
          <t>Service desk ticket volume back to the level agreed in the support model; production support runbook (deliverable 24) accepted</t>
        </is>
      </c>
      <c r="C21" s="12" t="n"/>
      <c r="D21" s="12" t="n"/>
      <c r="E21" s="12" t="n"/>
    </row>
  </sheetData>
  <autoFilter ref="A4:E21"/>
  <mergeCells count="1">
    <mergeCell ref="A2:E2"/>
  </mergeCells>
  <conditionalFormatting sqref="A5:E52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5.xml><?xml version="1.0" encoding="utf-8"?>
<worksheet xmlns="http://schemas.openxmlformats.org/spreadsheetml/2006/main">
  <sheetPr>
    <outlinePr summaryBelow="1" summaryRight="1"/>
    <pageSetUpPr fitToPage="1"/>
  </sheetPr>
  <dimension ref="A1:J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80" customWidth="1" min="3" max="3"/>
    <col width="26" customWidth="1" min="4" max="4"/>
    <col width="20" customWidth="1" min="5" max="5"/>
    <col width="11" customWidth="1" min="6" max="6"/>
    <col width="16" customWidth="1" min="7" max="7"/>
    <col width="40" customWidth="1" min="8" max="8"/>
    <col width="18" customWidth="1" min="9" max="9"/>
    <col width="13" customWidth="1" min="10" max="10"/>
  </cols>
  <sheetData>
    <row r="1" ht="24" customHeight="1">
      <c r="A1" s="19" t="inlineStr">
        <is>
          <t>Decommissioning</t>
        </is>
      </c>
    </row>
    <row r="2">
      <c r="A2" s="22" t="inlineStr">
        <is>
          <t>Checklist per legacy system and for the legacy context (BRID_MIG 12.1; DMQ27)</t>
        </is>
      </c>
    </row>
    <row r="3" ht="6" customHeight="1">
      <c r="A3" s="23" t="n"/>
      <c r="B3" s="23" t="n"/>
      <c r="C3" s="23" t="n"/>
      <c r="D3" s="23" t="n"/>
      <c r="E3" s="23" t="n"/>
      <c r="F3" s="23" t="n"/>
      <c r="G3" s="23" t="n"/>
      <c r="H3" s="23" t="n"/>
      <c r="I3" s="23" t="n"/>
      <c r="J3" s="23" t="n"/>
    </row>
    <row r="4" ht="30" customHeight="1">
      <c r="A4" s="24" t="inlineStr">
        <is>
          <t>Legacy system</t>
        </is>
      </c>
      <c r="B4" s="24" t="inlineStr">
        <is>
          <t>No.</t>
        </is>
      </c>
      <c r="C4" s="24" t="inlineStr">
        <is>
          <t>Criterion</t>
        </is>
      </c>
      <c r="D4" s="24" t="inlineStr">
        <is>
          <t>Evidence</t>
        </is>
      </c>
      <c r="E4" s="24" t="inlineStr">
        <is>
          <t>Signed by and date</t>
        </is>
      </c>
      <c r="F4" s="24" t="inlineStr">
        <is>
          <t>Status</t>
        </is>
      </c>
      <c r="G4" s="24" t="inlineStr">
        <is>
          <t>BU review</t>
        </is>
      </c>
      <c r="H4" s="24" t="inlineStr">
        <is>
          <t>BU comment</t>
        </is>
      </c>
      <c r="I4" s="24" t="inlineStr">
        <is>
          <t>Reviewer</t>
        </is>
      </c>
      <c r="J4" s="24" t="inlineStr">
        <is>
          <t>Review date</t>
        </is>
      </c>
    </row>
    <row r="5">
      <c r="A5" s="12" t="inlineStr">
        <is>
          <t>EBIX</t>
        </is>
      </c>
      <c r="B5" s="12" t="n">
        <v>1</v>
      </c>
      <c r="C5" s="12" t="inlineStr">
        <is>
          <t>Final extracts reconciled - F01, F02, F03, F04, F06, G01 and C01 signed off</t>
        </is>
      </c>
      <c r="D5" s="12" t="n"/>
      <c r="E5" s="12" t="n"/>
      <c r="F5" s="75" t="inlineStr">
        <is>
          <t>OPEN</t>
        </is>
      </c>
      <c r="G5" s="12" t="n"/>
      <c r="H5" s="12" t="n"/>
      <c r="I5" s="12" t="n"/>
      <c r="J5" s="25" t="n"/>
    </row>
    <row r="6">
      <c r="A6" s="12" t="inlineStr">
        <is>
          <t>EBIX</t>
        </is>
      </c>
      <c r="B6" s="12" t="n">
        <v>2</v>
      </c>
      <c r="C6" s="12" t="inlineStr">
        <is>
          <t>Final true-up reconciled - final true-up signed against the audited FY2027 TB; legacy GL locked</t>
        </is>
      </c>
      <c r="D6" s="12" t="n"/>
      <c r="E6" s="12" t="n"/>
      <c r="F6" s="75" t="inlineStr">
        <is>
          <t>OPEN</t>
        </is>
      </c>
      <c r="G6" s="12" t="n"/>
      <c r="H6" s="12" t="n"/>
      <c r="I6" s="12" t="n"/>
      <c r="J6" s="25" t="n"/>
    </row>
    <row r="7">
      <c r="A7" s="12" t="inlineStr">
        <is>
          <t>EBIX</t>
        </is>
      </c>
      <c r="B7" s="12" t="n">
        <v>3</v>
      </c>
      <c r="C7" s="12" t="inlineStr">
        <is>
          <t>Archive reconciled - archive objects H01, H02 and G02 of EBIX loaded and reconciled (counts and hash totals per record type against legacy)</t>
        </is>
      </c>
      <c r="D7" s="12" t="n"/>
      <c r="E7" s="12" t="n"/>
      <c r="F7" s="75" t="inlineStr">
        <is>
          <t>OPEN</t>
        </is>
      </c>
      <c r="G7" s="12" t="n"/>
      <c r="H7" s="12" t="n"/>
      <c r="I7" s="12" t="n"/>
      <c r="J7" s="25" t="n"/>
    </row>
    <row r="8">
      <c r="A8" s="12" t="inlineStr">
        <is>
          <t>EBIX</t>
        </is>
      </c>
      <c r="B8" s="12" t="n">
        <v>4</v>
      </c>
      <c r="C8" s="12" t="inlineStr">
        <is>
          <t>Legacy Inquiry verified - by Audit / Compliance on samples of each record type</t>
        </is>
      </c>
      <c r="D8" s="12" t="n"/>
      <c r="E8" s="12" t="n"/>
      <c r="F8" s="75" t="inlineStr">
        <is>
          <t>OPEN</t>
        </is>
      </c>
      <c r="G8" s="12" t="n"/>
      <c r="H8" s="12" t="n"/>
      <c r="I8" s="12" t="n"/>
      <c r="J8" s="25" t="n"/>
    </row>
    <row r="9">
      <c r="A9" s="12" t="inlineStr">
        <is>
          <t>EBIX</t>
        </is>
      </c>
      <c r="B9" s="12" t="n">
        <v>5</v>
      </c>
      <c r="C9" s="12" t="inlineStr">
        <is>
          <t>No open item needs the system - no open legacy invoice or legacy UPP needs an EBIX document; the legacy context in BIBS may still be open</t>
        </is>
      </c>
      <c r="D9" s="12" t="n"/>
      <c r="E9" s="12" t="n"/>
      <c r="F9" s="75" t="inlineStr">
        <is>
          <t>OPEN</t>
        </is>
      </c>
      <c r="G9" s="12" t="n"/>
      <c r="H9" s="12" t="n"/>
      <c r="I9" s="12" t="n"/>
      <c r="J9" s="25" t="n"/>
    </row>
    <row r="10">
      <c r="A10" s="12" t="inlineStr">
        <is>
          <t>EBIX</t>
        </is>
      </c>
      <c r="B10" s="12" t="n">
        <v>6</v>
      </c>
      <c r="C10" s="12" t="inlineStr">
        <is>
          <t>Claims tail covered - no open claim that needs EBIX (DMQ27, DMQ30)</t>
        </is>
      </c>
      <c r="D10" s="12" t="n"/>
      <c r="E10" s="12" t="n"/>
      <c r="F10" s="75" t="inlineStr">
        <is>
          <t>OPEN</t>
        </is>
      </c>
      <c r="G10" s="12" t="n"/>
      <c r="H10" s="12" t="n"/>
      <c r="I10" s="12" t="n"/>
      <c r="J10" s="25" t="n"/>
    </row>
    <row r="11">
      <c r="A11" s="12" t="inlineStr">
        <is>
          <t>EBIX</t>
        </is>
      </c>
      <c r="B11" s="12" t="n">
        <v>7</v>
      </c>
      <c r="C11" s="12" t="inlineStr">
        <is>
          <t>Access logs archived - read-only access logs exported to the archive</t>
        </is>
      </c>
      <c r="D11" s="12" t="n"/>
      <c r="E11" s="12" t="n"/>
      <c r="F11" s="75" t="inlineStr">
        <is>
          <t>OPEN</t>
        </is>
      </c>
      <c r="G11" s="12" t="n"/>
      <c r="H11" s="12" t="n"/>
      <c r="I11" s="12" t="n"/>
      <c r="J11" s="25" t="n"/>
    </row>
    <row r="12">
      <c r="A12" s="12" t="inlineStr">
        <is>
          <t>EBIX</t>
        </is>
      </c>
      <c r="B12" s="12" t="n">
        <v>8</v>
      </c>
      <c r="C12" s="12" t="inlineStr">
        <is>
          <t>Retention covered - production backup retained per the retention decision (DMQ27); retention obligations covered (5 years online, 15 years archive, umbrella p.45)</t>
        </is>
      </c>
      <c r="D12" s="12" t="n"/>
      <c r="E12" s="12" t="n"/>
      <c r="F12" s="75" t="inlineStr">
        <is>
          <t>OPEN</t>
        </is>
      </c>
      <c r="G12" s="12" t="n"/>
      <c r="H12" s="12" t="n"/>
      <c r="I12" s="12" t="n"/>
      <c r="J12" s="25" t="n"/>
    </row>
    <row r="13">
      <c r="A13" s="12" t="inlineStr">
        <is>
          <t>EBIX</t>
        </is>
      </c>
      <c r="B13" s="12" t="n">
        <v>9</v>
      </c>
      <c r="C13" s="12" t="inlineStr">
        <is>
          <t>Owners signed - EBIX system owner, Compliance and Comptrollership</t>
        </is>
      </c>
      <c r="D13" s="12" t="n"/>
      <c r="E13" s="12" t="n"/>
      <c r="F13" s="75" t="inlineStr">
        <is>
          <t>OPEN</t>
        </is>
      </c>
      <c r="G13" s="12" t="n"/>
      <c r="H13" s="12" t="n"/>
      <c r="I13" s="12" t="n"/>
      <c r="J13" s="25" t="n"/>
    </row>
    <row r="14">
      <c r="A14" s="12" t="inlineStr">
        <is>
          <t>QPS</t>
        </is>
      </c>
      <c r="B14" s="12" t="n">
        <v>1</v>
      </c>
      <c r="C14" s="12" t="inlineStr">
        <is>
          <t>Final extracts reconciled - C01, P01, P03 and the R objects signed off</t>
        </is>
      </c>
      <c r="D14" s="12" t="n"/>
      <c r="E14" s="12" t="n"/>
      <c r="F14" s="75" t="inlineStr">
        <is>
          <t>OPEN</t>
        </is>
      </c>
      <c r="G14" s="12" t="n"/>
      <c r="H14" s="12" t="n"/>
      <c r="I14" s="12" t="n"/>
      <c r="J14" s="25" t="n"/>
    </row>
    <row r="15">
      <c r="A15" s="12" t="inlineStr">
        <is>
          <t>QPS</t>
        </is>
      </c>
      <c r="B15" s="12" t="n">
        <v>2</v>
      </c>
      <c r="C15" s="12" t="inlineStr">
        <is>
          <t>No open item needs the system - last QPS-issued policy expired and its renewal decided (run-off tracker shows no open cohort), or the policy is archived</t>
        </is>
      </c>
      <c r="D15" s="12" t="n"/>
      <c r="E15" s="12" t="n"/>
      <c r="F15" s="75" t="inlineStr">
        <is>
          <t>OPEN</t>
        </is>
      </c>
      <c r="G15" s="12" t="n"/>
      <c r="H15" s="12" t="n"/>
      <c r="I15" s="12" t="n"/>
      <c r="J15" s="25" t="n"/>
    </row>
    <row r="16">
      <c r="A16" s="12" t="inlineStr">
        <is>
          <t>QPS</t>
        </is>
      </c>
      <c r="B16" s="12" t="n">
        <v>3</v>
      </c>
      <c r="C16" s="12" t="inlineStr">
        <is>
          <t>Archive reconciled - archive objects of QPS loaded and reconciled</t>
        </is>
      </c>
      <c r="D16" s="12" t="n"/>
      <c r="E16" s="12" t="n"/>
      <c r="F16" s="75" t="inlineStr">
        <is>
          <t>OPEN</t>
        </is>
      </c>
      <c r="G16" s="12" t="n"/>
      <c r="H16" s="12" t="n"/>
      <c r="I16" s="12" t="n"/>
      <c r="J16" s="25" t="n"/>
    </row>
    <row r="17">
      <c r="A17" s="12" t="inlineStr">
        <is>
          <t>QPS</t>
        </is>
      </c>
      <c r="B17" s="12" t="n">
        <v>4</v>
      </c>
      <c r="C17" s="12" t="inlineStr">
        <is>
          <t>Legacy Inquiry verified - by Audit / Compliance</t>
        </is>
      </c>
      <c r="D17" s="12" t="n"/>
      <c r="E17" s="12" t="n"/>
      <c r="F17" s="75" t="inlineStr">
        <is>
          <t>OPEN</t>
        </is>
      </c>
      <c r="G17" s="12" t="n"/>
      <c r="H17" s="12" t="n"/>
      <c r="I17" s="12" t="n"/>
      <c r="J17" s="25" t="n"/>
    </row>
    <row r="18">
      <c r="A18" s="12" t="inlineStr">
        <is>
          <t>QPS</t>
        </is>
      </c>
      <c r="B18" s="12" t="n">
        <v>5</v>
      </c>
      <c r="C18" s="12" t="inlineStr">
        <is>
          <t>Access logs archived - read-only access logs exported to the archive</t>
        </is>
      </c>
      <c r="D18" s="12" t="n"/>
      <c r="E18" s="12" t="n"/>
      <c r="F18" s="75" t="inlineStr">
        <is>
          <t>OPEN</t>
        </is>
      </c>
      <c r="G18" s="12" t="n"/>
      <c r="H18" s="12" t="n"/>
      <c r="I18" s="12" t="n"/>
      <c r="J18" s="25" t="n"/>
    </row>
    <row r="19">
      <c r="A19" s="12" t="inlineStr">
        <is>
          <t>QPS</t>
        </is>
      </c>
      <c r="B19" s="12" t="n">
        <v>6</v>
      </c>
      <c r="C19" s="12" t="inlineStr">
        <is>
          <t>Retention covered - production backup retained per DMQ27</t>
        </is>
      </c>
      <c r="D19" s="12" t="n"/>
      <c r="E19" s="12" t="n"/>
      <c r="F19" s="75" t="inlineStr">
        <is>
          <t>OPEN</t>
        </is>
      </c>
      <c r="G19" s="12" t="n"/>
      <c r="H19" s="12" t="n"/>
      <c r="I19" s="12" t="n"/>
      <c r="J19" s="25" t="n"/>
    </row>
    <row r="20">
      <c r="A20" s="12" t="inlineStr">
        <is>
          <t>QPS</t>
        </is>
      </c>
      <c r="B20" s="12" t="n">
        <v>7</v>
      </c>
      <c r="C20" s="12" t="inlineStr">
        <is>
          <t>Owners signed - QPS system owner, Compliance and the Heads of Marketing</t>
        </is>
      </c>
      <c r="D20" s="12" t="n"/>
      <c r="E20" s="12" t="n"/>
      <c r="F20" s="75" t="inlineStr">
        <is>
          <t>OPEN</t>
        </is>
      </c>
      <c r="G20" s="12" t="n"/>
      <c r="H20" s="12" t="n"/>
      <c r="I20" s="12" t="n"/>
      <c r="J20" s="25" t="n"/>
    </row>
    <row r="21">
      <c r="A21" s="12" t="inlineStr">
        <is>
          <t>ISYS</t>
        </is>
      </c>
      <c r="B21" s="12" t="n">
        <v>1</v>
      </c>
      <c r="C21" s="12" t="inlineStr">
        <is>
          <t>No open item needs the system - claims and ACSL reports and the Marketing Diary replaced by BIBS reports</t>
        </is>
      </c>
      <c r="D21" s="12" t="n"/>
      <c r="E21" s="12" t="n"/>
      <c r="F21" s="75" t="inlineStr">
        <is>
          <t>OPEN</t>
        </is>
      </c>
      <c r="G21" s="12" t="n"/>
      <c r="H21" s="12" t="n"/>
      <c r="I21" s="12" t="n"/>
      <c r="J21" s="25" t="n"/>
    </row>
    <row r="22">
      <c r="A22" s="12" t="inlineStr">
        <is>
          <t>ISYS</t>
        </is>
      </c>
      <c r="B22" s="12" t="n">
        <v>2</v>
      </c>
      <c r="C22" s="12" t="inlineStr">
        <is>
          <t>Archive reconciled - GL history (G02) and closed claims (H01 CLAIM) archived and reconciled</t>
        </is>
      </c>
      <c r="D22" s="12" t="n"/>
      <c r="E22" s="12" t="n"/>
      <c r="F22" s="75" t="inlineStr">
        <is>
          <t>OPEN</t>
        </is>
      </c>
      <c r="G22" s="12" t="n"/>
      <c r="H22" s="12" t="n"/>
      <c r="I22" s="12" t="n"/>
      <c r="J22" s="25" t="n"/>
    </row>
    <row r="23">
      <c r="A23" s="12" t="inlineStr">
        <is>
          <t>ISYS</t>
        </is>
      </c>
      <c r="B23" s="12" t="n">
        <v>3</v>
      </c>
      <c r="C23" s="12" t="inlineStr">
        <is>
          <t>Final true-up reconciled - ISYS GL lines of the final true-up signed; ISYS GL locked</t>
        </is>
      </c>
      <c r="D23" s="12" t="n"/>
      <c r="E23" s="12" t="n"/>
      <c r="F23" s="75" t="inlineStr">
        <is>
          <t>OPEN</t>
        </is>
      </c>
      <c r="G23" s="12" t="n"/>
      <c r="H23" s="12" t="n"/>
      <c r="I23" s="12" t="n"/>
      <c r="J23" s="25" t="n"/>
    </row>
    <row r="24">
      <c r="A24" s="12" t="inlineStr">
        <is>
          <t>ISYS</t>
        </is>
      </c>
      <c r="B24" s="12" t="n">
        <v>4</v>
      </c>
      <c r="C24" s="12" t="inlineStr">
        <is>
          <t>Owners signed - ISYS system owner, Claims and Comptrollership</t>
        </is>
      </c>
      <c r="D24" s="12" t="n"/>
      <c r="E24" s="12" t="n"/>
      <c r="F24" s="75" t="inlineStr">
        <is>
          <t>OPEN</t>
        </is>
      </c>
      <c r="G24" s="12" t="n"/>
      <c r="H24" s="12" t="n"/>
      <c r="I24" s="12" t="n"/>
      <c r="J24" s="25" t="n"/>
    </row>
    <row r="25">
      <c r="A25" s="12" t="inlineStr">
        <is>
          <t>CMS</t>
        </is>
      </c>
      <c r="B25" s="12" t="n">
        <v>1</v>
      </c>
      <c r="C25" s="12" t="inlineStr">
        <is>
          <t>Final extracts reconciled - collection state F03 and UPP F02 reconciled and signed off</t>
        </is>
      </c>
      <c r="D25" s="12" t="n"/>
      <c r="E25" s="12" t="n"/>
      <c r="F25" s="75" t="inlineStr">
        <is>
          <t>OPEN</t>
        </is>
      </c>
      <c r="G25" s="12" t="n"/>
      <c r="H25" s="12" t="n"/>
      <c r="I25" s="12" t="n"/>
      <c r="J25" s="25" t="n"/>
    </row>
    <row r="26">
      <c r="A26" s="12" t="inlineStr">
        <is>
          <t>CMS</t>
        </is>
      </c>
      <c r="B26" s="12" t="n">
        <v>2</v>
      </c>
      <c r="C26" s="12" t="inlineStr">
        <is>
          <t>Archive reconciled - disposition history archived (H01) if required by DMQ34</t>
        </is>
      </c>
      <c r="D26" s="12" t="n"/>
      <c r="E26" s="12" t="n"/>
      <c r="F26" s="75" t="inlineStr">
        <is>
          <t>OPEN</t>
        </is>
      </c>
      <c r="G26" s="12" t="n"/>
      <c r="H26" s="12" t="n"/>
      <c r="I26" s="12" t="n"/>
      <c r="J26" s="25" t="n"/>
    </row>
    <row r="27">
      <c r="A27" s="12" t="inlineStr">
        <is>
          <t>CMS</t>
        </is>
      </c>
      <c r="B27" s="12" t="n">
        <v>3</v>
      </c>
      <c r="C27" s="12" t="inlineStr">
        <is>
          <t>Owners signed - Head of Operations (Collections) and BDOI IT</t>
        </is>
      </c>
      <c r="D27" s="12" t="n"/>
      <c r="E27" s="12" t="n"/>
      <c r="F27" s="75" t="inlineStr">
        <is>
          <t>OPEN</t>
        </is>
      </c>
      <c r="G27" s="12" t="n"/>
      <c r="H27" s="12" t="n"/>
      <c r="I27" s="12" t="n"/>
      <c r="J27" s="25" t="n"/>
    </row>
    <row r="28">
      <c r="A28" s="12" t="inlineStr">
        <is>
          <t>Excel masterlists and file shares</t>
        </is>
      </c>
      <c r="B28" s="12" t="n">
        <v>1</v>
      </c>
      <c r="C28" s="12" t="inlineStr">
        <is>
          <t>Final extracts reconciled - submitted-policy masterlists migrated (P04) or archived</t>
        </is>
      </c>
      <c r="D28" s="12" t="n"/>
      <c r="E28" s="12" t="n"/>
      <c r="F28" s="75" t="inlineStr">
        <is>
          <t>OPEN</t>
        </is>
      </c>
      <c r="G28" s="12" t="n"/>
      <c r="H28" s="12" t="n"/>
      <c r="I28" s="12" t="n"/>
      <c r="J28" s="25" t="n"/>
    </row>
    <row r="29">
      <c r="A29" s="12" t="inlineStr">
        <is>
          <t>Excel masterlists and file shares</t>
        </is>
      </c>
      <c r="B29" s="12" t="n">
        <v>2</v>
      </c>
      <c r="C29" s="12" t="inlineStr">
        <is>
          <t>Archive reconciled - KYC documents and legacy documents (C04, H02) archived with checksums</t>
        </is>
      </c>
      <c r="D29" s="12" t="n"/>
      <c r="E29" s="12" t="n"/>
      <c r="F29" s="75" t="inlineStr">
        <is>
          <t>OPEN</t>
        </is>
      </c>
      <c r="G29" s="12" t="n"/>
      <c r="H29" s="12" t="n"/>
      <c r="I29" s="12" t="n"/>
      <c r="J29" s="25" t="n"/>
    </row>
    <row r="30">
      <c r="A30" s="12" t="inlineStr">
        <is>
          <t>Excel masterlists and file shares</t>
        </is>
      </c>
      <c r="B30" s="12" t="n">
        <v>3</v>
      </c>
      <c r="C30" s="12" t="inlineStr">
        <is>
          <t>Retention covered - folders set to read-only, then removed per the retention decision</t>
        </is>
      </c>
      <c r="D30" s="12" t="n"/>
      <c r="E30" s="12" t="n"/>
      <c r="F30" s="75" t="inlineStr">
        <is>
          <t>OPEN</t>
        </is>
      </c>
      <c r="G30" s="12" t="n"/>
      <c r="H30" s="12" t="n"/>
      <c r="I30" s="12" t="n"/>
      <c r="J30" s="25" t="n"/>
    </row>
    <row r="31">
      <c r="A31" s="12" t="inlineStr">
        <is>
          <t>Excel masterlists and file shares</t>
        </is>
      </c>
      <c r="B31" s="12" t="n">
        <v>4</v>
      </c>
      <c r="C31" s="12" t="inlineStr">
        <is>
          <t>Owners signed - owning department and Compliance</t>
        </is>
      </c>
      <c r="D31" s="12" t="n"/>
      <c r="E31" s="12" t="n"/>
      <c r="F31" s="75" t="inlineStr">
        <is>
          <t>OPEN</t>
        </is>
      </c>
      <c r="G31" s="12" t="n"/>
      <c r="H31" s="12" t="n"/>
      <c r="I31" s="12" t="n"/>
      <c r="J31" s="25" t="n"/>
    </row>
    <row r="32">
      <c r="A32" s="12" t="inlineStr">
        <is>
          <t>Legacy context in BIBS</t>
        </is>
      </c>
      <c r="B32" s="12" t="n">
        <v>1</v>
      </c>
      <c r="C32" s="12" t="inlineStr">
        <is>
          <t>No open legacy invoice - every legacy invoice paid, reversed, written off or reclassified</t>
        </is>
      </c>
      <c r="D32" s="12" t="n"/>
      <c r="E32" s="12" t="n"/>
      <c r="F32" s="75" t="inlineStr">
        <is>
          <t>OPEN</t>
        </is>
      </c>
      <c r="G32" s="12" t="n"/>
      <c r="H32" s="12" t="n"/>
      <c r="I32" s="12" t="n"/>
      <c r="J32" s="25" t="n"/>
    </row>
    <row r="33">
      <c r="A33" s="12" t="inlineStr">
        <is>
          <t>Legacy context in BIBS</t>
        </is>
      </c>
      <c r="B33" s="12" t="n">
        <v>2</v>
      </c>
      <c r="C33" s="12" t="inlineStr">
        <is>
          <t>No legacy UPP balance - every legacy UPP applied, refunded or reclassified</t>
        </is>
      </c>
      <c r="D33" s="12" t="n"/>
      <c r="E33" s="12" t="n"/>
      <c r="F33" s="75" t="inlineStr">
        <is>
          <t>OPEN</t>
        </is>
      </c>
      <c r="G33" s="12" t="n"/>
      <c r="H33" s="12" t="n"/>
      <c r="I33" s="12" t="n"/>
      <c r="J33" s="25" t="n"/>
    </row>
    <row r="34">
      <c r="A34" s="12" t="inlineStr">
        <is>
          <t>Legacy context in BIBS</t>
        </is>
      </c>
      <c r="B34" s="12" t="n">
        <v>3</v>
      </c>
      <c r="C34" s="12" t="inlineStr">
        <is>
          <t>Legacy accounts at zero - legacy control accounts and Migration Clearing at 0.00</t>
        </is>
      </c>
      <c r="D34" s="12" t="n"/>
      <c r="E34" s="12" t="n"/>
      <c r="F34" s="75" t="inlineStr">
        <is>
          <t>OPEN</t>
        </is>
      </c>
      <c r="G34" s="12" t="n"/>
      <c r="H34" s="12" t="n"/>
      <c r="I34" s="12" t="n"/>
      <c r="J34" s="25" t="n"/>
    </row>
    <row r="35">
      <c r="A35" s="12" t="inlineStr">
        <is>
          <t>Legacy context in BIBS</t>
        </is>
      </c>
      <c r="B35" s="12" t="n">
        <v>4</v>
      </c>
      <c r="C35" s="12" t="inlineStr">
        <is>
          <t>Chart decision recorded - Comptrollership decides whether the legacy accounts are closed in the chart</t>
        </is>
      </c>
      <c r="D35" s="12" t="n"/>
      <c r="E35" s="12" t="n"/>
      <c r="F35" s="75" t="inlineStr">
        <is>
          <t>OPEN</t>
        </is>
      </c>
      <c r="G35" s="12" t="n"/>
      <c r="H35" s="12" t="n"/>
      <c r="I35" s="12" t="n"/>
      <c r="J35" s="25" t="n"/>
    </row>
  </sheetData>
  <autoFilter ref="A4:J35"/>
  <mergeCells count="1">
    <mergeCell ref="A2:J2"/>
  </mergeCells>
  <conditionalFormatting sqref="F5:F535">
    <cfRule type="cellIs" priority="1" operator="equal" dxfId="2" stopIfTrue="1">
      <formula>"OPEN"</formula>
    </cfRule>
    <cfRule type="cellIs" priority="2" operator="equal" dxfId="4" stopIfTrue="1">
      <formula>"DONE"</formula>
    </cfRule>
    <cfRule type="cellIs" priority="3" operator="equal" dxfId="1" stopIfTrue="1">
      <formula>"N/A"</formula>
    </cfRule>
  </conditionalFormatting>
  <conditionalFormatting sqref="A5:J535">
    <cfRule type="expression" priority="4" dxfId="0">
      <formula>AND(MOD(ROW(),2)=0,$A5&lt;&gt;"")</formula>
    </cfRule>
  </conditionalFormatting>
  <dataValidations count="3">
    <dataValidation sqref="F5:F535" showDropDown="0" showInputMessage="0" showErrorMessage="1" allowBlank="1" errorTitle="Status" error="Choose a value from the list (Status)." type="list">
      <formula1>'_lists'!$S$1:$S$3</formula1>
    </dataValidation>
    <dataValidation sqref="G5:G535" showDropDown="0" showInputMessage="0" showErrorMessage="1" allowBlank="1" errorTitle="BU review" error="Choose a value from the list (BU review)." type="list">
      <formula1>'_lists'!$T$1:$T$3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6.xml><?xml version="1.0" encoding="utf-8"?>
<worksheet xmlns="http://schemas.openxmlformats.org/spreadsheetml/2006/main">
  <sheetPr>
    <outlinePr summaryBelow="1" summaryRight="1"/>
    <pageSetUpPr fitToPage="1"/>
  </sheetPr>
  <dimension ref="A1:Q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26" customWidth="1" min="3" max="3"/>
    <col width="26" customWidth="1" min="4" max="4"/>
    <col width="20" customWidth="1" min="5" max="5"/>
    <col width="26" customWidth="1" min="6" max="6"/>
    <col width="34" customWidth="1" min="7" max="7"/>
    <col width="44" customWidth="1" min="8" max="8"/>
    <col width="22" customWidth="1" min="9" max="9"/>
    <col width="16" customWidth="1" min="10" max="10"/>
    <col width="14" customWidth="1" min="11" max="11"/>
    <col width="20" customWidth="1" min="12" max="12"/>
    <col width="20" customWidth="1" min="13" max="13"/>
    <col width="16" customWidth="1" min="14" max="14"/>
    <col width="40" customWidth="1" min="15" max="15"/>
    <col width="18" customWidth="1" min="16" max="16"/>
    <col width="13" customWidth="1" min="17" max="17"/>
  </cols>
  <sheetData>
    <row r="1" ht="24" customHeight="1">
      <c r="A1" s="19" t="inlineStr">
        <is>
          <t>Reconciliation sign-off</t>
        </is>
      </c>
    </row>
    <row r="2">
      <c r="A2" s="22" t="inlineStr">
        <is>
          <t>Reconciliation and acceptance of every object with a load template: what each level proves and who signs (Handbook Part C)</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Object</t>
        </is>
      </c>
      <c r="B4" s="24" t="inlineStr">
        <is>
          <t>Data object</t>
        </is>
      </c>
      <c r="C4" s="24" t="inlineStr">
        <is>
          <t>L1 counts</t>
        </is>
      </c>
      <c r="D4" s="24" t="inlineStr">
        <is>
          <t>L2 amounts</t>
        </is>
      </c>
      <c r="E4" s="24" t="inlineStr">
        <is>
          <t>L3 hash totals</t>
        </is>
      </c>
      <c r="F4" s="24" t="inlineStr">
        <is>
          <t>L4 fields</t>
        </is>
      </c>
      <c r="G4" s="24" t="inlineStr">
        <is>
          <t>L5 or business check</t>
        </is>
      </c>
      <c r="H4" s="24" t="inlineStr">
        <is>
          <t>Business verification sample (G6)</t>
        </is>
      </c>
      <c r="I4" s="24" t="inlineStr">
        <is>
          <t>Signs G5</t>
        </is>
      </c>
      <c r="J4" s="24" t="inlineStr">
        <is>
          <t>Run</t>
        </is>
      </c>
      <c r="K4" s="24" t="inlineStr">
        <is>
          <t>Result</t>
        </is>
      </c>
      <c r="L4" s="24" t="inlineStr">
        <is>
          <t>G5 signed by and date</t>
        </is>
      </c>
      <c r="M4" s="24" t="inlineStr">
        <is>
          <t>G6 signed by and date</t>
        </is>
      </c>
      <c r="N4" s="24" t="inlineStr">
        <is>
          <t>BU review</t>
        </is>
      </c>
      <c r="O4" s="24" t="inlineStr">
        <is>
          <t>BU comment</t>
        </is>
      </c>
      <c r="P4" s="24" t="inlineStr">
        <is>
          <t>Reviewer</t>
        </is>
      </c>
      <c r="Q4" s="24" t="inlineStr">
        <is>
          <t>Review date</t>
        </is>
      </c>
    </row>
    <row r="5">
      <c r="A5" s="12" t="inlineStr">
        <is>
          <t>R01</t>
        </is>
      </c>
      <c r="B5" s="12" t="inlineStr">
        <is>
          <t>Lists of values and MIS values</t>
        </is>
      </c>
      <c r="C5" s="12" t="inlineStr">
        <is>
          <t>Values received, mapped, created, rejected; package code map entries</t>
        </is>
      </c>
      <c r="D5" s="12" t="inlineStr">
        <is>
          <t>-</t>
        </is>
      </c>
      <c r="E5" s="12" t="inlineStr">
        <is>
          <t>Distinct keys</t>
        </is>
      </c>
      <c r="F5" s="12" t="inlineStr">
        <is>
          <t>Created values (name, status, dates); package code map entries in the Renewal package map</t>
        </is>
      </c>
      <c r="G5" s="12" t="inlineStr">
        <is>
          <t>Unmapped-code report empty; every value created in BIBS authorised in its master; the package code map entries in the Renewal package map equal the approved version</t>
        </is>
      </c>
      <c r="H5"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5" s="12" t="inlineStr">
        <is>
          <t>Product Owner, Marketing Business System (MBS)</t>
        </is>
      </c>
      <c r="J5" s="12" t="n"/>
      <c r="K5" s="12" t="n"/>
      <c r="L5" s="12" t="n"/>
      <c r="M5" s="12" t="n"/>
      <c r="N5" s="12" t="n"/>
      <c r="O5" s="12" t="n"/>
      <c r="P5" s="12" t="n"/>
      <c r="Q5" s="25" t="n"/>
    </row>
    <row r="6">
      <c r="A6" s="12" t="inlineStr">
        <is>
          <t>R02</t>
        </is>
      </c>
      <c r="B6" s="12" t="inlineStr">
        <is>
          <t>Branches and invoicing branches</t>
        </is>
      </c>
      <c r="C6" s="12" t="inlineStr">
        <is>
          <t>Values received, mapped, created, rejected; package code map entries</t>
        </is>
      </c>
      <c r="D6" s="12" t="inlineStr">
        <is>
          <t>-</t>
        </is>
      </c>
      <c r="E6" s="12" t="inlineStr">
        <is>
          <t>Distinct keys</t>
        </is>
      </c>
      <c r="F6" s="12" t="inlineStr">
        <is>
          <t>Created values (name, status, dates); package code map entries in the Renewal package map</t>
        </is>
      </c>
      <c r="G6" s="12" t="inlineStr">
        <is>
          <t>Unmapped-code report empty; every value created in BIBS authorised in its master; the package code map entries in the Renewal package map equal the approved version</t>
        </is>
      </c>
      <c r="H6"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6" s="12" t="inlineStr">
        <is>
          <t>Head, Comptrollership</t>
        </is>
      </c>
      <c r="J6" s="12" t="n"/>
      <c r="K6" s="12" t="n"/>
      <c r="L6" s="12" t="n"/>
      <c r="M6" s="12" t="n"/>
      <c r="N6" s="12" t="n"/>
      <c r="O6" s="12" t="n"/>
      <c r="P6" s="12" t="n"/>
      <c r="Q6" s="25" t="n"/>
    </row>
    <row r="7">
      <c r="A7" s="12" t="inlineStr">
        <is>
          <t>R03</t>
        </is>
      </c>
      <c r="B7" s="12" t="inlineStr">
        <is>
          <t>Sales organisation (regions, departments, teams, unit heads, account officers)</t>
        </is>
      </c>
      <c r="C7" s="12" t="inlineStr">
        <is>
          <t>Values received, mapped, created, rejected; package code map entries</t>
        </is>
      </c>
      <c r="D7" s="12" t="inlineStr">
        <is>
          <t>-</t>
        </is>
      </c>
      <c r="E7" s="12" t="inlineStr">
        <is>
          <t>Distinct keys</t>
        </is>
      </c>
      <c r="F7" s="12" t="inlineStr">
        <is>
          <t>Created values (name, status, dates); package code map entries in the Renewal package map</t>
        </is>
      </c>
      <c r="G7" s="12" t="inlineStr">
        <is>
          <t>Unmapped-code report empty; every value created in BIBS authorised in its master; the package code map entries in the Renewal package map equal the approved version</t>
        </is>
      </c>
      <c r="H7"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7" s="12" t="inlineStr">
        <is>
          <t>Heads, Retail and Corporate Marketing</t>
        </is>
      </c>
      <c r="J7" s="12" t="n"/>
      <c r="K7" s="12" t="n"/>
      <c r="L7" s="12" t="n"/>
      <c r="M7" s="12" t="n"/>
      <c r="N7" s="12" t="n"/>
      <c r="O7" s="12" t="n"/>
      <c r="P7" s="12" t="n"/>
      <c r="Q7" s="25" t="n"/>
    </row>
    <row r="8">
      <c r="A8" s="12" t="inlineStr">
        <is>
          <t>R04</t>
        </is>
      </c>
      <c r="B8" s="12" t="inlineStr">
        <is>
          <t>Insurers and insurer branches</t>
        </is>
      </c>
      <c r="C8" s="12" t="inlineStr">
        <is>
          <t>Values received, mapped, created, rejected; package code map entries</t>
        </is>
      </c>
      <c r="D8" s="12" t="inlineStr">
        <is>
          <t>-</t>
        </is>
      </c>
      <c r="E8" s="12" t="inlineStr">
        <is>
          <t>Distinct keys</t>
        </is>
      </c>
      <c r="F8" s="12" t="inlineStr">
        <is>
          <t>Created values (name, status, dates); package code map entries in the Renewal package map</t>
        </is>
      </c>
      <c r="G8" s="12" t="inlineStr">
        <is>
          <t>Unmapped-code report empty; every value created in BIBS authorised in its master; the package code map entries in the Renewal package map equal the approved version</t>
        </is>
      </c>
      <c r="H8"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8" s="12" t="inlineStr">
        <is>
          <t>Head, Operations</t>
        </is>
      </c>
      <c r="J8" s="12" t="n"/>
      <c r="K8" s="12" t="n"/>
      <c r="L8" s="12" t="n"/>
      <c r="M8" s="12" t="n"/>
      <c r="N8" s="12" t="n"/>
      <c r="O8" s="12" t="n"/>
      <c r="P8" s="12" t="n"/>
      <c r="Q8" s="25" t="n"/>
    </row>
    <row r="9">
      <c r="A9" s="12" t="inlineStr">
        <is>
          <t>R05</t>
        </is>
      </c>
      <c r="B9" s="12" t="inlineStr">
        <is>
          <t>Product lines, cover types, products and risk codes</t>
        </is>
      </c>
      <c r="C9" s="12" t="inlineStr">
        <is>
          <t>Values received, mapped, created, rejected; package code map entries</t>
        </is>
      </c>
      <c r="D9" s="12" t="inlineStr">
        <is>
          <t>-</t>
        </is>
      </c>
      <c r="E9" s="12" t="inlineStr">
        <is>
          <t>Distinct keys</t>
        </is>
      </c>
      <c r="F9" s="12" t="inlineStr">
        <is>
          <t>Created values (name, status, dates); package code map entries in the Renewal package map</t>
        </is>
      </c>
      <c r="G9" s="12" t="inlineStr">
        <is>
          <t>Unmapped-code report empty; every value created in BIBS authorised in its master; the package code map entries in the Renewal package map equal the approved version</t>
        </is>
      </c>
      <c r="H9"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9" s="12" t="inlineStr">
        <is>
          <t>Product Owner, MBS</t>
        </is>
      </c>
      <c r="J9" s="12" t="n"/>
      <c r="K9" s="12" t="n"/>
      <c r="L9" s="12" t="n"/>
      <c r="M9" s="12" t="n"/>
      <c r="N9" s="12" t="n"/>
      <c r="O9" s="12" t="n"/>
      <c r="P9" s="12" t="n"/>
      <c r="Q9" s="25" t="n"/>
    </row>
    <row r="10">
      <c r="A10" s="12" t="inlineStr">
        <is>
          <t>R06</t>
        </is>
      </c>
      <c r="B10" s="12" t="inlineStr">
        <is>
          <t>Package code map (legacy package and version to BIBS package version)</t>
        </is>
      </c>
      <c r="C10" s="12" t="inlineStr">
        <is>
          <t>Values received, mapped, created, rejected; package code map entries</t>
        </is>
      </c>
      <c r="D10" s="12" t="inlineStr">
        <is>
          <t>-</t>
        </is>
      </c>
      <c r="E10" s="12" t="inlineStr">
        <is>
          <t>Distinct keys</t>
        </is>
      </c>
      <c r="F10" s="12" t="inlineStr">
        <is>
          <t>Created values (name, status, dates); package code map entries in the Renewal package map</t>
        </is>
      </c>
      <c r="G10" s="12" t="inlineStr">
        <is>
          <t>Unmapped-code report empty; every value created in BIBS authorised in its master; the package code map entries in the Renewal package map equal the approved version</t>
        </is>
      </c>
      <c r="H10"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10" s="12" t="inlineStr">
        <is>
          <t>Product Owner, MBS (approves); TSU (prepares)</t>
        </is>
      </c>
      <c r="J10" s="12" t="n"/>
      <c r="K10" s="12" t="n"/>
      <c r="L10" s="12" t="n"/>
      <c r="M10" s="12" t="n"/>
      <c r="N10" s="12" t="n"/>
      <c r="O10" s="12" t="n"/>
      <c r="P10" s="12" t="n"/>
      <c r="Q10" s="25" t="n"/>
    </row>
    <row r="11">
      <c r="A11" s="12" t="inlineStr">
        <is>
          <t>R07</t>
        </is>
      </c>
      <c r="B11" s="12" t="inlineStr">
        <is>
          <t>Commission rates by insurer and product</t>
        </is>
      </c>
      <c r="C11" s="12" t="inlineStr">
        <is>
          <t>Values received, mapped, created, rejected; package code map entries</t>
        </is>
      </c>
      <c r="D11" s="12" t="inlineStr">
        <is>
          <t>-</t>
        </is>
      </c>
      <c r="E11" s="12" t="inlineStr">
        <is>
          <t>Distinct keys</t>
        </is>
      </c>
      <c r="F11" s="12" t="inlineStr">
        <is>
          <t>Created values (name, status, dates); package code map entries in the Renewal package map</t>
        </is>
      </c>
      <c r="G11" s="12" t="inlineStr">
        <is>
          <t>Unmapped-code report empty; every value created in BIBS authorised in its master; the package code map entries in the Renewal package map equal the approved version</t>
        </is>
      </c>
      <c r="H11"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11" s="12" t="inlineStr">
        <is>
          <t>Head, Operations</t>
        </is>
      </c>
      <c r="J11" s="12" t="n"/>
      <c r="K11" s="12" t="n"/>
      <c r="L11" s="12" t="n"/>
      <c r="M11" s="12" t="n"/>
      <c r="N11" s="12" t="n"/>
      <c r="O11" s="12" t="n"/>
      <c r="P11" s="12" t="n"/>
      <c r="Q11" s="25" t="n"/>
    </row>
    <row r="12">
      <c r="A12" s="12" t="inlineStr">
        <is>
          <t>R08</t>
        </is>
      </c>
      <c r="B12" s="12" t="inlineStr">
        <is>
          <t>Chart of accounts mapping (legacy GL account to BIBS account)</t>
        </is>
      </c>
      <c r="C12" s="12" t="inlineStr">
        <is>
          <t>Values received, mapped, created, rejected; package code map entries</t>
        </is>
      </c>
      <c r="D12" s="12" t="inlineStr">
        <is>
          <t>-</t>
        </is>
      </c>
      <c r="E12" s="12" t="inlineStr">
        <is>
          <t>Distinct keys</t>
        </is>
      </c>
      <c r="F12" s="12" t="inlineStr">
        <is>
          <t>Created values (name, status, dates); package code map entries in the Renewal package map</t>
        </is>
      </c>
      <c r="G12" s="12" t="inlineStr">
        <is>
          <t>Unmapped-code report empty; every value created in BIBS authorised in its master; the package code map entries in the Renewal package map equal the approved version</t>
        </is>
      </c>
      <c r="H12"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12" s="12" t="inlineStr">
        <is>
          <t>Head, Comptrollership; Product Owner FRBS and ACSL</t>
        </is>
      </c>
      <c r="J12" s="12" t="n"/>
      <c r="K12" s="12" t="n"/>
      <c r="L12" s="12" t="n"/>
      <c r="M12" s="12" t="n"/>
      <c r="N12" s="12" t="n"/>
      <c r="O12" s="12" t="n"/>
      <c r="P12" s="12" t="n"/>
      <c r="Q12" s="25" t="n"/>
    </row>
    <row r="13">
      <c r="A13" s="12" t="inlineStr">
        <is>
          <t>R09</t>
        </is>
      </c>
      <c r="B13" s="12" t="inlineStr">
        <is>
          <t>Payees</t>
        </is>
      </c>
      <c r="C13" s="12" t="inlineStr">
        <is>
          <t>Payees received and loaded</t>
        </is>
      </c>
      <c r="D13" s="12" t="inlineStr">
        <is>
          <t>-</t>
        </is>
      </c>
      <c r="E13" s="12" t="inlineStr">
        <is>
          <t>Distinct payee codes</t>
        </is>
      </c>
      <c r="F13" s="12" t="inlineStr">
        <is>
          <t>All loaded fields</t>
        </is>
      </c>
      <c r="G13" s="12" t="inlineStr">
        <is>
          <t>Payee list in Disbursement</t>
        </is>
      </c>
      <c r="H13" s="12" t="inlineStr">
        <is>
          <t>20 random payees. Checked: name, TIN, bank and account on the payee record (status Draft until submitted by Disbursement)</t>
        </is>
      </c>
      <c r="I13" s="12" t="inlineStr">
        <is>
          <t>Product Owner, Comptrollership - Disbursement</t>
        </is>
      </c>
      <c r="J13" s="12" t="n"/>
      <c r="K13" s="12" t="n"/>
      <c r="L13" s="12" t="n"/>
      <c r="M13" s="12" t="n"/>
      <c r="N13" s="12" t="n"/>
      <c r="O13" s="12" t="n"/>
      <c r="P13" s="12" t="n"/>
      <c r="Q13" s="25" t="n"/>
    </row>
    <row r="14">
      <c r="A14" s="12" t="inlineStr">
        <is>
          <t>R11</t>
        </is>
      </c>
      <c r="B14" s="12" t="inlineStr">
        <is>
          <t>Receipt series in use (AR and OR, ATP and next number)</t>
        </is>
      </c>
      <c r="C14" s="12" t="inlineStr">
        <is>
          <t>Values received, mapped, created, rejected; package code map entries</t>
        </is>
      </c>
      <c r="D14" s="12" t="inlineStr">
        <is>
          <t>-</t>
        </is>
      </c>
      <c r="E14" s="12" t="inlineStr">
        <is>
          <t>Distinct keys</t>
        </is>
      </c>
      <c r="F14" s="12" t="inlineStr">
        <is>
          <t>Created values (name, status, dates); package code map entries in the Renewal package map</t>
        </is>
      </c>
      <c r="G14" s="12" t="inlineStr">
        <is>
          <t>Unmapped-code report empty; every value created in BIBS authorised in its master; the package code map entries in the Renewal package map equal the approved version</t>
        </is>
      </c>
      <c r="H14"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14" s="12" t="inlineStr">
        <is>
          <t>Operations - Financial Transactions</t>
        </is>
      </c>
      <c r="J14" s="12" t="n"/>
      <c r="K14" s="12" t="n"/>
      <c r="L14" s="12" t="n"/>
      <c r="M14" s="12" t="n"/>
      <c r="N14" s="12" t="n"/>
      <c r="O14" s="12" t="n"/>
      <c r="P14" s="12" t="n"/>
      <c r="Q14" s="25" t="n"/>
    </row>
    <row r="15">
      <c r="A15" s="12" t="inlineStr">
        <is>
          <t>C01</t>
        </is>
      </c>
      <c r="B15" s="12" t="inlineStr">
        <is>
          <t>Client master (individual and corporate)</t>
        </is>
      </c>
      <c r="C15" s="12" t="inlineStr">
        <is>
          <t>Legacy clients received, clusters, merged, new, loaded; payout accounts received and loaded</t>
        </is>
      </c>
      <c r="D15" s="12" t="inlineStr">
        <is>
          <t>-</t>
        </is>
      </c>
      <c r="E15" s="12" t="inlineStr">
        <is>
          <t>Distinct legacy client numbers = key cross-reference entries</t>
        </is>
      </c>
      <c r="F15" s="12" t="inlineStr">
        <is>
          <t>Identity, contact, segment and KYC fields of the surviving record; payout account fields</t>
        </is>
      </c>
      <c r="G15" s="12" t="inlineStr">
        <is>
          <t>Client review queue empty; each legacy number resolves to one BIBS client</t>
        </is>
      </c>
      <c r="H15" s="12" t="inlineStr">
        <is>
          <t>30 random clients per source system; 20 merged clusters; 10 decisions of the review queue; 10 corporate clients. Checked: client search by legacy number; name, identity, contacts, segment, AO, KYC status and review date; the cluster shows every legacy number</t>
        </is>
      </c>
      <c r="I15" s="12" t="inlineStr">
        <is>
          <t>Product Owner, MBS; Heads, Retail and Corporate Marketing</t>
        </is>
      </c>
      <c r="J15" s="12" t="n"/>
      <c r="K15" s="12" t="n"/>
      <c r="L15" s="12" t="n"/>
      <c r="M15" s="12" t="n"/>
      <c r="N15" s="12" t="n"/>
      <c r="O15" s="12" t="n"/>
      <c r="P15" s="12" t="n"/>
      <c r="Q15" s="25" t="n"/>
    </row>
    <row r="16">
      <c r="A16" s="12" t="inlineStr">
        <is>
          <t>C03</t>
        </is>
      </c>
      <c r="B16" s="12" t="inlineStr">
        <is>
          <t>Client payout accounts (for refunds)</t>
        </is>
      </c>
      <c r="C16" s="12" t="inlineStr">
        <is>
          <t>Legacy clients received, clusters, merged, new, loaded; payout accounts received and loaded</t>
        </is>
      </c>
      <c r="D16" s="12" t="inlineStr">
        <is>
          <t>-</t>
        </is>
      </c>
      <c r="E16" s="12" t="inlineStr">
        <is>
          <t>Distinct legacy client numbers = key cross-reference entries</t>
        </is>
      </c>
      <c r="F16" s="12" t="inlineStr">
        <is>
          <t>Identity, contact, segment and KYC fields of the surviving record; payout account fields</t>
        </is>
      </c>
      <c r="G16" s="12" t="inlineStr">
        <is>
          <t>Client review queue empty; each legacy number resolves to one BIBS client</t>
        </is>
      </c>
      <c r="H16" s="12" t="inlineStr">
        <is>
          <t>30 random clients per source system; 20 merged clusters; 10 decisions of the review queue; 10 corporate clients. Checked: client search by legacy number; name, identity, contacts, segment, AO, KYC status and review date; the cluster shows every legacy number</t>
        </is>
      </c>
      <c r="I16" s="12" t="inlineStr">
        <is>
          <t>Product Owner, Comptrollership - Disbursement</t>
        </is>
      </c>
      <c r="J16" s="12" t="n"/>
      <c r="K16" s="12" t="n"/>
      <c r="L16" s="12" t="n"/>
      <c r="M16" s="12" t="n"/>
      <c r="N16" s="12" t="n"/>
      <c r="O16" s="12" t="n"/>
      <c r="P16" s="12" t="n"/>
      <c r="Q16" s="25" t="n"/>
    </row>
    <row r="17">
      <c r="A17" s="12" t="inlineStr">
        <is>
          <t>P01</t>
        </is>
      </c>
      <c r="B17" s="12" t="inlineStr">
        <is>
          <t>In-force policy headers</t>
        </is>
      </c>
      <c r="C17" s="12" t="inlineStr">
        <is>
          <t>Headers and share rows received and loaded</t>
        </is>
      </c>
      <c r="D17" s="12" t="inlineStr">
        <is>
          <t>Sum insured, gross and net premium per currency</t>
        </is>
      </c>
      <c r="E17" s="12" t="inlineStr">
        <is>
          <t>Distinct legacy policy references</t>
        </is>
      </c>
      <c r="F17" s="12" t="inlineStr">
        <is>
          <t>All header fields and shares</t>
        </is>
      </c>
      <c r="G17" s="12" t="inlineStr">
        <is>
          <t>Headers linked to their clients and legacy invoices; P01 against the legacy in-force list for every expiry to 31 May 2028</t>
        </is>
      </c>
      <c r="H17" s="12" t="inlineStr">
        <is>
          <t>30 random headers; 10 with several insurers; 10 expiring within 140 days. Checked: account search by policy and legacy reference; dates, insurer and shares, sum insured, premium, client link, legacy invoices listed</t>
        </is>
      </c>
      <c r="I17" s="12" t="inlineStr">
        <is>
          <t>Head, Operations</t>
        </is>
      </c>
      <c r="J17" s="12" t="n"/>
      <c r="K17" s="12" t="n"/>
      <c r="L17" s="12" t="n"/>
      <c r="M17" s="12" t="n"/>
      <c r="N17" s="12" t="n"/>
      <c r="O17" s="12" t="n"/>
      <c r="P17" s="12" t="n"/>
      <c r="Q17" s="25" t="n"/>
    </row>
    <row r="18">
      <c r="A18" s="12" t="inlineStr">
        <is>
          <t>P03</t>
        </is>
      </c>
      <c r="B18" s="12" t="inlineStr">
        <is>
          <t>Renewal advices already sent before go-live (RA-sent file)</t>
        </is>
      </c>
      <c r="C18" s="12" t="inlineStr">
        <is>
          <t>RA-sent rows received, loaded, rejected; resubmitted rows</t>
        </is>
      </c>
      <c r="D18" s="12" t="inlineStr">
        <is>
          <t>Proposed premium per currency</t>
        </is>
      </c>
      <c r="E18" s="12" t="inlineStr">
        <is>
          <t>Distinct legacy policy references</t>
        </is>
      </c>
      <c r="F18" s="12" t="inlineStr">
        <is>
          <t>RA date, reference, channel, sender, tracker</t>
        </is>
      </c>
      <c r="G18" s="12" t="inlineStr">
        <is>
          <t>At go-live, the extraction check per expiry month January-May 2028: headers expiring from T to 31 May 2028 = candidates + renewals booked in legacy; loaded P03 rows = candidates with the RA already sent; every January candidate urgent</t>
        </is>
      </c>
      <c r="H18" s="12" t="inlineStr">
        <is>
          <t>10 rows per tracker; every resubmitted row; at go-live 20 candidates per expiry month January-May 2028. Checked: RA date, reference and channel against the tracker; the candidate shows the RA already sent; January candidates urgent and in expiry-date order</t>
        </is>
      </c>
      <c r="I18" s="12" t="inlineStr">
        <is>
          <t>Head of the Renewal processing team</t>
        </is>
      </c>
      <c r="J18" s="12" t="n"/>
      <c r="K18" s="12" t="n"/>
      <c r="L18" s="12" t="n"/>
      <c r="M18" s="12" t="n"/>
      <c r="N18" s="12" t="n"/>
      <c r="O18" s="12" t="n"/>
      <c r="P18" s="12" t="n"/>
      <c r="Q18" s="25" t="n"/>
    </row>
    <row r="19">
      <c r="A19" s="12" t="inlineStr">
        <is>
          <t>F01</t>
        </is>
      </c>
      <c r="B19" s="12" t="inlineStr">
        <is>
          <t>Open legacy invoices (premium receivable, paid not remitted, commission receivable, PR2307), with components and insurer shares</t>
        </is>
      </c>
      <c r="C19" s="12" t="inlineStr">
        <is>
          <t>Invoices, share rows, component rows</t>
        </is>
      </c>
      <c r="D19" s="12" t="inlineStr">
        <is>
          <t>Booked, adjusted, paid, remitted, written off and open per component and currency</t>
        </is>
      </c>
      <c r="E19" s="12" t="inlineStr">
        <is>
          <t>Distinct invoice numbers</t>
        </is>
      </c>
      <c r="F19" s="12" t="inlineStr">
        <is>
          <t>Header fields, shares, every component and bucket</t>
        </is>
      </c>
      <c r="G19" s="12" t="inlineStr">
        <is>
          <t>L5: Premium Receivable, PR 2307, DTIP and Commission Receivable (legacy) against the legacy invoices; Migration Clearing 0.00</t>
        </is>
      </c>
      <c r="H19" s="12" t="inlineStr">
        <is>
          <t>20 largest open balances per currency; 30 random; 10 endorsement or cancellation invoices; 10 direct-payment; 10 with 2307; up to 20 foreign-currency. Checked on Invoice 360: LEGACY badge, source, legacy number, original values, booked / paid / remitted / open per component, shares; the Collections item of an open premium</t>
        </is>
      </c>
      <c r="I19" s="12" t="inlineStr">
        <is>
          <t>Head, Comptrollership</t>
        </is>
      </c>
      <c r="J19" s="12" t="n"/>
      <c r="K19" s="12" t="n"/>
      <c r="L19" s="12" t="n"/>
      <c r="M19" s="12" t="n"/>
      <c r="N19" s="12" t="n"/>
      <c r="O19" s="12" t="n"/>
      <c r="P19" s="12" t="n"/>
      <c r="Q19" s="25" t="n"/>
    </row>
    <row r="20">
      <c r="A20" s="12" t="inlineStr">
        <is>
          <t>F02</t>
        </is>
      </c>
      <c r="B20" s="12" t="inlineStr">
        <is>
          <t>Unapplied premium payments (UPP) with disposition in progress</t>
        </is>
      </c>
      <c r="C20" s="12" t="inlineStr">
        <is>
          <t>Unapplied payments received and loaded</t>
        </is>
      </c>
      <c r="D20" s="12" t="inlineStr">
        <is>
          <t>Amount and balance per currency</t>
        </is>
      </c>
      <c r="E20" s="12" t="inlineStr">
        <is>
          <t>Distinct unapplied payment references</t>
        </is>
      </c>
      <c r="F20" s="12" t="inlineStr">
        <is>
          <t>All fields, stage and disposition</t>
        </is>
      </c>
      <c r="G20" s="12" t="inlineStr">
        <is>
          <t>L5: Unapplied Collections (legacy) against the migrated balances</t>
        </is>
      </c>
      <c r="H20" s="12" t="inlineStr">
        <is>
          <t>20 largest balances; 20 random; every item with a disposition in progress (up to 30). Checked on the Unapplied workbench: legacy AR, amount, balance, tab, references, disposition</t>
        </is>
      </c>
      <c r="I20" s="12" t="inlineStr">
        <is>
          <t>Head, Comptrollership</t>
        </is>
      </c>
      <c r="J20" s="12" t="n"/>
      <c r="K20" s="12" t="n"/>
      <c r="L20" s="12" t="n"/>
      <c r="M20" s="12" t="n"/>
      <c r="N20" s="12" t="n"/>
      <c r="O20" s="12" t="n"/>
      <c r="P20" s="12" t="n"/>
      <c r="Q20" s="25" t="n"/>
    </row>
    <row r="21">
      <c r="A21" s="12" t="inlineStr">
        <is>
          <t>F03</t>
        </is>
      </c>
      <c r="B21" s="12" t="inlineStr">
        <is>
          <t>Open collection state (dispositions, promises to pay, installment plans, collector assignments)</t>
        </is>
      </c>
      <c r="C21" s="12" t="inlineStr">
        <is>
          <t>Rows per record type</t>
        </is>
      </c>
      <c r="D21" s="12" t="inlineStr">
        <is>
          <t>Promise, instalment, hold and cheque amounts per currency</t>
        </is>
      </c>
      <c r="E21" s="12" t="inlineStr">
        <is>
          <t>Distinct keys</t>
        </is>
      </c>
      <c r="F21" s="12" t="inlineStr">
        <is>
          <t>All fields</t>
        </is>
      </c>
      <c r="G21" s="12" t="inlineStr">
        <is>
          <t>Worklist items show the carried promises and assignments; holds and cheques visible in Remittance and Cashiering</t>
        </is>
      </c>
      <c r="H21" s="12" t="inlineStr">
        <is>
          <t>20 random rows per object. Checked: the promise and assignment on the Collections item; the hold or special request in Remittance; the cheque in the warehouse list</t>
        </is>
      </c>
      <c r="I21" s="12" t="inlineStr">
        <is>
          <t>Head, Operations (Collections)</t>
        </is>
      </c>
      <c r="J21" s="12" t="n"/>
      <c r="K21" s="12" t="n"/>
      <c r="L21" s="12" t="n"/>
      <c r="M21" s="12" t="n"/>
      <c r="N21" s="12" t="n"/>
      <c r="O21" s="12" t="n"/>
      <c r="P21" s="12" t="n"/>
      <c r="Q21" s="25" t="n"/>
    </row>
    <row r="22">
      <c r="A22" s="12" t="inlineStr">
        <is>
          <t>F04</t>
        </is>
      </c>
      <c r="B22" s="12" t="inlineStr">
        <is>
          <t>Remittance in flight (batches not yet paid, holds, special remittances)</t>
        </is>
      </c>
      <c r="C22" s="12" t="inlineStr">
        <is>
          <t>Rows per record type</t>
        </is>
      </c>
      <c r="D22" s="12" t="inlineStr">
        <is>
          <t>Promise, instalment, hold and cheque amounts per currency</t>
        </is>
      </c>
      <c r="E22" s="12" t="inlineStr">
        <is>
          <t>Distinct keys</t>
        </is>
      </c>
      <c r="F22" s="12" t="inlineStr">
        <is>
          <t>All fields</t>
        </is>
      </c>
      <c r="G22" s="12" t="inlineStr">
        <is>
          <t>Worklist items show the carried promises and assignments; holds and cheques visible in Remittance and Cashiering</t>
        </is>
      </c>
      <c r="H22" s="12" t="inlineStr">
        <is>
          <t>20 random rows per object. Checked: the promise and assignment on the Collections item; the hold or special request in Remittance; the cheque in the warehouse list</t>
        </is>
      </c>
      <c r="I22" s="12" t="inlineStr">
        <is>
          <t>Operations - Remittance</t>
        </is>
      </c>
      <c r="J22" s="12" t="n"/>
      <c r="K22" s="12" t="n"/>
      <c r="L22" s="12" t="n"/>
      <c r="M22" s="12" t="n"/>
      <c r="N22" s="12" t="n"/>
      <c r="O22" s="12" t="n"/>
      <c r="P22" s="12" t="n"/>
      <c r="Q22" s="25" t="n"/>
    </row>
    <row r="23">
      <c r="A23" s="12" t="inlineStr">
        <is>
          <t>F06</t>
        </is>
      </c>
      <c r="B23" s="12" t="inlineStr">
        <is>
          <t>PDCs in the warehouse, check pick-ups and refunds in process</t>
        </is>
      </c>
      <c r="C23" s="12" t="inlineStr">
        <is>
          <t>Rows per record type</t>
        </is>
      </c>
      <c r="D23" s="12" t="inlineStr">
        <is>
          <t>Promise, instalment, hold and cheque amounts per currency</t>
        </is>
      </c>
      <c r="E23" s="12" t="inlineStr">
        <is>
          <t>Distinct keys</t>
        </is>
      </c>
      <c r="F23" s="12" t="inlineStr">
        <is>
          <t>All fields</t>
        </is>
      </c>
      <c r="G23" s="12" t="inlineStr">
        <is>
          <t>Worklist items show the carried promises and assignments; holds and cheques visible in Remittance and Cashiering</t>
        </is>
      </c>
      <c r="H23" s="12" t="inlineStr">
        <is>
          <t>20 random rows per object. Checked: the promise and assignment on the Collections item; the hold or special request in Remittance; the cheque in the warehouse list</t>
        </is>
      </c>
      <c r="I23" s="12" t="inlineStr">
        <is>
          <t>Operations - Cashiering</t>
        </is>
      </c>
      <c r="J23" s="12" t="n"/>
      <c r="K23" s="12" t="n"/>
      <c r="L23" s="12" t="n"/>
      <c r="M23" s="12" t="n"/>
      <c r="N23" s="12" t="n"/>
      <c r="O23" s="12" t="n"/>
      <c r="P23" s="12" t="n"/>
      <c r="Q23" s="25" t="n"/>
    </row>
    <row r="24">
      <c r="A24" s="12" t="inlineStr">
        <is>
          <t>G01</t>
        </is>
      </c>
      <c r="B24" s="12" t="inlineStr">
        <is>
          <t>GL trial balance per account, branch and currency (provisional opening; legacy TB at each true-up)</t>
        </is>
      </c>
      <c r="C24" s="12" t="inlineStr">
        <is>
          <t>Trial balance lines</t>
        </is>
      </c>
      <c r="D24" s="12" t="inlineStr">
        <is>
          <t>Debit and credit per branch and currency, in currency and in PHP</t>
        </is>
      </c>
      <c r="E24" s="12" t="inlineStr">
        <is>
          <t>Lines per branch</t>
        </is>
      </c>
      <c r="F24" s="12" t="inlineStr">
        <is>
          <t>Account, branch, currency and amounts per line</t>
        </is>
      </c>
      <c r="G24" s="12" t="inlineStr">
        <is>
          <t>Provisional opening: balance sheet in BIBS = preliminary December TB per branch and currency; FY2027 result on retained earnings; P&amp;L accounts 0.00; Migration Clearing 0.00</t>
        </is>
      </c>
      <c r="H24" s="12" t="inlineStr">
        <is>
          <t>Every branch and currency total; the 20 largest account lines; retained earnings per branch. Checked: the BIBS trial balance against the signed preliminary trial balance; P&amp;L accounts at 0.00</t>
        </is>
      </c>
      <c r="I24" s="12" t="inlineStr">
        <is>
          <t>Head, Comptrollership</t>
        </is>
      </c>
      <c r="J24" s="12" t="n"/>
      <c r="K24" s="12" t="n"/>
      <c r="L24" s="12" t="n"/>
      <c r="M24" s="12" t="n"/>
      <c r="N24" s="12" t="n"/>
      <c r="O24" s="12" t="n"/>
      <c r="P24" s="12" t="n"/>
      <c r="Q24" s="25" t="n"/>
    </row>
    <row r="25">
      <c r="A25" s="12" t="inlineStr">
        <is>
          <t>G03</t>
        </is>
      </c>
      <c r="B25" s="12" t="inlineStr">
        <is>
          <t>FY2027 opening-balance true-ups (legacy adjustment journals after the freeze and their open-item detail)</t>
        </is>
      </c>
      <c r="C25" s="12" t="inlineStr">
        <is>
          <t>Journal lines and detail lines per true-up</t>
        </is>
      </c>
      <c r="D25" s="12" t="inlineStr">
        <is>
          <t>Debit and credit per branch and currency; detail per account</t>
        </is>
      </c>
      <c r="E25" s="12" t="inlineStr">
        <is>
          <t>Distinct legacy journals</t>
        </is>
      </c>
      <c r="F25" s="12" t="inlineStr">
        <is>
          <t>Account, branch, currency, amounts; item and component of each detail line</t>
        </is>
      </c>
      <c r="G25" s="12" t="inlineStr">
        <is>
          <t>True-up reconciliation: cut-off, movement, balance, Migration Clearing and sub-ledgers, opening period</t>
        </is>
      </c>
      <c r="H25" s="12" t="inlineStr">
        <is>
          <t>Every journal of the true-up; every detail line on a legacy control account. Checked: journal inquiry (MIG-TU-n) against the legacy journal and the register; Invoice 360 or the Unapplied workbench for the item adjusted</t>
        </is>
      </c>
      <c r="I25" s="12" t="inlineStr">
        <is>
          <t>Head, Comptrollership</t>
        </is>
      </c>
      <c r="J25" s="12" t="n"/>
      <c r="K25" s="12" t="n"/>
      <c r="L25" s="12" t="n"/>
      <c r="M25" s="12" t="n"/>
      <c r="N25" s="12" t="n"/>
      <c r="O25" s="12" t="n"/>
      <c r="P25" s="12" t="n"/>
      <c r="Q25" s="25" t="n"/>
    </row>
    <row r="26">
      <c r="A26" s="12" t="inlineStr">
        <is>
          <t>H01</t>
        </is>
      </c>
      <c r="B26" s="12" t="inlineStr">
        <is>
          <t>Closed transactions (paid and remitted invoices, receipts, remittances, endorsements, claims, renewal advices, letters)</t>
        </is>
      </c>
      <c r="C26" s="12" t="inlineStr">
        <is>
          <t>Records per record type; documents</t>
        </is>
      </c>
      <c r="D26" s="12" t="inlineStr">
        <is>
          <t>Amount per record type and currency</t>
        </is>
      </c>
      <c r="E26" s="12" t="inlineStr">
        <is>
          <t>Distinct keys per record type; SHA-256 per document</t>
        </is>
      </c>
      <c r="F26" s="12" t="inlineStr">
        <is>
          <t>Labelled legacy columns</t>
        </is>
      </c>
      <c r="G26" s="12" t="inlineStr">
        <is>
          <t>Samples found in Legacy Inquiry with their documents</t>
        </is>
      </c>
      <c r="H26" s="12" t="inlineStr">
        <is>
          <t>10 records per record type; 10 documents. Checked: Legacy Inquiry search by the legacy key; labelled columns; the document opens and matches its checksum</t>
        </is>
      </c>
      <c r="I26" s="12" t="inlineStr">
        <is>
          <t>Audit / Compliance; legacy system owners</t>
        </is>
      </c>
      <c r="J26" s="12" t="n"/>
      <c r="K26" s="12" t="n"/>
      <c r="L26" s="12" t="n"/>
      <c r="M26" s="12" t="n"/>
      <c r="N26" s="12" t="n"/>
      <c r="O26" s="12" t="n"/>
      <c r="P26" s="12" t="n"/>
      <c r="Q26" s="25" t="n"/>
    </row>
    <row r="27">
      <c r="A27" s="12" t="inlineStr">
        <is>
          <t>H02</t>
        </is>
      </c>
      <c r="B27" s="12" t="inlineStr">
        <is>
          <t>Legacy documents (policies, SOAs, ORs, certificates, letters)</t>
        </is>
      </c>
      <c r="C27" s="12" t="inlineStr">
        <is>
          <t>Records per record type; documents</t>
        </is>
      </c>
      <c r="D27" s="12" t="inlineStr">
        <is>
          <t>Amount per record type and currency</t>
        </is>
      </c>
      <c r="E27" s="12" t="inlineStr">
        <is>
          <t>Distinct keys per record type; SHA-256 per document</t>
        </is>
      </c>
      <c r="F27" s="12" t="inlineStr">
        <is>
          <t>Labelled legacy columns</t>
        </is>
      </c>
      <c r="G27" s="12" t="inlineStr">
        <is>
          <t>Samples found in Legacy Inquiry with their documents</t>
        </is>
      </c>
      <c r="H27" s="12" t="inlineStr">
        <is>
          <t>10 records per record type; 10 documents. Checked: Legacy Inquiry search by the legacy key; labelled columns; the document opens and matches its checksum</t>
        </is>
      </c>
      <c r="I27" s="12" t="inlineStr">
        <is>
          <t>Audit / Compliance</t>
        </is>
      </c>
      <c r="J27" s="12" t="n"/>
      <c r="K27" s="12" t="n"/>
      <c r="L27" s="12" t="n"/>
      <c r="M27" s="12" t="n"/>
      <c r="N27" s="12" t="n"/>
      <c r="O27" s="12" t="n"/>
      <c r="P27" s="12" t="n"/>
      <c r="Q27" s="25" t="n"/>
    </row>
  </sheetData>
  <autoFilter ref="A4:Q27"/>
  <mergeCells count="1">
    <mergeCell ref="A2:Q2"/>
  </mergeCells>
  <conditionalFormatting sqref="A5:Q527">
    <cfRule type="expression" priority="1" dxfId="0">
      <formula>AND(MOD(ROW(),2)=0,$A5&lt;&gt;"")</formula>
    </cfRule>
  </conditionalFormatting>
  <dataValidations count="4">
    <dataValidation sqref="J5:J527" showDropDown="0" showInputMessage="0" showErrorMessage="1" allowBlank="1" errorTitle="Run" error="Choose a value from the list (Run)." type="list">
      <formula1>'_lists'!$U$1:$U$6</formula1>
    </dataValidation>
    <dataValidation sqref="K5:K527" showDropDown="0" showInputMessage="0" showErrorMessage="1" allowBlank="1" errorTitle="Result" error="Choose a value from the list (Result)." type="list">
      <formula1>'_lists'!$V$1:$V$3</formula1>
    </dataValidation>
    <dataValidation sqref="N5:N527" showDropDown="0" showInputMessage="0" showErrorMessage="1" allowBlank="1" errorTitle="BU review" error="Choose a value from the list (BU review)." type="list">
      <formula1>'_lists'!$W$1:$W$3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7.xml><?xml version="1.0" encoding="utf-8"?>
<worksheet xmlns="http://schemas.openxmlformats.org/spreadsheetml/2006/main">
  <sheetPr>
    <outlinePr summaryBelow="1" summaryRight="1"/>
    <pageSetUpPr fitToPage="1"/>
  </sheetPr>
  <dimension ref="A1:I4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22" customWidth="1" min="3" max="3"/>
    <col width="56" customWidth="1" min="4" max="4"/>
    <col width="26" customWidth="1" min="5" max="5"/>
    <col width="20" customWidth="1" min="6" max="6"/>
    <col width="22" customWidth="1" min="7" max="7"/>
    <col width="13" customWidth="1" min="8" max="8"/>
    <col width="44" customWidth="1" min="9" max="9"/>
  </cols>
  <sheetData>
    <row r="1" ht="24" customHeight="1">
      <c r="A1" s="19" t="inlineStr">
        <is>
          <t>Open decisions</t>
        </is>
      </c>
    </row>
    <row r="2">
      <c r="A2" s="22" t="inlineStr">
        <is>
          <t>Decisions of BDOI that the migration waits for, with the date each is needed by</t>
        </is>
      </c>
    </row>
    <row r="3" ht="6" customHeight="1">
      <c r="A3" s="23" t="n"/>
      <c r="B3" s="23" t="n"/>
      <c r="C3" s="23" t="n"/>
      <c r="D3" s="23" t="n"/>
      <c r="E3" s="23" t="n"/>
      <c r="F3" s="23" t="n"/>
      <c r="G3" s="23" t="n"/>
      <c r="H3" s="23" t="n"/>
      <c r="I3" s="23" t="n"/>
    </row>
    <row r="4" ht="30" customHeight="1">
      <c r="A4" s="24" t="inlineStr">
        <is>
          <t>ID</t>
        </is>
      </c>
      <c r="B4" s="24" t="inlineStr">
        <is>
          <t>Register</t>
        </is>
      </c>
      <c r="C4" s="24" t="inlineStr">
        <is>
          <t>Topic</t>
        </is>
      </c>
      <c r="D4" s="24" t="inlineStr">
        <is>
          <t>Decision needed</t>
        </is>
      </c>
      <c r="E4" s="24" t="inlineStr">
        <is>
          <t>What waits for it</t>
        </is>
      </c>
      <c r="F4" s="24" t="inlineStr">
        <is>
          <t>Needed by</t>
        </is>
      </c>
      <c r="G4" s="24" t="inlineStr">
        <is>
          <t>BDOI owner</t>
        </is>
      </c>
      <c r="H4" s="24" t="inlineStr">
        <is>
          <t>Status</t>
        </is>
      </c>
      <c r="I4" s="24" t="inlineStr">
        <is>
          <t>Answer</t>
        </is>
      </c>
    </row>
    <row r="5">
      <c r="A5" s="12" t="inlineStr">
        <is>
          <t>DCR-189</t>
        </is>
      </c>
      <c r="B5" s="12" t="inlineStr">
        <is>
          <t>DCR-189</t>
        </is>
      </c>
      <c r="C5" s="12" t="inlineStr">
        <is>
          <t>BRD sign-off</t>
        </is>
      </c>
      <c r="D5" s="12" t="inlineStr">
        <is>
          <t>The Data Migration BRD was a draft v0.01 without signatures; when is it walked through and signed, and by whom</t>
        </is>
      </c>
      <c r="E5" s="12" t="inlineStr">
        <is>
          <t>Baseline of this set; Handbook re-issue</t>
        </is>
      </c>
      <c r="F5" s="12" t="inlineStr">
        <is>
          <t>M1 (16 Oct 2026)</t>
        </is>
      </c>
      <c r="G5" s="12" t="inlineStr">
        <is>
          <t>Program Manager</t>
        </is>
      </c>
      <c r="H5" s="75" t="inlineStr">
        <is>
          <t>PARTIAL</t>
        </is>
      </c>
      <c r="I5" s="12" t="inlineStr">
        <is>
          <t>BRD V0.03 received 8-Oct-2026, signed 15-19 May 2026 after the IT and business walkthroughs; this set is re-based on it (release set v2.1). BDOI confirms V0.03 as the baseline and the annex of agreed deviations (CLR-DM-01, DM-Q01, DM-Q02)</t>
        </is>
      </c>
    </row>
    <row r="6">
      <c r="A6" s="12" t="inlineStr">
        <is>
          <t>DCR-173</t>
        </is>
      </c>
      <c r="B6" s="12" t="inlineStr">
        <is>
          <t>DCR-173</t>
        </is>
      </c>
      <c r="C6" s="12" t="inlineStr">
        <is>
          <t>Client migration period and daily client batches</t>
        </is>
      </c>
      <c r="D6" s="12" t="inlineStr">
        <is>
          <t>Umbrella BRD p.43 asks for a one-time client migration 'from Broker and source, 2020 to present' and daily midday / EOD client batches with a modification report. Confirm the period and filter (DMQ05), the source systems, and that the daily batches run only until the freeze (proposal) and not as a feed after go-live</t>
        </is>
      </c>
      <c r="E6" s="12" t="inlineStr">
        <is>
          <t>C01 scope and delta extracts; client migration</t>
        </is>
      </c>
      <c r="F6" s="12" t="inlineStr">
        <is>
          <t>M1 (16 Oct 2026)</t>
        </is>
      </c>
      <c r="G6" s="12" t="inlineStr">
        <is>
          <t>Product Owner, MBS</t>
        </is>
      </c>
      <c r="H6" s="75" t="inlineStr">
        <is>
          <t>OPEN</t>
        </is>
      </c>
      <c r="I6" s="12" t="inlineStr"/>
    </row>
    <row r="7">
      <c r="A7" s="12" t="inlineStr">
        <is>
          <t>DMQ01</t>
        </is>
      </c>
      <c r="B7" s="12" t="inlineStr">
        <is>
          <t>DCR-195</t>
        </is>
      </c>
      <c r="C7" s="12" t="inlineStr">
        <is>
          <t>Data object inventory</t>
        </is>
      </c>
      <c r="D7" s="12" t="inlineStr">
        <is>
          <t>Confirm the objects, classes and source systems of the register; name the business owner and data steward per object</t>
        </is>
      </c>
      <c r="E7" s="12" t="inlineStr">
        <is>
          <t>All objects; gate G1</t>
        </is>
      </c>
      <c r="F7" s="12" t="inlineStr">
        <is>
          <t>M2 (30 Oct 2026)</t>
        </is>
      </c>
      <c r="G7" s="12" t="inlineStr">
        <is>
          <t>Program Manager</t>
        </is>
      </c>
      <c r="H7" s="75" t="inlineStr">
        <is>
          <t>OPEN</t>
        </is>
      </c>
      <c r="I7" s="12" t="inlineStr"/>
    </row>
    <row r="8">
      <c r="A8" s="12" t="inlineStr">
        <is>
          <t>DMQ02</t>
        </is>
      </c>
      <c r="B8" s="12" t="inlineStr">
        <is>
          <t>DCR-192</t>
        </is>
      </c>
      <c r="C8" s="12" t="inlineStr">
        <is>
          <t>Decision rule</t>
        </is>
      </c>
      <c r="D8" s="12" t="inlineStr">
        <is>
          <t>Confirm who rates the four criteria, who approves, and the rule that turns ratings into a class (proposal in Handbook Part A, the decision gate)</t>
        </is>
      </c>
      <c r="E8" s="12" t="inlineStr">
        <is>
          <t>Gate G1</t>
        </is>
      </c>
      <c r="F8" s="12" t="inlineStr">
        <is>
          <t>M2 (30 Oct 2026)</t>
        </is>
      </c>
      <c r="G8" s="12" t="inlineStr">
        <is>
          <t>Program Manager</t>
        </is>
      </c>
      <c r="H8" s="75" t="inlineStr">
        <is>
          <t>OPEN</t>
        </is>
      </c>
      <c r="I8" s="12" t="inlineStr"/>
    </row>
    <row r="9">
      <c r="A9" s="12" t="inlineStr">
        <is>
          <t>DMQ03</t>
        </is>
      </c>
      <c r="B9" s="12" t="inlineStr">
        <is>
          <t>DCR-195</t>
        </is>
      </c>
      <c r="C9" s="12" t="inlineStr">
        <is>
          <t>Source systems</t>
        </is>
      </c>
      <c r="D9" s="12" t="inlineStr">
        <is>
          <t>Confirm the systems in scope (EBIX, QPS, ISYS, CMS, Excel) and the system of record per object where two hold it</t>
        </is>
      </c>
      <c r="E9" s="12" t="inlineStr">
        <is>
          <t>All layouts</t>
        </is>
      </c>
      <c r="F9" s="12" t="inlineStr">
        <is>
          <t>M1 (16 Oct 2026)</t>
        </is>
      </c>
      <c r="G9" s="12" t="inlineStr">
        <is>
          <t>BDOI IT</t>
        </is>
      </c>
      <c r="H9" s="75" t="inlineStr">
        <is>
          <t>OPEN</t>
        </is>
      </c>
      <c r="I9" s="12" t="inlineStr"/>
    </row>
    <row r="10">
      <c r="A10" s="12" t="inlineStr">
        <is>
          <t>DMQ04</t>
        </is>
      </c>
      <c r="B10" s="12" t="inlineStr">
        <is>
          <t>-</t>
        </is>
      </c>
      <c r="C10" s="12" t="inlineStr">
        <is>
          <t>Client dedupe keys</t>
        </is>
      </c>
      <c r="D10" s="12" t="inlineStr">
        <is>
          <t>Agreed keys (is the bank CIF a key?), survivorship per field, who reviews doubtful matches and within what time</t>
        </is>
      </c>
      <c r="E10" s="12" t="inlineStr">
        <is>
          <t>C01 matching</t>
        </is>
      </c>
      <c r="F10" s="12" t="inlineStr">
        <is>
          <t>M2 (30 Oct 2026)</t>
        </is>
      </c>
      <c r="G10" s="12" t="inlineStr">
        <is>
          <t>Product Owner, MBS</t>
        </is>
      </c>
      <c r="H10" s="75" t="inlineStr">
        <is>
          <t>OPEN</t>
        </is>
      </c>
      <c r="I10" s="12" t="inlineStr"/>
    </row>
    <row r="11">
      <c r="A11" s="12" t="inlineStr">
        <is>
          <t>DMQ05</t>
        </is>
      </c>
      <c r="B11" s="12" t="inlineStr">
        <is>
          <t>-</t>
        </is>
      </c>
      <c r="C11" s="12" t="inlineStr">
        <is>
          <t>Client scope</t>
        </is>
      </c>
      <c r="D11" s="12" t="inlineStr">
        <is>
          <t>All clients since 2020, or only those with an in-force policy, open item or activity since a date; prospects; corporate contacts</t>
        </is>
      </c>
      <c r="E11" s="12" t="inlineStr">
        <is>
          <t>C01 volumes; filter</t>
        </is>
      </c>
      <c r="F11" s="12" t="inlineStr">
        <is>
          <t>M2 (30 Oct 2026)</t>
        </is>
      </c>
      <c r="G11" s="12" t="inlineStr">
        <is>
          <t>Product Owner, MBS</t>
        </is>
      </c>
      <c r="H11" s="75" t="inlineStr">
        <is>
          <t>PARTIAL</t>
        </is>
      </c>
      <c r="I11" s="12" t="inlineStr"/>
    </row>
    <row r="12">
      <c r="A12" s="12" t="inlineStr">
        <is>
          <t>DMQ06</t>
        </is>
      </c>
      <c r="B12" s="12" t="inlineStr">
        <is>
          <t>DCR-208</t>
        </is>
      </c>
      <c r="C12" s="12" t="inlineStr">
        <is>
          <t>Screening of migrated clients</t>
        </is>
      </c>
      <c r="D12" s="12" t="inlineStr">
        <is>
          <t>One full screening run after the load instead of per client; legacy results archived</t>
        </is>
      </c>
      <c r="E12" s="12" t="inlineStr">
        <is>
          <t>C01 load; cutover task CT-050</t>
        </is>
      </c>
      <c r="F12" s="12" t="inlineStr">
        <is>
          <t>M2 (30 Oct 2026)</t>
        </is>
      </c>
      <c r="G12" s="12" t="inlineStr">
        <is>
          <t>Compliance</t>
        </is>
      </c>
      <c r="H12" s="75" t="inlineStr">
        <is>
          <t>OPEN</t>
        </is>
      </c>
      <c r="I12" s="12" t="inlineStr"/>
    </row>
    <row r="13">
      <c r="A13" s="12" t="inlineStr">
        <is>
          <t>DMQ07</t>
        </is>
      </c>
      <c r="B13" s="12" t="inlineStr">
        <is>
          <t>-</t>
        </is>
      </c>
      <c r="C13" s="12" t="inlineStr">
        <is>
          <t>KYC documents</t>
        </is>
      </c>
      <c r="D13" s="12" t="inlineStr">
        <is>
          <t>Migrate as attachments or archive; KYC status and review dates</t>
        </is>
      </c>
      <c r="E13" s="12" t="inlineStr">
        <is>
          <t>C04, H02</t>
        </is>
      </c>
      <c r="F13" s="12" t="inlineStr">
        <is>
          <t>M2 (30 Oct 2026)</t>
        </is>
      </c>
      <c r="G13" s="12" t="inlineStr">
        <is>
          <t>Compliance</t>
        </is>
      </c>
      <c r="H13" s="75" t="inlineStr">
        <is>
          <t>OPEN</t>
        </is>
      </c>
      <c r="I13" s="12" t="inlineStr"/>
    </row>
    <row r="14">
      <c r="A14" s="12" t="inlineStr">
        <is>
          <t>DMQ08</t>
        </is>
      </c>
      <c r="B14" s="12" t="inlineStr">
        <is>
          <t>-</t>
        </is>
      </c>
      <c r="C14" s="12" t="inlineStr">
        <is>
          <t>Code map owners</t>
        </is>
      </c>
      <c r="D14" s="12" t="inlineStr">
        <is>
          <t>Owner and signer per map set; MIS fields required</t>
        </is>
      </c>
      <c r="E14" s="12" t="inlineStr">
        <is>
          <t>Gate G2; all map sets</t>
        </is>
      </c>
      <c r="F14" s="12" t="inlineStr">
        <is>
          <t>M2 (30 Oct 2026)</t>
        </is>
      </c>
      <c r="G14" s="12" t="inlineStr">
        <is>
          <t>Product Owner, MBS</t>
        </is>
      </c>
      <c r="H14" s="75" t="inlineStr">
        <is>
          <t>OPEN</t>
        </is>
      </c>
      <c r="I14" s="12" t="inlineStr"/>
    </row>
    <row r="15">
      <c r="A15" s="12" t="inlineStr">
        <is>
          <t>DMQ09</t>
        </is>
      </c>
      <c r="B15" s="12" t="inlineStr">
        <is>
          <t>DCR-194</t>
        </is>
      </c>
      <c r="C15" s="12" t="inlineStr">
        <is>
          <t>In-force header condition</t>
        </is>
      </c>
      <c r="D15" s="12" t="inlineStr">
        <is>
          <t>All in-force policies, or only those with open legacy invoices or that may be endorsed or claimed; the header fields</t>
        </is>
      </c>
      <c r="E15" s="12" t="inlineStr">
        <is>
          <t>P01, P01S; endorsements BRID_MIG 9</t>
        </is>
      </c>
      <c r="F15" s="12" t="inlineStr">
        <is>
          <t>M1 (16 Oct 2026)</t>
        </is>
      </c>
      <c r="G15" s="12" t="inlineStr">
        <is>
          <t>Head, Operations</t>
        </is>
      </c>
      <c r="H15" s="75" t="inlineStr">
        <is>
          <t>OPEN</t>
        </is>
      </c>
      <c r="I15" s="12" t="inlineStr"/>
    </row>
    <row r="16">
      <c r="A16" s="12" t="inlineStr">
        <is>
          <t>DMQ10</t>
        </is>
      </c>
      <c r="B16" s="12" t="inlineStr">
        <is>
          <t>-</t>
        </is>
      </c>
      <c r="C16" s="12" t="inlineStr">
        <is>
          <t>Legacy invoice scope</t>
        </is>
      </c>
      <c r="D16" s="12" t="inlineStr">
        <is>
          <t>Which invoices carry forward (open PR, paid not remitted, open commission, open PR2307); zero-balance invoices of in-force policies for endorsement; history depth</t>
        </is>
      </c>
      <c r="E16" s="12" t="inlineStr">
        <is>
          <t>F01</t>
        </is>
      </c>
      <c r="F16" s="12" t="inlineStr">
        <is>
          <t>M1 (16 Oct 2026)</t>
        </is>
      </c>
      <c r="G16" s="12" t="inlineStr">
        <is>
          <t>Operations - Financial Transactions</t>
        </is>
      </c>
      <c r="H16" s="75" t="inlineStr">
        <is>
          <t>OPEN</t>
        </is>
      </c>
      <c r="I16" s="12" t="inlineStr"/>
    </row>
    <row r="17">
      <c r="A17" s="12" t="inlineStr">
        <is>
          <t>DMQ11</t>
        </is>
      </c>
      <c r="B17" s="12" t="inlineStr">
        <is>
          <t>DCR-207</t>
        </is>
      </c>
      <c r="C17" s="12" t="inlineStr">
        <is>
          <t>Invoice numbers</t>
        </is>
      </c>
      <c r="D17" s="12" t="inlineStr">
        <is>
          <t>Are EBIX and QPS invoice numbers unique across both systems; QPS invoice format</t>
        </is>
      </c>
      <c r="E17" s="12" t="inlineStr">
        <is>
          <t>F01 keys; payment matching</t>
        </is>
      </c>
      <c r="F17" s="12" t="inlineStr">
        <is>
          <t>M1 (16 Oct 2026)</t>
        </is>
      </c>
      <c r="G17" s="12" t="inlineStr">
        <is>
          <t>BDOI IT</t>
        </is>
      </c>
      <c r="H17" s="75" t="inlineStr">
        <is>
          <t>OPEN</t>
        </is>
      </c>
      <c r="I17" s="12" t="inlineStr"/>
    </row>
    <row r="18">
      <c r="A18" s="12" t="inlineStr">
        <is>
          <t>DMQ12</t>
        </is>
      </c>
      <c r="B18" s="12" t="inlineStr">
        <is>
          <t>DCR-207</t>
        </is>
      </c>
      <c r="C18" s="12" t="inlineStr">
        <is>
          <t>Components and shares</t>
        </is>
      </c>
      <c r="D18" s="12" t="inlineStr">
        <is>
          <t>Can legacy give open balances per component and per insurer share; if not which split rule</t>
        </is>
      </c>
      <c r="E18" s="12" t="inlineStr">
        <is>
          <t>F01C</t>
        </is>
      </c>
      <c r="F18" s="12" t="inlineStr">
        <is>
          <t>M1 (16 Oct 2026)</t>
        </is>
      </c>
      <c r="G18" s="12" t="inlineStr">
        <is>
          <t>BDOI IT; Comptrollership</t>
        </is>
      </c>
      <c r="H18" s="75" t="inlineStr">
        <is>
          <t>OPEN</t>
        </is>
      </c>
      <c r="I18" s="12" t="inlineStr"/>
    </row>
    <row r="19">
      <c r="A19" s="12" t="inlineStr">
        <is>
          <t>DMQ13</t>
        </is>
      </c>
      <c r="B19" s="12" t="inlineStr">
        <is>
          <t>-</t>
        </is>
      </c>
      <c r="C19" s="12" t="inlineStr">
        <is>
          <t>Commission state</t>
        </is>
      </c>
      <c r="D19" s="12" t="inlineStr">
        <is>
          <t>Realised / unrealised commission, deferred output VAT, commission collected by remittance, per invoice</t>
        </is>
      </c>
      <c r="E19" s="12" t="inlineStr">
        <is>
          <t>F01 opening entry</t>
        </is>
      </c>
      <c r="F19" s="12" t="inlineStr">
        <is>
          <t>M1 (16 Oct 2026)</t>
        </is>
      </c>
      <c r="G19" s="12" t="inlineStr">
        <is>
          <t>Head, Comptrollership</t>
        </is>
      </c>
      <c r="H19" s="75" t="inlineStr">
        <is>
          <t>OPEN</t>
        </is>
      </c>
      <c r="I19" s="12" t="inlineStr"/>
    </row>
    <row r="20">
      <c r="A20" s="12" t="inlineStr">
        <is>
          <t>DMQ14</t>
        </is>
      </c>
      <c r="B20" s="12" t="inlineStr">
        <is>
          <t>DCR-204</t>
        </is>
      </c>
      <c r="C20" s="12" t="inlineStr">
        <is>
          <t>UPP receipt and statuses</t>
        </is>
      </c>
      <c r="D20" s="12" t="inlineStr">
        <is>
          <t>New BIBS AR, reprint of the legacy AR, or none for a migrated UPP; legacy UPP statuses and dispositions in progress</t>
        </is>
      </c>
      <c r="E20" s="12" t="inlineStr">
        <is>
          <t>F02</t>
        </is>
      </c>
      <c r="F20" s="12" t="inlineStr">
        <is>
          <t>M1 (16 Oct 2026)</t>
        </is>
      </c>
      <c r="G20" s="12" t="inlineStr">
        <is>
          <t>Operations - Financial Transactions</t>
        </is>
      </c>
      <c r="H20" s="75" t="inlineStr">
        <is>
          <t>OPEN</t>
        </is>
      </c>
      <c r="I20" s="12" t="inlineStr"/>
    </row>
    <row r="21">
      <c r="A21" s="12" t="inlineStr">
        <is>
          <t>DMQ15</t>
        </is>
      </c>
      <c r="B21" s="12" t="inlineStr">
        <is>
          <t>-</t>
        </is>
      </c>
      <c r="C21" s="12" t="inlineStr">
        <is>
          <t>UPP matching references</t>
        </is>
      </c>
      <c r="D21" s="12" t="inlineStr">
        <is>
          <t>References held per UPP; automatch rerun frequency after cutover</t>
        </is>
      </c>
      <c r="E21" s="12" t="inlineStr">
        <is>
          <t>F02 ref_ columns</t>
        </is>
      </c>
      <c r="F21" s="12" t="inlineStr">
        <is>
          <t>M2 (30 Oct 2026)</t>
        </is>
      </c>
      <c r="G21" s="12" t="inlineStr">
        <is>
          <t>Operations - Financial Transactions</t>
        </is>
      </c>
      <c r="H21" s="75" t="inlineStr">
        <is>
          <t>OPEN</t>
        </is>
      </c>
      <c r="I21" s="12" t="inlineStr"/>
    </row>
    <row r="22">
      <c r="A22" s="12" t="inlineStr">
        <is>
          <t>DMQ16</t>
        </is>
      </c>
      <c r="B22" s="12" t="inlineStr">
        <is>
          <t>DCR-198, DCR-205</t>
        </is>
      </c>
      <c r="C22" s="12" t="inlineStr">
        <is>
          <t>Reclassification to income</t>
        </is>
      </c>
      <c r="D22" s="12" t="inlineStr">
        <is>
          <t>Who is top management; criteria, frequency, GL account, customer notice, reversal</t>
        </is>
      </c>
      <c r="E22" s="12" t="inlineStr">
        <is>
          <t>FR-DM-055 configuration</t>
        </is>
      </c>
      <c r="F22" s="12" t="inlineStr">
        <is>
          <t>M2 (30 Oct 2026)</t>
        </is>
      </c>
      <c r="G22" s="12" t="inlineStr">
        <is>
          <t>Head, Comptrollership</t>
        </is>
      </c>
      <c r="H22" s="75" t="inlineStr">
        <is>
          <t>OPEN</t>
        </is>
      </c>
      <c r="I22" s="12" t="inlineStr"/>
    </row>
    <row r="23">
      <c r="A23" s="12" t="inlineStr">
        <is>
          <t>DMQ17</t>
        </is>
      </c>
      <c r="B23" s="12" t="inlineStr">
        <is>
          <t>-</t>
        </is>
      </c>
      <c r="C23" s="12" t="inlineStr">
        <is>
          <t>Legacy UPP refunds</t>
        </is>
      </c>
      <c r="D23" s="12" t="inlineStr">
        <is>
          <t>Same approvers and Disbursement flow as new UPP refunds</t>
        </is>
      </c>
      <c r="E23" s="12" t="inlineStr">
        <is>
          <t>FR-DM-054 configuration</t>
        </is>
      </c>
      <c r="F23" s="12" t="inlineStr">
        <is>
          <t>M2 (30 Oct 2026)</t>
        </is>
      </c>
      <c r="G23" s="12" t="inlineStr">
        <is>
          <t>Operations - Financial Transactions</t>
        </is>
      </c>
      <c r="H23" s="75" t="inlineStr">
        <is>
          <t>OPEN</t>
        </is>
      </c>
      <c r="I23" s="12" t="inlineStr"/>
    </row>
    <row r="24">
      <c r="A24" s="12" t="inlineStr">
        <is>
          <t>DMQ18</t>
        </is>
      </c>
      <c r="B24" s="12" t="inlineStr">
        <is>
          <t>DCR-197</t>
        </is>
      </c>
      <c r="C24" s="12" t="inlineStr">
        <is>
          <t>Legacy sub-ledgers and GL</t>
        </is>
      </c>
      <c r="D24" s="12" t="inlineStr">
        <is>
          <t>Separate legacy control accounts and Migration Clearing; end state after run-off; whole opening TB per branch and currency; GL ageing of legacy PR</t>
        </is>
      </c>
      <c r="E24" s="12" t="inlineStr">
        <is>
          <t>R08, G01; accounting rules</t>
        </is>
      </c>
      <c r="F24" s="12" t="inlineStr">
        <is>
          <t>M1 (16 Oct 2026)</t>
        </is>
      </c>
      <c r="G24" s="12" t="inlineStr">
        <is>
          <t>Head, Comptrollership</t>
        </is>
      </c>
      <c r="H24" s="75" t="inlineStr">
        <is>
          <t>OPEN</t>
        </is>
      </c>
      <c r="I24" s="12" t="inlineStr"/>
    </row>
    <row r="25">
      <c r="A25" s="12" t="inlineStr">
        <is>
          <t>DMQ19</t>
        </is>
      </c>
      <c r="B25" s="12" t="inlineStr">
        <is>
          <t>DCR-198, DCR-206</t>
        </is>
      </c>
      <c r="C25" s="12" t="inlineStr">
        <is>
          <t>DPPR</t>
        </is>
      </c>
      <c r="D25" s="12" t="inlineStr">
        <is>
          <t>Definition, entries including Commission Receivable, source of the approved list, approver</t>
        </is>
      </c>
      <c r="E25" s="12" t="inlineStr">
        <is>
          <t>FR-DM-070 rules</t>
        </is>
      </c>
      <c r="F25" s="12" t="inlineStr">
        <is>
          <t>M2 (30 Oct 2026)</t>
        </is>
      </c>
      <c r="G25" s="12" t="inlineStr">
        <is>
          <t>Head, Comptrollership</t>
        </is>
      </c>
      <c r="H25" s="75" t="inlineStr">
        <is>
          <t>OPEN</t>
        </is>
      </c>
      <c r="I25" s="12" t="inlineStr"/>
    </row>
    <row r="26">
      <c r="A26" s="12" t="inlineStr">
        <is>
          <t>DMQ20</t>
        </is>
      </c>
      <c r="B26" s="12" t="inlineStr">
        <is>
          <t>-</t>
        </is>
      </c>
      <c r="C26" s="12" t="inlineStr">
        <is>
          <t>PR2307 reversal</t>
        </is>
      </c>
      <c r="D26" s="12" t="inlineStr">
        <is>
          <t>Entries, evidence, approver</t>
        </is>
      </c>
      <c r="E26" s="12" t="inlineStr">
        <is>
          <t>FR-DM-071 rules</t>
        </is>
      </c>
      <c r="F26" s="12" t="inlineStr">
        <is>
          <t>M2 (30 Oct 2026)</t>
        </is>
      </c>
      <c r="G26" s="12" t="inlineStr">
        <is>
          <t>Head, Comptrollership</t>
        </is>
      </c>
      <c r="H26" s="75" t="inlineStr">
        <is>
          <t>OPEN</t>
        </is>
      </c>
      <c r="I26" s="12" t="inlineStr"/>
    </row>
    <row r="27">
      <c r="A27" s="12" t="inlineStr">
        <is>
          <t>DMQ21</t>
        </is>
      </c>
      <c r="B27" s="12" t="inlineStr">
        <is>
          <t>-</t>
        </is>
      </c>
      <c r="C27" s="12" t="inlineStr">
        <is>
          <t>Remittance positions</t>
        </is>
      </c>
      <c r="D27" s="12" t="inlineStr">
        <is>
          <t>Batches in process, holds and special remittances at cutover - completed in legacy or carried; insurer ORs outstanding</t>
        </is>
      </c>
      <c r="E27" s="12" t="inlineStr">
        <is>
          <t>F04 decision</t>
        </is>
      </c>
      <c r="F27" s="12" t="inlineStr">
        <is>
          <t>M2 (30 Oct 2026)</t>
        </is>
      </c>
      <c r="G27" s="12" t="inlineStr">
        <is>
          <t>Operations - Remittance</t>
        </is>
      </c>
      <c r="H27" s="75" t="inlineStr">
        <is>
          <t>OPEN</t>
        </is>
      </c>
      <c r="I27" s="12" t="inlineStr"/>
    </row>
    <row r="28">
      <c r="A28" s="12" t="inlineStr">
        <is>
          <t>DMQ22</t>
        </is>
      </c>
      <c r="B28" s="12" t="inlineStr">
        <is>
          <t>DCR-194</t>
        </is>
      </c>
      <c r="C28" s="12" t="inlineStr">
        <is>
          <t>Endorsement coexistence</t>
        </is>
      </c>
      <c r="D28" s="12" t="inlineStr">
        <is>
          <t>Confirm legacy invoices are endorsed in BIBS from cutover; types; service invoice numbering; renewal uses BIBS values</t>
        </is>
      </c>
      <c r="E28" s="12" t="inlineStr">
        <is>
          <t>P01 condition</t>
        </is>
      </c>
      <c r="F28" s="12" t="inlineStr">
        <is>
          <t>M1 (16 Oct 2026)</t>
        </is>
      </c>
      <c r="G28" s="12" t="inlineStr">
        <is>
          <t>Head, Operations</t>
        </is>
      </c>
      <c r="H28" s="75" t="inlineStr">
        <is>
          <t>OPEN</t>
        </is>
      </c>
      <c r="I28" s="12" t="inlineStr"/>
    </row>
    <row r="29">
      <c r="A29" s="12" t="inlineStr">
        <is>
          <t>DMQ23</t>
        </is>
      </c>
      <c r="B29" s="12" t="inlineStr">
        <is>
          <t>-</t>
        </is>
      </c>
      <c r="C29" s="12" t="inlineStr">
        <is>
          <t>Legacy change report</t>
        </is>
      </c>
      <c r="D29" s="12" t="inlineStr">
        <is>
          <t>Which changes count; fields, period, frequency, recipients</t>
        </is>
      </c>
      <c r="E29" s="12" t="inlineStr">
        <is>
          <t>FR-DM-100 report</t>
        </is>
      </c>
      <c r="F29" s="12" t="inlineStr">
        <is>
          <t>M2 (30 Oct 2026)</t>
        </is>
      </c>
      <c r="G29" s="12" t="inlineStr">
        <is>
          <t>Operations - Prod Recon</t>
        </is>
      </c>
      <c r="H29" s="75" t="inlineStr">
        <is>
          <t>OPEN</t>
        </is>
      </c>
      <c r="I29" s="12" t="inlineStr"/>
    </row>
    <row r="30">
      <c r="A30" s="12" t="inlineStr">
        <is>
          <t>DMQ24</t>
        </is>
      </c>
      <c r="B30" s="12" t="inlineStr">
        <is>
          <t>DCR-209</t>
        </is>
      </c>
      <c r="C30" s="12" t="inlineStr">
        <is>
          <t>Read-only legacy or archive</t>
        </is>
      </c>
      <c r="D30" s="12" t="inlineStr">
        <is>
          <t>Per legacy system - read-only (how long, who hosts, access logging) or archived in BIBS before decommissioning; record types, search keys, retention</t>
        </is>
      </c>
      <c r="E30" s="12" t="inlineStr">
        <is>
          <t>H01, H02, C04</t>
        </is>
      </c>
      <c r="F30" s="12" t="inlineStr">
        <is>
          <t>M2 (30 Oct 2026)</t>
        </is>
      </c>
      <c r="G30" s="12" t="inlineStr">
        <is>
          <t>Audit / Compliance; BDOI IT</t>
        </is>
      </c>
      <c r="H30" s="75" t="inlineStr">
        <is>
          <t>OPEN</t>
        </is>
      </c>
      <c r="I30" s="12" t="inlineStr"/>
    </row>
    <row r="31">
      <c r="A31" s="12" t="inlineStr">
        <is>
          <t>DMQ25</t>
        </is>
      </c>
      <c r="B31" s="12" t="inlineStr">
        <is>
          <t>DCR-200, DCR-242</t>
        </is>
      </c>
      <c r="C31" s="12" t="inlineStr">
        <is>
          <t>Cutover date and window</t>
        </is>
      </c>
      <c r="D31" s="12" t="inlineStr">
        <is>
          <t>Go-live month (M1) and exact date (M6); freeze length; last legacy EOD; month-end alignment; blackout dates</t>
        </is>
      </c>
      <c r="E31" s="12" t="inlineStr">
        <is>
          <t>Whole calendar; runbook</t>
        </is>
      </c>
      <c r="F31" s="12" t="inlineStr">
        <is>
          <t>M1 (16 Oct 2026) (month), M6 (1 Oct 2027) (date)</t>
        </is>
      </c>
      <c r="G31" s="12" t="inlineStr">
        <is>
          <t>Program Manager</t>
        </is>
      </c>
      <c r="H31" s="75" t="inlineStr">
        <is>
          <t>PARTIAL</t>
        </is>
      </c>
      <c r="I31" s="12" t="inlineStr">
        <is>
          <t>Month answered by the BDOI timeline (26-Sep-2026) - January 2028; full migration and cut-over Nov 2027-Jan 2028. Date 3 January 2028 at the year-end boundary recommended with DMQ39; confirmed by Comptrollership at M6</t>
        </is>
      </c>
    </row>
    <row r="32">
      <c r="A32" s="12" t="inlineStr">
        <is>
          <t>DMQ26</t>
        </is>
      </c>
      <c r="B32" s="12" t="inlineStr">
        <is>
          <t>DCR-199, DCR-240</t>
        </is>
      </c>
      <c r="C32" s="12" t="inlineStr">
        <is>
          <t>RMEL transition</t>
        </is>
      </c>
      <c r="D32" s="12" t="inlineStr">
        <is>
          <t>Cohorts already extracted in legacy carried into BIBS or finished in legacy; first cohort extracted by BIBS; path of legacy renewals</t>
        </is>
      </c>
      <c r="E32" s="12" t="inlineStr">
        <is>
          <t>P01 scope; Renewal</t>
        </is>
      </c>
      <c r="F32" s="12" t="inlineStr">
        <is>
          <t>M1 (16 Oct 2026)</t>
        </is>
      </c>
      <c r="G32" s="12" t="inlineStr">
        <is>
          <t>Heads, Retail and Corporate Marketing</t>
        </is>
      </c>
      <c r="H32" s="75" t="inlineStr">
        <is>
          <t>ANSWERED</t>
        </is>
      </c>
      <c r="I32" s="12" t="inlineStr">
        <is>
          <t>Answered by DMQ37 (26-Sep-2026) - no cohort is carried; the expiries from T to 31-May-2028 are extracted by BIBS at go-live from the migrated headers; the daily extraction then starts at the expiry of 1-Jun-2028 (extracted 13-Jan-2028)</t>
        </is>
      </c>
    </row>
    <row r="33">
      <c r="A33" s="12" t="inlineStr">
        <is>
          <t>DMQ27</t>
        </is>
      </c>
      <c r="B33" s="12" t="inlineStr">
        <is>
          <t>-</t>
        </is>
      </c>
      <c r="C33" s="12" t="inlineStr">
        <is>
          <t>Decommissioning criteria</t>
        </is>
      </c>
      <c r="D33" s="12" t="inlineStr">
        <is>
          <t>Criteria and owner per legacy system; retention of the legacy data</t>
        </is>
      </c>
      <c r="E33" s="12" t="inlineStr">
        <is>
          <t>Decommissioning checklists</t>
        </is>
      </c>
      <c r="F33" s="12" t="inlineStr">
        <is>
          <t>M6 (1 Oct 2027)</t>
        </is>
      </c>
      <c r="G33" s="12" t="inlineStr">
        <is>
          <t>Program Manager; BDOI IT</t>
        </is>
      </c>
      <c r="H33" s="75" t="inlineStr">
        <is>
          <t>OPEN</t>
        </is>
      </c>
      <c r="I33" s="12" t="inlineStr"/>
    </row>
    <row r="34">
      <c r="A34" s="12" t="inlineStr">
        <is>
          <t>DMQ28</t>
        </is>
      </c>
      <c r="B34" s="12" t="inlineStr">
        <is>
          <t>DCR-193</t>
        </is>
      </c>
      <c r="C34" s="12" t="inlineStr">
        <is>
          <t>Volumes and quality</t>
        </is>
      </c>
      <c r="D34" s="12" t="inlineStr">
        <is>
          <t>Row counts per object and source, growth to go-live, known quality issues, history depth, extract owner and delta frequency</t>
        </is>
      </c>
      <c r="E34" s="12" t="inlineStr">
        <is>
          <t>Register volumes; performance test</t>
        </is>
      </c>
      <c r="F34" s="12" t="inlineStr">
        <is>
          <t>M3 (29 Jan 2027)</t>
        </is>
      </c>
      <c r="G34" s="12" t="inlineStr">
        <is>
          <t>BDOI IT</t>
        </is>
      </c>
      <c r="H34" s="75" t="inlineStr">
        <is>
          <t>OPEN</t>
        </is>
      </c>
      <c r="I34" s="12" t="inlineStr"/>
    </row>
    <row r="35">
      <c r="A35" s="12" t="inlineStr">
        <is>
          <t>DMQ29</t>
        </is>
      </c>
      <c r="B35" s="12" t="inlineStr">
        <is>
          <t>DCR-193</t>
        </is>
      </c>
      <c r="C35" s="12" t="inlineStr">
        <is>
          <t>Consolidated NFR</t>
        </is>
      </c>
      <c r="D35" s="12" t="inlineStr">
        <is>
          <t>Name, version and owner of the consolidated NFR; cutover window, load time, retention of migration evidence</t>
        </is>
      </c>
      <c r="E35" s="12" t="inlineStr">
        <is>
          <t>NFR targets</t>
        </is>
      </c>
      <c r="F35" s="12" t="inlineStr">
        <is>
          <t>M2 (30 Oct 2026)</t>
        </is>
      </c>
      <c r="G35" s="12" t="inlineStr">
        <is>
          <t>Program Manager</t>
        </is>
      </c>
      <c r="H35" s="75" t="inlineStr">
        <is>
          <t>OPEN</t>
        </is>
      </c>
      <c r="I35" s="12" t="inlineStr"/>
    </row>
    <row r="36">
      <c r="A36" s="12" t="inlineStr">
        <is>
          <t>DMQ30</t>
        </is>
      </c>
      <c r="B36" s="12" t="inlineStr">
        <is>
          <t>DCR-196</t>
        </is>
      </c>
      <c r="C36" s="12" t="inlineStr">
        <is>
          <t>Objects not in the BRD</t>
        </is>
      </c>
      <c r="D36" s="12" t="inlineStr">
        <is>
          <t>Open claims, EB programmes, submitted-policy masterlists, payees, open disbursements, PDCs, users - in scope?</t>
        </is>
      </c>
      <c r="E36" s="12" t="inlineStr">
        <is>
          <t>R09, P04, P05, F06, F07</t>
        </is>
      </c>
      <c r="F36" s="12" t="inlineStr">
        <is>
          <t>M1 (16 Oct 2026)</t>
        </is>
      </c>
      <c r="G36" s="12" t="inlineStr">
        <is>
          <t>Program Manager</t>
        </is>
      </c>
      <c r="H36" s="75" t="inlineStr">
        <is>
          <t>PARTIAL</t>
        </is>
      </c>
      <c r="I36" s="12" t="inlineStr">
        <is>
          <t>BRD V0.03 names claims data, submitted policies, endorsements kept outside legacy and in-progress renewal data (1.3), payees (3.1) and claims (14.1) among the data to migrate; proposed positions CLR-DM-05 to CLR-DM-08 await BDOI (DM-Q06, DM-Q09 to DM-Q12)</t>
        </is>
      </c>
    </row>
    <row r="37">
      <c r="A37" s="12" t="inlineStr">
        <is>
          <t>DMQ31</t>
        </is>
      </c>
      <c r="B37" s="12" t="inlineStr">
        <is>
          <t>DCR-200</t>
        </is>
      </c>
      <c r="C37" s="12" t="inlineStr">
        <is>
          <t>Rehearsals and test data</t>
        </is>
      </c>
      <c r="D37" s="12" t="inlineStr">
        <is>
          <t>Number of trial migrations and the dress rehearsal; masked production extracts in SIT / UAT; who masks and approves</t>
        </is>
      </c>
      <c r="E37" s="12" t="inlineStr">
        <is>
          <t>Migration cycles</t>
        </is>
      </c>
      <c r="F37" s="12" t="inlineStr">
        <is>
          <t>M2 (30 Oct 2026)</t>
        </is>
      </c>
      <c r="G37" s="12" t="inlineStr">
        <is>
          <t>Program Manager; Compliance</t>
        </is>
      </c>
      <c r="H37" s="75" t="inlineStr">
        <is>
          <t>OPEN</t>
        </is>
      </c>
      <c r="I37" s="12" t="inlineStr"/>
    </row>
    <row r="38">
      <c r="A38" s="12" t="inlineStr">
        <is>
          <t>DMQ32</t>
        </is>
      </c>
      <c r="B38" s="12" t="inlineStr">
        <is>
          <t>DCR-200</t>
        </is>
      </c>
      <c r="C38" s="12" t="inlineStr">
        <is>
          <t>Fallback</t>
        </is>
      </c>
      <c r="D38" s="12" t="inlineStr">
        <is>
          <t>Point of no return; fallback to legacy after go-live; who decides</t>
        </is>
      </c>
      <c r="E38" s="12" t="inlineStr">
        <is>
          <t>Runbook rollback</t>
        </is>
      </c>
      <c r="F38" s="12" t="inlineStr">
        <is>
          <t>M6 (1 Oct 2027)</t>
        </is>
      </c>
      <c r="G38" s="12" t="inlineStr">
        <is>
          <t>Program Manager</t>
        </is>
      </c>
      <c r="H38" s="75" t="inlineStr">
        <is>
          <t>OPEN</t>
        </is>
      </c>
      <c r="I38" s="12" t="inlineStr"/>
    </row>
    <row r="39">
      <c r="A39" s="12" t="inlineStr">
        <is>
          <t>DMQ33</t>
        </is>
      </c>
      <c r="B39" s="12" t="inlineStr">
        <is>
          <t>DCR-200</t>
        </is>
      </c>
      <c r="C39" s="12" t="inlineStr">
        <is>
          <t>In-flight items at the freeze</t>
        </is>
      </c>
      <c r="D39" s="12" t="inlineStr">
        <is>
          <t>Pending endorsements, un-booked accounts, placements, PDCs, pick-ups and refunds - completed before the freeze, carried or re-keyed</t>
        </is>
      </c>
      <c r="E39" s="12" t="inlineStr">
        <is>
          <t>F06; freeze plan</t>
        </is>
      </c>
      <c r="F39" s="12" t="inlineStr">
        <is>
          <t>M2 (30 Oct 2026)</t>
        </is>
      </c>
      <c r="G39" s="12" t="inlineStr">
        <is>
          <t>Head, Operations</t>
        </is>
      </c>
      <c r="H39" s="75" t="inlineStr">
        <is>
          <t>OPEN</t>
        </is>
      </c>
      <c r="I39" s="12" t="inlineStr"/>
    </row>
    <row r="40">
      <c r="A40" s="12" t="inlineStr">
        <is>
          <t>DMQ34</t>
        </is>
      </c>
      <c r="B40" s="12" t="inlineStr">
        <is>
          <t>DCR-203</t>
        </is>
      </c>
      <c r="C40" s="12" t="inlineStr">
        <is>
          <t>Collection history</t>
        </is>
      </c>
      <c r="D40" s="12" t="inlineStr">
        <is>
          <t>Carry open dispositions, promises, installment plans and collector assignments</t>
        </is>
      </c>
      <c r="E40" s="12" t="inlineStr">
        <is>
          <t>F03</t>
        </is>
      </c>
      <c r="F40" s="12" t="inlineStr">
        <is>
          <t>M2 (30 Oct 2026)</t>
        </is>
      </c>
      <c r="G40" s="12" t="inlineStr">
        <is>
          <t>Head, Operations (Collections)</t>
        </is>
      </c>
      <c r="H40" s="75" t="inlineStr">
        <is>
          <t>OPEN</t>
        </is>
      </c>
      <c r="I40" s="12" t="inlineStr"/>
    </row>
    <row r="41">
      <c r="A41" s="12" t="inlineStr">
        <is>
          <t>DCR-202</t>
        </is>
      </c>
      <c r="B41" s="12" t="inlineStr">
        <is>
          <t>DCR-202</t>
        </is>
      </c>
      <c r="C41" s="12" t="inlineStr">
        <is>
          <t>Write-back to legacy</t>
        </is>
      </c>
      <c r="D41" s="12" t="inlineStr">
        <is>
          <t>Confirm that no contact or client update is written back to QPS / EBIX after the freeze (legacy read-only; proposal)</t>
        </is>
      </c>
      <c r="E41" s="12" t="inlineStr">
        <is>
          <t>C01 deltas; CSF contact write-back</t>
        </is>
      </c>
      <c r="F41" s="12" t="inlineStr">
        <is>
          <t>M1 (16 Oct 2026)</t>
        </is>
      </c>
      <c r="G41" s="12" t="inlineStr">
        <is>
          <t>Product Owner, MBS</t>
        </is>
      </c>
      <c r="H41" s="75" t="inlineStr">
        <is>
          <t>OPEN</t>
        </is>
      </c>
      <c r="I41" s="12" t="inlineStr"/>
    </row>
    <row r="42">
      <c r="A42" s="12" t="inlineStr">
        <is>
          <t>DMQ35</t>
        </is>
      </c>
      <c r="B42" s="12" t="inlineStr">
        <is>
          <t>-</t>
        </is>
      </c>
      <c r="C42" s="12" t="inlineStr">
        <is>
          <t>Foreign currency</t>
        </is>
      </c>
      <c r="D42" s="12" t="inlineStr">
        <is>
          <t>Rate for the openings of USD invoices and UPP (legacy booking rate or cutover BOOK rate); FX difference at collection</t>
        </is>
      </c>
      <c r="E42" s="12" t="inlineStr">
        <is>
          <t>F01, F02, G01</t>
        </is>
      </c>
      <c r="F42" s="12" t="inlineStr">
        <is>
          <t>M2 (30 Oct 2026)</t>
        </is>
      </c>
      <c r="G42" s="12" t="inlineStr">
        <is>
          <t>Head, Comptrollership</t>
        </is>
      </c>
      <c r="H42" s="75" t="inlineStr">
        <is>
          <t>OPEN</t>
        </is>
      </c>
      <c r="I42" s="12" t="inlineStr"/>
    </row>
    <row r="43">
      <c r="A43" s="12" t="inlineStr">
        <is>
          <t>DMQ36</t>
        </is>
      </c>
      <c r="B43" s="12" t="inlineStr">
        <is>
          <t>DCR-241</t>
        </is>
      </c>
      <c r="C43" s="12" t="inlineStr">
        <is>
          <t>Package remapping</t>
        </is>
      </c>
      <c r="D43" s="12" t="inlineStr">
        <is>
          <t>At upload (migration intake) or during Renewal sanitation; owner of the decision and of the map; legacy packages that split and on which attributes</t>
        </is>
      </c>
      <c r="E43" s="12" t="inlineStr">
        <is>
          <t>R06, P01; package code map; package check of the Renewal sanitation</t>
        </is>
      </c>
      <c r="F43" s="12" t="inlineStr">
        <is>
          <t>M1 (16 Oct 2026)</t>
        </is>
      </c>
      <c r="G43" s="12" t="inlineStr">
        <is>
          <t>Product Owner, MBS; TSU</t>
        </is>
      </c>
      <c r="H43" s="75" t="inlineStr">
        <is>
          <t>ANSWERED</t>
        </is>
      </c>
      <c r="I43" s="12" t="inlineStr">
        <is>
          <t>BDOI 26-Sep-2026 - at sanitation in Renewal, not at migration intake. The migration loads the package code map as reference data only (R06); P01 keeps the legacy package; the package check of the Renewal sanitation sends unmapped packages to the Exception bucket, worked by the Renewal processing team</t>
        </is>
      </c>
    </row>
    <row r="44">
      <c r="A44" s="12" t="inlineStr">
        <is>
          <t>DMQ37</t>
        </is>
      </c>
      <c r="B44" s="12" t="inlineStr">
        <is>
          <t>DCR-199, DCR-240</t>
        </is>
      </c>
      <c r="C44" s="12" t="inlineStr">
        <is>
          <t>January-May 2028 renewals</t>
        </is>
      </c>
      <c r="D44" s="12" t="inlineStr">
        <is>
          <t>Prepared in legacy and carried at the freeze, or processed in BIBS after go-live</t>
        </is>
      </c>
      <c r="E44" s="12" t="inlineStr">
        <is>
          <t>P01 scope; P03; Renewal go-live extraction</t>
        </is>
      </c>
      <c r="F44" s="12" t="inlineStr">
        <is>
          <t>M1 (16 Oct 2026)</t>
        </is>
      </c>
      <c r="G44" s="12" t="inlineStr">
        <is>
          <t>Heads, Retail and Corporate Marketing</t>
        </is>
      </c>
      <c r="H44" s="75" t="inlineStr">
        <is>
          <t>ANSWERED</t>
        </is>
      </c>
      <c r="I44" s="12" t="inlineStr">
        <is>
          <t>BDOI 26-Sep-2026 - processed in BIBS after go-live; no carried candidates. Go-live extraction of every expiry from T to 31-May-2028 from the migrated headers (P01), prioritised by expiry date, January expiries flagged urgent; RAs already sent by hand loaded as a small reference file (P03) and not re-sent. BRD V0.03 (signed May 2026, received 8-Oct-2026) asks in its second BRID_MIG 12.1 that renewals in progress are migrated; CLR-DM-07 asks BDOI to confirm that this answer prevails (DM-Q08)</t>
        </is>
      </c>
    </row>
    <row r="45">
      <c r="A45" s="12" t="inlineStr">
        <is>
          <t>DMQ38</t>
        </is>
      </c>
      <c r="B45" s="12" t="inlineStr">
        <is>
          <t>DCR-243</t>
        </is>
      </c>
      <c r="C45" s="12" t="inlineStr">
        <is>
          <t>RMEL and disposition sources</t>
        </is>
      </c>
      <c r="D45" s="12" t="inlineStr">
        <is>
          <t>Where the RMEL, dispositions and RAs are kept; who reviews rejected rows</t>
        </is>
      </c>
      <c r="E45" s="12" t="inlineStr">
        <is>
          <t>P03 template and review</t>
        </is>
      </c>
      <c r="F45" s="12" t="inlineStr">
        <is>
          <t>M2 (30 Oct 2026)</t>
        </is>
      </c>
      <c r="G45" s="12" t="inlineStr">
        <is>
          <t>Head of the Renewal processing team</t>
        </is>
      </c>
      <c r="H45" s="75" t="inlineStr">
        <is>
          <t>ANSWERED</t>
        </is>
      </c>
      <c r="I45" s="12" t="inlineStr">
        <is>
          <t>BDOI 26-Sep-2026 - RMEL and dispositions are kept in Excel; rejected rows are reviewed by the Renewal processing team, maker and checker. Only the RAs already sent are taken from the trackers (XLSX template, rejection report with correction columns, maker-checker resubmission)</t>
        </is>
      </c>
    </row>
    <row r="46">
      <c r="A46" s="12" t="inlineStr">
        <is>
          <t>DMQ39</t>
        </is>
      </c>
      <c r="B46" s="12" t="inlineStr">
        <is>
          <t>DCR-242</t>
        </is>
      </c>
      <c r="C46" s="12" t="inlineStr">
        <is>
          <t>Year-end cut-over</t>
        </is>
      </c>
      <c r="D46" s="12" t="inlineStr">
        <is>
          <t>Go-live at the year-end boundary; last business day; year-end close; late 2027 and audit adjustments after go-live</t>
        </is>
      </c>
      <c r="E46" s="12" t="inlineStr">
        <is>
          <t>Runbook calendar; G01, G03; true-up journals</t>
        </is>
      </c>
      <c r="F46" s="12" t="inlineStr">
        <is>
          <t>M6 (1 Oct 2027)</t>
        </is>
      </c>
      <c r="G46" s="12" t="inlineStr">
        <is>
          <t>Program Manager; Head of Comptrollership</t>
        </is>
      </c>
      <c r="H46" s="75" t="inlineStr">
        <is>
          <t>RECOMMENDED</t>
        </is>
      </c>
      <c r="I46" s="12" t="inlineStr">
        <is>
          <t>BDOI 26-Sep-2026, recommendation awaiting Comptrollership confirmation - option A - go-live Mon 3-Jan-2028; legacy closes FY2027; provisional opening TB (balance sheet only) from the preliminary December TB; legacy GL open only for FY2027 closing and audit adjustments; true-ups as opening-balance adjustment journals after the legacy close (about mid-late January 2028) and after the audited FS (about March-April 2028); December soft close by about 20-Dec-2027. Options B (April 2028, YTD P&amp;L) and C (two books in Q1 2028) not recommended</t>
        </is>
      </c>
    </row>
  </sheetData>
  <autoFilter ref="A4:I46"/>
  <mergeCells count="1">
    <mergeCell ref="A2:I2"/>
  </mergeCells>
  <conditionalFormatting sqref="H5:H546">
    <cfRule type="cellIs" priority="1" operator="equal" dxfId="2" stopIfTrue="1">
      <formula>"OPEN"</formula>
    </cfRule>
    <cfRule type="cellIs" priority="2" operator="equal" dxfId="2" stopIfTrue="1">
      <formula>"PARTIAL"</formula>
    </cfRule>
    <cfRule type="cellIs" priority="3" operator="equal" dxfId="4" stopIfTrue="1">
      <formula>"ANSWERED"</formula>
    </cfRule>
    <cfRule type="cellIs" priority="4" operator="equal" dxfId="3" stopIfTrue="1">
      <formula>"RECOMMENDED"</formula>
    </cfRule>
  </conditionalFormatting>
  <conditionalFormatting sqref="A5:I546">
    <cfRule type="expression" priority="5" dxfId="0">
      <formula>AND(MOD(ROW(),2)=0,$A5&lt;&gt;"")</formula>
    </cfRule>
  </conditionalFormatting>
  <dataValidations count="1">
    <dataValidation sqref="H5:H546" showDropDown="0" showInputMessage="0" showErrorMessage="1" allowBlank="1" errorTitle="Status" error="Choose a value from the list (Status)." type="list">
      <formula1>'_lists'!$X$1:$X$4</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8.xml><?xml version="1.0" encoding="utf-8"?>
<worksheet xmlns="http://schemas.openxmlformats.org/spreadsheetml/2006/main">
  <sheetPr>
    <outlinePr summaryBelow="1" summaryRight="1"/>
    <pageSetUpPr fitToPage="1"/>
  </sheetPr>
  <dimension ref="A1:K5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60" customWidth="1" min="3" max="3"/>
    <col width="40" customWidth="1" min="4" max="4"/>
    <col width="36" customWidth="1" min="5" max="5"/>
    <col width="14" customWidth="1" min="6" max="6"/>
    <col width="18" customWidth="1" min="7" max="7"/>
    <col width="18" customWidth="1" min="8" max="8"/>
    <col width="40" customWidth="1" min="9" max="9"/>
    <col width="20" customWidth="1" min="10" max="10"/>
    <col width="13" customWidth="1" min="11" max="11"/>
  </cols>
  <sheetData>
    <row r="1" ht="24" customHeight="1">
      <c r="A1" s="19" t="inlineStr">
        <is>
          <t>Proposed rules</t>
        </is>
      </c>
    </row>
    <row r="2">
      <c r="A2" s="22" t="inlineStr">
        <is>
          <t>Proposed business rules and clarifications for confirmation (Handbook chapter of the same name)</t>
        </is>
      </c>
    </row>
    <row r="3" ht="6" customHeight="1">
      <c r="A3" s="23" t="n"/>
      <c r="B3" s="23" t="n"/>
      <c r="C3" s="23" t="n"/>
      <c r="D3" s="23" t="n"/>
      <c r="E3" s="23" t="n"/>
      <c r="F3" s="23" t="n"/>
      <c r="G3" s="23" t="n"/>
      <c r="H3" s="23" t="n"/>
      <c r="I3" s="23" t="n"/>
      <c r="J3" s="23" t="n"/>
      <c r="K3" s="23" t="n"/>
    </row>
    <row r="4" ht="30" customHeight="1">
      <c r="A4" s="24" t="inlineStr">
        <is>
          <t>Ref</t>
        </is>
      </c>
      <c r="B4" s="24" t="inlineStr">
        <is>
          <t>Topic</t>
        </is>
      </c>
      <c r="C4" s="24" t="inlineStr">
        <is>
          <t>Proposed rule</t>
        </is>
      </c>
      <c r="D4" s="24" t="inlineStr">
        <is>
          <t>Reason</t>
        </is>
      </c>
      <c r="E4" s="24" t="inlineStr">
        <is>
          <t>Decision requested</t>
        </is>
      </c>
      <c r="F4" s="24" t="inlineStr">
        <is>
          <t>Open decisions</t>
        </is>
      </c>
      <c r="G4" s="24" t="inlineStr">
        <is>
          <t>Needed by</t>
        </is>
      </c>
      <c r="H4" s="24" t="inlineStr">
        <is>
          <t>BDOI decision</t>
        </is>
      </c>
      <c r="I4" s="24" t="inlineStr">
        <is>
          <t>Change or comment</t>
        </is>
      </c>
      <c r="J4" s="24" t="inlineStr">
        <is>
          <t>Decided by</t>
        </is>
      </c>
      <c r="K4" s="24" t="inlineStr">
        <is>
          <t>Decided on</t>
        </is>
      </c>
    </row>
    <row r="5">
      <c r="A5" s="12" t="inlineStr">
        <is>
          <t>PR-DM-01</t>
        </is>
      </c>
      <c r="B5" s="12" t="inlineStr">
        <is>
          <t>Year-end cut-over: option A or B</t>
        </is>
      </c>
      <c r="C5" s="12" t="inlineStr">
        <is>
          <t>Option A: go live on Monday 3 January 2028 at the year-end boundary. Legacy processes to 31 December 2027 and closes FY2027; BIBS opens with the open items at 31 December and a provisional GL opening (balance sheet only, the FY2027 result in retained earnings). The legacy GL stays open only for the FY2027 closing and audit adjustments of named Comptrollership users; each reaches BIBS as an opening-balance adjustment after the legacy close (about mid-January 2028) and after the audited statements (about March-April 2028). Option B (go-live after the first-quarter close, April 2028, with a year-to-date P&amp;L migration) is not proposed; option C (two sets of books in the first quarter) is not proposed</t>
        </is>
      </c>
      <c r="D5" s="12" t="inlineStr">
        <is>
          <t>One fiscal year per system; no P&amp;L migration; books of accounts and BIR returns are never split inside a year; the go-live stays on the BDOI timeline. Option B moves go-live by three months, splits FY2028 across two systems and needs a month-by-month P&amp;L reconciliation</t>
        </is>
      </c>
      <c r="E5" s="12" t="inlineStr">
        <is>
          <t>Comptrollership confirms option A, or chooses option B, with the date of the December soft close</t>
        </is>
      </c>
      <c r="F5" s="12" t="inlineStr">
        <is>
          <t>DMQ39, DMQ25</t>
        </is>
      </c>
      <c r="G5" s="12" t="inlineStr">
        <is>
          <t>M6 (1 Oct 2027)</t>
        </is>
      </c>
      <c r="H5" s="12" t="n"/>
      <c r="I5" s="12" t="n"/>
      <c r="J5" s="12" t="n"/>
      <c r="K5" s="25" t="n"/>
    </row>
    <row r="6">
      <c r="A6" s="12" t="inlineStr">
        <is>
          <t>PR-DM-02</t>
        </is>
      </c>
      <c r="B6" s="12" t="inlineStr">
        <is>
          <t>Legacy control accounts and Migration Clearing</t>
        </is>
      </c>
      <c r="C6" s="12" t="inlineStr">
        <is>
          <t>Separate legacy control accounts hold the positions of the migrated invoices and unapplied payments: Premium Receivable - Legacy (by component), PR 2307 - Legacy, Due to Insurers - Legacy, Commission Receivable - Legacy, Unrealised Commission and Deferred Output VAT - Legacy, Unapplied Collections - Legacy, and a Migration Clearing account that must net to 0.00. The account codes are assigned by Comptrollership in the production chart; the handbook names the accounts only</t>
        </is>
      </c>
      <c r="D6" s="12" t="inlineStr">
        <is>
          <t>The legacy positions run off visibly and apart from new business; Migration Clearing proves that the invoice and payment detail equals the legacy GL</t>
        </is>
      </c>
      <c r="E6" s="12" t="inlineStr">
        <is>
          <t>Comptrollership assigns the codes of the seven accounts in the production chart and confirms the end state of the accounts after the run-off</t>
        </is>
      </c>
      <c r="F6" s="12" t="inlineStr">
        <is>
          <t>DMQ18</t>
        </is>
      </c>
      <c r="G6" s="12" t="inlineStr">
        <is>
          <t>M1 (16 Oct 2026); production set-up at T-25</t>
        </is>
      </c>
      <c r="H6" s="12" t="n"/>
      <c r="I6" s="12" t="n"/>
      <c r="J6" s="12" t="n"/>
      <c r="K6" s="25" t="n"/>
    </row>
    <row r="7">
      <c r="A7" s="12" t="inlineStr">
        <is>
          <t>PR-DM-03</t>
        </is>
      </c>
      <c r="B7" s="12" t="inlineStr">
        <is>
          <t>Extract volumes and the secure file drop</t>
        </is>
      </c>
      <c r="C7" s="12" t="inlineStr">
        <is>
          <t>BDOI IT supplies the row count per object and source system with the first full extracts (29 January 2027) and at each trial migration. Files are received through the Extracts screen of the Migration Console until BDOI IT names a secure file drop in the BIBS environment; files are never e-mailed</t>
        </is>
      </c>
      <c r="D7" s="12" t="inlineStr">
        <is>
          <t>The volumes size the load windows and the dress rehearsal; a single agreed transfer path keeps the files encrypted and logged</t>
        </is>
      </c>
      <c r="E7" s="12" t="inlineStr">
        <is>
          <t>BDOI IT confirms the volumes per object, the owner of each extract and whether a secure file drop is set up (host, account, schedule)</t>
        </is>
      </c>
      <c r="F7" s="12" t="inlineStr">
        <is>
          <t>DMQ28</t>
        </is>
      </c>
      <c r="G7" s="12" t="inlineStr">
        <is>
          <t>M3 (29 Jan 2027)</t>
        </is>
      </c>
      <c r="H7" s="12" t="n"/>
      <c r="I7" s="12" t="n"/>
      <c r="J7" s="12" t="n"/>
      <c r="K7" s="25" t="n"/>
    </row>
    <row r="8">
      <c r="A8" s="12" t="inlineStr">
        <is>
          <t>PR-DM-04</t>
        </is>
      </c>
      <c r="B8" s="12" t="inlineStr">
        <is>
          <t>Legacy document folder and read-only links</t>
        </is>
      </c>
      <c r="C8" s="12" t="inlineStr">
        <is>
          <t>Legacy documents (policies, SOAs, ORs, certificates, letters, KYC files) are copied by BDOI IT into a transfer folder with an index file (layout H02) and a SHA-256 per file; BIBS archives them with their record. Each legacy application stays available read-only until it is decommissioned; its address is shown in Legacy Inquiry for the users who still need it</t>
        </is>
      </c>
      <c r="D8" s="12" t="inlineStr">
        <is>
          <t>History stays retrievable with logged access without converting it into BIBS transactions</t>
        </is>
      </c>
      <c r="E8" s="12" t="inlineStr">
        <is>
          <t>BDOI IT names the transfer folder and the read-only address of EBIX and QPS; Audit / Compliance confirms per system whether history is archived in BIBS or read in legacy until decommissioning</t>
        </is>
      </c>
      <c r="F8" s="12" t="inlineStr">
        <is>
          <t>DMQ24, DMQ07</t>
        </is>
      </c>
      <c r="G8" s="12" t="inlineStr">
        <is>
          <t>M2 (30 Oct 2026)</t>
        </is>
      </c>
      <c r="H8" s="12" t="n"/>
      <c r="I8" s="12" t="n"/>
      <c r="J8" s="12" t="n"/>
      <c r="K8" s="25" t="n"/>
    </row>
    <row r="9">
      <c r="A9" s="12" t="inlineStr">
        <is>
          <t>PR-DM-05</t>
        </is>
      </c>
      <c r="B9" s="12" t="inlineStr">
        <is>
          <t>Conditional objects F04-F07, P04 and P05</t>
        </is>
      </c>
      <c r="C9" s="12" t="inlineStr">
        <is>
          <t>Remittance in flight (F04): complete the legacy batches before the freeze; carry only holds and special remittances that cannot complete. DP billing in process (F05): carried inside the open invoices (F01), no separate file. PDCs, cheque pick-ups and refunds in process (F06): carry the PDCs in the warehouse; complete pick-ups and refunds in legacy before the freeze. Open claims (F07), submitted-policy masterlists (P04) and Employee Benefits programmes (P05): migrated through the uploads of their own modules only if BDOI brings them into scope</t>
        </is>
      </c>
      <c r="D9" s="12" t="inlineStr">
        <is>
          <t>Each object is either completed before the freeze or carried, so that no item is lost or processed twice; the uploads of Claims, Submitted Policies and Employee Benefits already exist and need no separate migration layout</t>
        </is>
      </c>
      <c r="E9" s="12" t="inlineStr">
        <is>
          <t>Operations, Claims, Marketing and the EB Head decide per object: carried, completed before the freeze, or out of scope</t>
        </is>
      </c>
      <c r="F9" s="12" t="inlineStr">
        <is>
          <t>DMQ21, DMQ30, DMQ33</t>
        </is>
      </c>
      <c r="G9" s="12" t="inlineStr">
        <is>
          <t>M1 (16 Oct 2026)</t>
        </is>
      </c>
      <c r="H9" s="12" t="n"/>
      <c r="I9" s="12" t="n"/>
      <c r="J9" s="12" t="n"/>
      <c r="K9" s="25" t="n"/>
    </row>
    <row r="10">
      <c r="A10" s="12" t="inlineStr">
        <is>
          <t>PR-DM-06</t>
        </is>
      </c>
      <c r="B10" s="12" t="inlineStr">
        <is>
          <t>Approval levels of the legacy batches</t>
        </is>
      </c>
      <c r="C10" s="12" t="inlineStr">
        <is>
          <t>Unapplied to Income: requested by a Cashiering user, approved by the Cashiering team lead and then by top management (two different people). Legacy PR 2307 Reversal: requested by a Cashiering user, approved by the Cashiering team lead. DP PR Legacy Reversal: requested by a Commission user, approved by the Commission team lead. In every batch the requester never approves</t>
        </is>
      </c>
      <c r="D10" s="12" t="inlineStr">
        <is>
          <t>The reclassification to income changes the P&amp;L and needs a management approval; the two reversals move balances between the legacy accounts of one invoice and follow the team-lead approval of the other Cashiering and Commission batches</t>
        </is>
      </c>
      <c r="E10" s="12" t="inlineStr">
        <is>
          <t>Comptrollership confirms the approvers per batch, names top management, and gives the income account and the minimum age of an unapplied payment for the reclassification</t>
        </is>
      </c>
      <c r="F10" s="12" t="inlineStr">
        <is>
          <t>DMQ16, DMQ19, DMQ20</t>
        </is>
      </c>
      <c r="G10" s="12" t="inlineStr">
        <is>
          <t>M2 (30 Oct 2026)</t>
        </is>
      </c>
      <c r="H10" s="12" t="n"/>
      <c r="I10" s="12" t="n"/>
      <c r="J10" s="12" t="n"/>
      <c r="K10" s="25" t="n"/>
    </row>
    <row r="11">
      <c r="A11" s="12" t="inlineStr">
        <is>
          <t>PR-DM-07</t>
        </is>
      </c>
      <c r="B11" s="12" t="inlineStr">
        <is>
          <t>Decision rule of an object</t>
        </is>
      </c>
      <c r="C11" s="12" t="inlineStr">
        <is>
          <t>Migrate when the object is needed on Day 1 and is master or reference data; Carry forward when it is an open item BDOI must still act on; Conditional when BDOI states the condition; Archive when it is not needed on Day 1 but must be kept; Excluded otherwise. The Data Migration Lead proposes; the business owner of the object approves (gate G1)</t>
        </is>
      </c>
      <c r="D11" s="12" t="inlineStr">
        <is>
          <t>The BRD gives the four criteria but not the rule that turns them into a class</t>
        </is>
      </c>
      <c r="E11" s="12" t="inlineStr">
        <is>
          <t>The Program Manager confirms the rule and the approver</t>
        </is>
      </c>
      <c r="F11" s="12" t="inlineStr">
        <is>
          <t>DMQ02, DMQ01</t>
        </is>
      </c>
      <c r="G11" s="12" t="inlineStr">
        <is>
          <t>M2 (30 Oct 2026)</t>
        </is>
      </c>
      <c r="H11" s="12" t="n"/>
      <c r="I11" s="12" t="n"/>
      <c r="J11" s="12" t="n"/>
      <c r="K11" s="25" t="n"/>
    </row>
    <row r="12">
      <c r="A12" s="12" t="inlineStr">
        <is>
          <t>PR-DM-08</t>
        </is>
      </c>
      <c r="B12" s="12" t="inlineStr">
        <is>
          <t>Client scope: 2020 to present</t>
        </is>
      </c>
      <c r="C12" s="12" t="inlineStr">
        <is>
          <t>Migrate every client created from 1 January 2020, plus older clients with an in-force policy, an open item or activity since 2020; load them two weeks before go-live and keep them current with daily deltas until the freeze; no client feed after go-live</t>
        </is>
      </c>
      <c r="D12" s="12" t="inlineStr">
        <is>
          <t>The umbrella BRD asks for clients from 2020 and daily client batches; after the freeze legacy is read-only and BIBS is the client master</t>
        </is>
      </c>
      <c r="E12" s="12" t="inlineStr">
        <is>
          <t>The Product Owner of MBS confirms the period and the filter, and that the daily batches stop at the freeze</t>
        </is>
      </c>
      <c r="F12" s="12" t="inlineStr">
        <is>
          <t>DMQ05, DCR-173, DCR-202</t>
        </is>
      </c>
      <c r="G12" s="12" t="inlineStr">
        <is>
          <t>M1 (16 Oct 2026)</t>
        </is>
      </c>
      <c r="H12" s="12" t="n"/>
      <c r="I12" s="12" t="n"/>
      <c r="J12" s="12" t="n"/>
      <c r="K12" s="25" t="n"/>
    </row>
    <row r="13">
      <c r="A13" s="12" t="inlineStr">
        <is>
          <t>PR-DM-09</t>
        </is>
      </c>
      <c r="B13" s="12" t="inlineStr">
        <is>
          <t>Client matching keys and thresholds</t>
        </is>
      </c>
      <c r="C13" s="12" t="inlineStr">
        <is>
          <t>Keys: TIN; ID type and number; name and birth date; corporate name with registration number; bank CIF if confirmed; e-mail and mobile as soft keys. Pairs scoring 90 or more merge; 60 to 89 go to the Data Steward's review queue; the client load waits until the queue is empty. Per field the first non-blank value wins by source priority (QPS for contact data, EBIX for billing data)</t>
        </is>
      </c>
      <c r="D13" s="12" t="inlineStr">
        <is>
          <t>One client master without duplicates, with every lost value kept for review</t>
        </is>
      </c>
      <c r="E13" s="12" t="inlineStr">
        <is>
          <t>The Product Owner of MBS confirms the keys (is the bank CIF a key?), the thresholds and the source priority</t>
        </is>
      </c>
      <c r="F13" s="12" t="inlineStr">
        <is>
          <t>DMQ04</t>
        </is>
      </c>
      <c r="G13" s="12" t="inlineStr">
        <is>
          <t>M2 (30 Oct 2026)</t>
        </is>
      </c>
      <c r="H13" s="12" t="n"/>
      <c r="I13" s="12" t="n"/>
      <c r="J13" s="12" t="n"/>
      <c r="K13" s="25" t="n"/>
    </row>
    <row r="14">
      <c r="A14" s="12" t="inlineStr">
        <is>
          <t>PR-DM-10</t>
        </is>
      </c>
      <c r="B14" s="12" t="inlineStr">
        <is>
          <t>Loading thresholds</t>
        </is>
      </c>
      <c r="C14" s="12" t="inlineStr">
        <is>
          <t>Master data may be loaded with at most 0.5 percent of rows rejected or waived; open invoices, unapplied payments and the trial balance only with no error, or with each excluded row approved by its owner with a manual-entry plan</t>
        </is>
      </c>
      <c r="D14" s="12" t="inlineStr">
        <is>
          <t>Master data can be completed after go-live; a missing financial item would break the ledger and the reconciliation</t>
        </is>
      </c>
      <c r="E14" s="12" t="inlineStr">
        <is>
          <t>Comptrollership and the data owners confirm the two thresholds</t>
        </is>
      </c>
      <c r="F14" s="12" t="inlineStr">
        <is>
          <t>DMQ29</t>
        </is>
      </c>
      <c r="G14" s="12" t="inlineStr">
        <is>
          <t>M2 (30 Oct 2026)</t>
        </is>
      </c>
      <c r="H14" s="12" t="n"/>
      <c r="I14" s="12" t="n"/>
      <c r="J14" s="12" t="n"/>
      <c r="K14" s="25" t="n"/>
    </row>
    <row r="15">
      <c r="A15" s="12" t="inlineStr">
        <is>
          <t>PR-DM-11</t>
        </is>
      </c>
      <c r="B15" s="12" t="inlineStr">
        <is>
          <t>In-force policy headers</t>
        </is>
      </c>
      <c r="C15" s="12" t="inlineStr">
        <is>
          <t>Migrate the header of every policy in force at go-live (and in every case every expiry from go-live to 31 May 2028 and every renewal term booked in legacy that starts on or after go-live)</t>
        </is>
      </c>
      <c r="D15" s="12" t="inlineStr">
        <is>
          <t>Headers are needed to find active cover, to endorse legacy invoices and to renew in BIBS; the go-live renewal extraction works only from them</t>
        </is>
      </c>
      <c r="E15" s="12" t="inlineStr">
        <is>
          <t>Operations confirms the scope and the header fields</t>
        </is>
      </c>
      <c r="F15" s="12" t="inlineStr">
        <is>
          <t>DMQ09, DMQ22</t>
        </is>
      </c>
      <c r="G15" s="12" t="inlineStr">
        <is>
          <t>M1 (16 Oct 2026)</t>
        </is>
      </c>
      <c r="H15" s="12" t="n"/>
      <c r="I15" s="12" t="n"/>
      <c r="J15" s="12" t="n"/>
      <c r="K15" s="25" t="n"/>
    </row>
    <row r="16">
      <c r="A16" s="12" t="inlineStr">
        <is>
          <t>PR-DM-12</t>
        </is>
      </c>
      <c r="B16" s="12" t="inlineStr">
        <is>
          <t>Open invoice content</t>
        </is>
      </c>
      <c r="C16" s="12" t="inlineStr">
        <is>
          <t>Each open invoice is sent with its components (basic premium, DST, premium tax or VAT, LGT, FST, other charges, DTIP, commission, VAT on commission, withholding tax, PR 2307) and their booked, adjusted, paid, remitted and written-off amounts, per insurer share. Invoice numbers are kept; a number found in two source systems is prefixed with the source system</t>
        </is>
      </c>
      <c r="D16" s="12" t="inlineStr">
        <is>
          <t>The open balance in BIBS must equal the legacy open balance per component so that payments, remittances and reversals work on the right amounts</t>
        </is>
      </c>
      <c r="E16" s="12" t="inlineStr">
        <is>
          <t>BDOI IT confirms that legacy can give the components and shares, and that EBIX and QPS numbers are unique; Comptrollership gives the commission state per invoice</t>
        </is>
      </c>
      <c r="F16" s="12" t="inlineStr">
        <is>
          <t>DMQ10, DMQ11, DMQ12, DMQ13</t>
        </is>
      </c>
      <c r="G16" s="12" t="inlineStr">
        <is>
          <t>M1 (16 Oct 2026)</t>
        </is>
      </c>
      <c r="H16" s="12" t="n"/>
      <c r="I16" s="12" t="n"/>
      <c r="J16" s="12" t="n"/>
      <c r="K16" s="25" t="n"/>
    </row>
    <row r="17">
      <c r="A17" s="12" t="inlineStr">
        <is>
          <t>PR-DM-13</t>
        </is>
      </c>
      <c r="B17" s="12" t="inlineStr">
        <is>
          <t>Unapplied payments</t>
        </is>
      </c>
      <c r="C17" s="12" t="inlineStr">
        <is>
          <t>A migrated unapplied payment keeps its legacy AR number and date; no new BIBS AR is issued for money already acknowledged in legacy; it is matched by automatch on its references after every payment upload and hourly</t>
        </is>
      </c>
      <c r="D17" s="12" t="inlineStr">
        <is>
          <t>No duplicate receipt for the same cash; the references the payor gave are used again</t>
        </is>
      </c>
      <c r="E17" s="12" t="inlineStr">
        <is>
          <t>Operations - Financial Transactions confirms the receipt handling, the statuses and the matching references</t>
        </is>
      </c>
      <c r="F17" s="12" t="inlineStr">
        <is>
          <t>DMQ14, DMQ15, DMQ17</t>
        </is>
      </c>
      <c r="G17" s="12" t="inlineStr">
        <is>
          <t>M1 (16 Oct 2026)</t>
        </is>
      </c>
      <c r="H17" s="12" t="n"/>
      <c r="I17" s="12" t="n"/>
      <c r="J17" s="12" t="n"/>
      <c r="K17" s="25" t="n"/>
    </row>
    <row r="18">
      <c r="A18" s="12" t="inlineStr">
        <is>
          <t>PR-DM-14</t>
        </is>
      </c>
      <c r="B18" s="12" t="inlineStr">
        <is>
          <t>Foreign-currency openings</t>
        </is>
      </c>
      <c r="C18" s="12" t="inlineStr">
        <is>
          <t>USD invoices and unapplied payments open at their legacy booking rate; the difference at collection is an exchange difference as for a BIBS invoice</t>
        </is>
      </c>
      <c r="D18" s="12" t="inlineStr">
        <is>
          <t>The legacy receivable is carried at the value in the legacy books</t>
        </is>
      </c>
      <c r="E18" s="12" t="inlineStr">
        <is>
          <t>Comptrollership confirms the rate</t>
        </is>
      </c>
      <c r="F18" s="12" t="inlineStr">
        <is>
          <t>DMQ35</t>
        </is>
      </c>
      <c r="G18" s="12" t="inlineStr">
        <is>
          <t>M2 (30 Oct 2026)</t>
        </is>
      </c>
      <c r="H18" s="12" t="n"/>
      <c r="I18" s="12" t="n"/>
      <c r="J18" s="12" t="n"/>
      <c r="K18" s="25" t="n"/>
    </row>
    <row r="19">
      <c r="A19" s="12" t="inlineStr">
        <is>
          <t>PR-DM-15</t>
        </is>
      </c>
      <c r="B19" s="12" t="inlineStr">
        <is>
          <t>Trial migrations, masking and the dress rehearsal</t>
        </is>
      </c>
      <c r="C19" s="12" t="inlineStr">
        <is>
          <t>Four trial migrations (April, July, August and October 2027) and a dress rehearsal (November 2027) on masked extracts; masking when the file is received in BIBS; unmasked files never leave production</t>
        </is>
      </c>
      <c r="D19" s="12" t="inlineStr">
        <is>
          <t>Every step of the cut-over is timed and proven on full data before production</t>
        </is>
      </c>
      <c r="E19" s="12" t="inlineStr">
        <is>
          <t>The Program Manager and Compliance confirm the number of runs and the masking</t>
        </is>
      </c>
      <c r="F19" s="12" t="inlineStr">
        <is>
          <t>DMQ31</t>
        </is>
      </c>
      <c r="G19" s="12" t="inlineStr">
        <is>
          <t>M2 (30 Oct 2026)</t>
        </is>
      </c>
      <c r="H19" s="12" t="n"/>
      <c r="I19" s="12" t="n"/>
      <c r="J19" s="12" t="n"/>
      <c r="K19" s="25" t="n"/>
    </row>
    <row r="20">
      <c r="A20" s="12" t="inlineStr">
        <is>
          <t>PR-DM-16</t>
        </is>
      </c>
      <c r="B20" s="12" t="inlineStr">
        <is>
          <t>Point of no return</t>
        </is>
      </c>
      <c r="C20" s="12" t="inlineStr">
        <is>
          <t>Until the go / no-go decision the rollback restores the snapshot and legacy reopens. After go-live, the point of no return is the end of the first business day (18:00); later issues are fixed forward in BIBS</t>
        </is>
      </c>
      <c r="D20" s="12" t="inlineStr">
        <is>
          <t>A clear point after which legacy is never reopened for business</t>
        </is>
      </c>
      <c r="E20" s="12" t="inlineStr">
        <is>
          <t>The Program Manager confirms the point of no return and who decides the rollback</t>
        </is>
      </c>
      <c r="F20" s="12" t="inlineStr">
        <is>
          <t>DMQ32</t>
        </is>
      </c>
      <c r="G20" s="12" t="inlineStr">
        <is>
          <t>M6 (1 Oct 2027)</t>
        </is>
      </c>
      <c r="H20" s="12" t="n"/>
      <c r="I20" s="12" t="n"/>
      <c r="J20" s="12" t="n"/>
      <c r="K20" s="25" t="n"/>
    </row>
    <row r="21">
      <c r="A21" s="12" t="inlineStr">
        <is>
          <t>PR-DM-17</t>
        </is>
      </c>
      <c r="B21" s="12" t="inlineStr">
        <is>
          <t>Items in process at the freeze</t>
        </is>
      </c>
      <c r="C21" s="12" t="inlineStr">
        <is>
          <t>Endorsements, un-booked accounts, placements, cheque pick-ups and refunds in process are completed in legacy before the freeze; what cannot complete is carried (F04, F06) or keyed in BIBS after go-live from a list signed by its owner</t>
        </is>
      </c>
      <c r="D21" s="12" t="inlineStr">
        <is>
          <t>No item is lost at the freeze or processed in both systems</t>
        </is>
      </c>
      <c r="E21" s="12" t="inlineStr">
        <is>
          <t>Operations confirms the completion drives and the re-keying list</t>
        </is>
      </c>
      <c r="F21" s="12" t="inlineStr">
        <is>
          <t>DMQ33, DMQ21</t>
        </is>
      </c>
      <c r="G21" s="12" t="inlineStr">
        <is>
          <t>M2 (30 Oct 2026)</t>
        </is>
      </c>
      <c r="H21" s="12" t="n"/>
      <c r="I21" s="12" t="n"/>
      <c r="J21" s="12" t="n"/>
      <c r="K21" s="25" t="n"/>
    </row>
    <row r="22">
      <c r="A22" s="12" t="inlineStr">
        <is>
          <t>PR-DM-18</t>
        </is>
      </c>
      <c r="B22" s="12" t="inlineStr">
        <is>
          <t>Collection state</t>
        </is>
      </c>
      <c r="C22" s="12" t="inlineStr">
        <is>
          <t>Carry the open dispositions, promises to pay, instalment plans and collector assignments of the open invoices; the history stays in the archive</t>
        </is>
      </c>
      <c r="D22" s="12" t="inlineStr">
        <is>
          <t>Collectors continue their follow-up without re-keying</t>
        </is>
      </c>
      <c r="E22" s="12" t="inlineStr">
        <is>
          <t>Collections confirms</t>
        </is>
      </c>
      <c r="F22" s="12" t="inlineStr">
        <is>
          <t>DMQ34</t>
        </is>
      </c>
      <c r="G22" s="12" t="inlineStr">
        <is>
          <t>M2 (30 Oct 2026)</t>
        </is>
      </c>
      <c r="H22" s="12" t="n"/>
      <c r="I22" s="12" t="n"/>
      <c r="J22" s="12" t="n"/>
      <c r="K22" s="25" t="n"/>
    </row>
    <row r="23">
      <c r="A23" s="12" t="inlineStr">
        <is>
          <t>PR-DM-19</t>
        </is>
      </c>
      <c r="B23" s="12" t="inlineStr">
        <is>
          <t>Screening of migrated clients</t>
        </is>
      </c>
      <c r="C23" s="12" t="inlineStr">
        <is>
          <t>No screening per migrated client during the load; one full screening run of all migrated clients before go-live; legacy screening results archived</t>
        </is>
      </c>
      <c r="D23" s="12" t="inlineStr">
        <is>
          <t>Current results for every client without thousands of screening requests during the load</t>
        </is>
      </c>
      <c r="E23" s="12" t="inlineStr">
        <is>
          <t>Compliance confirms</t>
        </is>
      </c>
      <c r="F23" s="12" t="inlineStr">
        <is>
          <t>DMQ06</t>
        </is>
      </c>
      <c r="G23" s="12" t="inlineStr">
        <is>
          <t>M2 (30 Oct 2026)</t>
        </is>
      </c>
      <c r="H23" s="12" t="n"/>
      <c r="I23" s="12" t="n"/>
      <c r="J23" s="12" t="n"/>
      <c r="K23" s="25" t="n"/>
    </row>
    <row r="24">
      <c r="A24" s="12" t="inlineStr">
        <is>
          <t>PR-DM-20</t>
        </is>
      </c>
      <c r="B24" s="12" t="inlineStr">
        <is>
          <t>Retention of the migration evidence</t>
        </is>
      </c>
      <c r="C24" s="12" t="inlineStr">
        <is>
          <t>Staged rows and files are deleted within 5 days of the batch sign-off; counts, hashes, totals, reports and sign-offs are kept 10 years; the archive and its access log follow the retention of historical data (5 years online, 15 years archive)</t>
        </is>
      </c>
      <c r="D24" s="12" t="inlineStr">
        <is>
          <t>The personal data of the extracts is not kept longer than needed while the evidence of the migration stays available for audit</t>
        </is>
      </c>
      <c r="E24" s="12" t="inlineStr">
        <is>
          <t>Compliance confirms the retention of the evidence</t>
        </is>
      </c>
      <c r="F24" s="12" t="inlineStr">
        <is>
          <t>DMQ29, DMQ24</t>
        </is>
      </c>
      <c r="G24" s="12" t="inlineStr">
        <is>
          <t>M2 (30 Oct 2026)</t>
        </is>
      </c>
      <c r="H24" s="12" t="n"/>
      <c r="I24" s="12" t="n"/>
      <c r="J24" s="12" t="n"/>
      <c r="K24" s="25" t="n"/>
    </row>
    <row r="25">
      <c r="A25" s="12" t="inlineStr">
        <is>
          <t>PR-DM-21</t>
        </is>
      </c>
      <c r="B25" s="12" t="inlineStr">
        <is>
          <t>Decommissioning of a legacy system</t>
        </is>
      </c>
      <c r="C25" s="12" t="inlineStr">
        <is>
          <t>A legacy system is switched off only against a signed checklist: final extracts reconciled, the final opening-balance adjustment reconciled (EBIX, ISYS), archive loaded and reconciled, Legacy Inquiry verified by Audit / Compliance, no open item or claim needing it, access logs archived, retention covered, owners signed</t>
        </is>
      </c>
      <c r="D25" s="12" t="inlineStr">
        <is>
          <t>History and audit evidence stay available; nothing still open depends on the system</t>
        </is>
      </c>
      <c r="E25" s="12" t="inlineStr">
        <is>
          <t>The Program Manager and BDOI IT confirm the criteria and the owner per system</t>
        </is>
      </c>
      <c r="F25" s="12" t="inlineStr">
        <is>
          <t>DMQ27</t>
        </is>
      </c>
      <c r="G25" s="12" t="inlineStr">
        <is>
          <t>M6 (1 Oct 2027)</t>
        </is>
      </c>
      <c r="H25" s="12" t="n"/>
      <c r="I25" s="12" t="n"/>
      <c r="J25" s="12" t="n"/>
      <c r="K25" s="25" t="n"/>
    </row>
    <row r="26">
      <c r="A26" s="12" t="inlineStr">
        <is>
          <t>PR-DM-22</t>
        </is>
      </c>
      <c r="B26" s="12" t="inlineStr">
        <is>
          <t>No write-back to legacy</t>
        </is>
      </c>
      <c r="C26" s="12" t="inlineStr">
        <is>
          <t>After the freeze no client or contact change is written back to QPS or EBIX; legacy is read-only</t>
        </is>
      </c>
      <c r="D26" s="12" t="inlineStr">
        <is>
          <t>One system of record per item from the freeze</t>
        </is>
      </c>
      <c r="E26" s="12" t="inlineStr">
        <is>
          <t>The Product Owner of MBS confirms</t>
        </is>
      </c>
      <c r="F26" s="12" t="inlineStr">
        <is>
          <t>DCR-202</t>
        </is>
      </c>
      <c r="G26" s="12" t="inlineStr">
        <is>
          <t>M1 (16 Oct 2026)</t>
        </is>
      </c>
      <c r="H26" s="12" t="n"/>
      <c r="I26" s="12" t="n"/>
      <c r="J26" s="12" t="n"/>
      <c r="K26" s="25" t="n"/>
    </row>
    <row r="27">
      <c r="A27" s="12" t="inlineStr">
        <is>
          <t>PR-DM-23</t>
        </is>
      </c>
      <c r="B27" s="12" t="inlineStr">
        <is>
          <t>Treatment of a legacy invoice</t>
        </is>
      </c>
      <c r="C27" s="12" t="inlineStr">
        <is>
          <t>A legacy invoice is not re-booked in BIBS: it enters the Operations ledger with its open balances per component and insurer share, keeps its legacy number, and is processed like a BIBS invoice (payments, remittance, reversals, endorsements) with its postings on the legacy control accounts</t>
        </is>
      </c>
      <c r="D27" s="12" t="inlineStr">
        <is>
          <t>The legacy books stay traceable item by item and the processes after go-live are the ones users already learn for BIBS invoices</t>
        </is>
      </c>
      <c r="E27" s="12" t="inlineStr">
        <is>
          <t>Comptrollership and Operations confirm the treatment</t>
        </is>
      </c>
      <c r="F27" s="12" t="inlineStr">
        <is>
          <t>DMQ10, DMQ18</t>
        </is>
      </c>
      <c r="G27" s="12" t="inlineStr">
        <is>
          <t>M1 (16 Oct 2026)</t>
        </is>
      </c>
      <c r="H27" s="12" t="n"/>
      <c r="I27" s="12" t="n"/>
      <c r="J27" s="12" t="n"/>
      <c r="K27" s="25" t="n"/>
    </row>
    <row r="28">
      <c r="A28" s="12" t="inlineStr">
        <is>
          <t>PR-DM-24</t>
        </is>
      </c>
      <c r="B28" s="12" t="inlineStr">
        <is>
          <t>Package remapping at Renewal sanitation</t>
        </is>
      </c>
      <c r="C28" s="12" t="inlineStr">
        <is>
          <t>The migration loads the policy headers with the legacy package as given and loads the package code map (object R06) prepared by TSU; each candidate is remapped at the package check of the Renewal sanitation, and a package without a map entry goes to the Exception bucket</t>
        </is>
      </c>
      <c r="D28" s="12" t="inlineStr">
        <is>
          <t>BDOI decision of 26 September 2026; no package is guessed at load</t>
        </is>
      </c>
      <c r="E28" s="12" t="inlineStr">
        <is>
          <t>The Product Owner of Marketing Business System confirms the decision and names the TSU preparer of the map</t>
        </is>
      </c>
      <c r="F28" s="12" t="inlineStr">
        <is>
          <t>DMQ36</t>
        </is>
      </c>
      <c r="G28" s="12" t="inlineStr">
        <is>
          <t>M2 (30 Oct 2026)</t>
        </is>
      </c>
      <c r="H28" s="12" t="n"/>
      <c r="I28" s="12" t="n"/>
      <c r="J28" s="12" t="n"/>
      <c r="K28" s="25" t="n"/>
    </row>
    <row r="29">
      <c r="A29" s="12" t="inlineStr">
        <is>
          <t>PR-DM-25</t>
        </is>
      </c>
      <c r="B29" s="12" t="inlineStr">
        <is>
          <t>Renewals of the January-May 2028 expiries</t>
        </is>
      </c>
      <c r="C29" s="12" t="inlineStr">
        <is>
          <t>No renewal cohort is carried from legacy: the expiries from go-live to 31 May 2028 are extracted at go-live and processed in BIBS, January expiries first and flagged Urgent; the renewal advices already sent are loaded from the Excel trackers of the Renewal processing team (object P03) with a maker and a checker</t>
        </is>
      </c>
      <c r="D29" s="12" t="inlineStr">
        <is>
          <t>BDOI decisions of 26 September 2026; the renewal lead time of the first months is protected</t>
        </is>
      </c>
      <c r="E29" s="12" t="inlineStr">
        <is>
          <t>The Heads of Retail and Corporate Marketing and the Head of the Renewal processing team confirm</t>
        </is>
      </c>
      <c r="F29" s="12" t="inlineStr">
        <is>
          <t>DMQ26, DMQ37, DMQ38</t>
        </is>
      </c>
      <c r="G29" s="12" t="inlineStr">
        <is>
          <t>M2 (30 Oct 2026)</t>
        </is>
      </c>
      <c r="H29" s="12" t="n"/>
      <c r="I29" s="12" t="n"/>
      <c r="J29" s="12" t="n"/>
      <c r="K29" s="25" t="n"/>
    </row>
    <row r="30">
      <c r="A30" s="12" t="inlineStr">
        <is>
          <t>PR-DM-26</t>
        </is>
      </c>
      <c r="B30" s="12" t="inlineStr">
        <is>
          <t>Objects outside the migration</t>
        </is>
      </c>
      <c r="C30" s="12" t="inlineStr">
        <is>
          <t>Open claims, Employee Benefits programmes, the Excel masterlists of submitted policies, payees and users are not migrated until BDOI decides; users are created through User Access requests and legacy user IDs are only mapped; an object brought into scope uses the same layouts, gates and reconciliation</t>
        </is>
      </c>
      <c r="D30" s="12" t="inlineStr">
        <is>
          <t>The scope of these objects is open in the BRD</t>
        </is>
      </c>
      <c r="E30" s="12" t="inlineStr">
        <is>
          <t>The Program Manager decides the scope of each object</t>
        </is>
      </c>
      <c r="F30" s="12" t="inlineStr">
        <is>
          <t>DMQ30</t>
        </is>
      </c>
      <c r="G30" s="12" t="inlineStr">
        <is>
          <t>M2 (30 Oct 2026)</t>
        </is>
      </c>
      <c r="H30" s="12" t="n"/>
      <c r="I30" s="12" t="n"/>
      <c r="J30" s="12" t="n"/>
      <c r="K30" s="25" t="n"/>
    </row>
    <row r="31">
      <c r="A31" s="12" t="inlineStr">
        <is>
          <t>PR-DM-27</t>
        </is>
      </c>
      <c r="B31" s="12" t="inlineStr">
        <is>
          <t>Loading through the BIBS functions</t>
        </is>
      </c>
      <c r="C31" s="12" t="inlineStr">
        <is>
          <t>Each row is loaded through the same BIBS function that the screens use, so every rule, audit entry and accounting entry applies, without notifications to clients or insurers; each record keeps a cross-reference to its legacy key</t>
        </is>
      </c>
      <c r="D31" s="12" t="inlineStr">
        <is>
          <t>Migrated data meets the same rules as data keyed on the screens and every load is reconcilable</t>
        </is>
      </c>
      <c r="E31" s="12" t="inlineStr">
        <is>
          <t>The Program Manager confirms the approach</t>
        </is>
      </c>
      <c r="F31" s="12" t="inlineStr">
        <is>
          <t>-</t>
        </is>
      </c>
      <c r="G31" s="12" t="inlineStr">
        <is>
          <t>M1 (16 Oct 2026)</t>
        </is>
      </c>
      <c r="H31" s="12" t="n"/>
      <c r="I31" s="12" t="n"/>
      <c r="J31" s="12" t="n"/>
      <c r="K31" s="25" t="n"/>
    </row>
    <row r="32">
      <c r="A32" s="12" t="inlineStr">
        <is>
          <t>PR-DM-28</t>
        </is>
      </c>
      <c r="B32" s="12" t="inlineStr">
        <is>
          <t>Reconciliation tolerance</t>
        </is>
      </c>
      <c r="C32" s="12" t="inlineStr">
        <is>
          <t>An amount difference between the control total, staging and BIBS is a break unless it is within the amount tolerance per currency (proposed 0.00); every break is fixed by a rerun or explained with a reason from the list and approved by the reconciliation approver</t>
        </is>
      </c>
      <c r="D32" s="12" t="inlineStr">
        <is>
          <t>Financial objects must reconcile to the centavo; the BRD gives no tolerance</t>
        </is>
      </c>
      <c r="E32" s="12" t="inlineStr">
        <is>
          <t>Comptrollership confirms the tolerance</t>
        </is>
      </c>
      <c r="F32" s="12" t="inlineStr">
        <is>
          <t>-</t>
        </is>
      </c>
      <c r="G32" s="12" t="inlineStr">
        <is>
          <t>M2 (30 Oct 2026)</t>
        </is>
      </c>
      <c r="H32" s="12" t="n"/>
      <c r="I32" s="12" t="n"/>
      <c r="J32" s="12" t="n"/>
      <c r="K32" s="25" t="n"/>
    </row>
    <row r="33">
      <c r="A33" s="12" t="inlineStr">
        <is>
          <t>CLR-DM-01</t>
        </is>
      </c>
      <c r="B33" s="12" t="inlineStr">
        <is>
          <t>BRD baseline and the record of agreed deviations</t>
        </is>
      </c>
      <c r="C33" s="12" t="inlineStr">
        <is>
          <t>BRD V0.03 (signed 15 to 19 May 2026) is the baseline of this set and replaces draft v0.01. The BDOI answers of 26 September 2026 (package remapping, January-May 2028 renewals, RMEL sources, year-end cut-over) and the decisions BDOI records on the Proposed rules sheet are listed in one signed annex to V0.03, issued with the BRD-13 sign-off; where the annex differs from the BRD text, the annex prevails</t>
        </is>
      </c>
      <c r="D33" s="12" t="inlineStr">
        <is>
          <t>V0.03 was signed in May 2026, before the BDOI answers of 26 September 2026; without one signed record the BRD text and the later answers conflict and test cases cannot be accepted against either</t>
        </is>
      </c>
      <c r="E33" s="12" t="inlineStr">
        <is>
          <t>The Program Manager confirms V0.03 as the baseline, its version number (the revision log shows 0.01, 0.02 and an entry of 15 May 2026 without a number) and the annex</t>
        </is>
      </c>
      <c r="F33" s="12" t="inlineStr">
        <is>
          <t>DM-Q01, DM-Q02, DCR-189</t>
        </is>
      </c>
      <c r="G33" s="12" t="inlineStr">
        <is>
          <t>16 Oct 2026 (baseline); 30 Oct 2026 (annex)</t>
        </is>
      </c>
      <c r="H33" s="12" t="n"/>
      <c r="I33" s="12" t="n"/>
      <c r="J33" s="12" t="n"/>
      <c r="K33" s="25" t="n"/>
    </row>
    <row r="34">
      <c r="A34" s="12" t="inlineStr">
        <is>
          <t>CLR-DM-02</t>
        </is>
      </c>
      <c r="B34" s="12" t="inlineStr">
        <is>
          <t>Requirement numbering of V0.03</t>
        </is>
      </c>
      <c r="C34" s="12" t="inlineStr">
        <is>
          <t>Two requirements of V0.03 are numbered BRID_MIG 12.1 (p.13). This set keeps BRID_MIG 12.1 for the cut-over aligned to the RMEL and reads the second one (renewals in progress) as BRID_MIG 12.2. BRID_MIG 14.2 (e-policies) is listed under capability 15, which is not in the list of capabilities (p.6); it is read as part of capability 14 (or as a capability 15 'E-policy linking to migrated accounts'). Capability 7 is read as 'Operations Adjustments'</t>
        </is>
      </c>
      <c r="D34" s="12" t="inlineStr">
        <is>
          <t>Traceability and test cases cannot be keyed on a requirement ID used twice</t>
        </is>
      </c>
      <c r="E34" s="12" t="inlineStr">
        <is>
          <t>The Program Manager confirms the numbers or gives the correct ones in the annex</t>
        </is>
      </c>
      <c r="F34" s="12" t="inlineStr">
        <is>
          <t>DM-Q03</t>
        </is>
      </c>
      <c r="G34" s="12" t="inlineStr">
        <is>
          <t>30 Oct 2026</t>
        </is>
      </c>
      <c r="H34" s="12" t="n"/>
      <c r="I34" s="12" t="n"/>
      <c r="J34" s="12" t="n"/>
      <c r="K34" s="25" t="n"/>
    </row>
    <row r="35">
      <c r="A35" s="12" t="inlineStr">
        <is>
          <t>CLR-DM-03</t>
        </is>
      </c>
      <c r="B35" s="12" t="inlineStr">
        <is>
          <t>History in BRID_MIG 1.3, 10.1, 13.1 and 14.1</t>
        </is>
      </c>
      <c r="C35" s="12" t="inlineStr">
        <is>
          <t>The selective principle of the BRD (p.3, p.5) stands. 'Transaction history' (13.1) and 'no loss of historical information' (14.1) mean the movements of the items that are still open (booked, paid, remitted, adjusted and written off per component), loaded with each item; the GL beginning balance is the balance-sheet opening at 31 December 2027 per branch and currency, trued up after the legacy close and the audited statements. Closed transactions, expired policies, settled items and GL history go to the BIBS archive or stay in read-only legacy and are searched in Legacy Inquiry (BRID_MIG 11.1). 'Client-related data' means the client master, payout accounts and the client of every open item</t>
        </is>
      </c>
      <c r="D35" s="12" t="inlineStr">
        <is>
          <t>Loading closed history into the business screens would change the object register, the volumes, the reconciliation and the trial-migration calendar, and contradicts the BRD's own principle</t>
        </is>
      </c>
      <c r="E35" s="12" t="inlineStr">
        <is>
          <t>The Program Manager, the Head of Comptrollership and the Head of Operations confirm the reading of 'history'</t>
        </is>
      </c>
      <c r="F35" s="12" t="inlineStr">
        <is>
          <t>DM-Q04, DM-Q05</t>
        </is>
      </c>
      <c r="G35" s="12" t="inlineStr">
        <is>
          <t>16 Oct 2026</t>
        </is>
      </c>
      <c r="H35" s="12" t="n"/>
      <c r="I35" s="12" t="n"/>
      <c r="J35" s="12" t="n"/>
      <c r="K35" s="25" t="n"/>
    </row>
    <row r="36">
      <c r="A36" s="12" t="inlineStr">
        <is>
          <t>CLR-DM-04</t>
        </is>
      </c>
      <c r="B36" s="12" t="inlineStr">
        <is>
          <t>Reconciliation tolerance and 'no material variances'</t>
        </is>
      </c>
      <c r="C36" s="12" t="inlineStr">
        <is>
          <t>BRID_MIG 13.1 accepts the accounting data 'with no material variances'. The set keeps an amount tolerance of 0.00 per currency for every object (PR-DM-28) and no materiality threshold: every difference is a break that is fixed by a rerun or explained and approved by the reconciliation approver before gate G5</t>
        </is>
      </c>
      <c r="D36" s="12" t="inlineStr">
        <is>
          <t>Open items and the GL opening must reconcile to the centavo so that Migration Clearing nets to 0.00; a materiality threshold would leave unexplained differences on the legacy control accounts</t>
        </is>
      </c>
      <c r="E36" s="12" t="inlineStr">
        <is>
          <t>The Head of Comptrollership confirms the 0.00 tolerance, or names the threshold and the objects it applies to</t>
        </is>
      </c>
      <c r="F36" s="12" t="inlineStr">
        <is>
          <t>DM-Q48</t>
        </is>
      </c>
      <c r="G36" s="12" t="inlineStr">
        <is>
          <t>30 Oct 2026</t>
        </is>
      </c>
      <c r="H36" s="12" t="n"/>
      <c r="I36" s="12" t="n"/>
      <c r="J36" s="12" t="n"/>
      <c r="K36" s="25" t="n"/>
    </row>
    <row r="37">
      <c r="A37" s="12" t="inlineStr">
        <is>
          <t>CLR-DM-05</t>
        </is>
      </c>
      <c r="B37" s="12" t="inlineStr">
        <is>
          <t>Submitted policies and endorsements kept outside the legacy systems (BRID_MIG 1.3)</t>
        </is>
      </c>
      <c r="C37" s="12" t="inlineStr">
        <is>
          <t>Submitted policies (object P04): the active records of the Excel masterlists are loaded through the masterlist upload of the Submitted Policies module with the same reconciliation and gates, and their clients are part of the client load (C01). Endorsements and adjustments kept outside the legacy systems: completed in legacy before the freeze where possible; the rest keyed in BIBS after go-live against the migrated policy header from a list signed by the Head of Operations; no migration layout. Until BDOI confirms, P04 stays Conditional in the data object register</t>
        </is>
      </c>
      <c r="D37" s="12" t="inlineStr">
        <is>
          <t>BRID_MIG 1.3 names both among the data to migrate 'not limited to' the legacy systems; release set v2.0 held them as conditional (DMQ30)</t>
        </is>
      </c>
      <c r="E37" s="12" t="inlineStr">
        <is>
          <t>CBG and Non-CBG Marketing confirm the submitted-policy scope and owners; the Head of Operations identifies the endorsements kept outside legacy and confirms their treatment</t>
        </is>
      </c>
      <c r="F37" s="12" t="inlineStr">
        <is>
          <t>DM-Q09, DM-Q10, DMQ30</t>
        </is>
      </c>
      <c r="G37" s="12" t="inlineStr">
        <is>
          <t>16 Oct 2026 (P04); 30 Oct 2026 (endorsements)</t>
        </is>
      </c>
      <c r="H37" s="12" t="n"/>
      <c r="I37" s="12" t="n"/>
      <c r="J37" s="12" t="n"/>
      <c r="K37" s="25" t="n"/>
    </row>
    <row r="38">
      <c r="A38" s="12" t="inlineStr">
        <is>
          <t>CLR-DM-06</t>
        </is>
      </c>
      <c r="B38" s="12" t="inlineStr">
        <is>
          <t>Payees (BRID_MIG 3.1)</t>
        </is>
      </c>
      <c r="C38" s="12" t="inlineStr">
        <is>
          <t>Payees (object R09) become Migrate: the active payees are loaded through the payee migration of Disbursement with status Draft until Disbursement submits them; bank account numbers are masked outside production; owner the Product Owner, Comptrollership - Disbursement. Until BDOI confirms, R09 stays Conditional</t>
        </is>
      </c>
      <c r="D38" s="12" t="inlineStr">
        <is>
          <t>V0.03 adds the 'List of Payee details' to the data to map and migrate for disbursement; release set v2.0 held payees as conditional</t>
        </is>
      </c>
      <c r="E38" s="12" t="inlineStr">
        <is>
          <t>The Product Owner, Comptrollership - Disbursement confirms which payees (insurers, clients for refunds, suppliers), their source and the owner</t>
        </is>
      </c>
      <c r="F38" s="12" t="inlineStr">
        <is>
          <t>DM-Q11, DMQ30</t>
        </is>
      </c>
      <c r="G38" s="12" t="inlineStr">
        <is>
          <t>16 Oct 2026</t>
        </is>
      </c>
      <c r="H38" s="12" t="n"/>
      <c r="I38" s="12" t="n"/>
      <c r="J38" s="12" t="n"/>
      <c r="K38" s="25" t="n"/>
    </row>
    <row r="39">
      <c r="A39" s="12" t="inlineStr">
        <is>
          <t>CLR-DM-07</t>
        </is>
      </c>
      <c r="B39" s="12" t="inlineStr">
        <is>
          <t>Renewals in progress (second BRID_MIG 12.1, read as 12.2)</t>
        </is>
      </c>
      <c r="C39" s="12" t="inlineStr">
        <is>
          <t>The BDOI answer of 26 September 2026 prevails and is recorded in the annex: no renewal in progress is carried from the legacy trackers. A renewal whose new term starts before go-live is placed and booked in legacy before the freeze and migrates as an in-force header; the January-May 2028 expiries are processed in BIBS from the go-live extraction of the migrated headers, with the renewal advices already sent loaded from the trackers (P03) so they are not sent again; renewal premiums received in legacy are carried as unapplied payments (F02); the P03 batch gives the audit trail of loaded, rejected and resubmitted rows with timestamps and errors (FR-DM-126)</t>
        </is>
      </c>
      <c r="D39" s="12" t="inlineStr">
        <is>
          <t>V0.03 (signed May 2026) asks that every renewal record in progress is migrated and continued from its last stage; BDOI answered on 26 September 2026 (DMQ37, DMQ38) that the RMEL and dispositions stay in Excel and that no candidate is carried. Carrying stages would need a tracker layout and a stage map that the Excel trackers cannot support reliably before go-live</t>
        </is>
      </c>
      <c r="E39" s="12" t="inlineStr">
        <is>
          <t>The Heads of Retail and Corporate Marketing and the Head of the Renewal processing team confirm that the 26 September 2026 answer prevails, or list the stages and data to carry and their source</t>
        </is>
      </c>
      <c r="F39" s="12" t="inlineStr">
        <is>
          <t>DM-Q08, DMQ37, DMQ38</t>
        </is>
      </c>
      <c r="G39" s="12" t="inlineStr">
        <is>
          <t>16 Oct 2026</t>
        </is>
      </c>
      <c r="H39" s="12" t="n"/>
      <c r="I39" s="12" t="n"/>
      <c r="J39" s="12" t="n"/>
      <c r="K39" s="25" t="n"/>
    </row>
    <row r="40">
      <c r="A40" s="12" t="inlineStr">
        <is>
          <t>CLR-DM-08</t>
        </is>
      </c>
      <c r="B40" s="12" t="inlineStr">
        <is>
          <t>Claims data (BRID_MIG 14.1)</t>
        </is>
      </c>
      <c r="C40" s="12" t="inlineStr">
        <is>
          <t>Open claims at the freeze are carried forward through the claims migration upload of the Claims module (object F07 becomes Carry forward), each with its notification, reserve, payments and documents and linked to the legacy policy header (loaded even if the policy has expired) and to the BIBS claim; closed claims are archived and searched in Legacy Inquiry. Claims are first loaded in Trial migration 3 (August 2027), after the Claims SIT. Until BDOI confirms, F07 stays Conditional and FR-DM-130 applies only on confirmation</t>
        </is>
      </c>
      <c r="D40" s="12" t="inlineStr">
        <is>
          <t>V0.03 makes claims migration a Must have with 'no loss of historical information'; release set v2.0 and the Claims set held open claims as conditional (DMQ30); Claims is in Drop 2 of the BDOI drop plan</t>
        </is>
      </c>
      <c r="E40" s="12" t="inlineStr">
        <is>
          <t>The Unit Head, Claims confirms which claims migrate (open only, or closed claims and for how many years), their source and the data owner</t>
        </is>
      </c>
      <c r="F40" s="12" t="inlineStr">
        <is>
          <t>DM-Q06, DMQ30</t>
        </is>
      </c>
      <c r="G40" s="12" t="inlineStr">
        <is>
          <t>16 Oct 2026</t>
        </is>
      </c>
      <c r="H40" s="12" t="n"/>
      <c r="I40" s="12" t="n"/>
      <c r="J40" s="12" t="n"/>
      <c r="K40" s="25" t="n"/>
    </row>
    <row r="41">
      <c r="A41" s="12" t="inlineStr">
        <is>
          <t>CLR-DM-09</t>
        </is>
      </c>
      <c r="B41" s="12" t="inlineStr">
        <is>
          <t>E-policies linked to migrated accounts (BRID_MIG 14.2)</t>
        </is>
      </c>
      <c r="C41" s="12" t="inlineStr">
        <is>
          <t>One load of the e-policies of the in-force migrated accounts from an index file (legacy account reference, insurer, insurer policy number, file name, checksum) into the BIBS documents of the account, matched on insurer and insurer policy number; an unmatched or ambiguous file is listed on an exception report and never linked; an audit report lists the linked and failed files with times and reasons (FR-DM-131). E-policies received after go-live are attached through the normal e-policy function of Placement</t>
        </is>
      </c>
      <c r="D41" s="12" t="inlineStr">
        <is>
          <t>V0.03 adds the requirement for the Placement User; the handbook had no e-policy object, and the e-policy receipt of New Business works on BIBS placements</t>
        </is>
      </c>
      <c r="E41" s="12" t="inlineStr">
        <is>
          <t>The Head of Operations (Placement) says where the e-policies are held, which accounts they cover (in force only or also expired), the reference to match on and the volume, and whether the linking is a one-time load</t>
        </is>
      </c>
      <c r="F41" s="12" t="inlineStr">
        <is>
          <t>DM-Q07</t>
        </is>
      </c>
      <c r="G41" s="12" t="inlineStr">
        <is>
          <t>16 Oct 2026</t>
        </is>
      </c>
      <c r="H41" s="12" t="n"/>
      <c r="I41" s="12" t="n"/>
      <c r="J41" s="12" t="n"/>
      <c r="K41" s="25" t="n"/>
    </row>
    <row r="42">
      <c r="A42" s="12" t="inlineStr">
        <is>
          <t>CLR-DM-10</t>
        </is>
      </c>
      <c r="B42" s="12" t="inlineStr">
        <is>
          <t>Source systems: 'Broker' and EBIX as client master (BRID_MIG 2.1)</t>
        </is>
      </c>
      <c r="C42" s="12" t="inlineStr">
        <is>
          <t>Sources: EBIX (system of record for clients and billing), QPS, ISYS, the Collection Management System and Excel; 'Broker' is added as a source once BDOI IT describes it; one extract per source system per object, matched across systems. Survivorship: EBIX first for identity and billing fields; QPS first for contact fields only where its value is more recent; every losing value kept for review (amends PR-DM-09 on confirmation)</t>
        </is>
      </c>
      <c r="D42" s="12" t="inlineStr">
        <is>
          <t>V0.03 declares EBIX the client master and names 'Broker, iSys and QPS' as other sources of client data; 'Broker' is not a system known to the set</t>
        </is>
      </c>
      <c r="E42" s="12" t="inlineStr">
        <is>
          <t>BDOI IT says what 'Broker' is and which client data ISYS holds; the Product Owner of MBS confirms the survivorship order</t>
        </is>
      </c>
      <c r="F42" s="12" t="inlineStr">
        <is>
          <t>DM-Q13, DM-Q16, DMQ03, DMQ04</t>
        </is>
      </c>
      <c r="G42" s="12" t="inlineStr">
        <is>
          <t>16 Oct 2026</t>
        </is>
      </c>
      <c r="H42" s="12" t="n"/>
      <c r="I42" s="12" t="n"/>
      <c r="J42" s="12" t="n"/>
      <c r="K42" s="25" t="n"/>
    </row>
    <row r="43">
      <c r="A43" s="12" t="inlineStr">
        <is>
          <t>CLR-DM-11</t>
        </is>
      </c>
      <c r="B43" s="12" t="inlineStr">
        <is>
          <t>Client scope: 'previous and current clients' (BRID_MIG 2.1)</t>
        </is>
      </c>
      <c r="C43" s="12" t="inlineStr">
        <is>
          <t>Clients created from 1 January 2020, plus older clients with an in-force policy, an open item, a submitted policy or activity since 2020; prospects excluded; one-time load two weeks before go-live with daily deltas until the freeze; no feed and no write-back after the freeze (PR-DM-08, PR-DM-22)</t>
        </is>
      </c>
      <c r="D43" s="12" t="inlineStr">
        <is>
          <t>V0.03 names 'clients with submitted policy and previous and current clients' without a date limit; the umbrella BRD sizes '2020 to present'</t>
        </is>
      </c>
      <c r="E43" s="12" t="inlineStr">
        <is>
          <t>The Product Owner of MBS confirms the period and the filter, or the earlier date</t>
        </is>
      </c>
      <c r="F43" s="12" t="inlineStr">
        <is>
          <t>DM-Q15, DMQ05, DCR-173</t>
        </is>
      </c>
      <c r="G43" s="12" t="inlineStr">
        <is>
          <t>16 Oct 2026</t>
        </is>
      </c>
      <c r="H43" s="12" t="n"/>
      <c r="I43" s="12" t="n"/>
      <c r="J43" s="12" t="n"/>
      <c r="K43" s="25" t="n"/>
    </row>
    <row r="44">
      <c r="A44" s="12" t="inlineStr">
        <is>
          <t>CLR-DM-12</t>
        </is>
      </c>
      <c r="B44" s="12" t="inlineStr">
        <is>
          <t>Marking of migrated records (BRID_MIG 1.3)</t>
        </is>
      </c>
      <c r="C44" s="12" t="inlineStr">
        <is>
          <t>Every migrated record carries the origin Migrated, its source system, its legacy reference and its migration batch; lists and records show the LEGACY badge; lists that hold migrated records have an Origin filter; exports carry the origin and source system. Printed client documents (statements, receipts) do not show the marker</t>
        </is>
      </c>
      <c r="D44" s="12" t="inlineStr">
        <is>
          <t>BRID_MIG 1.3 asks for a migration identifier and the originating legacy system on every migrated record</t>
        </is>
      </c>
      <c r="E44" s="12" t="inlineStr">
        <is>
          <t>The Product Owner of MBS confirms, or names the documents and reports that must show the marker</t>
        </is>
      </c>
      <c r="F44" s="12" t="inlineStr">
        <is>
          <t>DM-Q18</t>
        </is>
      </c>
      <c r="G44" s="12" t="inlineStr">
        <is>
          <t>30 Oct 2026</t>
        </is>
      </c>
      <c r="H44" s="12" t="n"/>
      <c r="I44" s="12" t="n"/>
      <c r="J44" s="12" t="n"/>
      <c r="K44" s="25" t="n"/>
    </row>
    <row r="45">
      <c r="A45" s="12" t="inlineStr">
        <is>
          <t>CLR-DM-13</t>
        </is>
      </c>
      <c r="B45" s="12" t="inlineStr">
        <is>
          <t>Remigration of fall-out records (BRID_MIG 1.4)</t>
        </is>
      </c>
      <c r="C45" s="12" t="inlineStr">
        <is>
          <t>Rejected rows are corrected (new extract, new code map version or waiver) and loaded again in a rerun batch linked to the original batch, for all rejected rows or the rows the operator selects; each row shows its result in the rerun (proposed labels 'Migrated on rerun' and 'Failed again'); the run log and the rerun summary give the rows reprocessed, migrated and failed, the times and the error details. A rerun is allowed until the object is accepted (G6) in each cycle; after go-live a financial row that still fails is keyed in BIBS from the manual-entry plan approved by its owner</t>
        </is>
      </c>
      <c r="D45" s="12" t="inlineStr">
        <is>
          <t>The labels and the selection of rows are the only points of BRID_MIG 1.4 not stated by release set v2.0</t>
        </is>
      </c>
      <c r="E45" s="12" t="inlineStr">
        <is>
          <t>The BDOI Data Migration Lead confirms the labels and the rerun window</t>
        </is>
      </c>
      <c r="F45" s="12" t="inlineStr">
        <is>
          <t>DM-Q19</t>
        </is>
      </c>
      <c r="G45" s="12" t="inlineStr">
        <is>
          <t>30 Oct 2026</t>
        </is>
      </c>
      <c r="H45" s="12" t="n"/>
      <c r="I45" s="12" t="n"/>
      <c r="J45" s="12" t="n"/>
      <c r="K45" s="25" t="n"/>
    </row>
    <row r="46">
      <c r="A46" s="12" t="inlineStr">
        <is>
          <t>CLR-DM-14</t>
        </is>
      </c>
      <c r="B46" s="12" t="inlineStr">
        <is>
          <t>Legacy invoice number on the acknowledgment receipt (BRID_MIG 6.2)</t>
        </is>
      </c>
      <c r="C46" s="12" t="inlineStr">
        <is>
          <t>No new invoice number: the legacy number is the BIBS invoice number of a legacy invoice (prefixed with the source system only if EBIX and QPS numbers collide), it is printed on the AR and searchable, and the cross-reference keeps the source system and the legacy number. If BDOI requires a separate BIBS number, one is given at load and both numbers are printed on the AR and searchable</t>
        </is>
      </c>
      <c r="D46" s="12" t="inlineStr">
        <is>
          <t>V0.03 says the AR uses the legacy invoice number, 'properly linked to the new core system invoice number'; release set v2.0 does not re-book legacy invoices</t>
        </is>
      </c>
      <c r="E46" s="12" t="inlineStr">
        <is>
          <t>Operations - Financial Transactions confirms; BDOI IT confirms that EBIX and QPS numbers are unique and gives the QPS format</t>
        </is>
      </c>
      <c r="F46" s="12" t="inlineStr">
        <is>
          <t>DM-Q27, DMQ11</t>
        </is>
      </c>
      <c r="G46" s="12" t="inlineStr">
        <is>
          <t>16 Oct 2026</t>
        </is>
      </c>
      <c r="H46" s="12" t="n"/>
      <c r="I46" s="12" t="n"/>
      <c r="J46" s="12" t="n"/>
      <c r="K46" s="25" t="n"/>
    </row>
    <row r="47">
      <c r="A47" s="12" t="inlineStr">
        <is>
          <t>CLR-DM-15</t>
        </is>
      </c>
      <c r="B47" s="12" t="inlineStr">
        <is>
          <t>Direct-payment invoices (note of BRID_MIG 6.1)</t>
        </is>
      </c>
      <c r="C47" s="12" t="inlineStr">
        <is>
          <t>The direct-payment flag of the legacy invoice extract (F01) is filled only where legacy holds it; the DP PR reversal list comes from the Collections tag 'DP PR for reversal' or an approved list, not from a legacy flag</t>
        </is>
      </c>
      <c r="D47" s="12" t="inlineStr">
        <is>
          <t>V0.03 notes that the legacy invoice does not tell direct payments from regular bookings</t>
        </is>
      </c>
      <c r="E47" s="12" t="inlineStr">
        <is>
          <t>The Head of Comptrollership and Operations confirm how a direct-payment invoice is identified and the meaning of DP PR</t>
        </is>
      </c>
      <c r="F47" s="12" t="inlineStr">
        <is>
          <t>DM-Q29, DMQ19</t>
        </is>
      </c>
      <c r="G47" s="12" t="inlineStr">
        <is>
          <t>30 Oct 2026</t>
        </is>
      </c>
      <c r="H47" s="12" t="n"/>
      <c r="I47" s="12" t="n"/>
      <c r="J47" s="12" t="n"/>
      <c r="K47" s="25" t="n"/>
    </row>
    <row r="48">
      <c r="A48" s="12" t="inlineStr">
        <is>
          <t>CLR-DM-16</t>
        </is>
      </c>
      <c r="B48" s="12" t="inlineStr">
        <is>
          <t>Who requests and approves the DP PR and PR 2307 reversals (BRID_MIG 7.1, 7.2)</t>
        </is>
      </c>
      <c r="C48" s="12" t="inlineStr">
        <is>
          <t>Aligned to V0.03: DP PR Legacy Reversal requested by a Cashiering or Support Team user and approved by the Cashiering team lead; Legacy PR 2307 Reversal requested by a Collections user and approved by the Collections team lead; the requester never approves. The screens are unchanged; the access to them follows the role matrix of User Access (BRD-11). The screens of this set are shown with the users of release set v2.0 (Commission user and Cashiering user)</t>
        </is>
      </c>
      <c r="D48" s="12" t="inlineStr">
        <is>
          <t>V0.03 changes the persona of 7.1 to Cashiering / Support Team and of 7.2 to Collections</t>
        </is>
      </c>
      <c r="E48" s="12" t="inlineStr">
        <is>
          <t>The Head of Comptrollership and the Head of Operations confirm the requester and approver of each batch and the entries on Commission Receivable</t>
        </is>
      </c>
      <c r="F48" s="12" t="inlineStr">
        <is>
          <t>DM-Q30, DMQ19, DMQ20</t>
        </is>
      </c>
      <c r="G48" s="12" t="inlineStr">
        <is>
          <t>30 Oct 2026</t>
        </is>
      </c>
      <c r="H48" s="12" t="n"/>
      <c r="I48" s="12" t="n"/>
      <c r="J48" s="12" t="n"/>
      <c r="K48" s="25" t="n"/>
    </row>
    <row r="49">
      <c r="A49" s="12" t="inlineStr">
        <is>
          <t>CLR-DM-17</t>
        </is>
      </c>
      <c r="B49" s="12" t="inlineStr">
        <is>
          <t>Legacy sub-ledgers (BRID_MIG 5.2 to 8.1)</t>
        </is>
      </c>
      <c r="C49" s="12" t="inlineStr">
        <is>
          <t>Seven separate legacy control accounts and the Migration Clearing account, which must net to 0.00 (PR-DM-02); codes assigned by Comptrollership; the accounts are closed by Comptrollership when no legacy item is open. If BDOI prefers the common sub-ledgers of new business, the legacy items post there with the origin Migrated and the run-off is reported by origin</t>
        </is>
      </c>
      <c r="D49" s="12" t="inlineStr">
        <is>
          <t>V0.03 no longer writes '(legacy)' after the Premium Receivable, Commission Receivable, DTIP and UPP sub-ledgers; the BRD therefore no longer states the separate legacy sub-ledgers that release set v2.0 cited</t>
        </is>
      </c>
      <c r="E49" s="12" t="inlineStr">
        <is>
          <t>The Head of Comptrollership confirms separate legacy control accounts or common sub-ledgers with the origin</t>
        </is>
      </c>
      <c r="F49" s="12" t="inlineStr">
        <is>
          <t>DM-Q31, DMQ18</t>
        </is>
      </c>
      <c r="G49" s="12" t="inlineStr">
        <is>
          <t>16 Oct 2026</t>
        </is>
      </c>
      <c r="H49" s="12" t="n"/>
      <c r="I49" s="12" t="n"/>
      <c r="J49" s="12" t="n"/>
      <c r="K49" s="25" t="n"/>
    </row>
    <row r="50">
      <c r="A50" s="12" t="inlineStr">
        <is>
          <t>CLR-DM-18</t>
        </is>
      </c>
      <c r="B50" s="12" t="inlineStr">
        <is>
          <t>Negative endorsements with zero premium receivable (BRID_MIG 9.2)</t>
        </is>
      </c>
      <c r="C50" s="12" t="inlineStr">
        <is>
          <t>For every migrated policy header, the legacy invoices of its current term are loaded even when fully settled, with zero open balance and no opening entry, so positive, negative (including zero premium receivable) and non-financial endorsements can reference them; endorsements of legacy invoices are processed only in BIBS from go-live. Until BDOI confirms, object F01 carries the invoices with an open component only</t>
        </is>
      </c>
      <c r="D50" s="12" t="inlineStr">
        <is>
          <t>V0.03 asks for negative endorsements 'even those with zero Premium Receivables'; a fully settled invoice is not loaded today and cannot be endorsed</t>
        </is>
      </c>
      <c r="E50" s="12" t="inlineStr">
        <is>
          <t>The Head of Operations confirms the load of the settled invoices of the current term</t>
        </is>
      </c>
      <c r="F50" s="12" t="inlineStr">
        <is>
          <t>DM-Q26, DMQ10, DMQ22</t>
        </is>
      </c>
      <c r="G50" s="12" t="inlineStr">
        <is>
          <t>16 Oct 2026</t>
        </is>
      </c>
      <c r="H50" s="12" t="n"/>
      <c r="I50" s="12" t="n"/>
      <c r="J50" s="12" t="n"/>
      <c r="K50" s="25" t="n"/>
    </row>
    <row r="51">
      <c r="A51" s="12" t="inlineStr">
        <is>
          <t>CLR-DM-19</t>
        </is>
      </c>
      <c r="B51" s="12" t="inlineStr">
        <is>
          <t>Prod Recon 'all data from the legacy system' (BRID_MIG 10.1)</t>
        </is>
      </c>
      <c r="C51" s="12" t="inlineStr">
        <is>
          <t>The report Changes to Legacy Invoices covers every change to a legacy invoice after load, including payments and remittances, with original, updated and delta values, exportable to Excel; the Reporting User role may run it. The production register covers BIBS bookings only; legacy invoices are added on a separate filter if BDOI requires</t>
        </is>
      </c>
      <c r="D51" s="12" t="inlineStr">
        <is>
          <t>V0.03 adds 'all data from the legacy system should be considered' and the Reporting User persona; legacy invoices were reconciled in legacy and are not BIBS production</t>
        </is>
      </c>
      <c r="E51" s="12" t="inlineStr">
        <is>
          <t>Operations - Production Reconciliation confirms which changes count, the period, the frequency and the recipients</t>
        </is>
      </c>
      <c r="F51" s="12" t="inlineStr">
        <is>
          <t>DM-Q36, DMQ23</t>
        </is>
      </c>
      <c r="G51" s="12" t="inlineStr">
        <is>
          <t>30 Oct 2026</t>
        </is>
      </c>
      <c r="H51" s="12" t="n"/>
      <c r="I51" s="12" t="n"/>
      <c r="J51" s="12" t="n"/>
      <c r="K51" s="25" t="n"/>
    </row>
    <row r="52">
      <c r="A52" s="12" t="inlineStr">
        <is>
          <t>CLR-DM-20</t>
        </is>
      </c>
      <c r="B52" s="12" t="inlineStr">
        <is>
          <t>Reports on migrated and new data (BRID_MIG 10.2)</t>
        </is>
      </c>
      <c r="C52" s="12" t="inlineStr">
        <is>
          <t>Position reports (receivables, DTIP, commission receivable, unapplied payments, in-force policies, clients) include migrated records by default with an Origin column and filter; transaction-period reports (production, BIR books and returns) cover BIBS transactions from go-live, and FY2027 figures come from legacy; history before go-live is read in Legacy Inquiry. Each report's specification in its module states how migrated records are included (FR-DM-101)</t>
        </is>
      </c>
      <c r="D52" s="12" t="inlineStr">
        <is>
          <t>BRID_MIG 10.2 asks that every report consolidates migrated and new data; reports on periods before go-live would otherwise mix FY2027 legacy figures with FY2028 BIBS figures</t>
        </is>
      </c>
      <c r="E52" s="12" t="inlineStr">
        <is>
          <t>The Product Owner of MBS lists the reports concerned (Report List of 13 May 2026); the Head of Comptrollership confirms the BIR reports</t>
        </is>
      </c>
      <c r="F52" s="12" t="inlineStr">
        <is>
          <t>DM-Q37</t>
        </is>
      </c>
      <c r="G52" s="12" t="inlineStr">
        <is>
          <t>30 Oct 2026</t>
        </is>
      </c>
      <c r="H52" s="12" t="n"/>
      <c r="I52" s="12" t="n"/>
      <c r="J52" s="12" t="n"/>
      <c r="K52" s="25" t="n"/>
    </row>
  </sheetData>
  <autoFilter ref="A4:K52"/>
  <mergeCells count="1">
    <mergeCell ref="A2:K2"/>
  </mergeCells>
  <conditionalFormatting sqref="A5:K552">
    <cfRule type="expression" priority="1" dxfId="0">
      <formula>AND(MOD(ROW(),2)=0,$A5&lt;&gt;"")</formula>
    </cfRule>
  </conditionalFormatting>
  <dataValidations count="1">
    <dataValidation sqref="H5:H552" showDropDown="0" showInputMessage="0" showErrorMessage="1" allowBlank="1" errorTitle="BDOI decision" error="Choose a value from the list (BDOI decision)." type="list">
      <formula1>'_lists'!$Y$1:$Y$4</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9.xml><?xml version="1.0" encoding="utf-8"?>
<worksheet xmlns="http://schemas.openxmlformats.org/spreadsheetml/2006/main">
  <sheetPr>
    <outlinePr summaryBelow="1" summaryRight="1"/>
    <pageSetUpPr fitToPage="1"/>
  </sheetPr>
  <dimension ref="A1:G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section</t>
        </is>
      </c>
      <c r="C5" s="12" t="inlineStr">
        <is>
          <t>Every page shows its section (Data Migration, Legacy Inquiry, Cashiering or Commission) and title, a one-line description and its actions on the right. The migration screens are the Migration Console: one catalogue of objects, layouts, code maps and rules for the programme, and the extracts, batches, reconciliations and plans of the company chosen in the header.</t>
        </is>
      </c>
      <c r="D5" s="12" t="n"/>
      <c r="E5" s="12" t="n"/>
      <c r="F5" s="12" t="n"/>
      <c r="G5" s="25" t="n"/>
    </row>
    <row r="6">
      <c r="A6" s="12" t="n">
        <v>2</v>
      </c>
      <c r="B6" s="12" t="inlineStr">
        <is>
          <t>Work lists and record panels</t>
        </is>
      </c>
      <c r="C6" s="12" t="inlineStr">
        <is>
          <t>Lists show a filter row where the list has filters and a paged table ("Showing 1 to n of N results"). Rows alternate white and Background Blue; a long list scrolls inside its card with the header row in view. A row opens its record in a panel under the list (object, code map, layout, reconciliation, cut-over plan, legacy record) or on a page of its own (batch, legacy batch). Dates show as dd-MMM-yyyy and times as dd-MMM-yyyy HH:mm in Philippine time; amounts with two decimals and thousand separators.</t>
        </is>
      </c>
      <c r="D6" s="12" t="n"/>
      <c r="E6" s="12" t="n"/>
      <c r="F6" s="12" t="n"/>
      <c r="G6" s="25" t="n"/>
    </row>
    <row r="7">
      <c r="A7" s="12" t="n">
        <v>3</v>
      </c>
      <c r="B7" s="12" t="inlineStr">
        <is>
          <t>Status pills and the batch steps</t>
        </is>
      </c>
      <c r="C7" s="12" t="inlineStr">
        <is>
          <t>Statuses are outlined pills of one colour per state group (Proposed, For decision, Decided; Planned, Validated, Loaded, Loaded with rejects, Reconciled, Accepted, Rolled back; Matched, Break, Explained). A batch shows its steps as a stepper: Planned, Validated, Load approved, Loaded, Reconciled, Accepted, with the steps done marked.</t>
        </is>
      </c>
      <c r="D7" s="12" t="n"/>
      <c r="E7" s="12" t="n"/>
      <c r="F7" s="12" t="n"/>
      <c r="G7" s="25" t="n"/>
    </row>
    <row r="8">
      <c r="A8" s="12" t="n">
        <v>4</v>
      </c>
      <c r="B8" s="12" t="inlineStr">
        <is>
          <t>Confirmation and reason</t>
        </is>
      </c>
      <c r="C8" s="12" t="inlineStr">
        <is>
          <t>Every submit, approve, return, sign, load, rollback, post and decide action opens a confirmation dialog that names the record and the effect of the action. A return, a rejection, a rollback request, a NO-GO and a blocked task need a reason; an approval takes an optional comment. The reason is kept with the record and in the audit trail.</t>
        </is>
      </c>
      <c r="D8" s="12" t="n"/>
      <c r="E8" s="12" t="n"/>
      <c r="F8" s="12" t="n"/>
      <c r="G8" s="25" t="n"/>
    </row>
    <row r="9">
      <c r="A9" s="12" t="n">
        <v>5</v>
      </c>
      <c r="B9" s="12" t="inlineStr">
        <is>
          <t>Maker-checker and gates</t>
        </is>
      </c>
      <c r="C9" s="12" t="inlineStr">
        <is>
          <t>The user who prepares a decision, code map version, load, rollback, opening-balance adjustment, resubmission or legacy batch never approves it: the approve button is not offered to that user and the system refuses it. The operator who ran a batch cannot sign its reconciliation or acceptance, and one person cannot sign two gates of the same batch. Gates G1 to G7 are signed in order.</t>
        </is>
      </c>
      <c r="D9" s="12" t="n"/>
      <c r="E9" s="12" t="n"/>
      <c r="F9" s="12" t="n"/>
      <c r="G9" s="25" t="n"/>
    </row>
    <row r="10">
      <c r="A10" s="12" t="n">
        <v>6</v>
      </c>
      <c r="B10" s="12" t="inlineStr">
        <is>
          <t>Downloads</t>
        </is>
      </c>
      <c r="C10" s="12" t="inlineStr">
        <is>
          <t>Templates, workbooks, rejection files, evidence and reports download as Excel or CSV files. Extract files and staged rows are kept only until the staging purge (5 days after the batch is accepted or rolled back); counts, totals and sign-offs stay.</t>
        </is>
      </c>
      <c r="D10" s="12" t="n"/>
      <c r="E10" s="12" t="n"/>
      <c r="F10" s="12" t="n"/>
      <c r="G10" s="25" t="n"/>
    </row>
    <row r="11">
      <c r="A11" s="12" t="n">
        <v>7</v>
      </c>
      <c r="B11" s="12" t="inlineStr">
        <is>
          <t>Migrated records in the business screens</t>
        </is>
      </c>
      <c r="C11" s="12" t="inlineStr">
        <is>
          <t>A record migrated from a legacy system shows a LEGACY badge next to its number on its list and record, with the source system, legacy reference and migration batch in the tooltip. Lists that hold migrated records have an Origin filter (All origins, BIBS, Migrated). Migrated records raise no notification to clients or insurers.</t>
        </is>
      </c>
      <c r="D11" s="12" t="n"/>
      <c r="E11" s="12" t="n"/>
      <c r="F11" s="12" t="n"/>
      <c r="G11" s="25" t="n"/>
    </row>
    <row r="12">
      <c r="A12" s="12" t="n">
        <v>8</v>
      </c>
      <c r="B12" s="12" t="inlineStr">
        <is>
          <t>Messages</t>
        </is>
      </c>
      <c r="C12" s="12" t="inlineStr">
        <is>
          <t>Field errors appear under the field in red; a banner at the top of a dialog or card lists the refusal of a business rule with its message and a reference for support. Success is confirmed by a short message at the bottom right of the page. Intake, validation and load results are also written to the run log of the batch.</t>
        </is>
      </c>
      <c r="D12" s="12" t="n"/>
      <c r="E12" s="12" t="n"/>
      <c r="F12" s="12" t="n"/>
      <c r="G12" s="25" t="n"/>
    </row>
    <row r="13">
      <c r="A13" s="12" t="n">
        <v>9</v>
      </c>
      <c r="B13" s="12" t="inlineStr">
        <is>
          <t>Notifications and alerts</t>
        </is>
      </c>
      <c r="C13" s="12" t="inlineStr">
        <is>
          <t>The migration raises alerts to the Data Migration Lead and the owners concerned: extract rejected, load failed, unmapped codes, reconciliation break, Migration Clearing not zero, staging purge overdue, unusual access to the legacy archive, and a break of an opening-balance adjustment. The bell in the header opens them.</t>
        </is>
      </c>
      <c r="D13" s="12" t="n"/>
      <c r="E13" s="12" t="n"/>
      <c r="F13" s="12" t="n"/>
      <c r="G13" s="25" t="n"/>
    </row>
  </sheetData>
  <autoFilter ref="A4:G13"/>
  <mergeCells count="1">
    <mergeCell ref="A2:G2"/>
  </mergeCells>
  <conditionalFormatting sqref="A5:G513">
    <cfRule type="expression" priority="1" dxfId="0">
      <formula>AND(MOD(ROW(),2)=0,$A5&lt;&gt;"")</formula>
    </cfRule>
  </conditionalFormatting>
  <dataValidations count="2">
    <dataValidation sqref="D5:D513" showDropDown="0" showInputMessage="0" showErrorMessage="1" allowBlank="1" errorTitle="BU review" error="Choose a value from the list (BU review)." type="list">
      <formula1>'_lists'!$Z$1:$Z$3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0.xml><?xml version="1.0" encoding="utf-8"?>
<worksheet xmlns="http://schemas.openxmlformats.org/spreadsheetml/2006/main">
  <sheetPr>
    <outlinePr summaryBelow="1" summaryRight="1"/>
    <pageSetUpPr fitToPage="1"/>
  </sheetPr>
  <dimension ref="A1:R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Data Migration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SCR-DM-01</t>
        </is>
      </c>
      <c r="B5" s="12" t="inlineStr">
        <is>
          <t>Migration Console</t>
        </is>
      </c>
      <c r="C5" s="12" t="inlineStr">
        <is>
          <t>Migration Home</t>
        </is>
      </c>
      <c r="D5" s="12" t="inlineStr">
        <is>
          <t>Data Migration › Data Migration › Migration Home</t>
        </is>
      </c>
      <c r="E5" s="12" t="inlineStr">
        <is>
          <t>Data Migration Lead, Data Steward, Data owner (business owner of an object), Migration Operator, Reconciliation approver (Head of Comptrollership), Go / no-go board, Comptrollership GL lead</t>
        </is>
      </c>
      <c r="F5" s="12" t="inlineStr">
        <is>
          <t>Data migration view</t>
        </is>
      </c>
      <c r="G5" s="12" t="inlineStr">
        <is>
          <t>Shows the progress of the migration at a glance: objects decided and waiting for a decision, batches in progress, failed or with rejects, open reconciliation breaks, unmapped legacy codes, open validation errors and client pairs to review, with the next cut-over tasks and the run-off of the legacy policies. Each tile opens the screen where the item is worked.</t>
        </is>
      </c>
      <c r="H5" s="12" t="inlineStr">
        <is>
          <t>Sidebar › Data Migration › Migration Home
Landing page after sign-in of the migration roles</t>
        </is>
      </c>
      <c r="I5" s="12" t="inlineStr">
        <is>
          <t>The Data Migration Lead sees what blocks the next gate and opens it in one click.</t>
        </is>
      </c>
      <c r="J5" s="12" t="inlineStr">
        <is>
          <t>FR-DM-003, FR-DM-120, FR-DM-122</t>
        </is>
      </c>
      <c r="K5" s="12" t="inlineStr">
        <is>
          <t>TC-DM-SCR-01</t>
        </is>
      </c>
      <c r="L5" s="12" t="inlineStr">
        <is>
          <t>Migration Home with the tiles</t>
        </is>
      </c>
      <c r="M5" s="12" t="n">
        <v>10</v>
      </c>
      <c r="N5" s="12" t="n">
        <v>4</v>
      </c>
      <c r="O5" s="12" t="n"/>
      <c r="P5" s="12" t="n"/>
      <c r="Q5" s="12" t="n"/>
      <c r="R5" s="25" t="n"/>
    </row>
    <row r="6">
      <c r="A6" s="12" t="inlineStr">
        <is>
          <t>SCR-DM-02</t>
        </is>
      </c>
      <c r="B6" s="12" t="inlineStr">
        <is>
          <t>Migration Console</t>
        </is>
      </c>
      <c r="C6" s="12" t="inlineStr">
        <is>
          <t>Data Objects and the decision of an object</t>
        </is>
      </c>
      <c r="D6" s="12" t="inlineStr">
        <is>
          <t>Data Migration › Data Migration › Data Objects</t>
        </is>
      </c>
      <c r="E6" s="12" t="inlineStr">
        <is>
          <t>Data Migration Lead, Data Steward, Data owner (business owner of an object), Migration Operator, Reconciliation approver (Head of Comptrollership), Go / no-go board, Comptrollership GL lead</t>
        </is>
      </c>
      <c r="F6" s="12" t="inlineStr">
        <is>
          <t>Data migration view</t>
        </is>
      </c>
      <c r="G6" s="12" t="inlineStr">
        <is>
          <t>The register of the legacy data objects: what moves, in which class (migrate, carry forward, conditional, archive or excluded), from which systems, into which part of BIBS and in which load order. An object opens in a panel with the four criteria of the BRD, the owners, the rationale and the decision history; the Data Migration Lead submits the proposed class and the business owner approves or returns it (gate G1). The load template of each object downloads from its row.</t>
        </is>
      </c>
      <c r="H6" s="12" t="inlineStr">
        <is>
          <t>Migration Home › Objects decided
Sign-off › object</t>
        </is>
      </c>
      <c r="I6" s="12" t="inlineStr">
        <is>
          <t>Every object has a decided class signed by its business owner (gate G1) and its load template.</t>
        </is>
      </c>
      <c r="J6" s="12" t="inlineStr">
        <is>
          <t>FR-DM-001, FR-DM-002, FR-DM-003</t>
        </is>
      </c>
      <c r="K6" s="12" t="inlineStr">
        <is>
          <t>TC-DM-001.1-01, TC-DM-001.2-01, TC-DM-001.4-01, TC-DM-002.1-01, TC-DM-002.2-01, TC-DM-002.4-01, TC-DM-SCR-02, TC-DM-MSG-01</t>
        </is>
      </c>
      <c r="L6" s="12" t="inlineStr">
        <is>
          <t>Data Objects register with the class and status of each object
Object C01 with the four criteria, the rationale and the decision history</t>
        </is>
      </c>
      <c r="M6" s="12" t="n">
        <v>17</v>
      </c>
      <c r="N6" s="12" t="n">
        <v>6</v>
      </c>
      <c r="O6" s="12" t="n"/>
      <c r="P6" s="12" t="n"/>
      <c r="Q6" s="12" t="n"/>
      <c r="R6" s="25" t="n"/>
    </row>
    <row r="7">
      <c r="A7" s="12" t="inlineStr">
        <is>
          <t>SCR-DM-03</t>
        </is>
      </c>
      <c r="B7" s="12" t="inlineStr">
        <is>
          <t>Migration Console</t>
        </is>
      </c>
      <c r="C7" s="12" t="inlineStr">
        <is>
          <t>Code Maps and the versions of a code map</t>
        </is>
      </c>
      <c r="D7" s="12" t="inlineStr">
        <is>
          <t>Data Migration › Data Migration › Code Maps</t>
        </is>
      </c>
      <c r="E7" s="12" t="inlineStr">
        <is>
          <t>Data Migration Lead, Data Steward, Data owner (business owner of an object), Migration Operator, Reconciliation approver (Head of Comptrollership), Go / no-go board, Comptrollership GL lead</t>
        </is>
      </c>
      <c r="F7" s="12" t="inlineStr">
        <is>
          <t>Data migration view</t>
        </is>
      </c>
      <c r="G7" s="12" t="inlineStr">
        <is>
          <t>The code maps that turn the legacy codes of each source system into BIBS values (lists of values, insurers, products, packages, branches, sales units, users, GL accounts, statuses and more). A code map opens with its versions and the entries of the chosen version. The Data Steward prepares a draft version on screen or in Excel and submits it; the business owner approves or returns it (gate G2). The Unmapped Codes tab lists the legacy codes found without an entry in the batches under validation.</t>
        </is>
      </c>
      <c r="H7" s="12" t="inlineStr">
        <is>
          <t>Migration Home › Unmapped legacy codes
Batch › Issues</t>
        </is>
      </c>
      <c r="I7" s="12" t="inlineStr">
        <is>
          <t>Every legacy code used by a record in scope has an approved entry, and every batch records the versions it used.</t>
        </is>
      </c>
      <c r="J7" s="12" t="inlineStr">
        <is>
          <t>FR-DM-011, FR-DM-012, FR-DM-034</t>
        </is>
      </c>
      <c r="K7" s="12" t="inlineStr">
        <is>
          <t>TC-DM-011.1-01, TC-DM-011.2-01, TC-DM-011.3-01, TC-DM-011.4-01, TC-DM-012.1-01, TC-DM-012.2-02, TC-DM-034.4-01, TC-DM-034.6-01, TC-DM-SCR-03, TC-DM-MSG-02</t>
        </is>
      </c>
      <c r="L7" s="12" t="inlineStr">
        <is>
          <t>Code Maps with the approved and open version of each map
Code map INSURER with its versions and the entries of the version
Add Entry dialog of a draft version
Unmapped Codes tab</t>
        </is>
      </c>
      <c r="M7" s="12" t="n">
        <v>16</v>
      </c>
      <c r="N7" s="12" t="n">
        <v>7</v>
      </c>
      <c r="O7" s="12" t="n"/>
      <c r="P7" s="12" t="n"/>
      <c r="Q7" s="12" t="n"/>
      <c r="R7" s="25" t="n"/>
    </row>
    <row r="8">
      <c r="A8" s="12" t="inlineStr">
        <is>
          <t>SCR-DM-04</t>
        </is>
      </c>
      <c r="B8" s="12" t="inlineStr">
        <is>
          <t>Migration Console</t>
        </is>
      </c>
      <c r="C8" s="12" t="inlineStr">
        <is>
          <t>Layouts and Rules</t>
        </is>
      </c>
      <c r="D8" s="12" t="inlineStr">
        <is>
          <t>Data Migration › Data Migration › Layouts and Rules</t>
        </is>
      </c>
      <c r="E8" s="12" t="inlineStr">
        <is>
          <t>Data Migration Lead, Data Steward, Data owner (business owner of an object), Migration Operator, Reconciliation approver (Head of Comptrollership), Go / no-go board, Comptrollership GL lead</t>
        </is>
      </c>
      <c r="F8" s="12" t="inlineStr">
        <is>
          <t>Data migration view</t>
        </is>
      </c>
      <c r="G8" s="12" t="inlineStr">
        <is>
          <t>The extract layouts in force with their columns: the single source of the load templates BDOI fills. A layout opens with its columns (name, description, type and length, mandatory, code map, format, example, validation). The screen downloads the CSV template of a layout, the workbook of an object, the workbook of all templates and the control-file template. The Data-Quality Rules tab lists the checks run on every row; the Masking Rules tab lists the personal data masked outside production.</t>
        </is>
      </c>
      <c r="H8" s="12" t="inlineStr">
        <is>
          <t>Migration Home › Load Templates
Data Objects › All Load Templates</t>
        </is>
      </c>
      <c r="I8" s="12" t="inlineStr">
        <is>
          <t>BDOI IT and the stewards download the templates that match the layouts in force, and see every check a row must pass.</t>
        </is>
      </c>
      <c r="J8" s="12" t="inlineStr">
        <is>
          <t>FR-DM-010, FR-DM-013, FR-DM-003</t>
        </is>
      </c>
      <c r="K8" s="12" t="inlineStr">
        <is>
          <t>TC-DM-SCR-04, TC-DM-MSG-03</t>
        </is>
      </c>
      <c r="L8" s="12" t="inlineStr">
        <is>
          <t>Layouts in force with their key columns and hash total
Columns of layout F01C (open invoice components)
Data-Quality Rules tab
Masking Rules tab</t>
        </is>
      </c>
      <c r="M8" s="12" t="n">
        <v>9</v>
      </c>
      <c r="N8" s="12" t="n">
        <v>5</v>
      </c>
      <c r="O8" s="12" t="n"/>
      <c r="P8" s="12" t="n"/>
      <c r="Q8" s="12" t="n"/>
      <c r="R8" s="25" t="n"/>
    </row>
    <row r="9">
      <c r="A9" s="12" t="inlineStr">
        <is>
          <t>SCR-DM-05</t>
        </is>
      </c>
      <c r="B9" s="12" t="inlineStr">
        <is>
          <t>Migration Console</t>
        </is>
      </c>
      <c r="C9" s="12" t="inlineStr">
        <is>
          <t>Extracts</t>
        </is>
      </c>
      <c r="D9" s="12" t="inlineStr">
        <is>
          <t>Data Migration › Data Migration › Extracts</t>
        </is>
      </c>
      <c r="E9" s="12" t="inlineStr">
        <is>
          <t>Migration Operator</t>
        </is>
      </c>
      <c r="F9" s="12" t="inlineStr">
        <is>
          <t>Data migration intake</t>
        </is>
      </c>
      <c r="G9" s="12" t="inlineStr">
        <is>
          <t>Receives each legacy extract with its control file and runs the intake checks: file name, checksum, header, row count, amount totals and hash total. A file that passes is staged (masked outside production); a file that fails is rejected as a whole, with every failed check and its reason. The list shows every extract with its layout, source, as-of date, rows received and staged, masking, who received it and its status.</t>
        </is>
      </c>
      <c r="H9" s="12" t="inlineStr">
        <is>
          <t>Migration Home › Upload Extract</t>
        </is>
      </c>
      <c r="I9" s="12" t="inlineStr">
        <is>
          <t>Every file BDOI sends is either staged exactly as extracted or rejected with the reason and the difference.</t>
        </is>
      </c>
      <c r="J9" s="12" t="inlineStr">
        <is>
          <t>FR-DM-010</t>
        </is>
      </c>
      <c r="K9" s="12" t="inlineStr">
        <is>
          <t>TC-DM-010.1-01, TC-DM-010.2-01, TC-DM-010.2-02, TC-DM-010.2-03, TC-DM-010.3-01, TC-DM-125.1-01, TC-DM-126.4-01, TC-DM-SCR-05, TC-DM-MSG-04</t>
        </is>
      </c>
      <c r="L9" s="12" t="inlineStr">
        <is>
          <t>Extracts with the upload card (Still needed: the files to choose) and the intake results
An extract rejected at intake with every failed check and its reason</t>
        </is>
      </c>
      <c r="M9" s="12" t="n">
        <v>13</v>
      </c>
      <c r="N9" s="12" t="n">
        <v>2</v>
      </c>
      <c r="O9" s="12" t="n"/>
      <c r="P9" s="12" t="n"/>
      <c r="Q9" s="12" t="n"/>
      <c r="R9" s="25" t="n"/>
    </row>
    <row r="10">
      <c r="A10" s="12" t="inlineStr">
        <is>
          <t>SCR-DM-06</t>
        </is>
      </c>
      <c r="B10" s="12" t="inlineStr">
        <is>
          <t>Migration Console</t>
        </is>
      </c>
      <c r="C10" s="12" t="inlineStr">
        <is>
          <t>Batches and resubmissions</t>
        </is>
      </c>
      <c r="D10" s="12" t="inlineStr">
        <is>
          <t>Data Migration › Data Migration › Batches</t>
        </is>
      </c>
      <c r="E10" s="12" t="inlineStr">
        <is>
          <t>Data Migration Lead, Data Steward, Data owner (business owner of an object), Migration Operator, Reconciliation approver (Head of Comptrollership), Go / no-go board, Comptrollership GL lead</t>
        </is>
      </c>
      <c r="F10" s="12" t="inlineStr">
        <is>
          <t>Data migration view</t>
        </is>
      </c>
      <c r="G10" s="12" t="inlineStr">
        <is>
          <t>Every load batch with its object, environment, counts, error rate and status. The Migration Operator plans a batch from the staged extracts of a decided object; a batch opens on its own page. The Resubmissions tab lists the corrected rejected rows that a maker has prepared and that a checker approves before they load (used for the renewal advices already sent, object P03).</t>
        </is>
      </c>
      <c r="H10" s="12" t="inlineStr">
        <is>
          <t>Migration Home › Batches
Extracts › Plan Batch</t>
        </is>
      </c>
      <c r="I10" s="12" t="inlineStr">
        <is>
          <t>Each object is loaded in batches that can be followed from planning to acceptance, and corrected rows load only after a checker approves them.</t>
        </is>
      </c>
      <c r="J10" s="12" t="inlineStr">
        <is>
          <t>FR-DM-014, FR-DM-015, FR-DM-125</t>
        </is>
      </c>
      <c r="K10" s="12" t="inlineStr">
        <is>
          <t>TC-DM-001.3-01, TC-DM-011.5-01, TC-DM-012.2-01, TC-DM-013.3-01, TC-DM-013.4-01, TC-DM-014.1-01, TC-DM-014.3-01, TC-DM-014.4-01, TC-DM-014.4-02, TC-DM-015.1-01, TC-DM-015.2-01, TC-DM-015.3-01, TC-DM-015.4-01, TC-DM-015.5-01, TC-DM-015.6-01, TC-DM-015.6-02, TC-DM-022.3-01, TC-DM-030.1-01, TC-DM-030.2-01, TC-DM-031.3-01, TC-DM-032.3-01, TC-DM-032.4-01, TC-DM-034.1-01, TC-DM-051.4-01, TC-DM-120.4-01, TC-DM-125.3-02, TC-DM-125.4-01, TC-DM-130.2-01, TC-DM-131.2-01, TC-DM-SCR-06, TC-DM-MSG-05</t>
        </is>
      </c>
      <c r="L10" s="12" t="inlineStr">
        <is>
          <t>Batches with their counts and status
Plan Batch dialog
Resubmissions of corrected rows waiting for the checker</t>
        </is>
      </c>
      <c r="M10" s="12" t="n">
        <v>9</v>
      </c>
      <c r="N10" s="12" t="n">
        <v>4</v>
      </c>
      <c r="O10" s="12" t="n"/>
      <c r="P10" s="12" t="n"/>
      <c r="Q10" s="12" t="n"/>
      <c r="R10" s="25" t="n"/>
    </row>
    <row r="11">
      <c r="A11" s="12" t="inlineStr">
        <is>
          <t>SCR-DM-07</t>
        </is>
      </c>
      <c r="B11" s="12" t="inlineStr">
        <is>
          <t>Migration Console</t>
        </is>
      </c>
      <c r="C11" s="12" t="inlineStr">
        <is>
          <t>Batch</t>
        </is>
      </c>
      <c r="D11" s="12" t="inlineStr">
        <is>
          <t>Data Migration › Data Migration › Batches › Batch</t>
        </is>
      </c>
      <c r="E11" s="12" t="inlineStr">
        <is>
          <t>Data Migration Lead, Data Steward, Data owner (business owner of an object), Migration Operator, Reconciliation approver (Head of Comptrollership), Go / no-go board, Comptrollership GL lead</t>
        </is>
      </c>
      <c r="F11" s="12" t="inlineStr">
        <is>
          <t>Data migration view</t>
        </is>
      </c>
      <c r="G11" s="12" t="inlineStr">
        <is>
          <t>One batch from validation to acceptance. The header shows the status and the actions allowed now: validate, sign the validation (G3), approve the load (G4), load, reconcile, rerun the rejected rows, sign the reconciliation (G5), accept the object as data owner and as Data Migration Lead (G6), request, approve or reject a rollback. The steps, the counts and the facts of the batch are followed by tabs for the issues, the rows (with waivers and exclusions), the reconciliation, the gates signed with their evidence and the run log.</t>
        </is>
      </c>
      <c r="H11" s="12" t="inlineStr">
        <is>
          <t>Batches › a batch row
Sign-off › Latest batch</t>
        </is>
      </c>
      <c r="I11" s="12" t="inlineStr">
        <is>
          <t>The batch is loaded, reconciled and accepted by its owner and the Data Migration Lead, or rolled back, with every step recorded.</t>
        </is>
      </c>
      <c r="J11" s="12" t="inlineStr">
        <is>
          <t>FR-DM-013, FR-DM-014, FR-DM-015, FR-DM-003, FR-DM-020</t>
        </is>
      </c>
      <c r="K11" s="12" t="inlineStr">
        <is>
          <t>TC-DM-001.3-01, TC-DM-010.4-01, TC-DM-011.5-01, TC-DM-012.2-01, TC-DM-013.1-01, TC-DM-013.1-02, TC-DM-013.2-01, TC-DM-013.3-01, TC-DM-013.4-01, TC-DM-014.1-01, TC-DM-014.3-01, TC-DM-014.4-01, TC-DM-014.4-02, TC-DM-015.1-01, TC-DM-015.2-01, TC-DM-015.3-01, TC-DM-015.4-01, TC-DM-015.5-01, TC-DM-015.6-01, TC-DM-015.6-02, TC-DM-022.3-01, TC-DM-022.5-01, TC-DM-023.3-01, TC-DM-023.6-01, TC-DM-030.1-01, TC-DM-030.2-01, TC-DM-031.3-01, TC-DM-032.3-01, TC-DM-032.4-01, TC-DM-034.1-01, TC-DM-034.5-01, TC-DM-040.3-01, TC-DM-050.4-01, TC-DM-051.3-01, TC-DM-051.4-01, TC-DM-120.4-01, TC-DM-125.2-01, TC-DM-125.3-01, TC-DM-125.5-01, TC-DM-125.6-01, TC-DM-130.2-01, TC-DM-131.2-01, TC-DM-SCR-07, TC-DM-MSG-06, TC-DM-MSG-07</t>
        </is>
      </c>
      <c r="L11" s="12" t="inlineStr">
        <is>
          <t>A validated batch: steps, counts, facts and the Issues tab
Rows tab with the waiver and exclusion of failing rows
Waive Rows dialog
Sign-offs tab of an accepted batch
Run Log tab</t>
        </is>
      </c>
      <c r="M11" s="12" t="n">
        <v>15</v>
      </c>
      <c r="N11" s="12" t="n">
        <v>15</v>
      </c>
      <c r="O11" s="12" t="n"/>
      <c r="P11" s="12" t="n"/>
      <c r="Q11" s="12" t="n"/>
      <c r="R11" s="25" t="n"/>
    </row>
    <row r="12">
      <c r="A12" s="12" t="inlineStr">
        <is>
          <t>SCR-DM-08</t>
        </is>
      </c>
      <c r="B12" s="12" t="inlineStr">
        <is>
          <t>Migration Console</t>
        </is>
      </c>
      <c r="C12" s="12" t="inlineStr">
        <is>
          <t>Client Matching</t>
        </is>
      </c>
      <c r="D12" s="12" t="inlineStr">
        <is>
          <t>Data Migration › Data Migration › Client Matching</t>
        </is>
      </c>
      <c r="E12" s="12" t="inlineStr">
        <is>
          <t>Data Steward</t>
        </is>
      </c>
      <c r="F12" s="12" t="inlineStr">
        <is>
          <t>Data migration match decide</t>
        </is>
      </c>
      <c r="G12" s="12" t="inlineStr">
        <is>
          <t>The review queue of the client pairs whose match score is between the review and the automatic thresholds: two legacy client records, or a legacy record and a BIBS client, side by side with the keys that matched. The Data Steward merges them into one client or keeps them separate; the load of a client batch waits until the queue is empty.</t>
        </is>
      </c>
      <c r="H12" s="12" t="inlineStr">
        <is>
          <t>Migration Home › Client pairs to review
Batch › Client pairs to review</t>
        </is>
      </c>
      <c r="I12" s="12" t="inlineStr">
        <is>
          <t>One BIBS client per person or company, with every legacy client number pointing to it.</t>
        </is>
      </c>
      <c r="J12" s="12" t="inlineStr">
        <is>
          <t>FR-DM-030, FR-DM-031</t>
        </is>
      </c>
      <c r="K12" s="12" t="inlineStr">
        <is>
          <t>TC-DM-031.1-01, TC-DM-031.2-01, TC-DM-031.4-01, TC-DM-SCR-08, TC-DM-MSG-08</t>
        </is>
      </c>
      <c r="L12" s="12" t="inlineStr">
        <is>
          <t>Client pairs waiting for review
A pair side by side with the matched keys marked</t>
        </is>
      </c>
      <c r="M12" s="12" t="n">
        <v>6</v>
      </c>
      <c r="N12" s="12" t="n">
        <v>2</v>
      </c>
      <c r="O12" s="12" t="n"/>
      <c r="P12" s="12" t="n"/>
      <c r="Q12" s="12" t="n"/>
      <c r="R12" s="25" t="n"/>
    </row>
    <row r="13">
      <c r="A13" s="12" t="inlineStr">
        <is>
          <t>SCR-DM-09</t>
        </is>
      </c>
      <c r="B13" s="12" t="inlineStr">
        <is>
          <t>Migration Console</t>
        </is>
      </c>
      <c r="C13" s="12" t="inlineStr">
        <is>
          <t>Reconciliation</t>
        </is>
      </c>
      <c r="D13" s="12" t="inlineStr">
        <is>
          <t>Data Migration › Data Migration › Reconciliation</t>
        </is>
      </c>
      <c r="E13" s="12" t="inlineStr">
        <is>
          <t>Data Migration Lead, Data Steward, Data owner (business owner of an object), Migration Operator, Reconciliation approver (Head of Comptrollership), Go / no-go board, Comptrollership GL lead</t>
        </is>
      </c>
      <c r="F13" s="12" t="inlineStr">
        <is>
          <t>Data migration view</t>
        </is>
      </c>
      <c r="G13" s="12" t="inlineStr">
        <is>
          <t>The loaded batches with their reconciliation and, for the chosen batch, the lines by level: L1 counts, L2 amounts, L3 hash totals, L4 fields, L5 general ledger, and the opening-balance adjustment checks. Every difference is a break; the Data Steward or the operator explains it with a reason and the reconciliation approver approves the explanation.</t>
        </is>
      </c>
      <c r="H13" s="12" t="inlineStr">
        <is>
          <t>Migration Home › Open reconciliation breaks
Batch › Reconciliation tab</t>
        </is>
      </c>
      <c r="I13" s="12" t="inlineStr">
        <is>
          <t>Every loaded object is reconcilable from source to target, each break explained and approved before G5.</t>
        </is>
      </c>
      <c r="J13" s="12" t="inlineStr">
        <is>
          <t>FR-DM-020, FR-DM-021</t>
        </is>
      </c>
      <c r="K13" s="12" t="inlineStr">
        <is>
          <t>TC-DM-020.1-01, TC-DM-020.2-01, TC-DM-020.3-01, TC-DM-021.1-01, TC-DM-021.3-01, TC-DM-021.4-01, TC-DM-021.5-01, TC-DM-040.5-01, TC-DM-126.3-01, TC-DM-130.3-01, TC-DM-SCR-09, TC-DM-MSG-09</t>
        </is>
      </c>
      <c r="L13" s="12" t="inlineStr">
        <is>
          <t>A loaded batch and its reconciliation lines by level
Explain Break dialog</t>
        </is>
      </c>
      <c r="M13" s="12" t="n">
        <v>9</v>
      </c>
      <c r="N13" s="12" t="n">
        <v>2</v>
      </c>
      <c r="O13" s="12" t="n"/>
      <c r="P13" s="12" t="n"/>
      <c r="Q13" s="12" t="n"/>
      <c r="R13" s="25" t="n"/>
    </row>
    <row r="14">
      <c r="A14" s="12" t="inlineStr">
        <is>
          <t>SCR-DM-10</t>
        </is>
      </c>
      <c r="B14" s="12" t="inlineStr">
        <is>
          <t>Migration Console</t>
        </is>
      </c>
      <c r="C14" s="12" t="inlineStr">
        <is>
          <t>Sign-off</t>
        </is>
      </c>
      <c r="D14" s="12" t="inlineStr">
        <is>
          <t>Data Migration › Data Migration › Sign-off</t>
        </is>
      </c>
      <c r="E14" s="12" t="inlineStr">
        <is>
          <t>Data Migration Lead, Data Steward, Data owner (business owner of an object), Migration Operator, Reconciliation approver (Head of Comptrollership), Go / no-go board, Comptrollership GL lead</t>
        </is>
      </c>
      <c r="F14" s="12" t="inlineStr">
        <is>
          <t>Data migration view</t>
        </is>
      </c>
      <c r="G14" s="12" t="inlineStr">
        <is>
          <t>The gates G1 to G7 of every object and of its latest batch as a matrix: decision, mapping, validation, load approval, reconciliation, acceptance and go-live, each with who signed and when. The business owner signs the mapping of an object here (gate G2); the other batch gates are signed on the batch page.</t>
        </is>
      </c>
      <c r="H14" s="12" t="inlineStr">
        <is>
          <t>Sidebar › Data Migration › Sign-off</t>
        </is>
      </c>
      <c r="I14" s="12" t="inlineStr">
        <is>
          <t>The Data Migration Lead sees what is missing per object before a trial migration or the cut-over.</t>
        </is>
      </c>
      <c r="J14" s="12" t="inlineStr">
        <is>
          <t>FR-DM-003</t>
        </is>
      </c>
      <c r="K14" s="12" t="inlineStr">
        <is>
          <t>TC-DM-003.1-01, TC-DM-003.1-02, TC-DM-003.2-01, TC-DM-003.3-01, TC-DM-003.4-01, TC-DM-SCR-10</t>
        </is>
      </c>
      <c r="L14" s="12" t="inlineStr">
        <is>
          <t>Gate matrix per object with the signer and date of each gate</t>
        </is>
      </c>
      <c r="M14" s="12" t="n">
        <v>3</v>
      </c>
      <c r="N14" s="12" t="n">
        <v>2</v>
      </c>
      <c r="O14" s="12" t="n"/>
      <c r="P14" s="12" t="n"/>
      <c r="Q14" s="12" t="n"/>
      <c r="R14" s="25" t="n"/>
    </row>
    <row r="15">
      <c r="A15" s="12" t="inlineStr">
        <is>
          <t>SCR-DM-11</t>
        </is>
      </c>
      <c r="B15" s="12" t="inlineStr">
        <is>
          <t>Cut-over, adjustments and run-off</t>
        </is>
      </c>
      <c r="C15" s="12" t="inlineStr">
        <is>
          <t>Opening-Balance Adjustments</t>
        </is>
      </c>
      <c r="D15" s="12" t="inlineStr">
        <is>
          <t>Data Migration › Data Migration › Opening Adjustments</t>
        </is>
      </c>
      <c r="E15" s="12" t="inlineStr">
        <is>
          <t>Data Migration Lead, Data Steward, Data owner (business owner of an object), Migration Operator, Reconciliation approver (Head of Comptrollership), Go / no-go board, Comptrollership GL lead</t>
        </is>
      </c>
      <c r="F15" s="12" t="inlineStr">
        <is>
          <t>Data migration view</t>
        </is>
      </c>
      <c r="G15" s="12" t="inlineStr">
        <is>
          <t>The FY2027 closing and audit adjustments of the legacy books after go-live (year-end option A). The Comptrollership GL lead prepares an adjustment on a validated batch of the adjustment journals (object G03) and the legacy trial balance of the same version (object G01); the Head of Comptrollership approves or returns it. The load of the batch posts the opening-balance adjustment journals into the opening period (value date 1 January 2028) and adjusts the open legacy items; the adjustment is then reconciled to the legacy trial balances and signed.</t>
        </is>
      </c>
      <c r="H15" s="12" t="inlineStr">
        <is>
          <t>Sidebar › Data Migration › Opening Adjustments</t>
        </is>
      </c>
      <c r="I15" s="12" t="inlineStr">
        <is>
          <t>Every FY2027 adjustment made in legacy after the freeze is in the BIBS opening balances, approved and reconciled.</t>
        </is>
      </c>
      <c r="J15" s="12" t="inlineStr">
        <is>
          <t>FR-DM-022, FR-DM-023, FR-DM-024</t>
        </is>
      </c>
      <c r="K15" s="12" t="inlineStr">
        <is>
          <t>TC-DM-023.1-01, TC-DM-023.4-01, TC-DM-023.5-01, TC-DM-024.2-01, TC-DM-024.3-01, TC-DM-024.4-01, TC-DM-SCR-11, TC-DM-MSG-10</t>
        </is>
      </c>
      <c r="L15" s="12" t="inlineStr">
        <is>
          <t>Opening-balance adjustments with their batches and status
Prepare Adjustment dialog</t>
        </is>
      </c>
      <c r="M15" s="12" t="n">
        <v>9</v>
      </c>
      <c r="N15" s="12" t="n">
        <v>6</v>
      </c>
      <c r="O15" s="12" t="n"/>
      <c r="P15" s="12" t="n"/>
      <c r="Q15" s="12" t="n"/>
      <c r="R15" s="25" t="n"/>
    </row>
    <row r="16">
      <c r="A16" s="12" t="inlineStr">
        <is>
          <t>SCR-DM-12</t>
        </is>
      </c>
      <c r="B16" s="12" t="inlineStr">
        <is>
          <t>Cut-over, adjustments and run-off</t>
        </is>
      </c>
      <c r="C16" s="12" t="inlineStr">
        <is>
          <t>Cutover</t>
        </is>
      </c>
      <c r="D16" s="12" t="inlineStr">
        <is>
          <t>Data Migration › Data Migration › Cutover</t>
        </is>
      </c>
      <c r="E16" s="12" t="inlineStr">
        <is>
          <t>Data Migration Lead, Data Steward, Data owner (business owner of an object), Migration Operator, Reconciliation approver (Head of Comptrollership), Go / no-go board, Comptrollership GL lead</t>
        </is>
      </c>
      <c r="F16" s="12" t="inlineStr">
        <is>
          <t>Data migration view</t>
        </is>
      </c>
      <c r="G16" s="12" t="inlineStr">
        <is>
          <t>The mock runs, the dress rehearsal and the production cut-over, each a plan with its runbook of tasks planned from the go-live date, the twelve go / no-go criteria and the decisions of the board. Task owners start, complete or block their tasks; the criteria are measured by BIBS or recorded with their evidence; the board decides GO or NO-GO. The runbook downloads as a workbook.</t>
        </is>
      </c>
      <c r="H16" s="12" t="inlineStr">
        <is>
          <t>Migration Home › Next cut-over tasks</t>
        </is>
      </c>
      <c r="I16" s="12" t="inlineStr">
        <is>
          <t>The cut-over follows a rehearsed plan and go-live is decided on measured criteria.</t>
        </is>
      </c>
      <c r="J16" s="12" t="inlineStr">
        <is>
          <t>FR-DM-120, FR-DM-121</t>
        </is>
      </c>
      <c r="K16" s="12" t="inlineStr">
        <is>
          <t>TC-DM-120.1-01, TC-DM-120.2-01, TC-DM-120.3-01, TC-DM-120.5-01, TC-DM-120.5-02, TC-DM-120.6-01, TC-DM-121.1-01, TC-DM-121.2-01, TC-DM-121.3-01, TC-DM-121.4-01, TC-DM-121.5-01, TC-DM-SCR-12, TC-DM-MSG-11</t>
        </is>
      </c>
      <c r="L16" s="12" t="inlineStr">
        <is>
          <t>Cut-over plans and the runbook of a mock run
Go / No-Go Criteria and Decisions of a plan
New Cutover Plan dialog</t>
        </is>
      </c>
      <c r="M16" s="12" t="n">
        <v>11</v>
      </c>
      <c r="N16" s="12" t="n">
        <v>8</v>
      </c>
      <c r="O16" s="12" t="n"/>
      <c r="P16" s="12" t="n"/>
      <c r="Q16" s="12" t="n"/>
      <c r="R16" s="25" t="n"/>
    </row>
    <row r="17">
      <c r="A17" s="12" t="inlineStr">
        <is>
          <t>SCR-DM-13</t>
        </is>
      </c>
      <c r="B17" s="12" t="inlineStr">
        <is>
          <t>Cut-over, adjustments and run-off</t>
        </is>
      </c>
      <c r="C17" s="12" t="inlineStr">
        <is>
          <t>Run-off and Decommissioning</t>
        </is>
      </c>
      <c r="D17" s="12" t="inlineStr">
        <is>
          <t>Data Migration › Data Migration › Run-off and Decommissioning</t>
        </is>
      </c>
      <c r="E17" s="12" t="inlineStr">
        <is>
          <t>Data Migration Lead, Data Steward, Data owner (business owner of an object), Migration Operator, Reconciliation approver (Head of Comptrollership), Go / no-go board, Comptrollership GL lead</t>
        </is>
      </c>
      <c r="F17" s="12" t="inlineStr">
        <is>
          <t>Data migration view</t>
        </is>
      </c>
      <c r="G17" s="12" t="inlineStr">
        <is>
          <t>The monthly run-off of the legacy policies in force at go-live by expiry month and source system (renewed in BIBS, not renewed, lapsed, still open), and the checklists that close each legacy system and, once every legacy item is settled, the legacy context of BIBS.</t>
        </is>
      </c>
      <c r="H17" s="12" t="inlineStr">
        <is>
          <t>Migration Home › Run-off of the legacy policies</t>
        </is>
      </c>
      <c r="I17" s="12" t="inlineStr">
        <is>
          <t>The run-off of the legacy policies is visible month by month and each legacy system is closed against a signed checklist.</t>
        </is>
      </c>
      <c r="J17" s="12" t="inlineStr">
        <is>
          <t>FR-DM-122, FR-DM-123</t>
        </is>
      </c>
      <c r="K17" s="12" t="inlineStr">
        <is>
          <t>TC-DM-123.1-01, TC-DM-123.2-01, TC-DM-123.3-01, TC-DM-123.4-01, TC-DM-SCR-13, TC-DM-MSG-12</t>
        </is>
      </c>
      <c r="L17" s="12" t="inlineStr">
        <is>
          <t>Run-off by expiry month and the decommissioning checklists</t>
        </is>
      </c>
      <c r="M17" s="12" t="n">
        <v>8</v>
      </c>
      <c r="N17" s="12" t="n">
        <v>3</v>
      </c>
      <c r="O17" s="12" t="n"/>
      <c r="P17" s="12" t="n"/>
      <c r="Q17" s="12" t="n"/>
      <c r="R17" s="25" t="n"/>
    </row>
    <row r="18">
      <c r="A18" s="12" t="inlineStr">
        <is>
          <t>SCR-DM-14</t>
        </is>
      </c>
      <c r="B18" s="12" t="inlineStr">
        <is>
          <t>Legacy Inquiry</t>
        </is>
      </c>
      <c r="C18" s="12" t="inlineStr">
        <is>
          <t>Legacy Inquiry</t>
        </is>
      </c>
      <c r="D18" s="12" t="inlineStr">
        <is>
          <t>Data Migration › Legacy Inquiry › Legacy Inquiry</t>
        </is>
      </c>
      <c r="E18" s="12" t="inlineStr">
        <is>
          <t>Audit / Compliance user</t>
        </is>
      </c>
      <c r="F18" s="12" t="inlineStr">
        <is>
          <t>Legacy inquiry view</t>
        </is>
      </c>
      <c r="G18" s="12" t="inlineStr">
        <is>
          <t>The read-only archive of the legacy systems for Audit and Compliance: closed clients, policies, invoices, receipts, remittances, endorsements, claims, GL journals, renewal advices and letters with their documents. The user gives the reason of the inquiry once per session; each search, view, download and export is logged with it. A record opens read-only with all its legacy columns and documents.</t>
        </is>
      </c>
      <c r="H18" s="12" t="inlineStr">
        <is>
          <t>Sidebar › Data Migration › Legacy Inquiry</t>
        </is>
      </c>
      <c r="I18" s="12" t="inlineStr">
        <is>
          <t>Legacy history stays retrievable with its documents, and every access is logged with its reason.</t>
        </is>
      </c>
      <c r="J18" s="12" t="inlineStr">
        <is>
          <t>FR-DM-110</t>
        </is>
      </c>
      <c r="K18" s="12" t="inlineStr">
        <is>
          <t>TC-DM-110.1-01, TC-DM-110.2-01, TC-DM-110.3-01, TC-DM-SCR-14, TC-DM-MSG-13</t>
        </is>
      </c>
      <c r="L18" s="12" t="inlineStr">
        <is>
          <t>Reason of the Inquiry asked once per session
Search criteria and the legacy records found
A legacy record with its legacy details and documents</t>
        </is>
      </c>
      <c r="M18" s="12" t="n">
        <v>13</v>
      </c>
      <c r="N18" s="12" t="n">
        <v>5</v>
      </c>
      <c r="O18" s="12" t="n"/>
      <c r="P18" s="12" t="n"/>
      <c r="Q18" s="12" t="n"/>
      <c r="R18" s="25" t="n"/>
    </row>
    <row r="19">
      <c r="A19" s="12" t="inlineStr">
        <is>
          <t>SCR-DM-15</t>
        </is>
      </c>
      <c r="B19" s="12" t="inlineStr">
        <is>
          <t>Legacy Inquiry</t>
        </is>
      </c>
      <c r="C19" s="12" t="inlineStr">
        <is>
          <t>Access Log</t>
        </is>
      </c>
      <c r="D19" s="12" t="inlineStr">
        <is>
          <t>Data Migration › Legacy Inquiry › Access Log</t>
        </is>
      </c>
      <c r="E19" s="12" t="inlineStr">
        <is>
          <t>Compliance reviewer of the access log</t>
        </is>
      </c>
      <c r="F19" s="12" t="inlineStr">
        <is>
          <t>Legacy access log view</t>
        </is>
      </c>
      <c r="G19" s="12" t="inlineStr">
        <is>
          <t>Every access to the legacy archive with the user, the time and address, the action, the criteria, the records and the reason, for the Compliance reviewer. The log cannot be changed or deleted; a monthly digest is sent to the reviewers.</t>
        </is>
      </c>
      <c r="H19" s="12" t="inlineStr">
        <is>
          <t>Sidebar › Data Migration › Access Log</t>
        </is>
      </c>
      <c r="I19" s="12" t="inlineStr">
        <is>
          <t>Compliance sees who looked at which legacy records, when and why.</t>
        </is>
      </c>
      <c r="J19" s="12" t="inlineStr">
        <is>
          <t>FR-DM-111</t>
        </is>
      </c>
      <c r="K19" s="12" t="inlineStr">
        <is>
          <t>TC-DM-111.1-01, TC-DM-111.3-01, TC-DM-SCR-15</t>
        </is>
      </c>
      <c r="L19" s="12" t="inlineStr">
        <is>
          <t>Access Log with its filters</t>
        </is>
      </c>
      <c r="M19" s="12" t="n">
        <v>7</v>
      </c>
      <c r="N19" s="12" t="n">
        <v>1</v>
      </c>
      <c r="O19" s="12" t="n"/>
      <c r="P19" s="12" t="n"/>
      <c r="Q19" s="12" t="n"/>
      <c r="R19" s="25" t="n"/>
    </row>
    <row r="20">
      <c r="A20" s="12" t="inlineStr">
        <is>
          <t>SCR-DM-16</t>
        </is>
      </c>
      <c r="B20" s="12" t="inlineStr">
        <is>
          <t>Migrated data on the business screens</t>
        </is>
      </c>
      <c r="C20" s="12" t="inlineStr">
        <is>
          <t>LEGACY badge and Origin filter on the lists</t>
        </is>
      </c>
      <c r="D20" s="12" t="inlineStr">
        <is>
          <t>Client &amp; Policy › Clients › Clients</t>
        </is>
      </c>
      <c r="E20" s="12" t="inlineStr">
        <is>
          <t>Comptrollership GL lead, Cashiering user, Cashiering team lead, Commission user, Commission team lead, Marketing Account Officer</t>
        </is>
      </c>
      <c r="F20" s="12" t="inlineStr">
        <is>
          <t>Client view</t>
        </is>
      </c>
      <c r="G20" s="12" t="inlineStr">
        <is>
          <t>Records migrated from a legacy system are used with the normal BIBS screens. They are told apart from records created in BIBS by a LEGACY badge next to their number on the lists and records (Clients, Accounts, Invoice Search, Unapplied Payments, the PR Worklist and its accounts, Products, Insurers, Payees), with the source system, the legacy reference and the migration batch in its tooltip, and by the Origin filter of the lists that hold migrated records.</t>
        </is>
      </c>
      <c r="H20" s="12" t="inlineStr">
        <is>
          <t>Client &amp; Policy › Clients › Clients
Client &amp; Policy › Accounts &amp; Placement › Accounts
Operations › Operations › Invoice Search
Finance › Cashiering › Unapplied Payments
Finance › Collections › PR Worklist</t>
        </is>
      </c>
      <c r="I20" s="12" t="inlineStr">
        <is>
          <t>Users work migrated and new records on the same screens and always know which is which.</t>
        </is>
      </c>
      <c r="J20" s="12" t="inlineStr">
        <is>
          <t>FR-DM-032, FR-DM-033, FR-DM-040</t>
        </is>
      </c>
      <c r="K20" s="12" t="inlineStr">
        <is>
          <t>TC-DM-014.2-01, TC-DM-014.5-01, TC-DM-032.1-01, TC-DM-032.2-01, TC-DM-033.1-01, TC-DM-033.2-01, TC-DM-033.3-01, TC-DM-040.1-01, TC-DM-040.2-01, TC-DM-040.4-01, TC-DM-041.1-01, TC-DM-041.2-01, TC-DM-041.3-01, TC-DM-090.3-01, TC-DM-126.1-01, TC-DM-SCR-16</t>
        </is>
      </c>
      <c r="L20" s="12" t="inlineStr">
        <is>
          <t>Clients list with a migrated client marked LEGACY
Unapplied Payments with the Origin filter set to Migrated</t>
        </is>
      </c>
      <c r="M20" s="12" t="n">
        <v>4</v>
      </c>
      <c r="N20" s="12" t="n">
        <v>1</v>
      </c>
      <c r="O20" s="12" t="n"/>
      <c r="P20" s="12" t="n"/>
      <c r="Q20" s="12" t="n"/>
      <c r="R20" s="25" t="n"/>
    </row>
    <row r="21">
      <c r="A21" s="12" t="inlineStr">
        <is>
          <t>SCR-DM-17</t>
        </is>
      </c>
      <c r="B21" s="12" t="inlineStr">
        <is>
          <t>Migrated data on the business screens</t>
        </is>
      </c>
      <c r="C21" s="12" t="inlineStr">
        <is>
          <t>Legacy invoice on Invoice 360</t>
        </is>
      </c>
      <c r="D21" s="12" t="inlineStr">
        <is>
          <t>Operations › Operations › Invoice Search › Invoice 360</t>
        </is>
      </c>
      <c r="E21" s="12" t="inlineStr">
        <is>
          <t>Comptrollership GL lead, Cashiering user, Cashiering team lead, Commission user, Commission team lead, Marketing Account Officer</t>
        </is>
      </c>
      <c r="F21" s="12" t="inlineStr">
        <is>
          <t>Ops view</t>
        </is>
      </c>
      <c r="G21" s="12" t="inlineStr">
        <is>
          <t>An open legacy invoice is carried into the BIBS Operations ledger with its open balances and processed like a BIBS invoice. Invoice 360 shows its LEGACY badge and legacy invoice number, and a Legacy Invoice card with the source system, the legacy reference, the migration batch and the values at cut-over, kept as loaded: the original gross premium, commission and VAT, and per component what was booked, adjusted, paid and remitted in legacy, written off and open at cut-over.</t>
        </is>
      </c>
      <c r="H21" s="12" t="inlineStr">
        <is>
          <t>Operations › Operations › Invoice Search › a legacy invoice
PR Worklist › a legacy item</t>
        </is>
      </c>
      <c r="I21" s="12" t="inlineStr">
        <is>
          <t>The user sees what was open at cut-over and what has happened in BIBS since, on one screen.</t>
        </is>
      </c>
      <c r="J21" s="12" t="inlineStr">
        <is>
          <t>FR-DM-050, FR-DM-051, FR-DM-060, FR-DM-100</t>
        </is>
      </c>
      <c r="K21" s="12" t="inlineStr">
        <is>
          <t>TC-DM-023.2-01, TC-DM-050.1-01, TC-DM-050.3-01, TC-DM-061.5-01, TC-DM-SCR-17</t>
        </is>
      </c>
      <c r="L21" s="12" t="inlineStr">
        <is>
          <t>Invoice 360 of a legacy invoice with the Legacy Invoice card</t>
        </is>
      </c>
      <c r="M21" s="12" t="n">
        <v>8</v>
      </c>
      <c r="N21" s="12" t="n">
        <v>1</v>
      </c>
      <c r="O21" s="12" t="n"/>
      <c r="P21" s="12" t="n"/>
      <c r="Q21" s="12" t="n"/>
      <c r="R21" s="25" t="n"/>
    </row>
    <row r="22">
      <c r="A22" s="12" t="inlineStr">
        <is>
          <t>SCR-DM-18</t>
        </is>
      </c>
      <c r="B22" s="12" t="inlineStr">
        <is>
          <t>Legacy batches</t>
        </is>
      </c>
      <c r="C22" s="12" t="inlineStr">
        <is>
          <t>Unapplied to Income</t>
        </is>
      </c>
      <c r="D22" s="12" t="inlineStr">
        <is>
          <t>Finance › Cashiering › Unapplied to Income</t>
        </is>
      </c>
      <c r="E22" s="12" t="inlineStr">
        <is>
          <t>Cashiering user, Cashiering team lead, Top management approver</t>
        </is>
      </c>
      <c r="F22" s="12" t="inlineStr">
        <is>
          <t>Cash UPP income request or Cash UPP income approve or Cash disposition approve</t>
        </is>
      </c>
      <c r="G22" s="12" t="inlineStr">
        <is>
          <t>Batches of old unapplied payments, new and legacy, reclassified to other income (unclaimed collections). A Cashiering user opens a batch with its reason and currency and adds the unapplied payments received at least a chosen number of days ago; the Cashiering team lead approves, then top management; after the second approval each line posts on its own and the payment closes. Legacy items come from Unapplied Collections - Legacy, new ones from Unapplied Collections.</t>
        </is>
      </c>
      <c r="H22" s="12" t="inlineStr">
        <is>
          <t>Finance › Cashiering › Unapplied to Income
Unapplied Payments › an old item</t>
        </is>
      </c>
      <c r="I22" s="12" t="inlineStr">
        <is>
          <t>Old unapplied payments are taken to income under two approvals, line by line.</t>
        </is>
      </c>
      <c r="J22" s="12" t="inlineStr">
        <is>
          <t>FR-DM-055</t>
        </is>
      </c>
      <c r="K22" s="12" t="inlineStr">
        <is>
          <t>TC-DM-055.1-01, TC-DM-055.4-01, TC-DM-055.4-02, TC-DM-SCR-18, TC-DM-MSG-14</t>
        </is>
      </c>
      <c r="L22" s="12" t="inlineStr">
        <is>
          <t>Unapplied to Income batches
A draft batch with its lines and the payments that may be added
A batch waiting for top management</t>
        </is>
      </c>
      <c r="M22" s="12" t="n">
        <v>13</v>
      </c>
      <c r="N22" s="12" t="n">
        <v>7</v>
      </c>
      <c r="O22" s="12" t="n"/>
      <c r="P22" s="12" t="n"/>
      <c r="Q22" s="12" t="n"/>
      <c r="R22" s="25" t="n"/>
    </row>
    <row r="23">
      <c r="A23" s="12" t="inlineStr">
        <is>
          <t>SCR-DM-19</t>
        </is>
      </c>
      <c r="B23" s="12" t="inlineStr">
        <is>
          <t>Legacy batches</t>
        </is>
      </c>
      <c r="C23" s="12" t="inlineStr">
        <is>
          <t>Legacy PR 2307 Reversal</t>
        </is>
      </c>
      <c r="D23" s="12" t="inlineStr">
        <is>
          <t>Finance › Cashiering › Legacy PR 2307 Reversal</t>
        </is>
      </c>
      <c r="E23" s="12" t="inlineStr">
        <is>
          <t>Cashiering user, Cashiering team lead, Commission user, Commission team lead</t>
        </is>
      </c>
      <c r="F23" s="12" t="inlineStr">
        <is>
          <t>Legacy reversal request or Legacy reversal approve</t>
        </is>
      </c>
      <c r="G23" s="12" t="inlineStr">
        <is>
          <t>Batches that settle the PR 2307 balance of legacy invoices against the amount due to the insurer. A Cashiering user adds each legacy invoice with the amount to reverse; when the PR 2307 is short, the premium receivable needed is first moved to PR 2307. The Cashiering team lead approves and each line posts on its own.</t>
        </is>
      </c>
      <c r="H23" s="12" t="inlineStr">
        <is>
          <t>Finance › Cashiering › Legacy PR 2307 Reversal</t>
        </is>
      </c>
      <c r="I23" s="12" t="inlineStr">
        <is>
          <t>The PR 2307 balances of legacy invoices are settled against the insurer, line by line.</t>
        </is>
      </c>
      <c r="J23" s="12" t="inlineStr">
        <is>
          <t>FR-DM-071</t>
        </is>
      </c>
      <c r="K23" s="12" t="inlineStr">
        <is>
          <t>TC-DM-071.1-01, TC-DM-071.2-01, TC-DM-071.2-02, TC-DM-SCR-19</t>
        </is>
      </c>
      <c r="L23" s="12" t="inlineStr">
        <is>
          <t>A draft PR 2307 reversal batch with the legacy invoice to add</t>
        </is>
      </c>
      <c r="M23" s="12" t="n">
        <v>5</v>
      </c>
      <c r="N23" s="12" t="n">
        <v>3</v>
      </c>
      <c r="O23" s="12" t="n"/>
      <c r="P23" s="12" t="n"/>
      <c r="Q23" s="12" t="n"/>
      <c r="R23" s="25" t="n"/>
    </row>
    <row r="24">
      <c r="A24" s="12" t="inlineStr">
        <is>
          <t>SCR-DM-20</t>
        </is>
      </c>
      <c r="B24" s="12" t="inlineStr">
        <is>
          <t>Legacy batches</t>
        </is>
      </c>
      <c r="C24" s="12" t="inlineStr">
        <is>
          <t>DP PR Legacy Reversal</t>
        </is>
      </c>
      <c r="D24" s="12" t="inlineStr">
        <is>
          <t>Finance › Commission Receivables › DP PR Legacy Reversal</t>
        </is>
      </c>
      <c r="E24" s="12" t="inlineStr">
        <is>
          <t>Cashiering user, Cashiering team lead, Commission user, Commission team lead</t>
        </is>
      </c>
      <c r="F24" s="12" t="inlineStr">
        <is>
          <t>Legacy reversal request or Legacy reversal approve</t>
        </is>
      </c>
      <c r="G24" s="12" t="inlineStr">
        <is>
          <t>Batches that reverse the open premium receivable of legacy invoices paid directly to the insurer, with the same amount of the due to insurer; what was collected through the broker stays to remit. The candidates are the legacy invoices that Collections tagged "DP PR for reversal", or any legacy invoice with an open premium. A Commission user prepares the batch, the Commission team lead approves it and each invoice posts on its own.</t>
        </is>
      </c>
      <c r="H24" s="12" t="inlineStr">
        <is>
          <t>Finance › Commission Receivables › DP PR Legacy Reversal</t>
        </is>
      </c>
      <c r="I24" s="12" t="inlineStr">
        <is>
          <t>Legacy invoices paid directly to the insurer leave the legacy receivable and payable in one approved batch.</t>
        </is>
      </c>
      <c r="J24" s="12" t="inlineStr">
        <is>
          <t>FR-DM-070</t>
        </is>
      </c>
      <c r="K24" s="12" t="inlineStr">
        <is>
          <t>TC-DM-070.1-01, TC-DM-070.2-01, TC-DM-070.3-01, TC-DM-070.3-02, TC-DM-SCR-20</t>
        </is>
      </c>
      <c r="L24" s="12" t="inlineStr">
        <is>
          <t>A draft batch with the tagged legacy invoices to add</t>
        </is>
      </c>
      <c r="M24" s="12" t="n">
        <v>5</v>
      </c>
      <c r="N24" s="12" t="n">
        <v>3</v>
      </c>
      <c r="O24" s="12" t="n"/>
      <c r="P24" s="12" t="n"/>
      <c r="Q24" s="12" t="n"/>
      <c r="R24" s="25" t="n"/>
    </row>
  </sheetData>
  <autoFilter ref="A4:R24"/>
  <mergeCells count="1">
    <mergeCell ref="A2:R2"/>
  </mergeCells>
  <conditionalFormatting sqref="A5:R524">
    <cfRule type="expression" priority="1" dxfId="0">
      <formula>AND(MOD(ROW(),2)=0,$A5&lt;&gt;"")</formula>
    </cfRule>
  </conditionalFormatting>
  <dataValidations count="2">
    <dataValidation sqref="O5:O524" showDropDown="0" showInputMessage="0" showErrorMessage="1" allowBlank="1" errorTitle="BU review" error="Choose a value from the list (BU review)." type="list">
      <formula1>'_lists'!$AA$1:$AA$3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1.xml><?xml version="1.0" encoding="utf-8"?>
<worksheet xmlns="http://schemas.openxmlformats.org/spreadsheetml/2006/main">
  <sheetPr>
    <outlinePr summaryBelow="1" summaryRight="1"/>
    <pageSetUpPr fitToPage="1"/>
  </sheetPr>
  <dimension ref="A1:Q19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SCR-DM-01</t>
        </is>
      </c>
      <c r="B5" s="12" t="inlineStr">
        <is>
          <t>Migration Home</t>
        </is>
      </c>
      <c r="C5" s="12" t="inlineStr">
        <is>
          <t>1</t>
        </is>
      </c>
      <c r="D5" s="12" t="inlineStr">
        <is>
          <t>Tiles</t>
        </is>
      </c>
      <c r="E5" s="12" t="inlineStr">
        <is>
          <t>Objects decided</t>
        </is>
      </c>
      <c r="F5" s="12" t="inlineStr">
        <is>
          <t>Tile</t>
        </is>
      </c>
      <c r="G5" s="12" t="inlineStr">
        <is>
          <t>Count</t>
        </is>
      </c>
      <c r="H5" s="12" t="inlineStr">
        <is>
          <t>-</t>
        </is>
      </c>
      <c r="I5" s="12" t="inlineStr">
        <is>
          <t>Data objects</t>
        </is>
      </c>
      <c r="J5" s="12" t="inlineStr">
        <is>
          <t>-</t>
        </is>
      </c>
      <c r="K5" s="12" t="inlineStr">
        <is>
          <t>-</t>
        </is>
      </c>
      <c r="L5" s="12" t="inlineStr">
        <is>
          <t>-</t>
        </is>
      </c>
      <c r="M5" s="12" t="inlineStr">
        <is>
          <t>-</t>
        </is>
      </c>
      <c r="N5" s="12" t="n"/>
      <c r="O5" s="12" t="n"/>
      <c r="P5" s="12" t="n"/>
      <c r="Q5" s="25" t="n"/>
    </row>
    <row r="6">
      <c r="A6" s="12" t="inlineStr">
        <is>
          <t>SCR-DM-01</t>
        </is>
      </c>
      <c r="B6" s="12" t="inlineStr">
        <is>
          <t>Migration Home</t>
        </is>
      </c>
      <c r="C6" s="12" t="inlineStr">
        <is>
          <t>2</t>
        </is>
      </c>
      <c r="D6" s="12" t="inlineStr">
        <is>
          <t>Tiles</t>
        </is>
      </c>
      <c r="E6" s="12" t="inlineStr">
        <is>
          <t>Objects waiting for a decision</t>
        </is>
      </c>
      <c r="F6" s="12" t="inlineStr">
        <is>
          <t>Tile</t>
        </is>
      </c>
      <c r="G6" s="12" t="inlineStr">
        <is>
          <t>Count of Proposed and For decision objects</t>
        </is>
      </c>
      <c r="H6" s="12" t="inlineStr">
        <is>
          <t>-</t>
        </is>
      </c>
      <c r="I6" s="12" t="inlineStr">
        <is>
          <t>Data objects</t>
        </is>
      </c>
      <c r="J6" s="12" t="inlineStr">
        <is>
          <t>-</t>
        </is>
      </c>
      <c r="K6" s="12" t="inlineStr">
        <is>
          <t>-</t>
        </is>
      </c>
      <c r="L6" s="12" t="inlineStr">
        <is>
          <t>-</t>
        </is>
      </c>
      <c r="M6" s="12" t="inlineStr">
        <is>
          <t>-</t>
        </is>
      </c>
      <c r="N6" s="12" t="n"/>
      <c r="O6" s="12" t="n"/>
      <c r="P6" s="12" t="n"/>
      <c r="Q6" s="25" t="n"/>
    </row>
    <row r="7">
      <c r="A7" s="12" t="inlineStr">
        <is>
          <t>SCR-DM-01</t>
        </is>
      </c>
      <c r="B7" s="12" t="inlineStr">
        <is>
          <t>Migration Home</t>
        </is>
      </c>
      <c r="C7" s="12" t="inlineStr">
        <is>
          <t>3</t>
        </is>
      </c>
      <c r="D7" s="12" t="inlineStr">
        <is>
          <t>Tiles</t>
        </is>
      </c>
      <c r="E7" s="12" t="inlineStr">
        <is>
          <t>Batches in progress</t>
        </is>
      </c>
      <c r="F7" s="12" t="inlineStr">
        <is>
          <t>Tile</t>
        </is>
      </c>
      <c r="G7" s="12" t="inlineStr">
        <is>
          <t>Count of Planned, Validated, Load approved and Loading batches</t>
        </is>
      </c>
      <c r="H7" s="12" t="inlineStr">
        <is>
          <t>-</t>
        </is>
      </c>
      <c r="I7" s="12" t="inlineStr">
        <is>
          <t>Batches</t>
        </is>
      </c>
      <c r="J7" s="12" t="inlineStr">
        <is>
          <t>-</t>
        </is>
      </c>
      <c r="K7" s="12" t="inlineStr">
        <is>
          <t>-</t>
        </is>
      </c>
      <c r="L7" s="12" t="inlineStr">
        <is>
          <t>-</t>
        </is>
      </c>
      <c r="M7" s="12" t="inlineStr">
        <is>
          <t>-</t>
        </is>
      </c>
      <c r="N7" s="12" t="n"/>
      <c r="O7" s="12" t="n"/>
      <c r="P7" s="12" t="n"/>
      <c r="Q7" s="25" t="n"/>
    </row>
    <row r="8">
      <c r="A8" s="12" t="inlineStr">
        <is>
          <t>SCR-DM-01</t>
        </is>
      </c>
      <c r="B8" s="12" t="inlineStr">
        <is>
          <t>Migration Home</t>
        </is>
      </c>
      <c r="C8" s="12" t="inlineStr">
        <is>
          <t>4</t>
        </is>
      </c>
      <c r="D8" s="12" t="inlineStr">
        <is>
          <t>Tiles</t>
        </is>
      </c>
      <c r="E8" s="12" t="inlineStr">
        <is>
          <t>Batches failed or with rejects</t>
        </is>
      </c>
      <c r="F8" s="12" t="inlineStr">
        <is>
          <t>Tile</t>
        </is>
      </c>
      <c r="G8" s="12" t="inlineStr">
        <is>
          <t>Count; Needs attention when above 0</t>
        </is>
      </c>
      <c r="H8" s="12" t="inlineStr">
        <is>
          <t>-</t>
        </is>
      </c>
      <c r="I8" s="12" t="inlineStr">
        <is>
          <t>Batches</t>
        </is>
      </c>
      <c r="J8" s="12" t="inlineStr">
        <is>
          <t>-</t>
        </is>
      </c>
      <c r="K8" s="12" t="inlineStr">
        <is>
          <t>-</t>
        </is>
      </c>
      <c r="L8" s="12" t="inlineStr">
        <is>
          <t>-</t>
        </is>
      </c>
      <c r="M8" s="12" t="inlineStr">
        <is>
          <t>-</t>
        </is>
      </c>
      <c r="N8" s="12" t="n"/>
      <c r="O8" s="12" t="n"/>
      <c r="P8" s="12" t="n"/>
      <c r="Q8" s="25" t="n"/>
    </row>
    <row r="9">
      <c r="A9" s="12" t="inlineStr">
        <is>
          <t>SCR-DM-01</t>
        </is>
      </c>
      <c r="B9" s="12" t="inlineStr">
        <is>
          <t>Migration Home</t>
        </is>
      </c>
      <c r="C9" s="12" t="inlineStr">
        <is>
          <t>5</t>
        </is>
      </c>
      <c r="D9" s="12" t="inlineStr">
        <is>
          <t>Tiles</t>
        </is>
      </c>
      <c r="E9" s="12" t="inlineStr">
        <is>
          <t>Open reconciliation breaks</t>
        </is>
      </c>
      <c r="F9" s="12" t="inlineStr">
        <is>
          <t>Tile</t>
        </is>
      </c>
      <c r="G9" s="12" t="inlineStr">
        <is>
          <t>Count; Needs attention when above 0</t>
        </is>
      </c>
      <c r="H9" s="12" t="inlineStr">
        <is>
          <t>-</t>
        </is>
      </c>
      <c r="I9" s="12" t="inlineStr">
        <is>
          <t>Reconciliation</t>
        </is>
      </c>
      <c r="J9" s="12" t="inlineStr">
        <is>
          <t>-</t>
        </is>
      </c>
      <c r="K9" s="12" t="inlineStr">
        <is>
          <t>-</t>
        </is>
      </c>
      <c r="L9" s="12" t="inlineStr">
        <is>
          <t>-</t>
        </is>
      </c>
      <c r="M9" s="12" t="inlineStr">
        <is>
          <t>-</t>
        </is>
      </c>
      <c r="N9" s="12" t="n"/>
      <c r="O9" s="12" t="n"/>
      <c r="P9" s="12" t="n"/>
      <c r="Q9" s="25" t="n"/>
    </row>
    <row r="10">
      <c r="A10" s="12" t="inlineStr">
        <is>
          <t>SCR-DM-01</t>
        </is>
      </c>
      <c r="B10" s="12" t="inlineStr">
        <is>
          <t>Migration Home</t>
        </is>
      </c>
      <c r="C10" s="12" t="inlineStr">
        <is>
          <t>6</t>
        </is>
      </c>
      <c r="D10" s="12" t="inlineStr">
        <is>
          <t>Tiles</t>
        </is>
      </c>
      <c r="E10" s="12" t="inlineStr">
        <is>
          <t>Unmapped legacy codes</t>
        </is>
      </c>
      <c r="F10" s="12" t="inlineStr">
        <is>
          <t>Tile</t>
        </is>
      </c>
      <c r="G10" s="12" t="inlineStr">
        <is>
          <t>Count; Needs attention when above 0</t>
        </is>
      </c>
      <c r="H10" s="12" t="inlineStr">
        <is>
          <t>-</t>
        </is>
      </c>
      <c r="I10" s="12" t="inlineStr">
        <is>
          <t>Code Maps, Unmapped Codes tab</t>
        </is>
      </c>
      <c r="J10" s="12" t="inlineStr">
        <is>
          <t>-</t>
        </is>
      </c>
      <c r="K10" s="12" t="inlineStr">
        <is>
          <t>-</t>
        </is>
      </c>
      <c r="L10" s="12" t="inlineStr">
        <is>
          <t>-</t>
        </is>
      </c>
      <c r="M10" s="12" t="inlineStr">
        <is>
          <t>-</t>
        </is>
      </c>
      <c r="N10" s="12" t="n"/>
      <c r="O10" s="12" t="n"/>
      <c r="P10" s="12" t="n"/>
      <c r="Q10" s="25" t="n"/>
    </row>
    <row r="11">
      <c r="A11" s="12" t="inlineStr">
        <is>
          <t>SCR-DM-01</t>
        </is>
      </c>
      <c r="B11" s="12" t="inlineStr">
        <is>
          <t>Migration Home</t>
        </is>
      </c>
      <c r="C11" s="12" t="inlineStr">
        <is>
          <t>7</t>
        </is>
      </c>
      <c r="D11" s="12" t="inlineStr">
        <is>
          <t>Tiles</t>
        </is>
      </c>
      <c r="E11" s="12" t="inlineStr">
        <is>
          <t>Open validation errors</t>
        </is>
      </c>
      <c r="F11" s="12" t="inlineStr">
        <is>
          <t>Tile</t>
        </is>
      </c>
      <c r="G11" s="12" t="inlineStr">
        <is>
          <t>Count; Needs attention when above 0</t>
        </is>
      </c>
      <c r="H11" s="12" t="inlineStr">
        <is>
          <t>-</t>
        </is>
      </c>
      <c r="I11" s="12" t="inlineStr">
        <is>
          <t>Batch issues</t>
        </is>
      </c>
      <c r="J11" s="12" t="inlineStr">
        <is>
          <t>-</t>
        </is>
      </c>
      <c r="K11" s="12" t="inlineStr">
        <is>
          <t>-</t>
        </is>
      </c>
      <c r="L11" s="12" t="inlineStr">
        <is>
          <t>-</t>
        </is>
      </c>
      <c r="M11" s="12" t="inlineStr">
        <is>
          <t>-</t>
        </is>
      </c>
      <c r="N11" s="12" t="n"/>
      <c r="O11" s="12" t="n"/>
      <c r="P11" s="12" t="n"/>
      <c r="Q11" s="25" t="n"/>
    </row>
    <row r="12">
      <c r="A12" s="12" t="inlineStr">
        <is>
          <t>SCR-DM-01</t>
        </is>
      </c>
      <c r="B12" s="12" t="inlineStr">
        <is>
          <t>Migration Home</t>
        </is>
      </c>
      <c r="C12" s="12" t="inlineStr">
        <is>
          <t>8</t>
        </is>
      </c>
      <c r="D12" s="12" t="inlineStr">
        <is>
          <t>Tiles</t>
        </is>
      </c>
      <c r="E12" s="12" t="inlineStr">
        <is>
          <t>Client pairs to review</t>
        </is>
      </c>
      <c r="F12" s="12" t="inlineStr">
        <is>
          <t>Tile</t>
        </is>
      </c>
      <c r="G12" s="12" t="inlineStr">
        <is>
          <t>Count</t>
        </is>
      </c>
      <c r="H12" s="12" t="inlineStr">
        <is>
          <t>-</t>
        </is>
      </c>
      <c r="I12" s="12" t="inlineStr">
        <is>
          <t>Client Matching</t>
        </is>
      </c>
      <c r="J12" s="12" t="inlineStr">
        <is>
          <t>-</t>
        </is>
      </c>
      <c r="K12" s="12" t="inlineStr">
        <is>
          <t>-</t>
        </is>
      </c>
      <c r="L12" s="12" t="inlineStr">
        <is>
          <t>-</t>
        </is>
      </c>
      <c r="M12" s="12" t="inlineStr">
        <is>
          <t>-</t>
        </is>
      </c>
      <c r="N12" s="12" t="n"/>
      <c r="O12" s="12" t="n"/>
      <c r="P12" s="12" t="n"/>
      <c r="Q12" s="25" t="n"/>
    </row>
    <row r="13">
      <c r="A13" s="12" t="inlineStr">
        <is>
          <t>SCR-DM-01</t>
        </is>
      </c>
      <c r="B13" s="12" t="inlineStr">
        <is>
          <t>Migration Home</t>
        </is>
      </c>
      <c r="C13" s="12" t="inlineStr">
        <is>
          <t>9</t>
        </is>
      </c>
      <c r="D13" s="12" t="inlineStr">
        <is>
          <t>Next cut-over tasks</t>
        </is>
      </c>
      <c r="E13" s="12" t="inlineStr">
        <is>
          <t>Plan, Task, Owner, Planned start, Status</t>
        </is>
      </c>
      <c r="F13" s="12" t="inlineStr">
        <is>
          <t>Columns</t>
        </is>
      </c>
      <c r="G13" s="12" t="inlineStr">
        <is>
          <t>dd-MMM-yyyy HH:mm</t>
        </is>
      </c>
      <c r="H13" s="12" t="inlineStr">
        <is>
          <t>-</t>
        </is>
      </c>
      <c r="I13" s="12" t="inlineStr">
        <is>
          <t>Open tasks of the cut-over plans</t>
        </is>
      </c>
      <c r="J13" s="12" t="inlineStr">
        <is>
          <t>-</t>
        </is>
      </c>
      <c r="K13" s="12" t="inlineStr">
        <is>
          <t>-</t>
        </is>
      </c>
      <c r="L13" s="12" t="inlineStr">
        <is>
          <t>-</t>
        </is>
      </c>
      <c r="M13" s="12" t="inlineStr">
        <is>
          <t>-</t>
        </is>
      </c>
      <c r="N13" s="12" t="n"/>
      <c r="O13" s="12" t="n"/>
      <c r="P13" s="12" t="n"/>
      <c r="Q13" s="25" t="n"/>
    </row>
    <row r="14">
      <c r="A14" s="12" t="inlineStr">
        <is>
          <t>SCR-DM-01</t>
        </is>
      </c>
      <c r="B14" s="12" t="inlineStr">
        <is>
          <t>Migration Home</t>
        </is>
      </c>
      <c r="C14" s="12" t="inlineStr">
        <is>
          <t>10</t>
        </is>
      </c>
      <c r="D14" s="12" t="inlineStr">
        <is>
          <t>Run-off of the legacy policies</t>
        </is>
      </c>
      <c r="E14" s="12" t="inlineStr">
        <is>
          <t>Expiry month, In force, Renewed, Not renewed, Still open</t>
        </is>
      </c>
      <c r="F14" s="12" t="inlineStr">
        <is>
          <t>Columns</t>
        </is>
      </c>
      <c r="G14" s="12" t="inlineStr">
        <is>
          <t>Month yyyy-MM</t>
        </is>
      </c>
      <c r="H14" s="12" t="inlineStr">
        <is>
          <t>-</t>
        </is>
      </c>
      <c r="I14" s="12" t="inlineStr">
        <is>
          <t>Latest run-off snapshot</t>
        </is>
      </c>
      <c r="J14" s="12" t="inlineStr">
        <is>
          <t>-</t>
        </is>
      </c>
      <c r="K14" s="12" t="inlineStr">
        <is>
          <t>-</t>
        </is>
      </c>
      <c r="L14" s="12" t="inlineStr">
        <is>
          <t>-</t>
        </is>
      </c>
      <c r="M14" s="12" t="inlineStr">
        <is>
          <t>-</t>
        </is>
      </c>
      <c r="N14" s="12" t="n"/>
      <c r="O14" s="12" t="n"/>
      <c r="P14" s="12" t="n"/>
      <c r="Q14" s="25" t="n"/>
    </row>
    <row r="15">
      <c r="A15" s="12" t="inlineStr">
        <is>
          <t>SCR-DM-02</t>
        </is>
      </c>
      <c r="B15" s="12" t="inlineStr">
        <is>
          <t>Data Objects and the decision of an object</t>
        </is>
      </c>
      <c r="C15" s="12" t="inlineStr">
        <is>
          <t>1</t>
        </is>
      </c>
      <c r="D15" s="12" t="inlineStr">
        <is>
          <t>Filter</t>
        </is>
      </c>
      <c r="E15" s="12" t="inlineStr">
        <is>
          <t>Category</t>
        </is>
      </c>
      <c r="F15" s="12" t="inlineStr">
        <is>
          <t>Drop-down</t>
        </is>
      </c>
      <c r="G15" s="12" t="inlineStr">
        <is>
          <t>All categories, Reference, Client, Policy, Open item, GL, History</t>
        </is>
      </c>
      <c r="H15" s="12" t="inlineStr">
        <is>
          <t>N</t>
        </is>
      </c>
      <c r="I15" s="12" t="inlineStr">
        <is>
          <t>Categories of the register</t>
        </is>
      </c>
      <c r="J15" s="12" t="inlineStr">
        <is>
          <t>All categories</t>
        </is>
      </c>
      <c r="K15" s="12" t="inlineStr">
        <is>
          <t>-</t>
        </is>
      </c>
      <c r="L15" s="12" t="inlineStr">
        <is>
          <t>-</t>
        </is>
      </c>
      <c r="M15" s="12" t="inlineStr">
        <is>
          <t>-</t>
        </is>
      </c>
      <c r="N15" s="12" t="n"/>
      <c r="O15" s="12" t="n"/>
      <c r="P15" s="12" t="n"/>
      <c r="Q15" s="25" t="n"/>
    </row>
    <row r="16">
      <c r="A16" s="12" t="inlineStr">
        <is>
          <t>SCR-DM-02</t>
        </is>
      </c>
      <c r="B16" s="12" t="inlineStr">
        <is>
          <t>Data Objects and the decision of an object</t>
        </is>
      </c>
      <c r="C16" s="12" t="inlineStr">
        <is>
          <t>2</t>
        </is>
      </c>
      <c r="D16" s="12" t="inlineStr">
        <is>
          <t>Register</t>
        </is>
      </c>
      <c r="E16" s="12" t="inlineStr">
        <is>
          <t>Order</t>
        </is>
      </c>
      <c r="F16" s="12" t="inlineStr">
        <is>
          <t>Column</t>
        </is>
      </c>
      <c r="G16" s="12" t="inlineStr">
        <is>
          <t>Load order</t>
        </is>
      </c>
      <c r="H16" s="12" t="inlineStr">
        <is>
          <t>-</t>
        </is>
      </c>
      <c r="I16" s="12" t="inlineStr">
        <is>
          <t>Object</t>
        </is>
      </c>
      <c r="J16" s="12" t="inlineStr">
        <is>
          <t>-</t>
        </is>
      </c>
      <c r="K16" s="12" t="inlineStr">
        <is>
          <t>-</t>
        </is>
      </c>
      <c r="L16" s="12" t="inlineStr">
        <is>
          <t>-</t>
        </is>
      </c>
      <c r="M16" s="12" t="inlineStr">
        <is>
          <t>-</t>
        </is>
      </c>
      <c r="N16" s="12" t="n"/>
      <c r="O16" s="12" t="n"/>
      <c r="P16" s="12" t="n"/>
      <c r="Q16" s="25" t="n"/>
    </row>
    <row r="17">
      <c r="A17" s="12" t="inlineStr">
        <is>
          <t>SCR-DM-02</t>
        </is>
      </c>
      <c r="B17" s="12" t="inlineStr">
        <is>
          <t>Data Objects and the decision of an object</t>
        </is>
      </c>
      <c r="C17" s="12" t="inlineStr">
        <is>
          <t>3</t>
        </is>
      </c>
      <c r="D17" s="12" t="inlineStr">
        <is>
          <t>Register</t>
        </is>
      </c>
      <c r="E17" s="12" t="inlineStr">
        <is>
          <t>Object</t>
        </is>
      </c>
      <c r="F17" s="12" t="inlineStr">
        <is>
          <t>Column</t>
        </is>
      </c>
      <c r="G17" s="12" t="inlineStr">
        <is>
          <t>Code and name, category under it</t>
        </is>
      </c>
      <c r="H17" s="12" t="inlineStr">
        <is>
          <t>-</t>
        </is>
      </c>
      <c r="I17" s="12" t="inlineStr">
        <is>
          <t>Object</t>
        </is>
      </c>
      <c r="J17" s="12" t="inlineStr">
        <is>
          <t>-</t>
        </is>
      </c>
      <c r="K17" s="12" t="inlineStr">
        <is>
          <t>-</t>
        </is>
      </c>
      <c r="L17" s="12" t="inlineStr">
        <is>
          <t>-</t>
        </is>
      </c>
      <c r="M17" s="12" t="inlineStr">
        <is>
          <t>-</t>
        </is>
      </c>
      <c r="N17" s="12" t="n"/>
      <c r="O17" s="12" t="n"/>
      <c r="P17" s="12" t="n"/>
      <c r="Q17" s="25" t="n"/>
    </row>
    <row r="18">
      <c r="A18" s="12" t="inlineStr">
        <is>
          <t>SCR-DM-02</t>
        </is>
      </c>
      <c r="B18" s="12" t="inlineStr">
        <is>
          <t>Data Objects and the decision of an object</t>
        </is>
      </c>
      <c r="C18" s="12" t="inlineStr">
        <is>
          <t>4</t>
        </is>
      </c>
      <c r="D18" s="12" t="inlineStr">
        <is>
          <t>Register</t>
        </is>
      </c>
      <c r="E18" s="12" t="inlineStr">
        <is>
          <t>Sources</t>
        </is>
      </c>
      <c r="F18" s="12" t="inlineStr">
        <is>
          <t>Column</t>
        </is>
      </c>
      <c r="G18" s="12" t="inlineStr">
        <is>
          <t>Legacy systems</t>
        </is>
      </c>
      <c r="H18" s="12" t="inlineStr">
        <is>
          <t>-</t>
        </is>
      </c>
      <c r="I18" s="12" t="inlineStr">
        <is>
          <t>Object</t>
        </is>
      </c>
      <c r="J18" s="12" t="inlineStr">
        <is>
          <t>-</t>
        </is>
      </c>
      <c r="K18" s="12" t="inlineStr">
        <is>
          <t>-</t>
        </is>
      </c>
      <c r="L18" s="12" t="inlineStr">
        <is>
          <t>-</t>
        </is>
      </c>
      <c r="M18" s="12" t="inlineStr">
        <is>
          <t>-</t>
        </is>
      </c>
      <c r="N18" s="12" t="n"/>
      <c r="O18" s="12" t="n"/>
      <c r="P18" s="12" t="n"/>
      <c r="Q18" s="25" t="n"/>
    </row>
    <row r="19">
      <c r="A19" s="12" t="inlineStr">
        <is>
          <t>SCR-DM-02</t>
        </is>
      </c>
      <c r="B19" s="12" t="inlineStr">
        <is>
          <t>Data Objects and the decision of an object</t>
        </is>
      </c>
      <c r="C19" s="12" t="inlineStr">
        <is>
          <t>5</t>
        </is>
      </c>
      <c r="D19" s="12" t="inlineStr">
        <is>
          <t>Register</t>
        </is>
      </c>
      <c r="E19" s="12" t="inlineStr">
        <is>
          <t>Class</t>
        </is>
      </c>
      <c r="F19" s="12" t="inlineStr">
        <is>
          <t>Column</t>
        </is>
      </c>
      <c r="G19" s="12" t="inlineStr">
        <is>
          <t>Decided class, or the proposed class marked Proposed</t>
        </is>
      </c>
      <c r="H19" s="12" t="inlineStr">
        <is>
          <t>-</t>
        </is>
      </c>
      <c r="I19" s="12" t="inlineStr">
        <is>
          <t>Decision</t>
        </is>
      </c>
      <c r="J19" s="12" t="inlineStr">
        <is>
          <t>Proposed class</t>
        </is>
      </c>
      <c r="K19" s="12" t="inlineStr">
        <is>
          <t>-</t>
        </is>
      </c>
      <c r="L19" s="12" t="inlineStr">
        <is>
          <t>-</t>
        </is>
      </c>
      <c r="M19" s="12" t="inlineStr">
        <is>
          <t>-</t>
        </is>
      </c>
      <c r="N19" s="12" t="n"/>
      <c r="O19" s="12" t="n"/>
      <c r="P19" s="12" t="n"/>
      <c r="Q19" s="25" t="n"/>
    </row>
    <row r="20">
      <c r="A20" s="12" t="inlineStr">
        <is>
          <t>SCR-DM-02</t>
        </is>
      </c>
      <c r="B20" s="12" t="inlineStr">
        <is>
          <t>Data Objects and the decision of an object</t>
        </is>
      </c>
      <c r="C20" s="12" t="inlineStr">
        <is>
          <t>6</t>
        </is>
      </c>
      <c r="D20" s="12" t="inlineStr">
        <is>
          <t>Register</t>
        </is>
      </c>
      <c r="E20" s="12" t="inlineStr">
        <is>
          <t>Financial and After tags</t>
        </is>
      </c>
      <c r="F20" s="12" t="inlineStr">
        <is>
          <t>Tag</t>
        </is>
      </c>
      <c r="G20" s="12" t="inlineStr">
        <is>
          <t>Financial object; objects it loads after</t>
        </is>
      </c>
      <c r="H20" s="12" t="inlineStr">
        <is>
          <t>-</t>
        </is>
      </c>
      <c r="I20" s="12" t="inlineStr">
        <is>
          <t>Object</t>
        </is>
      </c>
      <c r="J20" s="12" t="inlineStr">
        <is>
          <t>-</t>
        </is>
      </c>
      <c r="K20" s="12" t="inlineStr">
        <is>
          <t>-</t>
        </is>
      </c>
      <c r="L20" s="12" t="inlineStr">
        <is>
          <t>-</t>
        </is>
      </c>
      <c r="M20" s="12" t="inlineStr">
        <is>
          <t>-</t>
        </is>
      </c>
      <c r="N20" s="12" t="n"/>
      <c r="O20" s="12" t="n"/>
      <c r="P20" s="12" t="n"/>
      <c r="Q20" s="25" t="n"/>
    </row>
    <row r="21">
      <c r="A21" s="12" t="inlineStr">
        <is>
          <t>SCR-DM-02</t>
        </is>
      </c>
      <c r="B21" s="12" t="inlineStr">
        <is>
          <t>Data Objects and the decision of an object</t>
        </is>
      </c>
      <c r="C21" s="12" t="inlineStr">
        <is>
          <t>7</t>
        </is>
      </c>
      <c r="D21" s="12" t="inlineStr">
        <is>
          <t>Register</t>
        </is>
      </c>
      <c r="E21" s="12" t="inlineStr">
        <is>
          <t>Business owner</t>
        </is>
      </c>
      <c r="F21" s="12" t="inlineStr">
        <is>
          <t>Column</t>
        </is>
      </c>
      <c r="G21" s="12" t="inlineStr">
        <is>
          <t>Name</t>
        </is>
      </c>
      <c r="H21" s="12" t="inlineStr">
        <is>
          <t>-</t>
        </is>
      </c>
      <c r="I21" s="12" t="inlineStr">
        <is>
          <t>Object</t>
        </is>
      </c>
      <c r="J21" s="12" t="inlineStr">
        <is>
          <t>-</t>
        </is>
      </c>
      <c r="K21" s="12" t="inlineStr">
        <is>
          <t>-</t>
        </is>
      </c>
      <c r="L21" s="12" t="inlineStr">
        <is>
          <t>-</t>
        </is>
      </c>
      <c r="M21" s="12" t="inlineStr">
        <is>
          <t>-</t>
        </is>
      </c>
      <c r="N21" s="12" t="n"/>
      <c r="O21" s="12" t="n"/>
      <c r="P21" s="12" t="n"/>
      <c r="Q21" s="25" t="n"/>
    </row>
    <row r="22">
      <c r="A22" s="12" t="inlineStr">
        <is>
          <t>SCR-DM-02</t>
        </is>
      </c>
      <c r="B22" s="12" t="inlineStr">
        <is>
          <t>Data Objects and the decision of an object</t>
        </is>
      </c>
      <c r="C22" s="12" t="inlineStr">
        <is>
          <t>8</t>
        </is>
      </c>
      <c r="D22" s="12" t="inlineStr">
        <is>
          <t>Register</t>
        </is>
      </c>
      <c r="E22" s="12" t="inlineStr">
        <is>
          <t>Status</t>
        </is>
      </c>
      <c r="F22" s="12" t="inlineStr">
        <is>
          <t>Pill</t>
        </is>
      </c>
      <c r="G22" s="12" t="inlineStr">
        <is>
          <t>Proposed, For decision, Decided</t>
        </is>
      </c>
      <c r="H22" s="12" t="inlineStr">
        <is>
          <t>-</t>
        </is>
      </c>
      <c r="I22" s="12" t="inlineStr">
        <is>
          <t>Decision</t>
        </is>
      </c>
      <c r="J22" s="12" t="inlineStr">
        <is>
          <t>Proposed</t>
        </is>
      </c>
      <c r="K22" s="12" t="inlineStr">
        <is>
          <t>-</t>
        </is>
      </c>
      <c r="L22" s="12" t="inlineStr">
        <is>
          <t>-</t>
        </is>
      </c>
      <c r="M22" s="12" t="inlineStr">
        <is>
          <t>-</t>
        </is>
      </c>
      <c r="N22" s="12" t="n"/>
      <c r="O22" s="12" t="n"/>
      <c r="P22" s="12" t="n"/>
      <c r="Q22" s="25" t="n"/>
    </row>
    <row r="23">
      <c r="A23" s="12" t="inlineStr">
        <is>
          <t>SCR-DM-02</t>
        </is>
      </c>
      <c r="B23" s="12" t="inlineStr">
        <is>
          <t>Data Objects and the decision of an object</t>
        </is>
      </c>
      <c r="C23" s="12" t="inlineStr">
        <is>
          <t>9</t>
        </is>
      </c>
      <c r="D23" s="12" t="inlineStr">
        <is>
          <t>Object panel</t>
        </is>
      </c>
      <c r="E23" s="12" t="inlineStr">
        <is>
          <t>Category, Sources, Target in BIBS</t>
        </is>
      </c>
      <c r="F23" s="12" t="inlineStr">
        <is>
          <t>Text</t>
        </is>
      </c>
      <c r="G23" s="12" t="inlineStr">
        <is>
          <t>-</t>
        </is>
      </c>
      <c r="H23" s="12" t="inlineStr">
        <is>
          <t>-</t>
        </is>
      </c>
      <c r="I23" s="12" t="inlineStr">
        <is>
          <t>Object</t>
        </is>
      </c>
      <c r="J23" s="12" t="inlineStr">
        <is>
          <t>-</t>
        </is>
      </c>
      <c r="K23" s="12" t="inlineStr">
        <is>
          <t>-</t>
        </is>
      </c>
      <c r="L23" s="12" t="inlineStr">
        <is>
          <t>-</t>
        </is>
      </c>
      <c r="M23" s="12" t="inlineStr">
        <is>
          <t>-</t>
        </is>
      </c>
      <c r="N23" s="12" t="n"/>
      <c r="O23" s="12" t="n"/>
      <c r="P23" s="12" t="n"/>
      <c r="Q23" s="25" t="n"/>
    </row>
    <row r="24">
      <c r="A24" s="12" t="inlineStr">
        <is>
          <t>SCR-DM-02</t>
        </is>
      </c>
      <c r="B24" s="12" t="inlineStr">
        <is>
          <t>Data Objects and the decision of an object</t>
        </is>
      </c>
      <c r="C24" s="12" t="inlineStr">
        <is>
          <t>10</t>
        </is>
      </c>
      <c r="D24" s="12" t="inlineStr">
        <is>
          <t>Object panel</t>
        </is>
      </c>
      <c r="E24" s="12" t="inlineStr">
        <is>
          <t>Proposed class, Decided class</t>
        </is>
      </c>
      <c r="F24" s="12" t="inlineStr">
        <is>
          <t>Text</t>
        </is>
      </c>
      <c r="G24" s="12" t="inlineStr">
        <is>
          <t>Migrate, Carry forward, Conditional, Archive, Excluded</t>
        </is>
      </c>
      <c r="H24" s="12" t="inlineStr">
        <is>
          <t>-</t>
        </is>
      </c>
      <c r="I24" s="12" t="inlineStr">
        <is>
          <t>Decision</t>
        </is>
      </c>
      <c r="J24" s="12" t="inlineStr">
        <is>
          <t>-</t>
        </is>
      </c>
      <c r="K24" s="12" t="inlineStr">
        <is>
          <t>-</t>
        </is>
      </c>
      <c r="L24" s="12" t="inlineStr">
        <is>
          <t>-</t>
        </is>
      </c>
      <c r="M24" s="12" t="inlineStr">
        <is>
          <t>-</t>
        </is>
      </c>
      <c r="N24" s="12" t="n"/>
      <c r="O24" s="12" t="n"/>
      <c r="P24" s="12" t="n"/>
      <c r="Q24" s="25" t="n"/>
    </row>
    <row r="25">
      <c r="A25" s="12" t="inlineStr">
        <is>
          <t>SCR-DM-02</t>
        </is>
      </c>
      <c r="B25" s="12" t="inlineStr">
        <is>
          <t>Data Objects and the decision of an object</t>
        </is>
      </c>
      <c r="C25" s="12" t="inlineStr">
        <is>
          <t>11</t>
        </is>
      </c>
      <c r="D25" s="12" t="inlineStr">
        <is>
          <t>Object panel</t>
        </is>
      </c>
      <c r="E25" s="12" t="inlineStr">
        <is>
          <t>Condition</t>
        </is>
      </c>
      <c r="F25" s="12" t="inlineStr">
        <is>
          <t>Text</t>
        </is>
      </c>
      <c r="G25" s="12" t="inlineStr">
        <is>
          <t>Condition of a conditional object</t>
        </is>
      </c>
      <c r="H25" s="12" t="inlineStr">
        <is>
          <t>-</t>
        </is>
      </c>
      <c r="I25" s="12" t="inlineStr">
        <is>
          <t>Object</t>
        </is>
      </c>
      <c r="J25" s="12" t="inlineStr">
        <is>
          <t>-</t>
        </is>
      </c>
      <c r="K25" s="12" t="inlineStr">
        <is>
          <t>-</t>
        </is>
      </c>
      <c r="L25" s="12" t="inlineStr">
        <is>
          <t>-</t>
        </is>
      </c>
      <c r="M25" s="12" t="inlineStr">
        <is>
          <t>-</t>
        </is>
      </c>
      <c r="N25" s="12" t="n"/>
      <c r="O25" s="12" t="n"/>
      <c r="P25" s="12" t="n"/>
      <c r="Q25" s="25" t="n"/>
    </row>
    <row r="26">
      <c r="A26" s="12" t="inlineStr">
        <is>
          <t>SCR-DM-02</t>
        </is>
      </c>
      <c r="B26" s="12" t="inlineStr">
        <is>
          <t>Data Objects and the decision of an object</t>
        </is>
      </c>
      <c r="C26" s="12" t="inlineStr">
        <is>
          <t>12</t>
        </is>
      </c>
      <c r="D26" s="12" t="inlineStr">
        <is>
          <t>Object panel</t>
        </is>
      </c>
      <c r="E26" s="12" t="inlineStr">
        <is>
          <t>Day-1 need, Compliance need, Archive option</t>
        </is>
      </c>
      <c r="F26" s="12" t="inlineStr">
        <is>
          <t>Text</t>
        </is>
      </c>
      <c r="G26" s="12" t="inlineStr">
        <is>
          <t>Yes or No, with the note</t>
        </is>
      </c>
      <c r="H26" s="12" t="inlineStr">
        <is>
          <t>-</t>
        </is>
      </c>
      <c r="I26" s="12" t="inlineStr">
        <is>
          <t>The four criteria of the BRD</t>
        </is>
      </c>
      <c r="J26" s="12" t="inlineStr">
        <is>
          <t>-</t>
        </is>
      </c>
      <c r="K26" s="12" t="inlineStr">
        <is>
          <t>-</t>
        </is>
      </c>
      <c r="L26" s="12" t="inlineStr">
        <is>
          <t>-</t>
        </is>
      </c>
      <c r="M26" s="12" t="inlineStr">
        <is>
          <t>-</t>
        </is>
      </c>
      <c r="N26" s="12" t="n"/>
      <c r="O26" s="12" t="n"/>
      <c r="P26" s="12" t="n"/>
      <c r="Q26" s="25" t="n"/>
    </row>
    <row r="27">
      <c r="A27" s="12" t="inlineStr">
        <is>
          <t>SCR-DM-02</t>
        </is>
      </c>
      <c r="B27" s="12" t="inlineStr">
        <is>
          <t>Data Objects and the decision of an object</t>
        </is>
      </c>
      <c r="C27" s="12" t="inlineStr">
        <is>
          <t>13</t>
        </is>
      </c>
      <c r="D27" s="12" t="inlineStr">
        <is>
          <t>Object panel</t>
        </is>
      </c>
      <c r="E27" s="12" t="inlineStr">
        <is>
          <t>Data trust</t>
        </is>
      </c>
      <c r="F27" s="12" t="inlineStr">
        <is>
          <t>Text</t>
        </is>
      </c>
      <c r="G27" s="12" t="inlineStr">
        <is>
          <t>High, Medium, Low</t>
        </is>
      </c>
      <c r="H27" s="12" t="inlineStr">
        <is>
          <t>-</t>
        </is>
      </c>
      <c r="I27" s="12" t="inlineStr">
        <is>
          <t>Object</t>
        </is>
      </c>
      <c r="J27" s="12" t="inlineStr">
        <is>
          <t>-</t>
        </is>
      </c>
      <c r="K27" s="12" t="inlineStr">
        <is>
          <t>-</t>
        </is>
      </c>
      <c r="L27" s="12" t="inlineStr">
        <is>
          <t>-</t>
        </is>
      </c>
      <c r="M27" s="12" t="inlineStr">
        <is>
          <t>-</t>
        </is>
      </c>
      <c r="N27" s="12" t="n"/>
      <c r="O27" s="12" t="n"/>
      <c r="P27" s="12" t="n"/>
      <c r="Q27" s="25" t="n"/>
    </row>
    <row r="28">
      <c r="A28" s="12" t="inlineStr">
        <is>
          <t>SCR-DM-02</t>
        </is>
      </c>
      <c r="B28" s="12" t="inlineStr">
        <is>
          <t>Data Objects and the decision of an object</t>
        </is>
      </c>
      <c r="C28" s="12" t="inlineStr">
        <is>
          <t>14</t>
        </is>
      </c>
      <c r="D28" s="12" t="inlineStr">
        <is>
          <t>Object panel</t>
        </is>
      </c>
      <c r="E28" s="12" t="inlineStr">
        <is>
          <t>Business owner, Data steward</t>
        </is>
      </c>
      <c r="F28" s="12" t="inlineStr">
        <is>
          <t>Text</t>
        </is>
      </c>
      <c r="G28" s="12" t="inlineStr">
        <is>
          <t>Name, or the proposed role until named</t>
        </is>
      </c>
      <c r="H28" s="12" t="inlineStr">
        <is>
          <t>-</t>
        </is>
      </c>
      <c r="I28" s="12" t="inlineStr">
        <is>
          <t>Object</t>
        </is>
      </c>
      <c r="J28" s="12" t="inlineStr">
        <is>
          <t>-</t>
        </is>
      </c>
      <c r="K28" s="12" t="inlineStr">
        <is>
          <t>-</t>
        </is>
      </c>
      <c r="L28" s="12" t="inlineStr">
        <is>
          <t>-</t>
        </is>
      </c>
      <c r="M28" s="12" t="inlineStr">
        <is>
          <t>-</t>
        </is>
      </c>
      <c r="N28" s="12" t="n"/>
      <c r="O28" s="12" t="n"/>
      <c r="P28" s="12" t="n"/>
      <c r="Q28" s="25" t="n"/>
    </row>
    <row r="29">
      <c r="A29" s="12" t="inlineStr">
        <is>
          <t>SCR-DM-02</t>
        </is>
      </c>
      <c r="B29" s="12" t="inlineStr">
        <is>
          <t>Data Objects and the decision of an object</t>
        </is>
      </c>
      <c r="C29" s="12" t="inlineStr">
        <is>
          <t>15</t>
        </is>
      </c>
      <c r="D29" s="12" t="inlineStr">
        <is>
          <t>Object panel</t>
        </is>
      </c>
      <c r="E29" s="12" t="inlineStr">
        <is>
          <t>Depends on, Load order</t>
        </is>
      </c>
      <c r="F29" s="12" t="inlineStr">
        <is>
          <t>Text</t>
        </is>
      </c>
      <c r="G29" s="12" t="inlineStr">
        <is>
          <t>Objects and number</t>
        </is>
      </c>
      <c r="H29" s="12" t="inlineStr">
        <is>
          <t>-</t>
        </is>
      </c>
      <c r="I29" s="12" t="inlineStr">
        <is>
          <t>Object</t>
        </is>
      </c>
      <c r="J29" s="12" t="inlineStr">
        <is>
          <t>-</t>
        </is>
      </c>
      <c r="K29" s="12" t="inlineStr">
        <is>
          <t>-</t>
        </is>
      </c>
      <c r="L29" s="12" t="inlineStr">
        <is>
          <t>-</t>
        </is>
      </c>
      <c r="M29" s="12" t="inlineStr">
        <is>
          <t>-</t>
        </is>
      </c>
      <c r="N29" s="12" t="n"/>
      <c r="O29" s="12" t="n"/>
      <c r="P29" s="12" t="n"/>
      <c r="Q29" s="25" t="n"/>
    </row>
    <row r="30">
      <c r="A30" s="12" t="inlineStr">
        <is>
          <t>SCR-DM-02</t>
        </is>
      </c>
      <c r="B30" s="12" t="inlineStr">
        <is>
          <t>Data Objects and the decision of an object</t>
        </is>
      </c>
      <c r="C30" s="12" t="inlineStr">
        <is>
          <t>16</t>
        </is>
      </c>
      <c r="D30" s="12" t="inlineStr">
        <is>
          <t>Object panel</t>
        </is>
      </c>
      <c r="E30" s="12" t="inlineStr">
        <is>
          <t>Rationale</t>
        </is>
      </c>
      <c r="F30" s="12" t="inlineStr">
        <is>
          <t>Text</t>
        </is>
      </c>
      <c r="G30" s="12" t="inlineStr">
        <is>
          <t>Up to 2,000 characters</t>
        </is>
      </c>
      <c r="H30" s="12" t="inlineStr">
        <is>
          <t>-</t>
        </is>
      </c>
      <c r="I30" s="12" t="inlineStr">
        <is>
          <t>Object</t>
        </is>
      </c>
      <c r="J30" s="12" t="inlineStr">
        <is>
          <t>-</t>
        </is>
      </c>
      <c r="K30" s="12" t="inlineStr">
        <is>
          <t>-</t>
        </is>
      </c>
      <c r="L30" s="12" t="inlineStr">
        <is>
          <t>-</t>
        </is>
      </c>
      <c r="M30" s="12" t="inlineStr">
        <is>
          <t>-</t>
        </is>
      </c>
      <c r="N30" s="12" t="n"/>
      <c r="O30" s="12" t="n"/>
      <c r="P30" s="12" t="n"/>
      <c r="Q30" s="25" t="n"/>
    </row>
    <row r="31">
      <c r="A31" s="12" t="inlineStr">
        <is>
          <t>SCR-DM-02</t>
        </is>
      </c>
      <c r="B31" s="12" t="inlineStr">
        <is>
          <t>Data Objects and the decision of an object</t>
        </is>
      </c>
      <c r="C31" s="12" t="inlineStr">
        <is>
          <t>17</t>
        </is>
      </c>
      <c r="D31" s="12" t="inlineStr">
        <is>
          <t>Decision history</t>
        </is>
      </c>
      <c r="E31" s="12" t="inlineStr">
        <is>
          <t>Decision, Class, Submitted by, Submitted, Decided by, Return reason, Status</t>
        </is>
      </c>
      <c r="F31" s="12" t="inlineStr">
        <is>
          <t>Columns</t>
        </is>
      </c>
      <c r="G31" s="12" t="inlineStr">
        <is>
          <t>Decision number MGD-yyyy-nnnnnn</t>
        </is>
      </c>
      <c r="H31" s="12" t="inlineStr">
        <is>
          <t>-</t>
        </is>
      </c>
      <c r="I31" s="12" t="inlineStr">
        <is>
          <t>Decisions of the object</t>
        </is>
      </c>
      <c r="J31" s="12" t="inlineStr">
        <is>
          <t>-</t>
        </is>
      </c>
      <c r="K31" s="12" t="inlineStr">
        <is>
          <t>-</t>
        </is>
      </c>
      <c r="L31" s="12" t="inlineStr">
        <is>
          <t>-</t>
        </is>
      </c>
      <c r="M31" s="12" t="inlineStr">
        <is>
          <t>-</t>
        </is>
      </c>
      <c r="N31" s="12" t="n"/>
      <c r="O31" s="12" t="n"/>
      <c r="P31" s="12" t="n"/>
      <c r="Q31" s="25" t="n"/>
    </row>
    <row r="32">
      <c r="A32" s="12" t="inlineStr">
        <is>
          <t>SCR-DM-03</t>
        </is>
      </c>
      <c r="B32" s="12" t="inlineStr">
        <is>
          <t>Code Maps and the versions of a code map</t>
        </is>
      </c>
      <c r="C32" s="12" t="inlineStr">
        <is>
          <t>1</t>
        </is>
      </c>
      <c r="D32" s="12" t="inlineStr">
        <is>
          <t>Code Maps tab</t>
        </is>
      </c>
      <c r="E32" s="12" t="inlineStr">
        <is>
          <t>Search code map</t>
        </is>
      </c>
      <c r="F32" s="12" t="inlineStr">
        <is>
          <t>Search</t>
        </is>
      </c>
      <c r="G32" s="12" t="inlineStr">
        <is>
          <t>Code or name</t>
        </is>
      </c>
      <c r="H32" s="12" t="inlineStr">
        <is>
          <t>N</t>
        </is>
      </c>
      <c r="I32" s="12" t="inlineStr">
        <is>
          <t>-</t>
        </is>
      </c>
      <c r="J32" s="12" t="inlineStr">
        <is>
          <t>-</t>
        </is>
      </c>
      <c r="K32" s="12" t="inlineStr">
        <is>
          <t>-</t>
        </is>
      </c>
      <c r="L32" s="12" t="inlineStr">
        <is>
          <t>-</t>
        </is>
      </c>
      <c r="M32" s="12" t="inlineStr">
        <is>
          <t>-</t>
        </is>
      </c>
      <c r="N32" s="12" t="n"/>
      <c r="O32" s="12" t="n"/>
      <c r="P32" s="12" t="n"/>
      <c r="Q32" s="25" t="n"/>
    </row>
    <row r="33">
      <c r="A33" s="12" t="inlineStr">
        <is>
          <t>SCR-DM-03</t>
        </is>
      </c>
      <c r="B33" s="12" t="inlineStr">
        <is>
          <t>Code Maps and the versions of a code map</t>
        </is>
      </c>
      <c r="C33" s="12" t="inlineStr">
        <is>
          <t>2</t>
        </is>
      </c>
      <c r="D33" s="12" t="inlineStr">
        <is>
          <t>Code Maps tab</t>
        </is>
      </c>
      <c r="E33" s="12" t="inlineStr">
        <is>
          <t>Code map</t>
        </is>
      </c>
      <c r="F33" s="12" t="inlineStr">
        <is>
          <t>Column</t>
        </is>
      </c>
      <c r="G33" s="12" t="inlineStr">
        <is>
          <t>Set code with its name under it</t>
        </is>
      </c>
      <c r="H33" s="12" t="inlineStr">
        <is>
          <t>-</t>
        </is>
      </c>
      <c r="I33" s="12" t="inlineStr">
        <is>
          <t>Code map sets</t>
        </is>
      </c>
      <c r="J33" s="12" t="inlineStr">
        <is>
          <t>-</t>
        </is>
      </c>
      <c r="K33" s="12" t="inlineStr">
        <is>
          <t>-</t>
        </is>
      </c>
      <c r="L33" s="12" t="inlineStr">
        <is>
          <t>-</t>
        </is>
      </c>
      <c r="M33" s="12" t="inlineStr">
        <is>
          <t>-</t>
        </is>
      </c>
      <c r="N33" s="12" t="n"/>
      <c r="O33" s="12" t="n"/>
      <c r="P33" s="12" t="n"/>
      <c r="Q33" s="25" t="n"/>
    </row>
    <row r="34">
      <c r="A34" s="12" t="inlineStr">
        <is>
          <t>SCR-DM-03</t>
        </is>
      </c>
      <c r="B34" s="12" t="inlineStr">
        <is>
          <t>Code Maps and the versions of a code map</t>
        </is>
      </c>
      <c r="C34" s="12" t="inlineStr">
        <is>
          <t>3</t>
        </is>
      </c>
      <c r="D34" s="12" t="inlineStr">
        <is>
          <t>Code Maps tab</t>
        </is>
      </c>
      <c r="E34" s="12" t="inlineStr">
        <is>
          <t>BIBS values</t>
        </is>
      </c>
      <c r="F34" s="12" t="inlineStr">
        <is>
          <t>Column</t>
        </is>
      </c>
      <c r="G34" s="12" t="inlineStr">
        <is>
          <t>What the codes map to</t>
        </is>
      </c>
      <c r="H34" s="12" t="inlineStr">
        <is>
          <t>-</t>
        </is>
      </c>
      <c r="I34" s="12" t="inlineStr">
        <is>
          <t>Code map sets</t>
        </is>
      </c>
      <c r="J34" s="12" t="inlineStr">
        <is>
          <t>-</t>
        </is>
      </c>
      <c r="K34" s="12" t="inlineStr">
        <is>
          <t>-</t>
        </is>
      </c>
      <c r="L34" s="12" t="inlineStr">
        <is>
          <t>-</t>
        </is>
      </c>
      <c r="M34" s="12" t="inlineStr">
        <is>
          <t>-</t>
        </is>
      </c>
      <c r="N34" s="12" t="n"/>
      <c r="O34" s="12" t="n"/>
      <c r="P34" s="12" t="n"/>
      <c r="Q34" s="25" t="n"/>
    </row>
    <row r="35">
      <c r="A35" s="12" t="inlineStr">
        <is>
          <t>SCR-DM-03</t>
        </is>
      </c>
      <c r="B35" s="12" t="inlineStr">
        <is>
          <t>Code Maps and the versions of a code map</t>
        </is>
      </c>
      <c r="C35" s="12" t="inlineStr">
        <is>
          <t>4</t>
        </is>
      </c>
      <c r="D35" s="12" t="inlineStr">
        <is>
          <t>Code Maps tab</t>
        </is>
      </c>
      <c r="E35" s="12" t="inlineStr">
        <is>
          <t>Used by</t>
        </is>
      </c>
      <c r="F35" s="12" t="inlineStr">
        <is>
          <t>Column</t>
        </is>
      </c>
      <c r="G35" s="12" t="inlineStr">
        <is>
          <t>Layouts whose columns use the map</t>
        </is>
      </c>
      <c r="H35" s="12" t="inlineStr">
        <is>
          <t>-</t>
        </is>
      </c>
      <c r="I35" s="12" t="inlineStr">
        <is>
          <t>Code map sets</t>
        </is>
      </c>
      <c r="J35" s="12" t="inlineStr">
        <is>
          <t>-</t>
        </is>
      </c>
      <c r="K35" s="12" t="inlineStr">
        <is>
          <t>-</t>
        </is>
      </c>
      <c r="L35" s="12" t="inlineStr">
        <is>
          <t>-</t>
        </is>
      </c>
      <c r="M35" s="12" t="inlineStr">
        <is>
          <t>-</t>
        </is>
      </c>
      <c r="N35" s="12" t="n"/>
      <c r="O35" s="12" t="n"/>
      <c r="P35" s="12" t="n"/>
      <c r="Q35" s="25" t="n"/>
    </row>
    <row r="36">
      <c r="A36" s="12" t="inlineStr">
        <is>
          <t>SCR-DM-03</t>
        </is>
      </c>
      <c r="B36" s="12" t="inlineStr">
        <is>
          <t>Code Maps and the versions of a code map</t>
        </is>
      </c>
      <c r="C36" s="12" t="inlineStr">
        <is>
          <t>5</t>
        </is>
      </c>
      <c r="D36" s="12" t="inlineStr">
        <is>
          <t>Code Maps tab</t>
        </is>
      </c>
      <c r="E36" s="12" t="inlineStr">
        <is>
          <t>Approved version</t>
        </is>
      </c>
      <c r="F36" s="12" t="inlineStr">
        <is>
          <t>Column</t>
        </is>
      </c>
      <c r="G36" s="12" t="inlineStr">
        <is>
          <t>vN, or None in red</t>
        </is>
      </c>
      <c r="H36" s="12" t="inlineStr">
        <is>
          <t>-</t>
        </is>
      </c>
      <c r="I36" s="12" t="inlineStr">
        <is>
          <t>Versions</t>
        </is>
      </c>
      <c r="J36" s="12" t="inlineStr">
        <is>
          <t>-</t>
        </is>
      </c>
      <c r="K36" s="12" t="inlineStr">
        <is>
          <t>-</t>
        </is>
      </c>
      <c r="L36" s="12" t="inlineStr">
        <is>
          <t>-</t>
        </is>
      </c>
      <c r="M36" s="12" t="inlineStr">
        <is>
          <t>-</t>
        </is>
      </c>
      <c r="N36" s="12" t="n"/>
      <c r="O36" s="12" t="n"/>
      <c r="P36" s="12" t="n"/>
      <c r="Q36" s="25" t="n"/>
    </row>
    <row r="37">
      <c r="A37" s="12" t="inlineStr">
        <is>
          <t>SCR-DM-03</t>
        </is>
      </c>
      <c r="B37" s="12" t="inlineStr">
        <is>
          <t>Code Maps and the versions of a code map</t>
        </is>
      </c>
      <c r="C37" s="12" t="inlineStr">
        <is>
          <t>6</t>
        </is>
      </c>
      <c r="D37" s="12" t="inlineStr">
        <is>
          <t>Code Maps tab</t>
        </is>
      </c>
      <c r="E37" s="12" t="inlineStr">
        <is>
          <t>Open version</t>
        </is>
      </c>
      <c r="F37" s="12" t="inlineStr">
        <is>
          <t>Pill</t>
        </is>
      </c>
      <c r="G37" s="12" t="inlineStr">
        <is>
          <t>Draft or Submitted</t>
        </is>
      </c>
      <c r="H37" s="12" t="inlineStr">
        <is>
          <t>-</t>
        </is>
      </c>
      <c r="I37" s="12" t="inlineStr">
        <is>
          <t>Versions</t>
        </is>
      </c>
      <c r="J37" s="12" t="inlineStr">
        <is>
          <t>-</t>
        </is>
      </c>
      <c r="K37" s="12" t="inlineStr">
        <is>
          <t>-</t>
        </is>
      </c>
      <c r="L37" s="12" t="inlineStr">
        <is>
          <t>-</t>
        </is>
      </c>
      <c r="M37" s="12" t="inlineStr">
        <is>
          <t>-</t>
        </is>
      </c>
      <c r="N37" s="12" t="n"/>
      <c r="O37" s="12" t="n"/>
      <c r="P37" s="12" t="n"/>
      <c r="Q37" s="25" t="n"/>
    </row>
    <row r="38">
      <c r="A38" s="12" t="inlineStr">
        <is>
          <t>SCR-DM-03</t>
        </is>
      </c>
      <c r="B38" s="12" t="inlineStr">
        <is>
          <t>Code Maps and the versions of a code map</t>
        </is>
      </c>
      <c r="C38" s="12" t="inlineStr">
        <is>
          <t>7</t>
        </is>
      </c>
      <c r="D38" s="12" t="inlineStr">
        <is>
          <t>Versions</t>
        </is>
      </c>
      <c r="E38" s="12" t="inlineStr">
        <is>
          <t>Version, Comment, Prepared by, Approved by, Approved, Return reason, Status</t>
        </is>
      </c>
      <c r="F38" s="12" t="inlineStr">
        <is>
          <t>Columns</t>
        </is>
      </c>
      <c r="G38" s="12" t="inlineStr">
        <is>
          <t>Draft, Submitted, Approved, Superseded</t>
        </is>
      </c>
      <c r="H38" s="12" t="inlineStr">
        <is>
          <t>-</t>
        </is>
      </c>
      <c r="I38" s="12" t="inlineStr">
        <is>
          <t>Versions of the map</t>
        </is>
      </c>
      <c r="J38" s="12" t="inlineStr">
        <is>
          <t>-</t>
        </is>
      </c>
      <c r="K38" s="12" t="inlineStr">
        <is>
          <t>-</t>
        </is>
      </c>
      <c r="L38" s="12" t="inlineStr">
        <is>
          <t>-</t>
        </is>
      </c>
      <c r="M38" s="12" t="inlineStr">
        <is>
          <t>-</t>
        </is>
      </c>
      <c r="N38" s="12" t="n"/>
      <c r="O38" s="12" t="n"/>
      <c r="P38" s="12" t="n"/>
      <c r="Q38" s="25" t="n"/>
    </row>
    <row r="39">
      <c r="A39" s="12" t="inlineStr">
        <is>
          <t>SCR-DM-03</t>
        </is>
      </c>
      <c r="B39" s="12" t="inlineStr">
        <is>
          <t>Code Maps and the versions of a code map</t>
        </is>
      </c>
      <c r="C39" s="12" t="inlineStr">
        <is>
          <t>8</t>
        </is>
      </c>
      <c r="D39" s="12" t="inlineStr">
        <is>
          <t>Entries</t>
        </is>
      </c>
      <c r="E39" s="12" t="inlineStr">
        <is>
          <t>Source, Legacy code, Legacy description, Condition, Action, BIBS value, Remarks</t>
        </is>
      </c>
      <c r="F39" s="12" t="inlineStr">
        <is>
          <t>Columns</t>
        </is>
      </c>
      <c r="G39" s="12" t="inlineStr">
        <is>
          <t>-</t>
        </is>
      </c>
      <c r="H39" s="12" t="inlineStr">
        <is>
          <t>-</t>
        </is>
      </c>
      <c r="I39" s="12" t="inlineStr">
        <is>
          <t>Entries of the version</t>
        </is>
      </c>
      <c r="J39" s="12" t="inlineStr">
        <is>
          <t>-</t>
        </is>
      </c>
      <c r="K39" s="12" t="inlineStr">
        <is>
          <t>-</t>
        </is>
      </c>
      <c r="L39" s="12" t="inlineStr">
        <is>
          <t>-</t>
        </is>
      </c>
      <c r="M39" s="12" t="inlineStr">
        <is>
          <t>-</t>
        </is>
      </c>
      <c r="N39" s="12" t="n"/>
      <c r="O39" s="12" t="n"/>
      <c r="P39" s="12" t="n"/>
      <c r="Q39" s="25" t="n"/>
    </row>
    <row r="40">
      <c r="A40" s="12" t="inlineStr">
        <is>
          <t>SCR-DM-03</t>
        </is>
      </c>
      <c r="B40" s="12" t="inlineStr">
        <is>
          <t>Code Maps and the versions of a code map</t>
        </is>
      </c>
      <c r="C40" s="12" t="inlineStr">
        <is>
          <t>9</t>
        </is>
      </c>
      <c r="D40" s="12" t="inlineStr">
        <is>
          <t>Add Entry</t>
        </is>
      </c>
      <c r="E40" s="12" t="inlineStr">
        <is>
          <t>Source</t>
        </is>
      </c>
      <c r="F40" s="12" t="inlineStr">
        <is>
          <t>Drop-down</t>
        </is>
      </c>
      <c r="G40" s="12" t="inlineStr">
        <is>
          <t>EBIX, QPS, ISYS, EXCEL, CMS</t>
        </is>
      </c>
      <c r="H40" s="12" t="inlineStr">
        <is>
          <t>Y</t>
        </is>
      </c>
      <c r="I40" s="12" t="inlineStr">
        <is>
          <t>Source systems</t>
        </is>
      </c>
      <c r="J40" s="12" t="inlineStr">
        <is>
          <t>QPS</t>
        </is>
      </c>
      <c r="K40" s="12" t="inlineStr">
        <is>
          <t>Draft</t>
        </is>
      </c>
      <c r="L40" s="12" t="inlineStr">
        <is>
          <t>-</t>
        </is>
      </c>
      <c r="M40" s="12" t="inlineStr">
        <is>
          <t>-</t>
        </is>
      </c>
      <c r="N40" s="12" t="n"/>
      <c r="O40" s="12" t="n"/>
      <c r="P40" s="12" t="n"/>
      <c r="Q40" s="25" t="n"/>
    </row>
    <row r="41">
      <c r="A41" s="12" t="inlineStr">
        <is>
          <t>SCR-DM-03</t>
        </is>
      </c>
      <c r="B41" s="12" t="inlineStr">
        <is>
          <t>Code Maps and the versions of a code map</t>
        </is>
      </c>
      <c r="C41" s="12" t="inlineStr">
        <is>
          <t>10</t>
        </is>
      </c>
      <c r="D41" s="12" t="inlineStr">
        <is>
          <t>Add Entry</t>
        </is>
      </c>
      <c r="E41" s="12" t="inlineStr">
        <is>
          <t>Legacy code</t>
        </is>
      </c>
      <c r="F41" s="12" t="inlineStr">
        <is>
          <t>Text</t>
        </is>
      </c>
      <c r="G41" s="12" t="inlineStr">
        <is>
          <t>Up to 80 characters</t>
        </is>
      </c>
      <c r="H41" s="12" t="inlineStr">
        <is>
          <t>Y</t>
        </is>
      </c>
      <c r="I41" s="12" t="inlineStr">
        <is>
          <t>-</t>
        </is>
      </c>
      <c r="J41" s="12" t="inlineStr">
        <is>
          <t>-</t>
        </is>
      </c>
      <c r="K41" s="12" t="inlineStr">
        <is>
          <t>Draft</t>
        </is>
      </c>
      <c r="L41" s="12" t="inlineStr">
        <is>
          <t>Unique per source and condition in the version</t>
        </is>
      </c>
      <c r="M41" s="12" t="inlineStr">
        <is>
          <t>Legacy code &lt;legacy code&gt; of &lt;source system&gt; is mapped twice</t>
        </is>
      </c>
      <c r="N41" s="12" t="n"/>
      <c r="O41" s="12" t="n"/>
      <c r="P41" s="12" t="n"/>
      <c r="Q41" s="25" t="n"/>
    </row>
    <row r="42">
      <c r="A42" s="12" t="inlineStr">
        <is>
          <t>SCR-DM-03</t>
        </is>
      </c>
      <c r="B42" s="12" t="inlineStr">
        <is>
          <t>Code Maps and the versions of a code map</t>
        </is>
      </c>
      <c r="C42" s="12" t="inlineStr">
        <is>
          <t>11</t>
        </is>
      </c>
      <c r="D42" s="12" t="inlineStr">
        <is>
          <t>Add Entry</t>
        </is>
      </c>
      <c r="E42" s="12" t="inlineStr">
        <is>
          <t>Legacy description</t>
        </is>
      </c>
      <c r="F42" s="12" t="inlineStr">
        <is>
          <t>Text</t>
        </is>
      </c>
      <c r="G42" s="12" t="inlineStr">
        <is>
          <t>Up to 250 characters</t>
        </is>
      </c>
      <c r="H42" s="12" t="inlineStr">
        <is>
          <t>N</t>
        </is>
      </c>
      <c r="I42" s="12" t="inlineStr">
        <is>
          <t>-</t>
        </is>
      </c>
      <c r="J42" s="12" t="inlineStr">
        <is>
          <t>-</t>
        </is>
      </c>
      <c r="K42" s="12" t="inlineStr">
        <is>
          <t>Draft</t>
        </is>
      </c>
      <c r="L42" s="12" t="inlineStr">
        <is>
          <t>-</t>
        </is>
      </c>
      <c r="M42" s="12" t="inlineStr">
        <is>
          <t>-</t>
        </is>
      </c>
      <c r="N42" s="12" t="n"/>
      <c r="O42" s="12" t="n"/>
      <c r="P42" s="12" t="n"/>
      <c r="Q42" s="25" t="n"/>
    </row>
    <row r="43">
      <c r="A43" s="12" t="inlineStr">
        <is>
          <t>SCR-DM-03</t>
        </is>
      </c>
      <c r="B43" s="12" t="inlineStr">
        <is>
          <t>Code Maps and the versions of a code map</t>
        </is>
      </c>
      <c r="C43" s="12" t="inlineStr">
        <is>
          <t>12</t>
        </is>
      </c>
      <c r="D43" s="12" t="inlineStr">
        <is>
          <t>Add Entry</t>
        </is>
      </c>
      <c r="E43" s="12" t="inlineStr">
        <is>
          <t>Action</t>
        </is>
      </c>
      <c r="F43" s="12" t="inlineStr">
        <is>
          <t>Drop-down</t>
        </is>
      </c>
      <c r="G43" s="12" t="inlineStr">
        <is>
          <t>Map to a BIBS value, Create in BIBS, Use the default value, Reject the record</t>
        </is>
      </c>
      <c r="H43" s="12" t="inlineStr">
        <is>
          <t>Y</t>
        </is>
      </c>
      <c r="I43" s="12" t="inlineStr">
        <is>
          <t>-</t>
        </is>
      </c>
      <c r="J43" s="12" t="inlineStr">
        <is>
          <t>Map to a BIBS value</t>
        </is>
      </c>
      <c r="K43" s="12" t="inlineStr">
        <is>
          <t>Draft</t>
        </is>
      </c>
      <c r="L43" s="12" t="inlineStr">
        <is>
          <t>-</t>
        </is>
      </c>
      <c r="M43" s="12" t="inlineStr">
        <is>
          <t>Enter the source system, the legacy code and the action</t>
        </is>
      </c>
      <c r="N43" s="12" t="n"/>
      <c r="O43" s="12" t="n"/>
      <c r="P43" s="12" t="n"/>
      <c r="Q43" s="25" t="n"/>
    </row>
    <row r="44">
      <c r="A44" s="12" t="inlineStr">
        <is>
          <t>SCR-DM-03</t>
        </is>
      </c>
      <c r="B44" s="12" t="inlineStr">
        <is>
          <t>Code Maps and the versions of a code map</t>
        </is>
      </c>
      <c r="C44" s="12" t="inlineStr">
        <is>
          <t>13</t>
        </is>
      </c>
      <c r="D44" s="12" t="inlineStr">
        <is>
          <t>Add Entry</t>
        </is>
      </c>
      <c r="E44" s="12" t="inlineStr">
        <is>
          <t>BIBS value</t>
        </is>
      </c>
      <c r="F44" s="12" t="inlineStr">
        <is>
          <t>Text</t>
        </is>
      </c>
      <c r="G44" s="12" t="inlineStr">
        <is>
          <t>A value of the BIBS master</t>
        </is>
      </c>
      <c r="H44" s="12" t="inlineStr">
        <is>
          <t>C</t>
        </is>
      </c>
      <c r="I44" s="12" t="inlineStr">
        <is>
          <t>The master of the map</t>
        </is>
      </c>
      <c r="J44" s="12" t="inlineStr">
        <is>
          <t>-</t>
        </is>
      </c>
      <c r="K44" s="12" t="inlineStr">
        <is>
          <t>Draft</t>
        </is>
      </c>
      <c r="L44" s="12" t="inlineStr">
        <is>
          <t>Mandatory for Map; the value exists in BIBS</t>
        </is>
      </c>
      <c r="M44" s="12" t="inlineStr">
        <is>
          <t>Enter the target code of legacy code &lt;legacy code&gt;</t>
        </is>
      </c>
      <c r="N44" s="12" t="n"/>
      <c r="O44" s="12" t="n"/>
      <c r="P44" s="12" t="n"/>
      <c r="Q44" s="25" t="n"/>
    </row>
    <row r="45">
      <c r="A45" s="12" t="inlineStr">
        <is>
          <t>SCR-DM-03</t>
        </is>
      </c>
      <c r="B45" s="12" t="inlineStr">
        <is>
          <t>Code Maps and the versions of a code map</t>
        </is>
      </c>
      <c r="C45" s="12" t="inlineStr">
        <is>
          <t>14</t>
        </is>
      </c>
      <c r="D45" s="12" t="inlineStr">
        <is>
          <t>Add Entry</t>
        </is>
      </c>
      <c r="E45" s="12" t="inlineStr">
        <is>
          <t>Condition column, Condition value</t>
        </is>
      </c>
      <c r="F45" s="12" t="inlineStr">
        <is>
          <t>Text</t>
        </is>
      </c>
      <c r="G45" s="12" t="inlineStr">
        <is>
          <t>Column and value of a conditional entry, for example insurer_code</t>
        </is>
      </c>
      <c r="H45" s="12" t="inlineStr">
        <is>
          <t>N</t>
        </is>
      </c>
      <c r="I45" s="12" t="inlineStr">
        <is>
          <t>Layout columns</t>
        </is>
      </c>
      <c r="J45" s="12" t="inlineStr">
        <is>
          <t>-</t>
        </is>
      </c>
      <c r="K45" s="12" t="inlineStr">
        <is>
          <t>Draft</t>
        </is>
      </c>
      <c r="L45" s="12" t="inlineStr">
        <is>
          <t>-</t>
        </is>
      </c>
      <c r="M45" s="12" t="inlineStr">
        <is>
          <t>-</t>
        </is>
      </c>
      <c r="N45" s="12" t="n"/>
      <c r="O45" s="12" t="n"/>
      <c r="P45" s="12" t="n"/>
      <c r="Q45" s="25" t="n"/>
    </row>
    <row r="46">
      <c r="A46" s="12" t="inlineStr">
        <is>
          <t>SCR-DM-03</t>
        </is>
      </c>
      <c r="B46" s="12" t="inlineStr">
        <is>
          <t>Code Maps and the versions of a code map</t>
        </is>
      </c>
      <c r="C46" s="12" t="inlineStr">
        <is>
          <t>15</t>
        </is>
      </c>
      <c r="D46" s="12" t="inlineStr">
        <is>
          <t>Add Entry</t>
        </is>
      </c>
      <c r="E46" s="12" t="inlineStr">
        <is>
          <t>Remarks</t>
        </is>
      </c>
      <c r="F46" s="12" t="inlineStr">
        <is>
          <t>Text</t>
        </is>
      </c>
      <c r="G46" s="12" t="inlineStr">
        <is>
          <t>Up to 300 characters</t>
        </is>
      </c>
      <c r="H46" s="12" t="inlineStr">
        <is>
          <t>N</t>
        </is>
      </c>
      <c r="I46" s="12" t="inlineStr">
        <is>
          <t>-</t>
        </is>
      </c>
      <c r="J46" s="12" t="inlineStr">
        <is>
          <t>-</t>
        </is>
      </c>
      <c r="K46" s="12" t="inlineStr">
        <is>
          <t>Draft</t>
        </is>
      </c>
      <c r="L46" s="12" t="inlineStr">
        <is>
          <t>-</t>
        </is>
      </c>
      <c r="M46" s="12" t="inlineStr">
        <is>
          <t>-</t>
        </is>
      </c>
      <c r="N46" s="12" t="n"/>
      <c r="O46" s="12" t="n"/>
      <c r="P46" s="12" t="n"/>
      <c r="Q46" s="25" t="n"/>
    </row>
    <row r="47">
      <c r="A47" s="12" t="inlineStr">
        <is>
          <t>SCR-DM-03</t>
        </is>
      </c>
      <c r="B47" s="12" t="inlineStr">
        <is>
          <t>Code Maps and the versions of a code map</t>
        </is>
      </c>
      <c r="C47" s="12" t="inlineStr">
        <is>
          <t>16</t>
        </is>
      </c>
      <c r="D47" s="12" t="inlineStr">
        <is>
          <t>Unmapped Codes tab</t>
        </is>
      </c>
      <c r="E47" s="12" t="inlineStr">
        <is>
          <t>Code map, Source, Legacy code, Rows, Example records, Blocks the load</t>
        </is>
      </c>
      <c r="F47" s="12" t="inlineStr">
        <is>
          <t>Columns</t>
        </is>
      </c>
      <c r="G47" s="12" t="inlineStr">
        <is>
          <t>Blocks the load Yes for a mandatory column</t>
        </is>
      </c>
      <c r="H47" s="12" t="inlineStr">
        <is>
          <t>-</t>
        </is>
      </c>
      <c r="I47" s="12" t="inlineStr">
        <is>
          <t>Validation issues of the batches</t>
        </is>
      </c>
      <c r="J47" s="12" t="inlineStr">
        <is>
          <t>-</t>
        </is>
      </c>
      <c r="K47" s="12" t="inlineStr">
        <is>
          <t>-</t>
        </is>
      </c>
      <c r="L47" s="12" t="inlineStr">
        <is>
          <t>-</t>
        </is>
      </c>
      <c r="M47" s="12" t="inlineStr">
        <is>
          <t>-</t>
        </is>
      </c>
      <c r="N47" s="12" t="n"/>
      <c r="O47" s="12" t="n"/>
      <c r="P47" s="12" t="n"/>
      <c r="Q47" s="25" t="n"/>
    </row>
    <row r="48">
      <c r="A48" s="12" t="inlineStr">
        <is>
          <t>SCR-DM-04</t>
        </is>
      </c>
      <c r="B48" s="12" t="inlineStr">
        <is>
          <t>Layouts and Rules</t>
        </is>
      </c>
      <c r="C48" s="12" t="inlineStr">
        <is>
          <t>1</t>
        </is>
      </c>
      <c r="D48" s="12" t="inlineStr">
        <is>
          <t>Layouts tab</t>
        </is>
      </c>
      <c r="E48" s="12" t="inlineStr">
        <is>
          <t>Layout</t>
        </is>
      </c>
      <c r="F48" s="12" t="inlineStr">
        <is>
          <t>Column</t>
        </is>
      </c>
      <c r="G48" s="12" t="inlineStr">
        <is>
          <t>Code and version, title under it</t>
        </is>
      </c>
      <c r="H48" s="12" t="inlineStr">
        <is>
          <t>-</t>
        </is>
      </c>
      <c r="I48" s="12" t="inlineStr">
        <is>
          <t>Layouts in force</t>
        </is>
      </c>
      <c r="J48" s="12" t="inlineStr">
        <is>
          <t>-</t>
        </is>
      </c>
      <c r="K48" s="12" t="inlineStr">
        <is>
          <t>-</t>
        </is>
      </c>
      <c r="L48" s="12" t="inlineStr">
        <is>
          <t>-</t>
        </is>
      </c>
      <c r="M48" s="12" t="inlineStr">
        <is>
          <t>-</t>
        </is>
      </c>
      <c r="N48" s="12" t="n"/>
      <c r="O48" s="12" t="n"/>
      <c r="P48" s="12" t="n"/>
      <c r="Q48" s="25" t="n"/>
    </row>
    <row r="49">
      <c r="A49" s="12" t="inlineStr">
        <is>
          <t>SCR-DM-04</t>
        </is>
      </c>
      <c r="B49" s="12" t="inlineStr">
        <is>
          <t>Layouts and Rules</t>
        </is>
      </c>
      <c r="C49" s="12" t="inlineStr">
        <is>
          <t>2</t>
        </is>
      </c>
      <c r="D49" s="12" t="inlineStr">
        <is>
          <t>Layouts tab</t>
        </is>
      </c>
      <c r="E49" s="12" t="inlineStr">
        <is>
          <t>Object</t>
        </is>
      </c>
      <c r="F49" s="12" t="inlineStr">
        <is>
          <t>Column</t>
        </is>
      </c>
      <c r="G49" s="12" t="inlineStr">
        <is>
          <t>Object code</t>
        </is>
      </c>
      <c r="H49" s="12" t="inlineStr">
        <is>
          <t>-</t>
        </is>
      </c>
      <c r="I49" s="12" t="inlineStr">
        <is>
          <t>Layout</t>
        </is>
      </c>
      <c r="J49" s="12" t="inlineStr">
        <is>
          <t>-</t>
        </is>
      </c>
      <c r="K49" s="12" t="inlineStr">
        <is>
          <t>-</t>
        </is>
      </c>
      <c r="L49" s="12" t="inlineStr">
        <is>
          <t>-</t>
        </is>
      </c>
      <c r="M49" s="12" t="inlineStr">
        <is>
          <t>-</t>
        </is>
      </c>
      <c r="N49" s="12" t="n"/>
      <c r="O49" s="12" t="n"/>
      <c r="P49" s="12" t="n"/>
      <c r="Q49" s="25" t="n"/>
    </row>
    <row r="50">
      <c r="A50" s="12" t="inlineStr">
        <is>
          <t>SCR-DM-04</t>
        </is>
      </c>
      <c r="B50" s="12" t="inlineStr">
        <is>
          <t>Layouts and Rules</t>
        </is>
      </c>
      <c r="C50" s="12" t="inlineStr">
        <is>
          <t>3</t>
        </is>
      </c>
      <c r="D50" s="12" t="inlineStr">
        <is>
          <t>Layouts tab</t>
        </is>
      </c>
      <c r="E50" s="12" t="inlineStr">
        <is>
          <t>Key columns</t>
        </is>
      </c>
      <c r="F50" s="12" t="inlineStr">
        <is>
          <t>Column</t>
        </is>
      </c>
      <c r="G50" s="12" t="inlineStr">
        <is>
          <t>Legacy key of a row</t>
        </is>
      </c>
      <c r="H50" s="12" t="inlineStr">
        <is>
          <t>-</t>
        </is>
      </c>
      <c r="I50" s="12" t="inlineStr">
        <is>
          <t>Layout</t>
        </is>
      </c>
      <c r="J50" s="12" t="inlineStr">
        <is>
          <t>-</t>
        </is>
      </c>
      <c r="K50" s="12" t="inlineStr">
        <is>
          <t>-</t>
        </is>
      </c>
      <c r="L50" s="12" t="inlineStr">
        <is>
          <t>-</t>
        </is>
      </c>
      <c r="M50" s="12" t="inlineStr">
        <is>
          <t>-</t>
        </is>
      </c>
      <c r="N50" s="12" t="n"/>
      <c r="O50" s="12" t="n"/>
      <c r="P50" s="12" t="n"/>
      <c r="Q50" s="25" t="n"/>
    </row>
    <row r="51">
      <c r="A51" s="12" t="inlineStr">
        <is>
          <t>SCR-DM-04</t>
        </is>
      </c>
      <c r="B51" s="12" t="inlineStr">
        <is>
          <t>Layouts and Rules</t>
        </is>
      </c>
      <c r="C51" s="12" t="inlineStr">
        <is>
          <t>4</t>
        </is>
      </c>
      <c r="D51" s="12" t="inlineStr">
        <is>
          <t>Layouts tab</t>
        </is>
      </c>
      <c r="E51" s="12" t="inlineStr">
        <is>
          <t>Hash total</t>
        </is>
      </c>
      <c r="F51" s="12" t="inlineStr">
        <is>
          <t>Column</t>
        </is>
      </c>
      <c r="G51" s="12" t="inlineStr">
        <is>
          <t>Count of distinct keys, Row count, Sum of the numeric part</t>
        </is>
      </c>
      <c r="H51" s="12" t="inlineStr">
        <is>
          <t>-</t>
        </is>
      </c>
      <c r="I51" s="12" t="inlineStr">
        <is>
          <t>Layout</t>
        </is>
      </c>
      <c r="J51" s="12" t="inlineStr">
        <is>
          <t>-</t>
        </is>
      </c>
      <c r="K51" s="12" t="inlineStr">
        <is>
          <t>-</t>
        </is>
      </c>
      <c r="L51" s="12" t="inlineStr">
        <is>
          <t>-</t>
        </is>
      </c>
      <c r="M51" s="12" t="inlineStr">
        <is>
          <t>-</t>
        </is>
      </c>
      <c r="N51" s="12" t="n"/>
      <c r="O51" s="12" t="n"/>
      <c r="P51" s="12" t="n"/>
      <c r="Q51" s="25" t="n"/>
    </row>
    <row r="52">
      <c r="A52" s="12" t="inlineStr">
        <is>
          <t>SCR-DM-04</t>
        </is>
      </c>
      <c r="B52" s="12" t="inlineStr">
        <is>
          <t>Layouts and Rules</t>
        </is>
      </c>
      <c r="C52" s="12" t="inlineStr">
        <is>
          <t>5</t>
        </is>
      </c>
      <c r="D52" s="12" t="inlineStr">
        <is>
          <t>Layouts tab</t>
        </is>
      </c>
      <c r="E52" s="12" t="inlineStr">
        <is>
          <t>Frozen</t>
        </is>
      </c>
      <c r="F52" s="12" t="inlineStr">
        <is>
          <t>Column</t>
        </is>
      </c>
      <c r="G52" s="12" t="inlineStr">
        <is>
          <t>dd-MMM-yyyy HH:mm</t>
        </is>
      </c>
      <c r="H52" s="12" t="inlineStr">
        <is>
          <t>-</t>
        </is>
      </c>
      <c r="I52" s="12" t="inlineStr">
        <is>
          <t>Layout</t>
        </is>
      </c>
      <c r="J52" s="12" t="inlineStr">
        <is>
          <t>-</t>
        </is>
      </c>
      <c r="K52" s="12" t="inlineStr">
        <is>
          <t>-</t>
        </is>
      </c>
      <c r="L52" s="12" t="inlineStr">
        <is>
          <t>-</t>
        </is>
      </c>
      <c r="M52" s="12" t="inlineStr">
        <is>
          <t>-</t>
        </is>
      </c>
      <c r="N52" s="12" t="n"/>
      <c r="O52" s="12" t="n"/>
      <c r="P52" s="12" t="n"/>
      <c r="Q52" s="25" t="n"/>
    </row>
    <row r="53">
      <c r="A53" s="12" t="inlineStr">
        <is>
          <t>SCR-DM-04</t>
        </is>
      </c>
      <c r="B53" s="12" t="inlineStr">
        <is>
          <t>Layouts and Rules</t>
        </is>
      </c>
      <c r="C53" s="12" t="inlineStr">
        <is>
          <t>6</t>
        </is>
      </c>
      <c r="D53" s="12" t="inlineStr">
        <is>
          <t>Layouts tab</t>
        </is>
      </c>
      <c r="E53" s="12" t="inlineStr">
        <is>
          <t>Status</t>
        </is>
      </c>
      <c r="F53" s="12" t="inlineStr">
        <is>
          <t>Pill</t>
        </is>
      </c>
      <c r="G53" s="12" t="inlineStr">
        <is>
          <t>Draft, Frozen, Retired</t>
        </is>
      </c>
      <c r="H53" s="12" t="inlineStr">
        <is>
          <t>-</t>
        </is>
      </c>
      <c r="I53" s="12" t="inlineStr">
        <is>
          <t>Layout</t>
        </is>
      </c>
      <c r="J53" s="12" t="inlineStr">
        <is>
          <t>-</t>
        </is>
      </c>
      <c r="K53" s="12" t="inlineStr">
        <is>
          <t>-</t>
        </is>
      </c>
      <c r="L53" s="12" t="inlineStr">
        <is>
          <t>-</t>
        </is>
      </c>
      <c r="M53" s="12" t="inlineStr">
        <is>
          <t>-</t>
        </is>
      </c>
      <c r="N53" s="12" t="n"/>
      <c r="O53" s="12" t="n"/>
      <c r="P53" s="12" t="n"/>
      <c r="Q53" s="25" t="n"/>
    </row>
    <row r="54">
      <c r="A54" s="12" t="inlineStr">
        <is>
          <t>SCR-DM-04</t>
        </is>
      </c>
      <c r="B54" s="12" t="inlineStr">
        <is>
          <t>Layouts and Rules</t>
        </is>
      </c>
      <c r="C54" s="12" t="inlineStr">
        <is>
          <t>7</t>
        </is>
      </c>
      <c r="D54" s="12" t="inlineStr">
        <is>
          <t>Columns</t>
        </is>
      </c>
      <c r="E54" s="12" t="inlineStr">
        <is>
          <t>#, Column, Type, Mandatory, Code map, Format, Example, Validation</t>
        </is>
      </c>
      <c r="F54" s="12" t="inlineStr">
        <is>
          <t>Columns</t>
        </is>
      </c>
      <c r="G54" s="12" t="inlineStr">
        <is>
          <t>Type with its length; description under the column name</t>
        </is>
      </c>
      <c r="H54" s="12" t="inlineStr">
        <is>
          <t>-</t>
        </is>
      </c>
      <c r="I54" s="12" t="inlineStr">
        <is>
          <t>Columns of the layout</t>
        </is>
      </c>
      <c r="J54" s="12" t="inlineStr">
        <is>
          <t>-</t>
        </is>
      </c>
      <c r="K54" s="12" t="inlineStr">
        <is>
          <t>-</t>
        </is>
      </c>
      <c r="L54" s="12" t="inlineStr">
        <is>
          <t>-</t>
        </is>
      </c>
      <c r="M54" s="12" t="inlineStr">
        <is>
          <t>-</t>
        </is>
      </c>
      <c r="N54" s="12" t="n"/>
      <c r="O54" s="12" t="n"/>
      <c r="P54" s="12" t="n"/>
      <c r="Q54" s="25" t="n"/>
    </row>
    <row r="55">
      <c r="A55" s="12" t="inlineStr">
        <is>
          <t>SCR-DM-04</t>
        </is>
      </c>
      <c r="B55" s="12" t="inlineStr">
        <is>
          <t>Layouts and Rules</t>
        </is>
      </c>
      <c r="C55" s="12" t="inlineStr">
        <is>
          <t>8</t>
        </is>
      </c>
      <c r="D55" s="12" t="inlineStr">
        <is>
          <t>Data-Quality Rules tab</t>
        </is>
      </c>
      <c r="E55" s="12" t="inlineStr">
        <is>
          <t>Rule, Layouts, Columns, Check, Severity, Fixed by, Active</t>
        </is>
      </c>
      <c r="F55" s="12" t="inlineStr">
        <is>
          <t>Columns</t>
        </is>
      </c>
      <c r="G55" s="12" t="inlineStr">
        <is>
          <t>Severity Error or Warning; the message under the check</t>
        </is>
      </c>
      <c r="H55" s="12" t="inlineStr">
        <is>
          <t>-</t>
        </is>
      </c>
      <c r="I55" s="12" t="inlineStr">
        <is>
          <t>Rule catalogue</t>
        </is>
      </c>
      <c r="J55" s="12" t="inlineStr">
        <is>
          <t>-</t>
        </is>
      </c>
      <c r="K55" s="12" t="inlineStr">
        <is>
          <t>-</t>
        </is>
      </c>
      <c r="L55" s="12" t="inlineStr">
        <is>
          <t>-</t>
        </is>
      </c>
      <c r="M55" s="12" t="inlineStr">
        <is>
          <t>-</t>
        </is>
      </c>
      <c r="N55" s="12" t="n"/>
      <c r="O55" s="12" t="n"/>
      <c r="P55" s="12" t="n"/>
      <c r="Q55" s="25" t="n"/>
    </row>
    <row r="56">
      <c r="A56" s="12" t="inlineStr">
        <is>
          <t>SCR-DM-04</t>
        </is>
      </c>
      <c r="B56" s="12" t="inlineStr">
        <is>
          <t>Layouts and Rules</t>
        </is>
      </c>
      <c r="C56" s="12" t="inlineStr">
        <is>
          <t>9</t>
        </is>
      </c>
      <c r="D56" s="12" t="inlineStr">
        <is>
          <t>Masking Rules tab</t>
        </is>
      </c>
      <c r="E56" s="12" t="inlineStr">
        <is>
          <t>Layout, Column, Masking, Active</t>
        </is>
      </c>
      <c r="F56" s="12" t="inlineStr">
        <is>
          <t>Columns</t>
        </is>
      </c>
      <c r="G56" s="12" t="inlineStr">
        <is>
          <t>-</t>
        </is>
      </c>
      <c r="H56" s="12" t="inlineStr">
        <is>
          <t>-</t>
        </is>
      </c>
      <c r="I56" s="12" t="inlineStr">
        <is>
          <t>Masking rules</t>
        </is>
      </c>
      <c r="J56" s="12" t="inlineStr">
        <is>
          <t>-</t>
        </is>
      </c>
      <c r="K56" s="12" t="inlineStr">
        <is>
          <t>-</t>
        </is>
      </c>
      <c r="L56" s="12" t="inlineStr">
        <is>
          <t>-</t>
        </is>
      </c>
      <c r="M56" s="12" t="inlineStr">
        <is>
          <t>-</t>
        </is>
      </c>
      <c r="N56" s="12" t="n"/>
      <c r="O56" s="12" t="n"/>
      <c r="P56" s="12" t="n"/>
      <c r="Q56" s="25" t="n"/>
    </row>
    <row r="57">
      <c r="A57" s="12" t="inlineStr">
        <is>
          <t>SCR-DM-05</t>
        </is>
      </c>
      <c r="B57" s="12" t="inlineStr">
        <is>
          <t>Extracts</t>
        </is>
      </c>
      <c r="C57" s="12" t="inlineStr">
        <is>
          <t>1</t>
        </is>
      </c>
      <c r="D57" s="12" t="inlineStr">
        <is>
          <t>Upload an extract</t>
        </is>
      </c>
      <c r="E57" s="12" t="inlineStr">
        <is>
          <t>Data file</t>
        </is>
      </c>
      <c r="F57" s="12" t="inlineStr">
        <is>
          <t>File</t>
        </is>
      </c>
      <c r="G57" s="12" t="inlineStr">
        <is>
          <t>LAYOUT_SOURCE_yyyyMMdd_nn.csv or .xlsx</t>
        </is>
      </c>
      <c r="H57" s="12" t="inlineStr">
        <is>
          <t>Y</t>
        </is>
      </c>
      <c r="I57" s="12" t="inlineStr">
        <is>
          <t>-</t>
        </is>
      </c>
      <c r="J57" s="12" t="inlineStr">
        <is>
          <t>-</t>
        </is>
      </c>
      <c r="K57" s="12" t="inlineStr">
        <is>
          <t>-</t>
        </is>
      </c>
      <c r="L57" s="12" t="inlineStr">
        <is>
          <t>Name, layout, source system and date of the name are valid; the object is decided</t>
        </is>
      </c>
      <c r="M57" s="12" t="inlineStr">
        <is>
          <t>Name the file &lt;LAYOUT&gt;_&lt;SOURCE&gt;_&lt;yyyyMMdd&gt;_&lt;nn&gt;.csv or .xlsx, for example F01C_EBIX_20271231_01.csv</t>
        </is>
      </c>
      <c r="N57" s="12" t="n"/>
      <c r="O57" s="12" t="n"/>
      <c r="P57" s="12" t="n"/>
      <c r="Q57" s="25" t="n"/>
    </row>
    <row r="58">
      <c r="A58" s="12" t="inlineStr">
        <is>
          <t>SCR-DM-05</t>
        </is>
      </c>
      <c r="B58" s="12" t="inlineStr">
        <is>
          <t>Extracts</t>
        </is>
      </c>
      <c r="C58" s="12" t="inlineStr">
        <is>
          <t>2</t>
        </is>
      </c>
      <c r="D58" s="12" t="inlineStr">
        <is>
          <t>Upload an extract</t>
        </is>
      </c>
      <c r="E58" s="12" t="inlineStr">
        <is>
          <t>Control file</t>
        </is>
      </c>
      <c r="F58" s="12" t="inlineStr">
        <is>
          <t>File</t>
        </is>
      </c>
      <c r="G58" s="12" t="inlineStr">
        <is>
          <t>&lt;data file name&gt;.ctl.csv</t>
        </is>
      </c>
      <c r="H58" s="12" t="inlineStr">
        <is>
          <t>Y</t>
        </is>
      </c>
      <c r="I58" s="12" t="inlineStr">
        <is>
          <t>-</t>
        </is>
      </c>
      <c r="J58" s="12" t="inlineStr">
        <is>
          <t>-</t>
        </is>
      </c>
      <c r="K58" s="12" t="inlineStr">
        <is>
          <t>-</t>
        </is>
      </c>
      <c r="L58" s="12" t="inlineStr">
        <is>
          <t>Row count, hash total, amount totals and SHA-256 agree with the data file</t>
        </is>
      </c>
      <c r="M58" s="12" t="inlineStr">
        <is>
          <t>The file has &lt;n&gt; rows; the control file says &lt;m&gt;</t>
        </is>
      </c>
      <c r="N58" s="12" t="n"/>
      <c r="O58" s="12" t="n"/>
      <c r="P58" s="12" t="n"/>
      <c r="Q58" s="25" t="n"/>
    </row>
    <row r="59">
      <c r="A59" s="12" t="inlineStr">
        <is>
          <t>SCR-DM-05</t>
        </is>
      </c>
      <c r="B59" s="12" t="inlineStr">
        <is>
          <t>Extracts</t>
        </is>
      </c>
      <c r="C59" s="12" t="inlineStr">
        <is>
          <t>3</t>
        </is>
      </c>
      <c r="D59" s="12" t="inlineStr">
        <is>
          <t>Upload an extract</t>
        </is>
      </c>
      <c r="E59" s="12" t="inlineStr">
        <is>
          <t>Mode</t>
        </is>
      </c>
      <c r="F59" s="12" t="inlineStr">
        <is>
          <t>Drop-down</t>
        </is>
      </c>
      <c r="G59" s="12" t="inlineStr">
        <is>
          <t>Full extract, Delta since the previous extract</t>
        </is>
      </c>
      <c r="H59" s="12" t="inlineStr">
        <is>
          <t>Y</t>
        </is>
      </c>
      <c r="I59" s="12" t="inlineStr">
        <is>
          <t>-</t>
        </is>
      </c>
      <c r="J59" s="12" t="inlineStr">
        <is>
          <t>Full extract</t>
        </is>
      </c>
      <c r="K59" s="12" t="inlineStr">
        <is>
          <t>-</t>
        </is>
      </c>
      <c r="L59" s="12" t="inlineStr">
        <is>
          <t>A delta is later than the previous extract of the layout</t>
        </is>
      </c>
      <c r="M59" s="12" t="inlineStr">
        <is>
          <t>-</t>
        </is>
      </c>
      <c r="N59" s="12" t="n"/>
      <c r="O59" s="12" t="n"/>
      <c r="P59" s="12" t="n"/>
      <c r="Q59" s="25" t="n"/>
    </row>
    <row r="60">
      <c r="A60" s="12" t="inlineStr">
        <is>
          <t>SCR-DM-05</t>
        </is>
      </c>
      <c r="B60" s="12" t="inlineStr">
        <is>
          <t>Extracts</t>
        </is>
      </c>
      <c r="C60" s="12" t="inlineStr">
        <is>
          <t>4</t>
        </is>
      </c>
      <c r="D60" s="12" t="inlineStr">
        <is>
          <t>Filter</t>
        </is>
      </c>
      <c r="E60" s="12" t="inlineStr">
        <is>
          <t>Object</t>
        </is>
      </c>
      <c r="F60" s="12" t="inlineStr">
        <is>
          <t>Text</t>
        </is>
      </c>
      <c r="G60" s="12" t="inlineStr">
        <is>
          <t>Object code, for example C01</t>
        </is>
      </c>
      <c r="H60" s="12" t="inlineStr">
        <is>
          <t>N</t>
        </is>
      </c>
      <c r="I60" s="12" t="inlineStr">
        <is>
          <t>-</t>
        </is>
      </c>
      <c r="J60" s="12" t="inlineStr">
        <is>
          <t>All objects</t>
        </is>
      </c>
      <c r="K60" s="12" t="inlineStr">
        <is>
          <t>-</t>
        </is>
      </c>
      <c r="L60" s="12" t="inlineStr">
        <is>
          <t>-</t>
        </is>
      </c>
      <c r="M60" s="12" t="inlineStr">
        <is>
          <t>-</t>
        </is>
      </c>
      <c r="N60" s="12" t="n"/>
      <c r="O60" s="12" t="n"/>
      <c r="P60" s="12" t="n"/>
      <c r="Q60" s="25" t="n"/>
    </row>
    <row r="61">
      <c r="A61" s="12" t="inlineStr">
        <is>
          <t>SCR-DM-05</t>
        </is>
      </c>
      <c r="B61" s="12" t="inlineStr">
        <is>
          <t>Extracts</t>
        </is>
      </c>
      <c r="C61" s="12" t="inlineStr">
        <is>
          <t>5</t>
        </is>
      </c>
      <c r="D61" s="12" t="inlineStr">
        <is>
          <t>Extracts</t>
        </is>
      </c>
      <c r="E61" s="12" t="inlineStr">
        <is>
          <t>Extract</t>
        </is>
      </c>
      <c r="F61" s="12" t="inlineStr">
        <is>
          <t>Column</t>
        </is>
      </c>
      <c r="G61" s="12" t="inlineStr">
        <is>
          <t>MGX-yyyy-nnnnnn with the file name under it</t>
        </is>
      </c>
      <c r="H61" s="12" t="inlineStr">
        <is>
          <t>-</t>
        </is>
      </c>
      <c r="I61" s="12" t="inlineStr">
        <is>
          <t>Extracts</t>
        </is>
      </c>
      <c r="J61" s="12" t="inlineStr">
        <is>
          <t>-</t>
        </is>
      </c>
      <c r="K61" s="12" t="inlineStr">
        <is>
          <t>-</t>
        </is>
      </c>
      <c r="L61" s="12" t="inlineStr">
        <is>
          <t>-</t>
        </is>
      </c>
      <c r="M61" s="12" t="inlineStr">
        <is>
          <t>-</t>
        </is>
      </c>
      <c r="N61" s="12" t="n"/>
      <c r="O61" s="12" t="n"/>
      <c r="P61" s="12" t="n"/>
      <c r="Q61" s="25" t="n"/>
    </row>
    <row r="62">
      <c r="A62" s="12" t="inlineStr">
        <is>
          <t>SCR-DM-05</t>
        </is>
      </c>
      <c r="B62" s="12" t="inlineStr">
        <is>
          <t>Extracts</t>
        </is>
      </c>
      <c r="C62" s="12" t="inlineStr">
        <is>
          <t>6</t>
        </is>
      </c>
      <c r="D62" s="12" t="inlineStr">
        <is>
          <t>Extracts</t>
        </is>
      </c>
      <c r="E62" s="12" t="inlineStr">
        <is>
          <t>Layout</t>
        </is>
      </c>
      <c r="F62" s="12" t="inlineStr">
        <is>
          <t>Column</t>
        </is>
      </c>
      <c r="G62" s="12" t="inlineStr">
        <is>
          <t>Layout and version; source system and mode under it</t>
        </is>
      </c>
      <c r="H62" s="12" t="inlineStr">
        <is>
          <t>-</t>
        </is>
      </c>
      <c r="I62" s="12" t="inlineStr">
        <is>
          <t>Extracts</t>
        </is>
      </c>
      <c r="J62" s="12" t="inlineStr">
        <is>
          <t>-</t>
        </is>
      </c>
      <c r="K62" s="12" t="inlineStr">
        <is>
          <t>-</t>
        </is>
      </c>
      <c r="L62" s="12" t="inlineStr">
        <is>
          <t>-</t>
        </is>
      </c>
      <c r="M62" s="12" t="inlineStr">
        <is>
          <t>-</t>
        </is>
      </c>
      <c r="N62" s="12" t="n"/>
      <c r="O62" s="12" t="n"/>
      <c r="P62" s="12" t="n"/>
      <c r="Q62" s="25" t="n"/>
    </row>
    <row r="63">
      <c r="A63" s="12" t="inlineStr">
        <is>
          <t>SCR-DM-05</t>
        </is>
      </c>
      <c r="B63" s="12" t="inlineStr">
        <is>
          <t>Extracts</t>
        </is>
      </c>
      <c r="C63" s="12" t="inlineStr">
        <is>
          <t>7</t>
        </is>
      </c>
      <c r="D63" s="12" t="inlineStr">
        <is>
          <t>Extracts</t>
        </is>
      </c>
      <c r="E63" s="12" t="inlineStr">
        <is>
          <t>As of</t>
        </is>
      </c>
      <c r="F63" s="12" t="inlineStr">
        <is>
          <t>Column</t>
        </is>
      </c>
      <c r="G63" s="12" t="inlineStr">
        <is>
          <t>dd-MMM-yyyy HH:mm</t>
        </is>
      </c>
      <c r="H63" s="12" t="inlineStr">
        <is>
          <t>-</t>
        </is>
      </c>
      <c r="I63" s="12" t="inlineStr">
        <is>
          <t>Control file</t>
        </is>
      </c>
      <c r="J63" s="12" t="inlineStr">
        <is>
          <t>-</t>
        </is>
      </c>
      <c r="K63" s="12" t="inlineStr">
        <is>
          <t>-</t>
        </is>
      </c>
      <c r="L63" s="12" t="inlineStr">
        <is>
          <t>-</t>
        </is>
      </c>
      <c r="M63" s="12" t="inlineStr">
        <is>
          <t>-</t>
        </is>
      </c>
      <c r="N63" s="12" t="n"/>
      <c r="O63" s="12" t="n"/>
      <c r="P63" s="12" t="n"/>
      <c r="Q63" s="25" t="n"/>
    </row>
    <row r="64">
      <c r="A64" s="12" t="inlineStr">
        <is>
          <t>SCR-DM-05</t>
        </is>
      </c>
      <c r="B64" s="12" t="inlineStr">
        <is>
          <t>Extracts</t>
        </is>
      </c>
      <c r="C64" s="12" t="inlineStr">
        <is>
          <t>8</t>
        </is>
      </c>
      <c r="D64" s="12" t="inlineStr">
        <is>
          <t>Extracts</t>
        </is>
      </c>
      <c r="E64" s="12" t="inlineStr">
        <is>
          <t>Rows Received</t>
        </is>
      </c>
      <c r="F64" s="12" t="inlineStr">
        <is>
          <t>Column</t>
        </is>
      </c>
      <c r="G64" s="12" t="inlineStr">
        <is>
          <t>Number of rows read from the data file</t>
        </is>
      </c>
      <c r="H64" s="12" t="inlineStr">
        <is>
          <t>-</t>
        </is>
      </c>
      <c r="I64" s="12" t="inlineStr">
        <is>
          <t>Intake</t>
        </is>
      </c>
      <c r="J64" s="12" t="inlineStr">
        <is>
          <t>-</t>
        </is>
      </c>
      <c r="K64" s="12" t="inlineStr">
        <is>
          <t>-</t>
        </is>
      </c>
      <c r="L64" s="12" t="inlineStr">
        <is>
          <t>-</t>
        </is>
      </c>
      <c r="M64" s="12" t="inlineStr">
        <is>
          <t>-</t>
        </is>
      </c>
      <c r="N64" s="12" t="n"/>
      <c r="O64" s="12" t="n"/>
      <c r="P64" s="12" t="n"/>
      <c r="Q64" s="25" t="n"/>
    </row>
    <row r="65">
      <c r="A65" s="12" t="inlineStr">
        <is>
          <t>SCR-DM-05</t>
        </is>
      </c>
      <c r="B65" s="12" t="inlineStr">
        <is>
          <t>Extracts</t>
        </is>
      </c>
      <c r="C65" s="12" t="inlineStr">
        <is>
          <t>9</t>
        </is>
      </c>
      <c r="D65" s="12" t="inlineStr">
        <is>
          <t>Extracts</t>
        </is>
      </c>
      <c r="E65" s="12" t="inlineStr">
        <is>
          <t>Rows Staged</t>
        </is>
      </c>
      <c r="F65" s="12" t="inlineStr">
        <is>
          <t>Column</t>
        </is>
      </c>
      <c r="G65" s="12" t="inlineStr">
        <is>
          <t>Number of rows staged (0 when rejected)</t>
        </is>
      </c>
      <c r="H65" s="12" t="inlineStr">
        <is>
          <t>-</t>
        </is>
      </c>
      <c r="I65" s="12" t="inlineStr">
        <is>
          <t>Intake</t>
        </is>
      </c>
      <c r="J65" s="12" t="inlineStr">
        <is>
          <t>-</t>
        </is>
      </c>
      <c r="K65" s="12" t="inlineStr">
        <is>
          <t>-</t>
        </is>
      </c>
      <c r="L65" s="12" t="inlineStr">
        <is>
          <t>-</t>
        </is>
      </c>
      <c r="M65" s="12" t="inlineStr">
        <is>
          <t>-</t>
        </is>
      </c>
      <c r="N65" s="12" t="n"/>
      <c r="O65" s="12" t="n"/>
      <c r="P65" s="12" t="n"/>
      <c r="Q65" s="25" t="n"/>
    </row>
    <row r="66">
      <c r="A66" s="12" t="inlineStr">
        <is>
          <t>SCR-DM-05</t>
        </is>
      </c>
      <c r="B66" s="12" t="inlineStr">
        <is>
          <t>Extracts</t>
        </is>
      </c>
      <c r="C66" s="12" t="inlineStr">
        <is>
          <t>10</t>
        </is>
      </c>
      <c r="D66" s="12" t="inlineStr">
        <is>
          <t>Extracts</t>
        </is>
      </c>
      <c r="E66" s="12" t="inlineStr">
        <is>
          <t>Masked</t>
        </is>
      </c>
      <c r="F66" s="12" t="inlineStr">
        <is>
          <t>Column</t>
        </is>
      </c>
      <c r="G66" s="12" t="inlineStr">
        <is>
          <t>Yes or No</t>
        </is>
      </c>
      <c r="H66" s="12" t="inlineStr">
        <is>
          <t>-</t>
        </is>
      </c>
      <c r="I66" s="12" t="inlineStr">
        <is>
          <t>Environment</t>
        </is>
      </c>
      <c r="J66" s="12" t="inlineStr">
        <is>
          <t>-</t>
        </is>
      </c>
      <c r="K66" s="12" t="inlineStr">
        <is>
          <t>-</t>
        </is>
      </c>
      <c r="L66" s="12" t="inlineStr">
        <is>
          <t>-</t>
        </is>
      </c>
      <c r="M66" s="12" t="inlineStr">
        <is>
          <t>-</t>
        </is>
      </c>
      <c r="N66" s="12" t="n"/>
      <c r="O66" s="12" t="n"/>
      <c r="P66" s="12" t="n"/>
      <c r="Q66" s="25" t="n"/>
    </row>
    <row r="67">
      <c r="A67" s="12" t="inlineStr">
        <is>
          <t>SCR-DM-05</t>
        </is>
      </c>
      <c r="B67" s="12" t="inlineStr">
        <is>
          <t>Extracts</t>
        </is>
      </c>
      <c r="C67" s="12" t="inlineStr">
        <is>
          <t>11</t>
        </is>
      </c>
      <c r="D67" s="12" t="inlineStr">
        <is>
          <t>Extracts</t>
        </is>
      </c>
      <c r="E67" s="12" t="inlineStr">
        <is>
          <t>Received On</t>
        </is>
      </c>
      <c r="F67" s="12" t="inlineStr">
        <is>
          <t>Column</t>
        </is>
      </c>
      <c r="G67" s="12" t="inlineStr">
        <is>
          <t>Date and time, user under it</t>
        </is>
      </c>
      <c r="H67" s="12" t="inlineStr">
        <is>
          <t>-</t>
        </is>
      </c>
      <c r="I67" s="12" t="inlineStr">
        <is>
          <t>Intake</t>
        </is>
      </c>
      <c r="J67" s="12" t="inlineStr">
        <is>
          <t>-</t>
        </is>
      </c>
      <c r="K67" s="12" t="inlineStr">
        <is>
          <t>-</t>
        </is>
      </c>
      <c r="L67" s="12" t="inlineStr">
        <is>
          <t>-</t>
        </is>
      </c>
      <c r="M67" s="12" t="inlineStr">
        <is>
          <t>-</t>
        </is>
      </c>
      <c r="N67" s="12" t="n"/>
      <c r="O67" s="12" t="n"/>
      <c r="P67" s="12" t="n"/>
      <c r="Q67" s="25" t="n"/>
    </row>
    <row r="68">
      <c r="A68" s="12" t="inlineStr">
        <is>
          <t>SCR-DM-05</t>
        </is>
      </c>
      <c r="B68" s="12" t="inlineStr">
        <is>
          <t>Extracts</t>
        </is>
      </c>
      <c r="C68" s="12" t="inlineStr">
        <is>
          <t>12</t>
        </is>
      </c>
      <c r="D68" s="12" t="inlineStr">
        <is>
          <t>Extracts</t>
        </is>
      </c>
      <c r="E68" s="12" t="inlineStr">
        <is>
          <t>Rejection Reason</t>
        </is>
      </c>
      <c r="F68" s="12" t="inlineStr">
        <is>
          <t>Column</t>
        </is>
      </c>
      <c r="G68" s="12" t="inlineStr">
        <is>
          <t>Each failed check with its reason (Row count, Checksum, Columns, Amount total, Hash total)</t>
        </is>
      </c>
      <c r="H68" s="12" t="inlineStr">
        <is>
          <t>-</t>
        </is>
      </c>
      <c r="I68" s="12" t="inlineStr">
        <is>
          <t>Intake</t>
        </is>
      </c>
      <c r="J68" s="12" t="inlineStr">
        <is>
          <t>-</t>
        </is>
      </c>
      <c r="K68" s="12" t="inlineStr">
        <is>
          <t>-</t>
        </is>
      </c>
      <c r="L68" s="12" t="inlineStr">
        <is>
          <t>-</t>
        </is>
      </c>
      <c r="M68" s="12" t="inlineStr">
        <is>
          <t>-</t>
        </is>
      </c>
      <c r="N68" s="12" t="n"/>
      <c r="O68" s="12" t="n"/>
      <c r="P68" s="12" t="n"/>
      <c r="Q68" s="25" t="n"/>
    </row>
    <row r="69">
      <c r="A69" s="12" t="inlineStr">
        <is>
          <t>SCR-DM-05</t>
        </is>
      </c>
      <c r="B69" s="12" t="inlineStr">
        <is>
          <t>Extracts</t>
        </is>
      </c>
      <c r="C69" s="12" t="inlineStr">
        <is>
          <t>13</t>
        </is>
      </c>
      <c r="D69" s="12" t="inlineStr">
        <is>
          <t>Extracts</t>
        </is>
      </c>
      <c r="E69" s="12" t="inlineStr">
        <is>
          <t>Status</t>
        </is>
      </c>
      <c r="F69" s="12" t="inlineStr">
        <is>
          <t>Pill</t>
        </is>
      </c>
      <c r="G69" s="12" t="inlineStr">
        <is>
          <t>Received, Checked, Staged, Rejected, Purged</t>
        </is>
      </c>
      <c r="H69" s="12" t="inlineStr">
        <is>
          <t>-</t>
        </is>
      </c>
      <c r="I69" s="12" t="inlineStr">
        <is>
          <t>Intake</t>
        </is>
      </c>
      <c r="J69" s="12" t="inlineStr">
        <is>
          <t>-</t>
        </is>
      </c>
      <c r="K69" s="12" t="inlineStr">
        <is>
          <t>-</t>
        </is>
      </c>
      <c r="L69" s="12" t="inlineStr">
        <is>
          <t>-</t>
        </is>
      </c>
      <c r="M69" s="12" t="inlineStr">
        <is>
          <t>-</t>
        </is>
      </c>
      <c r="N69" s="12" t="n"/>
      <c r="O69" s="12" t="n"/>
      <c r="P69" s="12" t="n"/>
      <c r="Q69" s="25" t="n"/>
    </row>
    <row r="70">
      <c r="A70" s="12" t="inlineStr">
        <is>
          <t>SCR-DM-06</t>
        </is>
      </c>
      <c r="B70" s="12" t="inlineStr">
        <is>
          <t>Batches and resubmissions</t>
        </is>
      </c>
      <c r="C70" s="12" t="inlineStr">
        <is>
          <t>1</t>
        </is>
      </c>
      <c r="D70" s="12" t="inlineStr">
        <is>
          <t>Batches tab</t>
        </is>
      </c>
      <c r="E70" s="12" t="inlineStr">
        <is>
          <t>Batch</t>
        </is>
      </c>
      <c r="F70" s="12" t="inlineStr">
        <is>
          <t>Column</t>
        </is>
      </c>
      <c r="G70" s="12" t="inlineStr">
        <is>
          <t>MGB-yyyy-nnnnn; Full, Delta or Rerun of the parent batch under it</t>
        </is>
      </c>
      <c r="H70" s="12" t="inlineStr">
        <is>
          <t>-</t>
        </is>
      </c>
      <c r="I70" s="12" t="inlineStr">
        <is>
          <t>Batches</t>
        </is>
      </c>
      <c r="J70" s="12" t="inlineStr">
        <is>
          <t>-</t>
        </is>
      </c>
      <c r="K70" s="12" t="inlineStr">
        <is>
          <t>-</t>
        </is>
      </c>
      <c r="L70" s="12" t="inlineStr">
        <is>
          <t>-</t>
        </is>
      </c>
      <c r="M70" s="12" t="inlineStr">
        <is>
          <t>-</t>
        </is>
      </c>
      <c r="N70" s="12" t="n"/>
      <c r="O70" s="12" t="n"/>
      <c r="P70" s="12" t="n"/>
      <c r="Q70" s="25" t="n"/>
    </row>
    <row r="71">
      <c r="A71" s="12" t="inlineStr">
        <is>
          <t>SCR-DM-06</t>
        </is>
      </c>
      <c r="B71" s="12" t="inlineStr">
        <is>
          <t>Batches and resubmissions</t>
        </is>
      </c>
      <c r="C71" s="12" t="inlineStr">
        <is>
          <t>2</t>
        </is>
      </c>
      <c r="D71" s="12" t="inlineStr">
        <is>
          <t>Batches tab</t>
        </is>
      </c>
      <c r="E71" s="12" t="inlineStr">
        <is>
          <t>Object, Environment</t>
        </is>
      </c>
      <c r="F71" s="12" t="inlineStr">
        <is>
          <t>Column</t>
        </is>
      </c>
      <c r="G71" s="12" t="inlineStr">
        <is>
          <t>Object code; SIT, UAT, performance or production</t>
        </is>
      </c>
      <c r="H71" s="12" t="inlineStr">
        <is>
          <t>-</t>
        </is>
      </c>
      <c r="I71" s="12" t="inlineStr">
        <is>
          <t>Batch</t>
        </is>
      </c>
      <c r="J71" s="12" t="inlineStr">
        <is>
          <t>-</t>
        </is>
      </c>
      <c r="K71" s="12" t="inlineStr">
        <is>
          <t>-</t>
        </is>
      </c>
      <c r="L71" s="12" t="inlineStr">
        <is>
          <t>-</t>
        </is>
      </c>
      <c r="M71" s="12" t="inlineStr">
        <is>
          <t>-</t>
        </is>
      </c>
      <c r="N71" s="12" t="n"/>
      <c r="O71" s="12" t="n"/>
      <c r="P71" s="12" t="n"/>
      <c r="Q71" s="25" t="n"/>
    </row>
    <row r="72">
      <c r="A72" s="12" t="inlineStr">
        <is>
          <t>SCR-DM-06</t>
        </is>
      </c>
      <c r="B72" s="12" t="inlineStr">
        <is>
          <t>Batches and resubmissions</t>
        </is>
      </c>
      <c r="C72" s="12" t="inlineStr">
        <is>
          <t>3</t>
        </is>
      </c>
      <c r="D72" s="12" t="inlineStr">
        <is>
          <t>Batches tab</t>
        </is>
      </c>
      <c r="E72" s="12" t="inlineStr">
        <is>
          <t>Staged, Loaded, Rejected</t>
        </is>
      </c>
      <c r="F72" s="12" t="inlineStr">
        <is>
          <t>Column</t>
        </is>
      </c>
      <c r="G72" s="12" t="inlineStr">
        <is>
          <t>Counts</t>
        </is>
      </c>
      <c r="H72" s="12" t="inlineStr">
        <is>
          <t>-</t>
        </is>
      </c>
      <c r="I72" s="12" t="inlineStr">
        <is>
          <t>Batch</t>
        </is>
      </c>
      <c r="J72" s="12" t="inlineStr">
        <is>
          <t>-</t>
        </is>
      </c>
      <c r="K72" s="12" t="inlineStr">
        <is>
          <t>-</t>
        </is>
      </c>
      <c r="L72" s="12" t="inlineStr">
        <is>
          <t>-</t>
        </is>
      </c>
      <c r="M72" s="12" t="inlineStr">
        <is>
          <t>-</t>
        </is>
      </c>
      <c r="N72" s="12" t="n"/>
      <c r="O72" s="12" t="n"/>
      <c r="P72" s="12" t="n"/>
      <c r="Q72" s="25" t="n"/>
    </row>
    <row r="73">
      <c r="A73" s="12" t="inlineStr">
        <is>
          <t>SCR-DM-06</t>
        </is>
      </c>
      <c r="B73" s="12" t="inlineStr">
        <is>
          <t>Batches and resubmissions</t>
        </is>
      </c>
      <c r="C73" s="12" t="inlineStr">
        <is>
          <t>4</t>
        </is>
      </c>
      <c r="D73" s="12" t="inlineStr">
        <is>
          <t>Batches tab</t>
        </is>
      </c>
      <c r="E73" s="12" t="inlineStr">
        <is>
          <t>Error rate</t>
        </is>
      </c>
      <c r="F73" s="12" t="inlineStr">
        <is>
          <t>Column</t>
        </is>
      </c>
      <c r="G73" s="12" t="inlineStr">
        <is>
          <t>Percent</t>
        </is>
      </c>
      <c r="H73" s="12" t="inlineStr">
        <is>
          <t>-</t>
        </is>
      </c>
      <c r="I73" s="12" t="inlineStr">
        <is>
          <t>Validation</t>
        </is>
      </c>
      <c r="J73" s="12" t="inlineStr">
        <is>
          <t>-</t>
        </is>
      </c>
      <c r="K73" s="12" t="inlineStr">
        <is>
          <t>-</t>
        </is>
      </c>
      <c r="L73" s="12" t="inlineStr">
        <is>
          <t>-</t>
        </is>
      </c>
      <c r="M73" s="12" t="inlineStr">
        <is>
          <t>-</t>
        </is>
      </c>
      <c r="N73" s="12" t="n"/>
      <c r="O73" s="12" t="n"/>
      <c r="P73" s="12" t="n"/>
      <c r="Q73" s="25" t="n"/>
    </row>
    <row r="74">
      <c r="A74" s="12" t="inlineStr">
        <is>
          <t>SCR-DM-06</t>
        </is>
      </c>
      <c r="B74" s="12" t="inlineStr">
        <is>
          <t>Batches and resubmissions</t>
        </is>
      </c>
      <c r="C74" s="12" t="inlineStr">
        <is>
          <t>5</t>
        </is>
      </c>
      <c r="D74" s="12" t="inlineStr">
        <is>
          <t>Batches tab</t>
        </is>
      </c>
      <c r="E74" s="12" t="inlineStr">
        <is>
          <t>Planned</t>
        </is>
      </c>
      <c r="F74" s="12" t="inlineStr">
        <is>
          <t>Column</t>
        </is>
      </c>
      <c r="G74" s="12" t="inlineStr">
        <is>
          <t>Date and time; user under it</t>
        </is>
      </c>
      <c r="H74" s="12" t="inlineStr">
        <is>
          <t>-</t>
        </is>
      </c>
      <c r="I74" s="12" t="inlineStr">
        <is>
          <t>Batch</t>
        </is>
      </c>
      <c r="J74" s="12" t="inlineStr">
        <is>
          <t>-</t>
        </is>
      </c>
      <c r="K74" s="12" t="inlineStr">
        <is>
          <t>-</t>
        </is>
      </c>
      <c r="L74" s="12" t="inlineStr">
        <is>
          <t>-</t>
        </is>
      </c>
      <c r="M74" s="12" t="inlineStr">
        <is>
          <t>-</t>
        </is>
      </c>
      <c r="N74" s="12" t="n"/>
      <c r="O74" s="12" t="n"/>
      <c r="P74" s="12" t="n"/>
      <c r="Q74" s="25" t="n"/>
    </row>
    <row r="75">
      <c r="A75" s="12" t="inlineStr">
        <is>
          <t>SCR-DM-06</t>
        </is>
      </c>
      <c r="B75" s="12" t="inlineStr">
        <is>
          <t>Batches and resubmissions</t>
        </is>
      </c>
      <c r="C75" s="12" t="inlineStr">
        <is>
          <t>6</t>
        </is>
      </c>
      <c r="D75" s="12" t="inlineStr">
        <is>
          <t>Batches tab</t>
        </is>
      </c>
      <c r="E75" s="12" t="inlineStr">
        <is>
          <t>Status</t>
        </is>
      </c>
      <c r="F75" s="12" t="inlineStr">
        <is>
          <t>Pill</t>
        </is>
      </c>
      <c r="G75" s="12" t="inlineStr">
        <is>
          <t>Planned, Validated, Load approved, Loading, Loaded, Loaded with rejects, Failed, Reconciled, Accepted, Rollback requested, Rolled back</t>
        </is>
      </c>
      <c r="H75" s="12" t="inlineStr">
        <is>
          <t>-</t>
        </is>
      </c>
      <c r="I75" s="12" t="inlineStr">
        <is>
          <t>Batch</t>
        </is>
      </c>
      <c r="J75" s="12" t="inlineStr">
        <is>
          <t>-</t>
        </is>
      </c>
      <c r="K75" s="12" t="inlineStr">
        <is>
          <t>-</t>
        </is>
      </c>
      <c r="L75" s="12" t="inlineStr">
        <is>
          <t>-</t>
        </is>
      </c>
      <c r="M75" s="12" t="inlineStr">
        <is>
          <t>-</t>
        </is>
      </c>
      <c r="N75" s="12" t="n"/>
      <c r="O75" s="12" t="n"/>
      <c r="P75" s="12" t="n"/>
      <c r="Q75" s="25" t="n"/>
    </row>
    <row r="76">
      <c r="A76" s="12" t="inlineStr">
        <is>
          <t>SCR-DM-06</t>
        </is>
      </c>
      <c r="B76" s="12" t="inlineStr">
        <is>
          <t>Batches and resubmissions</t>
        </is>
      </c>
      <c r="C76" s="12" t="inlineStr">
        <is>
          <t>7</t>
        </is>
      </c>
      <c r="D76" s="12" t="inlineStr">
        <is>
          <t>Plan Batch</t>
        </is>
      </c>
      <c r="E76" s="12" t="inlineStr">
        <is>
          <t>Object</t>
        </is>
      </c>
      <c r="F76" s="12" t="inlineStr">
        <is>
          <t>Drop-down</t>
        </is>
      </c>
      <c r="G76" s="12" t="inlineStr">
        <is>
          <t>Objects decided as Migrate, Carry forward or Conditional</t>
        </is>
      </c>
      <c r="H76" s="12" t="inlineStr">
        <is>
          <t>Y</t>
        </is>
      </c>
      <c r="I76" s="12" t="inlineStr">
        <is>
          <t>Data objects</t>
        </is>
      </c>
      <c r="J76" s="12" t="inlineStr">
        <is>
          <t>-</t>
        </is>
      </c>
      <c r="K76" s="12" t="inlineStr">
        <is>
          <t>-</t>
        </is>
      </c>
      <c r="L76" s="12" t="inlineStr">
        <is>
          <t>The object has a staged extract</t>
        </is>
      </c>
      <c r="M76" s="12" t="inlineStr">
        <is>
          <t>Object &lt;code&gt; has no staged extract to load</t>
        </is>
      </c>
      <c r="N76" s="12" t="n"/>
      <c r="O76" s="12" t="n"/>
      <c r="P76" s="12" t="n"/>
      <c r="Q76" s="25" t="n"/>
    </row>
    <row r="77">
      <c r="A77" s="12" t="inlineStr">
        <is>
          <t>SCR-DM-06</t>
        </is>
      </c>
      <c r="B77" s="12" t="inlineStr">
        <is>
          <t>Batches and resubmissions</t>
        </is>
      </c>
      <c r="C77" s="12" t="inlineStr">
        <is>
          <t>8</t>
        </is>
      </c>
      <c r="D77" s="12" t="inlineStr">
        <is>
          <t>Plan Batch</t>
        </is>
      </c>
      <c r="E77" s="12" t="inlineStr">
        <is>
          <t>Extracts</t>
        </is>
      </c>
      <c r="F77" s="12" t="inlineStr">
        <is>
          <t>Text</t>
        </is>
      </c>
      <c r="G77" s="12" t="inlineStr">
        <is>
          <t>Extract numbers separated by commas; empty for the latest staged extract of each layout</t>
        </is>
      </c>
      <c r="H77" s="12" t="inlineStr">
        <is>
          <t>N</t>
        </is>
      </c>
      <c r="I77" s="12" t="inlineStr">
        <is>
          <t>Staged extracts</t>
        </is>
      </c>
      <c r="J77" s="12" t="inlineStr">
        <is>
          <t>-</t>
        </is>
      </c>
      <c r="K77" s="12" t="inlineStr">
        <is>
          <t>-</t>
        </is>
      </c>
      <c r="L77" s="12" t="inlineStr">
        <is>
          <t>Same as-of date; staged; not in another batch</t>
        </is>
      </c>
      <c r="M77" s="12" t="inlineStr">
        <is>
          <t>The extracts of a batch must have the same as-of date: &lt;days&gt;</t>
        </is>
      </c>
      <c r="N77" s="12" t="n"/>
      <c r="O77" s="12" t="n"/>
      <c r="P77" s="12" t="n"/>
      <c r="Q77" s="25" t="n"/>
    </row>
    <row r="78">
      <c r="A78" s="12" t="inlineStr">
        <is>
          <t>SCR-DM-06</t>
        </is>
      </c>
      <c r="B78" s="12" t="inlineStr">
        <is>
          <t>Batches and resubmissions</t>
        </is>
      </c>
      <c r="C78" s="12" t="inlineStr">
        <is>
          <t>9</t>
        </is>
      </c>
      <c r="D78" s="12" t="inlineStr">
        <is>
          <t>Resubmissions tab</t>
        </is>
      </c>
      <c r="E78" s="12" t="inlineStr">
        <is>
          <t>Resubmission, Object, Corrected rows, Prepared, Decided by, Note, Status</t>
        </is>
      </c>
      <c r="F78" s="12" t="inlineStr">
        <is>
          <t>Columns</t>
        </is>
      </c>
      <c r="G78" s="12" t="inlineStr">
        <is>
          <t>Prepared, Approved, Returned</t>
        </is>
      </c>
      <c r="H78" s="12" t="inlineStr">
        <is>
          <t>-</t>
        </is>
      </c>
      <c r="I78" s="12" t="inlineStr">
        <is>
          <t>Resubmissions</t>
        </is>
      </c>
      <c r="J78" s="12" t="inlineStr">
        <is>
          <t>-</t>
        </is>
      </c>
      <c r="K78" s="12" t="inlineStr">
        <is>
          <t>-</t>
        </is>
      </c>
      <c r="L78" s="12" t="inlineStr">
        <is>
          <t>-</t>
        </is>
      </c>
      <c r="M78" s="12" t="inlineStr">
        <is>
          <t>-</t>
        </is>
      </c>
      <c r="N78" s="12" t="n"/>
      <c r="O78" s="12" t="n"/>
      <c r="P78" s="12" t="n"/>
      <c r="Q78" s="25" t="n"/>
    </row>
    <row r="79">
      <c r="A79" s="12" t="inlineStr">
        <is>
          <t>SCR-DM-07</t>
        </is>
      </c>
      <c r="B79" s="12" t="inlineStr">
        <is>
          <t>Batch</t>
        </is>
      </c>
      <c r="C79" s="12" t="inlineStr">
        <is>
          <t>1</t>
        </is>
      </c>
      <c r="D79" s="12" t="inlineStr">
        <is>
          <t>Steps</t>
        </is>
      </c>
      <c r="E79" s="12" t="inlineStr">
        <is>
          <t>Planned, Validated, Load approved, Loaded, Reconciled, Accepted</t>
        </is>
      </c>
      <c r="F79" s="12" t="inlineStr">
        <is>
          <t>Stepper</t>
        </is>
      </c>
      <c r="G79" s="12" t="inlineStr">
        <is>
          <t>Steps done are marked</t>
        </is>
      </c>
      <c r="H79" s="12" t="inlineStr">
        <is>
          <t>-</t>
        </is>
      </c>
      <c r="I79" s="12" t="inlineStr">
        <is>
          <t>Batch status</t>
        </is>
      </c>
      <c r="J79" s="12" t="inlineStr">
        <is>
          <t>-</t>
        </is>
      </c>
      <c r="K79" s="12" t="inlineStr">
        <is>
          <t>-</t>
        </is>
      </c>
      <c r="L79" s="12" t="inlineStr">
        <is>
          <t>-</t>
        </is>
      </c>
      <c r="M79" s="12" t="inlineStr">
        <is>
          <t>-</t>
        </is>
      </c>
      <c r="N79" s="12" t="n"/>
      <c r="O79" s="12" t="n"/>
      <c r="P79" s="12" t="n"/>
      <c r="Q79" s="25" t="n"/>
    </row>
    <row r="80">
      <c r="A80" s="12" t="inlineStr">
        <is>
          <t>SCR-DM-07</t>
        </is>
      </c>
      <c r="B80" s="12" t="inlineStr">
        <is>
          <t>Batch</t>
        </is>
      </c>
      <c r="C80" s="12" t="inlineStr">
        <is>
          <t>2</t>
        </is>
      </c>
      <c r="D80" s="12" t="inlineStr">
        <is>
          <t>Counts</t>
        </is>
      </c>
      <c r="E80" s="12" t="inlineStr">
        <is>
          <t>Staged, Valid, Invalid, Loaded</t>
        </is>
      </c>
      <c r="F80" s="12" t="inlineStr">
        <is>
          <t>Tile</t>
        </is>
      </c>
      <c r="G80" s="12" t="inlineStr">
        <is>
          <t>Warnings, excluded and waived, unchanged and rejected under them</t>
        </is>
      </c>
      <c r="H80" s="12" t="inlineStr">
        <is>
          <t>-</t>
        </is>
      </c>
      <c r="I80" s="12" t="inlineStr">
        <is>
          <t>Batch</t>
        </is>
      </c>
      <c r="J80" s="12" t="inlineStr">
        <is>
          <t>-</t>
        </is>
      </c>
      <c r="K80" s="12" t="inlineStr">
        <is>
          <t>-</t>
        </is>
      </c>
      <c r="L80" s="12" t="inlineStr">
        <is>
          <t>-</t>
        </is>
      </c>
      <c r="M80" s="12" t="inlineStr">
        <is>
          <t>-</t>
        </is>
      </c>
      <c r="N80" s="12" t="n"/>
      <c r="O80" s="12" t="n"/>
      <c r="P80" s="12" t="n"/>
      <c r="Q80" s="25" t="n"/>
    </row>
    <row r="81">
      <c r="A81" s="12" t="inlineStr">
        <is>
          <t>SCR-DM-07</t>
        </is>
      </c>
      <c r="B81" s="12" t="inlineStr">
        <is>
          <t>Batch</t>
        </is>
      </c>
      <c r="C81" s="12" t="inlineStr">
        <is>
          <t>3</t>
        </is>
      </c>
      <c r="D81" s="12" t="inlineStr">
        <is>
          <t>Batch</t>
        </is>
      </c>
      <c r="E81" s="12" t="inlineStr">
        <is>
          <t>Extracts, Rerun of, Code map versions</t>
        </is>
      </c>
      <c r="F81" s="12" t="inlineStr">
        <is>
          <t>Text</t>
        </is>
      </c>
      <c r="G81" s="12" t="inlineStr">
        <is>
          <t>Extract numbers; parent batch; map and version</t>
        </is>
      </c>
      <c r="H81" s="12" t="inlineStr">
        <is>
          <t>-</t>
        </is>
      </c>
      <c r="I81" s="12" t="inlineStr">
        <is>
          <t>Batch</t>
        </is>
      </c>
      <c r="J81" s="12" t="inlineStr">
        <is>
          <t>-</t>
        </is>
      </c>
      <c r="K81" s="12" t="inlineStr">
        <is>
          <t>-</t>
        </is>
      </c>
      <c r="L81" s="12" t="inlineStr">
        <is>
          <t>-</t>
        </is>
      </c>
      <c r="M81" s="12" t="inlineStr">
        <is>
          <t>-</t>
        </is>
      </c>
      <c r="N81" s="12" t="n"/>
      <c r="O81" s="12" t="n"/>
      <c r="P81" s="12" t="n"/>
      <c r="Q81" s="25" t="n"/>
    </row>
    <row r="82">
      <c r="A82" s="12" t="inlineStr">
        <is>
          <t>SCR-DM-07</t>
        </is>
      </c>
      <c r="B82" s="12" t="inlineStr">
        <is>
          <t>Batch</t>
        </is>
      </c>
      <c r="C82" s="12" t="inlineStr">
        <is>
          <t>4</t>
        </is>
      </c>
      <c r="D82" s="12" t="inlineStr">
        <is>
          <t>Batch</t>
        </is>
      </c>
      <c r="E82" s="12" t="inlineStr">
        <is>
          <t>Error rate, Unmapped codes, Client pairs to review</t>
        </is>
      </c>
      <c r="F82" s="12" t="inlineStr">
        <is>
          <t>Text</t>
        </is>
      </c>
      <c r="G82" s="12" t="inlineStr">
        <is>
          <t>Percent; counts</t>
        </is>
      </c>
      <c r="H82" s="12" t="inlineStr">
        <is>
          <t>-</t>
        </is>
      </c>
      <c r="I82" s="12" t="inlineStr">
        <is>
          <t>Validation</t>
        </is>
      </c>
      <c r="J82" s="12" t="inlineStr">
        <is>
          <t>-</t>
        </is>
      </c>
      <c r="K82" s="12" t="inlineStr">
        <is>
          <t>-</t>
        </is>
      </c>
      <c r="L82" s="12" t="inlineStr">
        <is>
          <t>-</t>
        </is>
      </c>
      <c r="M82" s="12" t="inlineStr">
        <is>
          <t>-</t>
        </is>
      </c>
      <c r="N82" s="12" t="n"/>
      <c r="O82" s="12" t="n"/>
      <c r="P82" s="12" t="n"/>
      <c r="Q82" s="25" t="n"/>
    </row>
    <row r="83">
      <c r="A83" s="12" t="inlineStr">
        <is>
          <t>SCR-DM-07</t>
        </is>
      </c>
      <c r="B83" s="12" t="inlineStr">
        <is>
          <t>Batch</t>
        </is>
      </c>
      <c r="C83" s="12" t="inlineStr">
        <is>
          <t>5</t>
        </is>
      </c>
      <c r="D83" s="12" t="inlineStr">
        <is>
          <t>Batch</t>
        </is>
      </c>
      <c r="E83" s="12" t="inlineStr">
        <is>
          <t>Validated by, Load approved by, Loaded by</t>
        </is>
      </c>
      <c r="F83" s="12" t="inlineStr">
        <is>
          <t>Text</t>
        </is>
      </c>
      <c r="G83" s="12" t="inlineStr">
        <is>
          <t>Name, date and time</t>
        </is>
      </c>
      <c r="H83" s="12" t="inlineStr">
        <is>
          <t>-</t>
        </is>
      </c>
      <c r="I83" s="12" t="inlineStr">
        <is>
          <t>Batch</t>
        </is>
      </c>
      <c r="J83" s="12" t="inlineStr">
        <is>
          <t>-</t>
        </is>
      </c>
      <c r="K83" s="12" t="inlineStr">
        <is>
          <t>-</t>
        </is>
      </c>
      <c r="L83" s="12" t="inlineStr">
        <is>
          <t>-</t>
        </is>
      </c>
      <c r="M83" s="12" t="inlineStr">
        <is>
          <t>-</t>
        </is>
      </c>
      <c r="N83" s="12" t="n"/>
      <c r="O83" s="12" t="n"/>
      <c r="P83" s="12" t="n"/>
      <c r="Q83" s="25" t="n"/>
    </row>
    <row r="84">
      <c r="A84" s="12" t="inlineStr">
        <is>
          <t>SCR-DM-07</t>
        </is>
      </c>
      <c r="B84" s="12" t="inlineStr">
        <is>
          <t>Batch</t>
        </is>
      </c>
      <c r="C84" s="12" t="inlineStr">
        <is>
          <t>6</t>
        </is>
      </c>
      <c r="D84" s="12" t="inlineStr">
        <is>
          <t>Batch</t>
        </is>
      </c>
      <c r="E84" s="12" t="inlineStr">
        <is>
          <t>Load started, Load ended, Accepted</t>
        </is>
      </c>
      <c r="F84" s="12" t="inlineStr">
        <is>
          <t>Text</t>
        </is>
      </c>
      <c r="G84" s="12" t="inlineStr">
        <is>
          <t>dd-MMM-yyyy HH:mm</t>
        </is>
      </c>
      <c r="H84" s="12" t="inlineStr">
        <is>
          <t>-</t>
        </is>
      </c>
      <c r="I84" s="12" t="inlineStr">
        <is>
          <t>Batch</t>
        </is>
      </c>
      <c r="J84" s="12" t="inlineStr">
        <is>
          <t>-</t>
        </is>
      </c>
      <c r="K84" s="12" t="inlineStr">
        <is>
          <t>-</t>
        </is>
      </c>
      <c r="L84" s="12" t="inlineStr">
        <is>
          <t>-</t>
        </is>
      </c>
      <c r="M84" s="12" t="inlineStr">
        <is>
          <t>-</t>
        </is>
      </c>
      <c r="N84" s="12" t="n"/>
      <c r="O84" s="12" t="n"/>
      <c r="P84" s="12" t="n"/>
      <c r="Q84" s="25" t="n"/>
    </row>
    <row r="85">
      <c r="A85" s="12" t="inlineStr">
        <is>
          <t>SCR-DM-07</t>
        </is>
      </c>
      <c r="B85" s="12" t="inlineStr">
        <is>
          <t>Batch</t>
        </is>
      </c>
      <c r="C85" s="12" t="inlineStr">
        <is>
          <t>7</t>
        </is>
      </c>
      <c r="D85" s="12" t="inlineStr">
        <is>
          <t>Batch</t>
        </is>
      </c>
      <c r="E85" s="12" t="inlineStr">
        <is>
          <t>Rollback reason, Staging purged on</t>
        </is>
      </c>
      <c r="F85" s="12" t="inlineStr">
        <is>
          <t>Text</t>
        </is>
      </c>
      <c r="G85" s="12" t="inlineStr">
        <is>
          <t>Text; date</t>
        </is>
      </c>
      <c r="H85" s="12" t="inlineStr">
        <is>
          <t>-</t>
        </is>
      </c>
      <c r="I85" s="12" t="inlineStr">
        <is>
          <t>Batch</t>
        </is>
      </c>
      <c r="J85" s="12" t="inlineStr">
        <is>
          <t>-</t>
        </is>
      </c>
      <c r="K85" s="12" t="inlineStr">
        <is>
          <t>-</t>
        </is>
      </c>
      <c r="L85" s="12" t="inlineStr">
        <is>
          <t>-</t>
        </is>
      </c>
      <c r="M85" s="12" t="inlineStr">
        <is>
          <t>-</t>
        </is>
      </c>
      <c r="N85" s="12" t="n"/>
      <c r="O85" s="12" t="n"/>
      <c r="P85" s="12" t="n"/>
      <c r="Q85" s="25" t="n"/>
    </row>
    <row r="86">
      <c r="A86" s="12" t="inlineStr">
        <is>
          <t>SCR-DM-07</t>
        </is>
      </c>
      <c r="B86" s="12" t="inlineStr">
        <is>
          <t>Batch</t>
        </is>
      </c>
      <c r="C86" s="12" t="inlineStr">
        <is>
          <t>8</t>
        </is>
      </c>
      <c r="D86" s="12" t="inlineStr">
        <is>
          <t>Issues tab</t>
        </is>
      </c>
      <c r="E86" s="12" t="inlineStr">
        <is>
          <t>Rule, Severity, Field, Message, Resolution</t>
        </is>
      </c>
      <c r="F86" s="12" t="inlineStr">
        <is>
          <t>Columns</t>
        </is>
      </c>
      <c r="G86" s="12" t="inlineStr">
        <is>
          <t>Error or Warning; the value under the field; Open, Fixed at source, Mapped, Waived</t>
        </is>
      </c>
      <c r="H86" s="12" t="inlineStr">
        <is>
          <t>-</t>
        </is>
      </c>
      <c r="I86" s="12" t="inlineStr">
        <is>
          <t>Validation issues</t>
        </is>
      </c>
      <c r="J86" s="12" t="inlineStr">
        <is>
          <t>-</t>
        </is>
      </c>
      <c r="K86" s="12" t="inlineStr">
        <is>
          <t>-</t>
        </is>
      </c>
      <c r="L86" s="12" t="inlineStr">
        <is>
          <t>-</t>
        </is>
      </c>
      <c r="M86" s="12" t="inlineStr">
        <is>
          <t>-</t>
        </is>
      </c>
      <c r="N86" s="12" t="n"/>
      <c r="O86" s="12" t="n"/>
      <c r="P86" s="12" t="n"/>
      <c r="Q86" s="25" t="n"/>
    </row>
    <row r="87">
      <c r="A87" s="12" t="inlineStr">
        <is>
          <t>SCR-DM-07</t>
        </is>
      </c>
      <c r="B87" s="12" t="inlineStr">
        <is>
          <t>Batch</t>
        </is>
      </c>
      <c r="C87" s="12" t="inlineStr">
        <is>
          <t>9</t>
        </is>
      </c>
      <c r="D87" s="12" t="inlineStr">
        <is>
          <t>Rows tab</t>
        </is>
      </c>
      <c r="E87" s="12" t="inlineStr">
        <is>
          <t>Row status</t>
        </is>
      </c>
      <c r="F87" s="12" t="inlineStr">
        <is>
          <t>Drop-down</t>
        </is>
      </c>
      <c r="G87" s="12" t="inlineStr">
        <is>
          <t>All rows, Valid, Warning, Invalid, Loaded, Skipped, Rejected, Excluded, Waived</t>
        </is>
      </c>
      <c r="H87" s="12" t="inlineStr">
        <is>
          <t>N</t>
        </is>
      </c>
      <c r="I87" s="12" t="inlineStr">
        <is>
          <t>-</t>
        </is>
      </c>
      <c r="J87" s="12" t="inlineStr">
        <is>
          <t>All rows</t>
        </is>
      </c>
      <c r="K87" s="12" t="inlineStr">
        <is>
          <t>-</t>
        </is>
      </c>
      <c r="L87" s="12" t="inlineStr">
        <is>
          <t>-</t>
        </is>
      </c>
      <c r="M87" s="12" t="inlineStr">
        <is>
          <t>-</t>
        </is>
      </c>
      <c r="N87" s="12" t="n"/>
      <c r="O87" s="12" t="n"/>
      <c r="P87" s="12" t="n"/>
      <c r="Q87" s="25" t="n"/>
    </row>
    <row r="88">
      <c r="A88" s="12" t="inlineStr">
        <is>
          <t>SCR-DM-07</t>
        </is>
      </c>
      <c r="B88" s="12" t="inlineStr">
        <is>
          <t>Batch</t>
        </is>
      </c>
      <c r="C88" s="12" t="inlineStr">
        <is>
          <t>10</t>
        </is>
      </c>
      <c r="D88" s="12" t="inlineStr">
        <is>
          <t>Rows tab</t>
        </is>
      </c>
      <c r="E88" s="12" t="inlineStr">
        <is>
          <t>Layout, Row, Legacy key, BIBS record, Message, Status</t>
        </is>
      </c>
      <c r="F88" s="12" t="inlineStr">
        <is>
          <t>Columns</t>
        </is>
      </c>
      <c r="G88" s="12" t="inlineStr">
        <is>
          <t>The BIBS record created, with its kind under it</t>
        </is>
      </c>
      <c r="H88" s="12" t="inlineStr">
        <is>
          <t>-</t>
        </is>
      </c>
      <c r="I88" s="12" t="inlineStr">
        <is>
          <t>Staged rows</t>
        </is>
      </c>
      <c r="J88" s="12" t="inlineStr">
        <is>
          <t>-</t>
        </is>
      </c>
      <c r="K88" s="12" t="inlineStr">
        <is>
          <t>-</t>
        </is>
      </c>
      <c r="L88" s="12" t="inlineStr">
        <is>
          <t>-</t>
        </is>
      </c>
      <c r="M88" s="12" t="inlineStr">
        <is>
          <t>-</t>
        </is>
      </c>
      <c r="N88" s="12" t="n"/>
      <c r="O88" s="12" t="n"/>
      <c r="P88" s="12" t="n"/>
      <c r="Q88" s="25" t="n"/>
    </row>
    <row r="89">
      <c r="A89" s="12" t="inlineStr">
        <is>
          <t>SCR-DM-07</t>
        </is>
      </c>
      <c r="B89" s="12" t="inlineStr">
        <is>
          <t>Batch</t>
        </is>
      </c>
      <c r="C89" s="12" t="inlineStr">
        <is>
          <t>11</t>
        </is>
      </c>
      <c r="D89" s="12" t="inlineStr">
        <is>
          <t>Waive Rows / Exclude Rows</t>
        </is>
      </c>
      <c r="E89" s="12" t="inlineStr">
        <is>
          <t>Reason</t>
        </is>
      </c>
      <c r="F89" s="12" t="inlineStr">
        <is>
          <t>Drop-down</t>
        </is>
      </c>
      <c r="G89" s="12" t="inlineStr">
        <is>
          <t>Record not needed in BIBS, Entered manually in BIBS after go-live</t>
        </is>
      </c>
      <c r="H89" s="12" t="inlineStr">
        <is>
          <t>Y</t>
        </is>
      </c>
      <c r="I89" s="12" t="inlineStr">
        <is>
          <t>Waiver reasons</t>
        </is>
      </c>
      <c r="J89" s="12" t="inlineStr">
        <is>
          <t>Record not needed in BIBS</t>
        </is>
      </c>
      <c r="K89" s="12" t="inlineStr">
        <is>
          <t>Validated</t>
        </is>
      </c>
      <c r="L89" s="12" t="inlineStr">
        <is>
          <t>-</t>
        </is>
      </c>
      <c r="M89" s="12" t="inlineStr">
        <is>
          <t>-</t>
        </is>
      </c>
      <c r="N89" s="12" t="n"/>
      <c r="O89" s="12" t="n"/>
      <c r="P89" s="12" t="n"/>
      <c r="Q89" s="25" t="n"/>
    </row>
    <row r="90">
      <c r="A90" s="12" t="inlineStr">
        <is>
          <t>SCR-DM-07</t>
        </is>
      </c>
      <c r="B90" s="12" t="inlineStr">
        <is>
          <t>Batch</t>
        </is>
      </c>
      <c r="C90" s="12" t="inlineStr">
        <is>
          <t>12</t>
        </is>
      </c>
      <c r="D90" s="12" t="inlineStr">
        <is>
          <t>Waive Rows / Exclude Rows</t>
        </is>
      </c>
      <c r="E90" s="12" t="inlineStr">
        <is>
          <t>Note / Manual-entry plan</t>
        </is>
      </c>
      <c r="F90" s="12" t="inlineStr">
        <is>
          <t>Text area</t>
        </is>
      </c>
      <c r="G90" s="12" t="inlineStr">
        <is>
          <t>Free text</t>
        </is>
      </c>
      <c r="H90" s="12" t="inlineStr">
        <is>
          <t>Y</t>
        </is>
      </c>
      <c r="I90" s="12" t="inlineStr">
        <is>
          <t>-</t>
        </is>
      </c>
      <c r="J90" s="12" t="inlineStr">
        <is>
          <t>-</t>
        </is>
      </c>
      <c r="K90" s="12" t="inlineStr">
        <is>
          <t>Validated</t>
        </is>
      </c>
      <c r="L90" s="12" t="inlineStr">
        <is>
          <t>Not blank</t>
        </is>
      </c>
      <c r="M90" s="12" t="inlineStr">
        <is>
          <t>Enter the reason and the manual-entry plan of the excluded rows</t>
        </is>
      </c>
      <c r="N90" s="12" t="n"/>
      <c r="O90" s="12" t="n"/>
      <c r="P90" s="12" t="n"/>
      <c r="Q90" s="25" t="n"/>
    </row>
    <row r="91">
      <c r="A91" s="12" t="inlineStr">
        <is>
          <t>SCR-DM-07</t>
        </is>
      </c>
      <c r="B91" s="12" t="inlineStr">
        <is>
          <t>Batch</t>
        </is>
      </c>
      <c r="C91" s="12" t="inlineStr">
        <is>
          <t>13</t>
        </is>
      </c>
      <c r="D91" s="12" t="inlineStr">
        <is>
          <t>Resubmit Corrected Rows</t>
        </is>
      </c>
      <c r="E91" s="12" t="inlineStr">
        <is>
          <t>Extract of the corrected rows</t>
        </is>
      </c>
      <c r="F91" s="12" t="inlineStr">
        <is>
          <t>Text</t>
        </is>
      </c>
      <c r="G91" s="12" t="inlineStr">
        <is>
          <t>Extract number of the uploaded correction file</t>
        </is>
      </c>
      <c r="H91" s="12" t="inlineStr">
        <is>
          <t>Y</t>
        </is>
      </c>
      <c r="I91" s="12" t="inlineStr">
        <is>
          <t>Staged extracts of the object</t>
        </is>
      </c>
      <c r="J91" s="12" t="inlineStr">
        <is>
          <t>-</t>
        </is>
      </c>
      <c r="K91" s="12" t="inlineStr">
        <is>
          <t>-</t>
        </is>
      </c>
      <c r="L91" s="12" t="inlineStr">
        <is>
          <t>Staged extract of the same object</t>
        </is>
      </c>
      <c r="M91" s="12" t="inlineStr">
        <is>
          <t>Extract &lt;extract no&gt; is not a staged extract of object &lt;object code&gt;</t>
        </is>
      </c>
      <c r="N91" s="12" t="n"/>
      <c r="O91" s="12" t="n"/>
      <c r="P91" s="12" t="n"/>
      <c r="Q91" s="25" t="n"/>
    </row>
    <row r="92">
      <c r="A92" s="12" t="inlineStr">
        <is>
          <t>SCR-DM-07</t>
        </is>
      </c>
      <c r="B92" s="12" t="inlineStr">
        <is>
          <t>Batch</t>
        </is>
      </c>
      <c r="C92" s="12" t="inlineStr">
        <is>
          <t>14</t>
        </is>
      </c>
      <c r="D92" s="12" t="inlineStr">
        <is>
          <t>Sign-offs tab</t>
        </is>
      </c>
      <c r="E92" s="12" t="inlineStr">
        <is>
          <t>Gate, Role, Signed by, Signed, Comment, Decision, Evidence</t>
        </is>
      </c>
      <c r="F92" s="12" t="inlineStr">
        <is>
          <t>Columns</t>
        </is>
      </c>
      <c r="G92" s="12" t="inlineStr">
        <is>
          <t>Gate and its name; evidence file</t>
        </is>
      </c>
      <c r="H92" s="12" t="inlineStr">
        <is>
          <t>-</t>
        </is>
      </c>
      <c r="I92" s="12" t="inlineStr">
        <is>
          <t>Gates signed</t>
        </is>
      </c>
      <c r="J92" s="12" t="inlineStr">
        <is>
          <t>-</t>
        </is>
      </c>
      <c r="K92" s="12" t="inlineStr">
        <is>
          <t>-</t>
        </is>
      </c>
      <c r="L92" s="12" t="inlineStr">
        <is>
          <t>-</t>
        </is>
      </c>
      <c r="M92" s="12" t="inlineStr">
        <is>
          <t>-</t>
        </is>
      </c>
      <c r="N92" s="12" t="n"/>
      <c r="O92" s="12" t="n"/>
      <c r="P92" s="12" t="n"/>
      <c r="Q92" s="25" t="n"/>
    </row>
    <row r="93">
      <c r="A93" s="12" t="inlineStr">
        <is>
          <t>SCR-DM-07</t>
        </is>
      </c>
      <c r="B93" s="12" t="inlineStr">
        <is>
          <t>Batch</t>
        </is>
      </c>
      <c r="C93" s="12" t="inlineStr">
        <is>
          <t>15</t>
        </is>
      </c>
      <c r="D93" s="12" t="inlineStr">
        <is>
          <t>Run Log tab</t>
        </is>
      </c>
      <c r="E93" s="12" t="inlineStr">
        <is>
          <t>Time, Step, Level, Message, Counts, By</t>
        </is>
      </c>
      <c r="F93" s="12" t="inlineStr">
        <is>
          <t>Columns</t>
        </is>
      </c>
      <c r="G93" s="12" t="inlineStr">
        <is>
          <t>-</t>
        </is>
      </c>
      <c r="H93" s="12" t="inlineStr">
        <is>
          <t>-</t>
        </is>
      </c>
      <c r="I93" s="12" t="inlineStr">
        <is>
          <t>Run log</t>
        </is>
      </c>
      <c r="J93" s="12" t="inlineStr">
        <is>
          <t>-</t>
        </is>
      </c>
      <c r="K93" s="12" t="inlineStr">
        <is>
          <t>-</t>
        </is>
      </c>
      <c r="L93" s="12" t="inlineStr">
        <is>
          <t>-</t>
        </is>
      </c>
      <c r="M93" s="12" t="inlineStr">
        <is>
          <t>-</t>
        </is>
      </c>
      <c r="N93" s="12" t="n"/>
      <c r="O93" s="12" t="n"/>
      <c r="P93" s="12" t="n"/>
      <c r="Q93" s="25" t="n"/>
    </row>
    <row r="94">
      <c r="A94" s="12" t="inlineStr">
        <is>
          <t>SCR-DM-08</t>
        </is>
      </c>
      <c r="B94" s="12" t="inlineStr">
        <is>
          <t>Client Matching</t>
        </is>
      </c>
      <c r="C94" s="12" t="inlineStr">
        <is>
          <t>1</t>
        </is>
      </c>
      <c r="D94" s="12" t="inlineStr">
        <is>
          <t>Queue</t>
        </is>
      </c>
      <c r="E94" s="12" t="inlineStr">
        <is>
          <t>Batch, Cluster, Legacy client</t>
        </is>
      </c>
      <c r="F94" s="12" t="inlineStr">
        <is>
          <t>Column</t>
        </is>
      </c>
      <c r="G94" s="12" t="inlineStr">
        <is>
          <t>Batch number; cluster number; legacy client number</t>
        </is>
      </c>
      <c r="H94" s="12" t="inlineStr">
        <is>
          <t>-</t>
        </is>
      </c>
      <c r="I94" s="12" t="inlineStr">
        <is>
          <t>Matching</t>
        </is>
      </c>
      <c r="J94" s="12" t="inlineStr">
        <is>
          <t>-</t>
        </is>
      </c>
      <c r="K94" s="12" t="inlineStr">
        <is>
          <t>-</t>
        </is>
      </c>
      <c r="L94" s="12" t="inlineStr">
        <is>
          <t>-</t>
        </is>
      </c>
      <c r="M94" s="12" t="inlineStr">
        <is>
          <t>-</t>
        </is>
      </c>
      <c r="N94" s="12" t="n"/>
      <c r="O94" s="12" t="n"/>
      <c r="P94" s="12" t="n"/>
      <c r="Q94" s="25" t="n"/>
    </row>
    <row r="95">
      <c r="A95" s="12" t="inlineStr">
        <is>
          <t>SCR-DM-08</t>
        </is>
      </c>
      <c r="B95" s="12" t="inlineStr">
        <is>
          <t>Client Matching</t>
        </is>
      </c>
      <c r="C95" s="12" t="inlineStr">
        <is>
          <t>2</t>
        </is>
      </c>
      <c r="D95" s="12" t="inlineStr">
        <is>
          <t>Queue</t>
        </is>
      </c>
      <c r="E95" s="12" t="inlineStr">
        <is>
          <t>Matched with</t>
        </is>
      </c>
      <c r="F95" s="12" t="inlineStr">
        <is>
          <t>Column</t>
        </is>
      </c>
      <c r="G95" s="12" t="inlineStr">
        <is>
          <t>Legacy client or BIBS client</t>
        </is>
      </c>
      <c r="H95" s="12" t="inlineStr">
        <is>
          <t>-</t>
        </is>
      </c>
      <c r="I95" s="12" t="inlineStr">
        <is>
          <t>Matching</t>
        </is>
      </c>
      <c r="J95" s="12" t="inlineStr">
        <is>
          <t>-</t>
        </is>
      </c>
      <c r="K95" s="12" t="inlineStr">
        <is>
          <t>-</t>
        </is>
      </c>
      <c r="L95" s="12" t="inlineStr">
        <is>
          <t>-</t>
        </is>
      </c>
      <c r="M95" s="12" t="inlineStr">
        <is>
          <t>-</t>
        </is>
      </c>
      <c r="N95" s="12" t="n"/>
      <c r="O95" s="12" t="n"/>
      <c r="P95" s="12" t="n"/>
      <c r="Q95" s="25" t="n"/>
    </row>
    <row r="96">
      <c r="A96" s="12" t="inlineStr">
        <is>
          <t>SCR-DM-08</t>
        </is>
      </c>
      <c r="B96" s="12" t="inlineStr">
        <is>
          <t>Client Matching</t>
        </is>
      </c>
      <c r="C96" s="12" t="inlineStr">
        <is>
          <t>3</t>
        </is>
      </c>
      <c r="D96" s="12" t="inlineStr">
        <is>
          <t>Queue</t>
        </is>
      </c>
      <c r="E96" s="12" t="inlineStr">
        <is>
          <t>Score</t>
        </is>
      </c>
      <c r="F96" s="12" t="inlineStr">
        <is>
          <t>Column</t>
        </is>
      </c>
      <c r="G96" s="12" t="inlineStr">
        <is>
          <t>60 to 89 in the queue</t>
        </is>
      </c>
      <c r="H96" s="12" t="inlineStr">
        <is>
          <t>-</t>
        </is>
      </c>
      <c r="I96" s="12" t="inlineStr">
        <is>
          <t>Matching keys</t>
        </is>
      </c>
      <c r="J96" s="12" t="inlineStr">
        <is>
          <t>-</t>
        </is>
      </c>
      <c r="K96" s="12" t="inlineStr">
        <is>
          <t>-</t>
        </is>
      </c>
      <c r="L96" s="12" t="inlineStr">
        <is>
          <t>-</t>
        </is>
      </c>
      <c r="M96" s="12" t="inlineStr">
        <is>
          <t>-</t>
        </is>
      </c>
      <c r="N96" s="12" t="n"/>
      <c r="O96" s="12" t="n"/>
      <c r="P96" s="12" t="n"/>
      <c r="Q96" s="25" t="n"/>
    </row>
    <row r="97">
      <c r="A97" s="12" t="inlineStr">
        <is>
          <t>SCR-DM-08</t>
        </is>
      </c>
      <c r="B97" s="12" t="inlineStr">
        <is>
          <t>Client Matching</t>
        </is>
      </c>
      <c r="C97" s="12" t="inlineStr">
        <is>
          <t>4</t>
        </is>
      </c>
      <c r="D97" s="12" t="inlineStr">
        <is>
          <t>Queue</t>
        </is>
      </c>
      <c r="E97" s="12" t="inlineStr">
        <is>
          <t>Keys matched</t>
        </is>
      </c>
      <c r="F97" s="12" t="inlineStr">
        <is>
          <t>Column</t>
        </is>
      </c>
      <c r="G97" s="12" t="inlineStr">
        <is>
          <t>TIN, ID, name and birth date, corporate name, CIF, e-mail, mobile, similar name</t>
        </is>
      </c>
      <c r="H97" s="12" t="inlineStr">
        <is>
          <t>-</t>
        </is>
      </c>
      <c r="I97" s="12" t="inlineStr">
        <is>
          <t>Matching</t>
        </is>
      </c>
      <c r="J97" s="12" t="inlineStr">
        <is>
          <t>-</t>
        </is>
      </c>
      <c r="K97" s="12" t="inlineStr">
        <is>
          <t>-</t>
        </is>
      </c>
      <c r="L97" s="12" t="inlineStr">
        <is>
          <t>-</t>
        </is>
      </c>
      <c r="M97" s="12" t="inlineStr">
        <is>
          <t>-</t>
        </is>
      </c>
      <c r="N97" s="12" t="n"/>
      <c r="O97" s="12" t="n"/>
      <c r="P97" s="12" t="n"/>
      <c r="Q97" s="25" t="n"/>
    </row>
    <row r="98">
      <c r="A98" s="12" t="inlineStr">
        <is>
          <t>SCR-DM-08</t>
        </is>
      </c>
      <c r="B98" s="12" t="inlineStr">
        <is>
          <t>Client Matching</t>
        </is>
      </c>
      <c r="C98" s="12" t="inlineStr">
        <is>
          <t>5</t>
        </is>
      </c>
      <c r="D98" s="12" t="inlineStr">
        <is>
          <t>Queue</t>
        </is>
      </c>
      <c r="E98" s="12" t="inlineStr">
        <is>
          <t>Decision</t>
        </is>
      </c>
      <c r="F98" s="12" t="inlineStr">
        <is>
          <t>Pill</t>
        </is>
      </c>
      <c r="G98" s="12" t="inlineStr">
        <is>
          <t>To review, Merged, Kept separate, Merged automatically</t>
        </is>
      </c>
      <c r="H98" s="12" t="inlineStr">
        <is>
          <t>-</t>
        </is>
      </c>
      <c r="I98" s="12" t="inlineStr">
        <is>
          <t>Matching</t>
        </is>
      </c>
      <c r="J98" s="12" t="inlineStr">
        <is>
          <t>To review</t>
        </is>
      </c>
      <c r="K98" s="12" t="inlineStr">
        <is>
          <t>-</t>
        </is>
      </c>
      <c r="L98" s="12" t="inlineStr">
        <is>
          <t>-</t>
        </is>
      </c>
      <c r="M98" s="12" t="inlineStr">
        <is>
          <t>-</t>
        </is>
      </c>
      <c r="N98" s="12" t="n"/>
      <c r="O98" s="12" t="n"/>
      <c r="P98" s="12" t="n"/>
      <c r="Q98" s="25" t="n"/>
    </row>
    <row r="99">
      <c r="A99" s="12" t="inlineStr">
        <is>
          <t>SCR-DM-08</t>
        </is>
      </c>
      <c r="B99" s="12" t="inlineStr">
        <is>
          <t>Client Matching</t>
        </is>
      </c>
      <c r="C99" s="12" t="inlineStr">
        <is>
          <t>6</t>
        </is>
      </c>
      <c r="D99" s="12" t="inlineStr">
        <is>
          <t>Pair</t>
        </is>
      </c>
      <c r="E99" s="12" t="inlineStr">
        <is>
          <t>Field</t>
        </is>
      </c>
      <c r="F99" s="12" t="inlineStr">
        <is>
          <t>Column</t>
        </is>
      </c>
      <c r="G99" s="12" t="inlineStr">
        <is>
          <t>Matched fields shown as tags</t>
        </is>
      </c>
      <c r="H99" s="12" t="inlineStr">
        <is>
          <t>-</t>
        </is>
      </c>
      <c r="I99" s="12" t="inlineStr">
        <is>
          <t>Both records</t>
        </is>
      </c>
      <c r="J99" s="12" t="inlineStr">
        <is>
          <t>-</t>
        </is>
      </c>
      <c r="K99" s="12" t="inlineStr">
        <is>
          <t>-</t>
        </is>
      </c>
      <c r="L99" s="12" t="inlineStr">
        <is>
          <t>-</t>
        </is>
      </c>
      <c r="M99" s="12" t="inlineStr">
        <is>
          <t>-</t>
        </is>
      </c>
      <c r="N99" s="12" t="n"/>
      <c r="O99" s="12" t="n"/>
      <c r="P99" s="12" t="n"/>
      <c r="Q99" s="25" t="n"/>
    </row>
    <row r="100">
      <c r="A100" s="12" t="inlineStr">
        <is>
          <t>SCR-DM-09</t>
        </is>
      </c>
      <c r="B100" s="12" t="inlineStr">
        <is>
          <t>Reconciliation</t>
        </is>
      </c>
      <c r="C100" s="12" t="inlineStr">
        <is>
          <t>1</t>
        </is>
      </c>
      <c r="D100" s="12" t="inlineStr">
        <is>
          <t>Loaded batches</t>
        </is>
      </c>
      <c r="E100" s="12" t="inlineStr">
        <is>
          <t>Batch, Object, Loaded, Load ended, Status</t>
        </is>
      </c>
      <c r="F100" s="12" t="inlineStr">
        <is>
          <t>Columns</t>
        </is>
      </c>
      <c r="G100" s="12" t="inlineStr">
        <is>
          <t>-</t>
        </is>
      </c>
      <c r="H100" s="12" t="inlineStr">
        <is>
          <t>-</t>
        </is>
      </c>
      <c r="I100" s="12" t="inlineStr">
        <is>
          <t>Batches loaded, reconciled or accepted</t>
        </is>
      </c>
      <c r="J100" s="12" t="inlineStr">
        <is>
          <t>-</t>
        </is>
      </c>
      <c r="K100" s="12" t="inlineStr">
        <is>
          <t>-</t>
        </is>
      </c>
      <c r="L100" s="12" t="inlineStr">
        <is>
          <t>-</t>
        </is>
      </c>
      <c r="M100" s="12" t="inlineStr">
        <is>
          <t>-</t>
        </is>
      </c>
      <c r="N100" s="12" t="n"/>
      <c r="O100" s="12" t="n"/>
      <c r="P100" s="12" t="n"/>
      <c r="Q100" s="25" t="n"/>
    </row>
    <row r="101">
      <c r="A101" s="12" t="inlineStr">
        <is>
          <t>SCR-DM-09</t>
        </is>
      </c>
      <c r="B101" s="12" t="inlineStr">
        <is>
          <t>Reconciliation</t>
        </is>
      </c>
      <c r="C101" s="12" t="inlineStr">
        <is>
          <t>2</t>
        </is>
      </c>
      <c r="D101" s="12" t="inlineStr">
        <is>
          <t>Reconciliation</t>
        </is>
      </c>
      <c r="E101" s="12" t="inlineStr">
        <is>
          <t>Title</t>
        </is>
      </c>
      <c r="F101" s="12" t="inlineStr">
        <is>
          <t>Text</t>
        </is>
      </c>
      <c r="G101" s="12" t="inlineStr">
        <is>
          <t>Run number, date and time, user; status on the right</t>
        </is>
      </c>
      <c r="H101" s="12" t="inlineStr">
        <is>
          <t>-</t>
        </is>
      </c>
      <c r="I101" s="12" t="inlineStr">
        <is>
          <t>Latest run</t>
        </is>
      </c>
      <c r="J101" s="12" t="inlineStr">
        <is>
          <t>-</t>
        </is>
      </c>
      <c r="K101" s="12" t="inlineStr">
        <is>
          <t>-</t>
        </is>
      </c>
      <c r="L101" s="12" t="inlineStr">
        <is>
          <t>-</t>
        </is>
      </c>
      <c r="M101" s="12" t="inlineStr">
        <is>
          <t>-</t>
        </is>
      </c>
      <c r="N101" s="12" t="n"/>
      <c r="O101" s="12" t="n"/>
      <c r="P101" s="12" t="n"/>
      <c r="Q101" s="25" t="n"/>
    </row>
    <row r="102">
      <c r="A102" s="12" t="inlineStr">
        <is>
          <t>SCR-DM-09</t>
        </is>
      </c>
      <c r="B102" s="12" t="inlineStr">
        <is>
          <t>Reconciliation</t>
        </is>
      </c>
      <c r="C102" s="12" t="inlineStr">
        <is>
          <t>3</t>
        </is>
      </c>
      <c r="D102" s="12" t="inlineStr">
        <is>
          <t>Reconciliation</t>
        </is>
      </c>
      <c r="E102" s="12" t="inlineStr">
        <is>
          <t>Level</t>
        </is>
      </c>
      <c r="F102" s="12" t="inlineStr">
        <is>
          <t>Column</t>
        </is>
      </c>
      <c r="G102" s="12" t="inlineStr">
        <is>
          <t>L1 Counts, L2 Amounts, L3 Hash totals, L4 Fields, L5 General ledger, Opening-balance adjustment</t>
        </is>
      </c>
      <c r="H102" s="12" t="inlineStr">
        <is>
          <t>-</t>
        </is>
      </c>
      <c r="I102" s="12" t="inlineStr">
        <is>
          <t>Run</t>
        </is>
      </c>
      <c r="J102" s="12" t="inlineStr">
        <is>
          <t>-</t>
        </is>
      </c>
      <c r="K102" s="12" t="inlineStr">
        <is>
          <t>-</t>
        </is>
      </c>
      <c r="L102" s="12" t="inlineStr">
        <is>
          <t>-</t>
        </is>
      </c>
      <c r="M102" s="12" t="inlineStr">
        <is>
          <t>-</t>
        </is>
      </c>
      <c r="N102" s="12" t="n"/>
      <c r="O102" s="12" t="n"/>
      <c r="P102" s="12" t="n"/>
      <c r="Q102" s="25" t="n"/>
    </row>
    <row r="103">
      <c r="A103" s="12" t="inlineStr">
        <is>
          <t>SCR-DM-09</t>
        </is>
      </c>
      <c r="B103" s="12" t="inlineStr">
        <is>
          <t>Reconciliation</t>
        </is>
      </c>
      <c r="C103" s="12" t="inlineStr">
        <is>
          <t>4</t>
        </is>
      </c>
      <c r="D103" s="12" t="inlineStr">
        <is>
          <t>Reconciliation</t>
        </is>
      </c>
      <c r="E103" s="12" t="inlineStr">
        <is>
          <t>Measure, Currency</t>
        </is>
      </c>
      <c r="F103" s="12" t="inlineStr">
        <is>
          <t>Column</t>
        </is>
      </c>
      <c r="G103" s="12" t="inlineStr">
        <is>
          <t>Measure with its detail under it</t>
        </is>
      </c>
      <c r="H103" s="12" t="inlineStr">
        <is>
          <t>-</t>
        </is>
      </c>
      <c r="I103" s="12" t="inlineStr">
        <is>
          <t>Run</t>
        </is>
      </c>
      <c r="J103" s="12" t="inlineStr">
        <is>
          <t>-</t>
        </is>
      </c>
      <c r="K103" s="12" t="inlineStr">
        <is>
          <t>-</t>
        </is>
      </c>
      <c r="L103" s="12" t="inlineStr">
        <is>
          <t>-</t>
        </is>
      </c>
      <c r="M103" s="12" t="inlineStr">
        <is>
          <t>-</t>
        </is>
      </c>
      <c r="N103" s="12" t="n"/>
      <c r="O103" s="12" t="n"/>
      <c r="P103" s="12" t="n"/>
      <c r="Q103" s="25" t="n"/>
    </row>
    <row r="104">
      <c r="A104" s="12" t="inlineStr">
        <is>
          <t>SCR-DM-09</t>
        </is>
      </c>
      <c r="B104" s="12" t="inlineStr">
        <is>
          <t>Reconciliation</t>
        </is>
      </c>
      <c r="C104" s="12" t="inlineStr">
        <is>
          <t>5</t>
        </is>
      </c>
      <c r="D104" s="12" t="inlineStr">
        <is>
          <t>Reconciliation</t>
        </is>
      </c>
      <c r="E104" s="12" t="inlineStr">
        <is>
          <t>Source, Staged, BIBS, Difference</t>
        </is>
      </c>
      <c r="F104" s="12" t="inlineStr">
        <is>
          <t>Amount</t>
        </is>
      </c>
      <c r="G104" s="12" t="inlineStr">
        <is>
          <t>Two decimals</t>
        </is>
      </c>
      <c r="H104" s="12" t="inlineStr">
        <is>
          <t>-</t>
        </is>
      </c>
      <c r="I104" s="12" t="inlineStr">
        <is>
          <t>Control file, staging, BIBS</t>
        </is>
      </c>
      <c r="J104" s="12" t="inlineStr">
        <is>
          <t>-</t>
        </is>
      </c>
      <c r="K104" s="12" t="inlineStr">
        <is>
          <t>-</t>
        </is>
      </c>
      <c r="L104" s="12" t="inlineStr">
        <is>
          <t>Difference within the tolerance (0.00)</t>
        </is>
      </c>
      <c r="M104" s="12" t="inlineStr">
        <is>
          <t>-</t>
        </is>
      </c>
      <c r="N104" s="12" t="n"/>
      <c r="O104" s="12" t="n"/>
      <c r="P104" s="12" t="n"/>
      <c r="Q104" s="25" t="n"/>
    </row>
    <row r="105">
      <c r="A105" s="12" t="inlineStr">
        <is>
          <t>SCR-DM-09</t>
        </is>
      </c>
      <c r="B105" s="12" t="inlineStr">
        <is>
          <t>Reconciliation</t>
        </is>
      </c>
      <c r="C105" s="12" t="inlineStr">
        <is>
          <t>6</t>
        </is>
      </c>
      <c r="D105" s="12" t="inlineStr">
        <is>
          <t>Reconciliation</t>
        </is>
      </c>
      <c r="E105" s="12" t="inlineStr">
        <is>
          <t>Explanation</t>
        </is>
      </c>
      <c r="F105" s="12" t="inlineStr">
        <is>
          <t>Column</t>
        </is>
      </c>
      <c r="G105" s="12" t="inlineStr">
        <is>
          <t>Text; reason, who explained, who approved under it</t>
        </is>
      </c>
      <c r="H105" s="12" t="inlineStr">
        <is>
          <t>-</t>
        </is>
      </c>
      <c r="I105" s="12" t="inlineStr">
        <is>
          <t>Break</t>
        </is>
      </c>
      <c r="J105" s="12" t="inlineStr">
        <is>
          <t>-</t>
        </is>
      </c>
      <c r="K105" s="12" t="inlineStr">
        <is>
          <t>-</t>
        </is>
      </c>
      <c r="L105" s="12" t="inlineStr">
        <is>
          <t>-</t>
        </is>
      </c>
      <c r="M105" s="12" t="inlineStr">
        <is>
          <t>-</t>
        </is>
      </c>
      <c r="N105" s="12" t="n"/>
      <c r="O105" s="12" t="n"/>
      <c r="P105" s="12" t="n"/>
      <c r="Q105" s="25" t="n"/>
    </row>
    <row r="106">
      <c r="A106" s="12" t="inlineStr">
        <is>
          <t>SCR-DM-09</t>
        </is>
      </c>
      <c r="B106" s="12" t="inlineStr">
        <is>
          <t>Reconciliation</t>
        </is>
      </c>
      <c r="C106" s="12" t="inlineStr">
        <is>
          <t>7</t>
        </is>
      </c>
      <c r="D106" s="12" t="inlineStr">
        <is>
          <t>Reconciliation</t>
        </is>
      </c>
      <c r="E106" s="12" t="inlineStr">
        <is>
          <t>Status</t>
        </is>
      </c>
      <c r="F106" s="12" t="inlineStr">
        <is>
          <t>Pill</t>
        </is>
      </c>
      <c r="G106" s="12" t="inlineStr">
        <is>
          <t>Matched, Break, Explained</t>
        </is>
      </c>
      <c r="H106" s="12" t="inlineStr">
        <is>
          <t>-</t>
        </is>
      </c>
      <c r="I106" s="12" t="inlineStr">
        <is>
          <t>Run</t>
        </is>
      </c>
      <c r="J106" s="12" t="inlineStr">
        <is>
          <t>-</t>
        </is>
      </c>
      <c r="K106" s="12" t="inlineStr">
        <is>
          <t>-</t>
        </is>
      </c>
      <c r="L106" s="12" t="inlineStr">
        <is>
          <t>-</t>
        </is>
      </c>
      <c r="M106" s="12" t="inlineStr">
        <is>
          <t>-</t>
        </is>
      </c>
      <c r="N106" s="12" t="n"/>
      <c r="O106" s="12" t="n"/>
      <c r="P106" s="12" t="n"/>
      <c r="Q106" s="25" t="n"/>
    </row>
    <row r="107">
      <c r="A107" s="12" t="inlineStr">
        <is>
          <t>SCR-DM-09</t>
        </is>
      </c>
      <c r="B107" s="12" t="inlineStr">
        <is>
          <t>Reconciliation</t>
        </is>
      </c>
      <c r="C107" s="12" t="inlineStr">
        <is>
          <t>8</t>
        </is>
      </c>
      <c r="D107" s="12" t="inlineStr">
        <is>
          <t>Explain Break</t>
        </is>
      </c>
      <c r="E107" s="12" t="inlineStr">
        <is>
          <t>Reason</t>
        </is>
      </c>
      <c r="F107" s="12" t="inlineStr">
        <is>
          <t>Drop-down</t>
        </is>
      </c>
      <c r="G107" s="12" t="inlineStr">
        <is>
          <t>Timing difference between extract and ledger, Rounding in the legacy extract, Rows excluded by the data owner, Error in the legacy source corrected by manual entry, Code map difference, Other</t>
        </is>
      </c>
      <c r="H107" s="12" t="inlineStr">
        <is>
          <t>Y</t>
        </is>
      </c>
      <c r="I107" s="12" t="inlineStr">
        <is>
          <t>Break reasons</t>
        </is>
      </c>
      <c r="J107" s="12" t="inlineStr">
        <is>
          <t>Timing difference between extract and ledger</t>
        </is>
      </c>
      <c r="K107" s="12" t="inlineStr">
        <is>
          <t>Break</t>
        </is>
      </c>
      <c r="L107" s="12" t="inlineStr">
        <is>
          <t>-</t>
        </is>
      </c>
      <c r="M107" s="12" t="inlineStr">
        <is>
          <t>-</t>
        </is>
      </c>
      <c r="N107" s="12" t="n"/>
      <c r="O107" s="12" t="n"/>
      <c r="P107" s="12" t="n"/>
      <c r="Q107" s="25" t="n"/>
    </row>
    <row r="108">
      <c r="A108" s="12" t="inlineStr">
        <is>
          <t>SCR-DM-09</t>
        </is>
      </c>
      <c r="B108" s="12" t="inlineStr">
        <is>
          <t>Reconciliation</t>
        </is>
      </c>
      <c r="C108" s="12" t="inlineStr">
        <is>
          <t>9</t>
        </is>
      </c>
      <c r="D108" s="12" t="inlineStr">
        <is>
          <t>Explain Break</t>
        </is>
      </c>
      <c r="E108" s="12" t="inlineStr">
        <is>
          <t>Explanation</t>
        </is>
      </c>
      <c r="F108" s="12" t="inlineStr">
        <is>
          <t>Text area</t>
        </is>
      </c>
      <c r="G108" s="12" t="inlineStr">
        <is>
          <t>Free text</t>
        </is>
      </c>
      <c r="H108" s="12" t="inlineStr">
        <is>
          <t>Y</t>
        </is>
      </c>
      <c r="I108" s="12" t="inlineStr">
        <is>
          <t>-</t>
        </is>
      </c>
      <c r="J108" s="12" t="inlineStr">
        <is>
          <t>-</t>
        </is>
      </c>
      <c r="K108" s="12" t="inlineStr">
        <is>
          <t>Break</t>
        </is>
      </c>
      <c r="L108" s="12" t="inlineStr">
        <is>
          <t>Not blank</t>
        </is>
      </c>
      <c r="M108" s="12" t="inlineStr">
        <is>
          <t>Enter the explanation of the break</t>
        </is>
      </c>
      <c r="N108" s="12" t="n"/>
      <c r="O108" s="12" t="n"/>
      <c r="P108" s="12" t="n"/>
      <c r="Q108" s="25" t="n"/>
    </row>
    <row r="109">
      <c r="A109" s="12" t="inlineStr">
        <is>
          <t>SCR-DM-10</t>
        </is>
      </c>
      <c r="B109" s="12" t="inlineStr">
        <is>
          <t>Sign-off</t>
        </is>
      </c>
      <c r="C109" s="12" t="inlineStr">
        <is>
          <t>1</t>
        </is>
      </c>
      <c r="D109" s="12" t="inlineStr">
        <is>
          <t>Matrix</t>
        </is>
      </c>
      <c r="E109" s="12" t="inlineStr">
        <is>
          <t>Object</t>
        </is>
      </c>
      <c r="F109" s="12" t="inlineStr">
        <is>
          <t>Column</t>
        </is>
      </c>
      <c r="G109" s="12" t="inlineStr">
        <is>
          <t>Code and name; class under it</t>
        </is>
      </c>
      <c r="H109" s="12" t="inlineStr">
        <is>
          <t>-</t>
        </is>
      </c>
      <c r="I109" s="12" t="inlineStr">
        <is>
          <t>Data objects</t>
        </is>
      </c>
      <c r="J109" s="12" t="inlineStr">
        <is>
          <t>-</t>
        </is>
      </c>
      <c r="K109" s="12" t="inlineStr">
        <is>
          <t>-</t>
        </is>
      </c>
      <c r="L109" s="12" t="inlineStr">
        <is>
          <t>-</t>
        </is>
      </c>
      <c r="M109" s="12" t="inlineStr">
        <is>
          <t>-</t>
        </is>
      </c>
      <c r="N109" s="12" t="n"/>
      <c r="O109" s="12" t="n"/>
      <c r="P109" s="12" t="n"/>
      <c r="Q109" s="25" t="n"/>
    </row>
    <row r="110">
      <c r="A110" s="12" t="inlineStr">
        <is>
          <t>SCR-DM-10</t>
        </is>
      </c>
      <c r="B110" s="12" t="inlineStr">
        <is>
          <t>Sign-off</t>
        </is>
      </c>
      <c r="C110" s="12" t="inlineStr">
        <is>
          <t>2</t>
        </is>
      </c>
      <c r="D110" s="12" t="inlineStr">
        <is>
          <t>Matrix</t>
        </is>
      </c>
      <c r="E110" s="12" t="inlineStr">
        <is>
          <t>Latest batch</t>
        </is>
      </c>
      <c r="F110" s="12" t="inlineStr">
        <is>
          <t>Column</t>
        </is>
      </c>
      <c r="G110" s="12" t="inlineStr">
        <is>
          <t>Batch number and status</t>
        </is>
      </c>
      <c r="H110" s="12" t="inlineStr">
        <is>
          <t>-</t>
        </is>
      </c>
      <c r="I110" s="12" t="inlineStr">
        <is>
          <t>Batches</t>
        </is>
      </c>
      <c r="J110" s="12" t="inlineStr">
        <is>
          <t>-</t>
        </is>
      </c>
      <c r="K110" s="12" t="inlineStr">
        <is>
          <t>-</t>
        </is>
      </c>
      <c r="L110" s="12" t="inlineStr">
        <is>
          <t>-</t>
        </is>
      </c>
      <c r="M110" s="12" t="inlineStr">
        <is>
          <t>-</t>
        </is>
      </c>
      <c r="N110" s="12" t="n"/>
      <c r="O110" s="12" t="n"/>
      <c r="P110" s="12" t="n"/>
      <c r="Q110" s="25" t="n"/>
    </row>
    <row r="111">
      <c r="A111" s="12" t="inlineStr">
        <is>
          <t>SCR-DM-10</t>
        </is>
      </c>
      <c r="B111" s="12" t="inlineStr">
        <is>
          <t>Sign-off</t>
        </is>
      </c>
      <c r="C111" s="12" t="inlineStr">
        <is>
          <t>3</t>
        </is>
      </c>
      <c r="D111" s="12" t="inlineStr">
        <is>
          <t>Matrix</t>
        </is>
      </c>
      <c r="E111" s="12" t="inlineStr">
        <is>
          <t>Decision, Mapping, Validation, Load approval, Reconciliation, Acceptance, Go-live</t>
        </is>
      </c>
      <c r="F111" s="12" t="inlineStr">
        <is>
          <t>Column</t>
        </is>
      </c>
      <c r="G111" s="12" t="inlineStr">
        <is>
          <t>One column per gate G1 to G7; decision pill with the signer and date</t>
        </is>
      </c>
      <c r="H111" s="12" t="inlineStr">
        <is>
          <t>-</t>
        </is>
      </c>
      <c r="I111" s="12" t="inlineStr">
        <is>
          <t>Gates signed</t>
        </is>
      </c>
      <c r="J111" s="12" t="inlineStr">
        <is>
          <t>-</t>
        </is>
      </c>
      <c r="K111" s="12" t="inlineStr">
        <is>
          <t>-</t>
        </is>
      </c>
      <c r="L111" s="12" t="inlineStr">
        <is>
          <t>-</t>
        </is>
      </c>
      <c r="M111" s="12" t="inlineStr">
        <is>
          <t>-</t>
        </is>
      </c>
      <c r="N111" s="12" t="n"/>
      <c r="O111" s="12" t="n"/>
      <c r="P111" s="12" t="n"/>
      <c r="Q111" s="25" t="n"/>
    </row>
    <row r="112">
      <c r="A112" s="12" t="inlineStr">
        <is>
          <t>SCR-DM-11</t>
        </is>
      </c>
      <c r="B112" s="12" t="inlineStr">
        <is>
          <t>Opening-Balance Adjustments</t>
        </is>
      </c>
      <c r="C112" s="12" t="inlineStr">
        <is>
          <t>1</t>
        </is>
      </c>
      <c r="D112" s="12" t="inlineStr">
        <is>
          <t>List</t>
        </is>
      </c>
      <c r="E112" s="12" t="inlineStr">
        <is>
          <t>Adjustment</t>
        </is>
      </c>
      <c r="F112" s="12" t="inlineStr">
        <is>
          <t>Column</t>
        </is>
      </c>
      <c r="G112" s="12" t="inlineStr">
        <is>
          <t>Reference MIG-TU-n; as-of date under it</t>
        </is>
      </c>
      <c r="H112" s="12" t="inlineStr">
        <is>
          <t>-</t>
        </is>
      </c>
      <c r="I112" s="12" t="inlineStr">
        <is>
          <t>Adjustments</t>
        </is>
      </c>
      <c r="J112" s="12" t="inlineStr">
        <is>
          <t>-</t>
        </is>
      </c>
      <c r="K112" s="12" t="inlineStr">
        <is>
          <t>-</t>
        </is>
      </c>
      <c r="L112" s="12" t="inlineStr">
        <is>
          <t>-</t>
        </is>
      </c>
      <c r="M112" s="12" t="inlineStr">
        <is>
          <t>-</t>
        </is>
      </c>
      <c r="N112" s="12" t="n"/>
      <c r="O112" s="12" t="n"/>
      <c r="P112" s="12" t="n"/>
      <c r="Q112" s="25" t="n"/>
    </row>
    <row r="113">
      <c r="A113" s="12" t="inlineStr">
        <is>
          <t>SCR-DM-11</t>
        </is>
      </c>
      <c r="B113" s="12" t="inlineStr">
        <is>
          <t>Opening-Balance Adjustments</t>
        </is>
      </c>
      <c r="C113" s="12" t="inlineStr">
        <is>
          <t>2</t>
        </is>
      </c>
      <c r="D113" s="12" t="inlineStr">
        <is>
          <t>List</t>
        </is>
      </c>
      <c r="E113" s="12" t="inlineStr">
        <is>
          <t>Batches</t>
        </is>
      </c>
      <c r="F113" s="12" t="inlineStr">
        <is>
          <t>Column</t>
        </is>
      </c>
      <c r="G113" s="12" t="inlineStr">
        <is>
          <t>Adjustment batch; trial balance batch under it</t>
        </is>
      </c>
      <c r="H113" s="12" t="inlineStr">
        <is>
          <t>-</t>
        </is>
      </c>
      <c r="I113" s="12" t="inlineStr">
        <is>
          <t>Adjustment</t>
        </is>
      </c>
      <c r="J113" s="12" t="inlineStr">
        <is>
          <t>-</t>
        </is>
      </c>
      <c r="K113" s="12" t="inlineStr">
        <is>
          <t>-</t>
        </is>
      </c>
      <c r="L113" s="12" t="inlineStr">
        <is>
          <t>-</t>
        </is>
      </c>
      <c r="M113" s="12" t="inlineStr">
        <is>
          <t>-</t>
        </is>
      </c>
      <c r="N113" s="12" t="n"/>
      <c r="O113" s="12" t="n"/>
      <c r="P113" s="12" t="n"/>
      <c r="Q113" s="25" t="n"/>
    </row>
    <row r="114">
      <c r="A114" s="12" t="inlineStr">
        <is>
          <t>SCR-DM-11</t>
        </is>
      </c>
      <c r="B114" s="12" t="inlineStr">
        <is>
          <t>Opening-Balance Adjustments</t>
        </is>
      </c>
      <c r="C114" s="12" t="inlineStr">
        <is>
          <t>3</t>
        </is>
      </c>
      <c r="D114" s="12" t="inlineStr">
        <is>
          <t>List</t>
        </is>
      </c>
      <c r="E114" s="12" t="inlineStr">
        <is>
          <t>Posted</t>
        </is>
      </c>
      <c r="F114" s="12" t="inlineStr">
        <is>
          <t>Column</t>
        </is>
      </c>
      <c r="G114" s="12" t="inlineStr">
        <is>
          <t>Journals and items adjusted; date and time</t>
        </is>
      </c>
      <c r="H114" s="12" t="inlineStr">
        <is>
          <t>-</t>
        </is>
      </c>
      <c r="I114" s="12" t="inlineStr">
        <is>
          <t>Posting</t>
        </is>
      </c>
      <c r="J114" s="12" t="inlineStr">
        <is>
          <t>-</t>
        </is>
      </c>
      <c r="K114" s="12" t="inlineStr">
        <is>
          <t>-</t>
        </is>
      </c>
      <c r="L114" s="12" t="inlineStr">
        <is>
          <t>-</t>
        </is>
      </c>
      <c r="M114" s="12" t="inlineStr">
        <is>
          <t>-</t>
        </is>
      </c>
      <c r="N114" s="12" t="n"/>
      <c r="O114" s="12" t="n"/>
      <c r="P114" s="12" t="n"/>
      <c r="Q114" s="25" t="n"/>
    </row>
    <row r="115">
      <c r="A115" s="12" t="inlineStr">
        <is>
          <t>SCR-DM-11</t>
        </is>
      </c>
      <c r="B115" s="12" t="inlineStr">
        <is>
          <t>Opening-Balance Adjustments</t>
        </is>
      </c>
      <c r="C115" s="12" t="inlineStr">
        <is>
          <t>4</t>
        </is>
      </c>
      <c r="D115" s="12" t="inlineStr">
        <is>
          <t>List</t>
        </is>
      </c>
      <c r="E115" s="12" t="inlineStr">
        <is>
          <t>Prepared / Approved / Signed</t>
        </is>
      </c>
      <c r="F115" s="12" t="inlineStr">
        <is>
          <t>Column</t>
        </is>
      </c>
      <c r="G115" s="12" t="inlineStr">
        <is>
          <t>Names</t>
        </is>
      </c>
      <c r="H115" s="12" t="inlineStr">
        <is>
          <t>-</t>
        </is>
      </c>
      <c r="I115" s="12" t="inlineStr">
        <is>
          <t>Adjustment</t>
        </is>
      </c>
      <c r="J115" s="12" t="inlineStr">
        <is>
          <t>-</t>
        </is>
      </c>
      <c r="K115" s="12" t="inlineStr">
        <is>
          <t>-</t>
        </is>
      </c>
      <c r="L115" s="12" t="inlineStr">
        <is>
          <t>-</t>
        </is>
      </c>
      <c r="M115" s="12" t="inlineStr">
        <is>
          <t>-</t>
        </is>
      </c>
      <c r="N115" s="12" t="n"/>
      <c r="O115" s="12" t="n"/>
      <c r="P115" s="12" t="n"/>
      <c r="Q115" s="25" t="n"/>
    </row>
    <row r="116">
      <c r="A116" s="12" t="inlineStr">
        <is>
          <t>SCR-DM-11</t>
        </is>
      </c>
      <c r="B116" s="12" t="inlineStr">
        <is>
          <t>Opening-Balance Adjustments</t>
        </is>
      </c>
      <c r="C116" s="12" t="inlineStr">
        <is>
          <t>5</t>
        </is>
      </c>
      <c r="D116" s="12" t="inlineStr">
        <is>
          <t>List</t>
        </is>
      </c>
      <c r="E116" s="12" t="inlineStr">
        <is>
          <t>Status</t>
        </is>
      </c>
      <c r="F116" s="12" t="inlineStr">
        <is>
          <t>Pill</t>
        </is>
      </c>
      <c r="G116" s="12" t="inlineStr">
        <is>
          <t>Prepared, For approval, Approved, Posted, Reconciled, Signed</t>
        </is>
      </c>
      <c r="H116" s="12" t="inlineStr">
        <is>
          <t>-</t>
        </is>
      </c>
      <c r="I116" s="12" t="inlineStr">
        <is>
          <t>Adjustment</t>
        </is>
      </c>
      <c r="J116" s="12" t="inlineStr">
        <is>
          <t>Prepared</t>
        </is>
      </c>
      <c r="K116" s="12" t="inlineStr">
        <is>
          <t>-</t>
        </is>
      </c>
      <c r="L116" s="12" t="inlineStr">
        <is>
          <t>-</t>
        </is>
      </c>
      <c r="M116" s="12" t="inlineStr">
        <is>
          <t>-</t>
        </is>
      </c>
      <c r="N116" s="12" t="n"/>
      <c r="O116" s="12" t="n"/>
      <c r="P116" s="12" t="n"/>
      <c r="Q116" s="25" t="n"/>
    </row>
    <row r="117">
      <c r="A117" s="12" t="inlineStr">
        <is>
          <t>SCR-DM-11</t>
        </is>
      </c>
      <c r="B117" s="12" t="inlineStr">
        <is>
          <t>Opening-Balance Adjustments</t>
        </is>
      </c>
      <c r="C117" s="12" t="inlineStr">
        <is>
          <t>6</t>
        </is>
      </c>
      <c r="D117" s="12" t="inlineStr">
        <is>
          <t>Prepare Adjustment</t>
        </is>
      </c>
      <c r="E117" s="12" t="inlineStr">
        <is>
          <t>Adjustment</t>
        </is>
      </c>
      <c r="F117" s="12" t="inlineStr">
        <is>
          <t>Drop-down</t>
        </is>
      </c>
      <c r="G117" s="12" t="inlineStr">
        <is>
          <t>1 after the legacy year-end close, 2 interim, 3 interim, F final after the audited statements</t>
        </is>
      </c>
      <c r="H117" s="12" t="inlineStr">
        <is>
          <t>Y</t>
        </is>
      </c>
      <c r="I117" s="12" t="inlineStr">
        <is>
          <t>-</t>
        </is>
      </c>
      <c r="J117" s="12" t="inlineStr">
        <is>
          <t>1</t>
        </is>
      </c>
      <c r="K117" s="12" t="inlineStr">
        <is>
          <t>-</t>
        </is>
      </c>
      <c r="L117" s="12" t="inlineStr">
        <is>
          <t>Not yet prepared</t>
        </is>
      </c>
      <c r="M117" s="12" t="inlineStr">
        <is>
          <t>Opening-balance adjustment &lt;no&gt; already exists</t>
        </is>
      </c>
      <c r="N117" s="12" t="n"/>
      <c r="O117" s="12" t="n"/>
      <c r="P117" s="12" t="n"/>
      <c r="Q117" s="25" t="n"/>
    </row>
    <row r="118">
      <c r="A118" s="12" t="inlineStr">
        <is>
          <t>SCR-DM-11</t>
        </is>
      </c>
      <c r="B118" s="12" t="inlineStr">
        <is>
          <t>Opening-Balance Adjustments</t>
        </is>
      </c>
      <c r="C118" s="12" t="inlineStr">
        <is>
          <t>7</t>
        </is>
      </c>
      <c r="D118" s="12" t="inlineStr">
        <is>
          <t>Prepare Adjustment</t>
        </is>
      </c>
      <c r="E118" s="12" t="inlineStr">
        <is>
          <t>Legacy Trial Balance As Of</t>
        </is>
      </c>
      <c r="F118" s="12" t="inlineStr">
        <is>
          <t>Date</t>
        </is>
      </c>
      <c r="G118" s="12" t="inlineStr">
        <is>
          <t>dd-MMM-yyyy</t>
        </is>
      </c>
      <c r="H118" s="12" t="inlineStr">
        <is>
          <t>Y</t>
        </is>
      </c>
      <c r="I118" s="12" t="inlineStr">
        <is>
          <t>-</t>
        </is>
      </c>
      <c r="J118" s="12" t="inlineStr">
        <is>
          <t>-</t>
        </is>
      </c>
      <c r="K118" s="12" t="inlineStr">
        <is>
          <t>-</t>
        </is>
      </c>
      <c r="L118" s="12" t="inlineStr">
        <is>
          <t>-</t>
        </is>
      </c>
      <c r="M118" s="12" t="inlineStr">
        <is>
          <t>-</t>
        </is>
      </c>
      <c r="N118" s="12" t="n"/>
      <c r="O118" s="12" t="n"/>
      <c r="P118" s="12" t="n"/>
      <c r="Q118" s="25" t="n"/>
    </row>
    <row r="119">
      <c r="A119" s="12" t="inlineStr">
        <is>
          <t>SCR-DM-11</t>
        </is>
      </c>
      <c r="B119" s="12" t="inlineStr">
        <is>
          <t>Opening-Balance Adjustments</t>
        </is>
      </c>
      <c r="C119" s="12" t="inlineStr">
        <is>
          <t>8</t>
        </is>
      </c>
      <c r="D119" s="12" t="inlineStr">
        <is>
          <t>Prepare Adjustment</t>
        </is>
      </c>
      <c r="E119" s="12" t="inlineStr">
        <is>
          <t>Adjustment Batch</t>
        </is>
      </c>
      <c r="F119" s="12" t="inlineStr">
        <is>
          <t>Drop-down</t>
        </is>
      </c>
      <c r="G119" s="12" t="inlineStr">
        <is>
          <t>A validated batch of the adjustment journals (G03)</t>
        </is>
      </c>
      <c r="H119" s="12" t="inlineStr">
        <is>
          <t>Y</t>
        </is>
      </c>
      <c r="I119" s="12" t="inlineStr">
        <is>
          <t>Batches of object G03</t>
        </is>
      </c>
      <c r="J119" s="12" t="inlineStr">
        <is>
          <t>-</t>
        </is>
      </c>
      <c r="K119" s="12" t="inlineStr">
        <is>
          <t>-</t>
        </is>
      </c>
      <c r="L119" s="12" t="inlineStr">
        <is>
          <t>A batch of the adjustment object</t>
        </is>
      </c>
      <c r="M119" s="12" t="inlineStr">
        <is>
          <t>Batch &lt;batch no&gt; is not a batch of object &lt;object&gt;</t>
        </is>
      </c>
      <c r="N119" s="12" t="n"/>
      <c r="O119" s="12" t="n"/>
      <c r="P119" s="12" t="n"/>
      <c r="Q119" s="25" t="n"/>
    </row>
    <row r="120">
      <c r="A120" s="12" t="inlineStr">
        <is>
          <t>SCR-DM-11</t>
        </is>
      </c>
      <c r="B120" s="12" t="inlineStr">
        <is>
          <t>Opening-Balance Adjustments</t>
        </is>
      </c>
      <c r="C120" s="12" t="inlineStr">
        <is>
          <t>9</t>
        </is>
      </c>
      <c r="D120" s="12" t="inlineStr">
        <is>
          <t>Prepare Adjustment</t>
        </is>
      </c>
      <c r="E120" s="12" t="inlineStr">
        <is>
          <t>Legacy Trial Balance Batch</t>
        </is>
      </c>
      <c r="F120" s="12" t="inlineStr">
        <is>
          <t>Drop-down</t>
        </is>
      </c>
      <c r="G120" s="12" t="inlineStr">
        <is>
          <t>The trial balance of the same version (G01), or None</t>
        </is>
      </c>
      <c r="H120" s="12" t="inlineStr">
        <is>
          <t>N</t>
        </is>
      </c>
      <c r="I120" s="12" t="inlineStr">
        <is>
          <t>Batches of object G01</t>
        </is>
      </c>
      <c r="J120" s="12" t="inlineStr">
        <is>
          <t>None</t>
        </is>
      </c>
      <c r="K120" s="12" t="inlineStr">
        <is>
          <t>-</t>
        </is>
      </c>
      <c r="L120" s="12" t="inlineStr">
        <is>
          <t>-</t>
        </is>
      </c>
      <c r="M120" s="12" t="inlineStr">
        <is>
          <t>-</t>
        </is>
      </c>
      <c r="N120" s="12" t="n"/>
      <c r="O120" s="12" t="n"/>
      <c r="P120" s="12" t="n"/>
      <c r="Q120" s="25" t="n"/>
    </row>
    <row r="121">
      <c r="A121" s="12" t="inlineStr">
        <is>
          <t>SCR-DM-12</t>
        </is>
      </c>
      <c r="B121" s="12" t="inlineStr">
        <is>
          <t>Cutover</t>
        </is>
      </c>
      <c r="C121" s="12" t="inlineStr">
        <is>
          <t>1</t>
        </is>
      </c>
      <c r="D121" s="12" t="inlineStr">
        <is>
          <t>Plans</t>
        </is>
      </c>
      <c r="E121" s="12" t="inlineStr">
        <is>
          <t>Plan</t>
        </is>
      </c>
      <c r="F121" s="12" t="inlineStr">
        <is>
          <t>Column</t>
        </is>
      </c>
      <c r="G121" s="12" t="inlineStr">
        <is>
          <t>Name; plan number under it</t>
        </is>
      </c>
      <c r="H121" s="12" t="inlineStr">
        <is>
          <t>-</t>
        </is>
      </c>
      <c r="I121" s="12" t="inlineStr">
        <is>
          <t>Plans</t>
        </is>
      </c>
      <c r="J121" s="12" t="inlineStr">
        <is>
          <t>-</t>
        </is>
      </c>
      <c r="K121" s="12" t="inlineStr">
        <is>
          <t>-</t>
        </is>
      </c>
      <c r="L121" s="12" t="inlineStr">
        <is>
          <t>-</t>
        </is>
      </c>
      <c r="M121" s="12" t="inlineStr">
        <is>
          <t>-</t>
        </is>
      </c>
      <c r="N121" s="12" t="n"/>
      <c r="O121" s="12" t="n"/>
      <c r="P121" s="12" t="n"/>
      <c r="Q121" s="25" t="n"/>
    </row>
    <row r="122">
      <c r="A122" s="12" t="inlineStr">
        <is>
          <t>SCR-DM-12</t>
        </is>
      </c>
      <c r="B122" s="12" t="inlineStr">
        <is>
          <t>Cutover</t>
        </is>
      </c>
      <c r="C122" s="12" t="inlineStr">
        <is>
          <t>2</t>
        </is>
      </c>
      <c r="D122" s="12" t="inlineStr">
        <is>
          <t>Plans</t>
        </is>
      </c>
      <c r="E122" s="12" t="inlineStr">
        <is>
          <t>Kind</t>
        </is>
      </c>
      <c r="F122" s="12" t="inlineStr">
        <is>
          <t>Column</t>
        </is>
      </c>
      <c r="G122" s="12" t="inlineStr">
        <is>
          <t>Mock run with its number, Dress rehearsal, Production cut-over</t>
        </is>
      </c>
      <c r="H122" s="12" t="inlineStr">
        <is>
          <t>-</t>
        </is>
      </c>
      <c r="I122" s="12" t="inlineStr">
        <is>
          <t>Plan</t>
        </is>
      </c>
      <c r="J122" s="12" t="inlineStr">
        <is>
          <t>-</t>
        </is>
      </c>
      <c r="K122" s="12" t="inlineStr">
        <is>
          <t>-</t>
        </is>
      </c>
      <c r="L122" s="12" t="inlineStr">
        <is>
          <t>-</t>
        </is>
      </c>
      <c r="M122" s="12" t="inlineStr">
        <is>
          <t>-</t>
        </is>
      </c>
      <c r="N122" s="12" t="n"/>
      <c r="O122" s="12" t="n"/>
      <c r="P122" s="12" t="n"/>
      <c r="Q122" s="25" t="n"/>
    </row>
    <row r="123">
      <c r="A123" s="12" t="inlineStr">
        <is>
          <t>SCR-DM-12</t>
        </is>
      </c>
      <c r="B123" s="12" t="inlineStr">
        <is>
          <t>Cutover</t>
        </is>
      </c>
      <c r="C123" s="12" t="inlineStr">
        <is>
          <t>3</t>
        </is>
      </c>
      <c r="D123" s="12" t="inlineStr">
        <is>
          <t>Plans</t>
        </is>
      </c>
      <c r="E123" s="12" t="inlineStr">
        <is>
          <t>Environment, Go-live, Status</t>
        </is>
      </c>
      <c r="F123" s="12" t="inlineStr">
        <is>
          <t>Column</t>
        </is>
      </c>
      <c r="G123" s="12" t="inlineStr">
        <is>
          <t>SIT, UAT, PERF or PROD; dd-MMM-yyyy</t>
        </is>
      </c>
      <c r="H123" s="12" t="inlineStr">
        <is>
          <t>-</t>
        </is>
      </c>
      <c r="I123" s="12" t="inlineStr">
        <is>
          <t>Plan</t>
        </is>
      </c>
      <c r="J123" s="12" t="inlineStr">
        <is>
          <t>-</t>
        </is>
      </c>
      <c r="K123" s="12" t="inlineStr">
        <is>
          <t>-</t>
        </is>
      </c>
      <c r="L123" s="12" t="inlineStr">
        <is>
          <t>-</t>
        </is>
      </c>
      <c r="M123" s="12" t="inlineStr">
        <is>
          <t>-</t>
        </is>
      </c>
      <c r="N123" s="12" t="n"/>
      <c r="O123" s="12" t="n"/>
      <c r="P123" s="12" t="n"/>
      <c r="Q123" s="25" t="n"/>
    </row>
    <row r="124">
      <c r="A124" s="12" t="inlineStr">
        <is>
          <t>SCR-DM-12</t>
        </is>
      </c>
      <c r="B124" s="12" t="inlineStr">
        <is>
          <t>Cutover</t>
        </is>
      </c>
      <c r="C124" s="12" t="inlineStr">
        <is>
          <t>4</t>
        </is>
      </c>
      <c r="D124" s="12" t="inlineStr">
        <is>
          <t>New Cutover Plan</t>
        </is>
      </c>
      <c r="E124" s="12" t="inlineStr">
        <is>
          <t>Name</t>
        </is>
      </c>
      <c r="F124" s="12" t="inlineStr">
        <is>
          <t>Text</t>
        </is>
      </c>
      <c r="G124" s="12" t="inlineStr">
        <is>
          <t>Up to 120 characters</t>
        </is>
      </c>
      <c r="H124" s="12" t="inlineStr">
        <is>
          <t>Y</t>
        </is>
      </c>
      <c r="I124" s="12" t="inlineStr">
        <is>
          <t>-</t>
        </is>
      </c>
      <c r="J124" s="12" t="inlineStr">
        <is>
          <t>-</t>
        </is>
      </c>
      <c r="K124" s="12" t="inlineStr">
        <is>
          <t>-</t>
        </is>
      </c>
      <c r="L124" s="12" t="inlineStr">
        <is>
          <t>Not blank</t>
        </is>
      </c>
      <c r="M124" s="12" t="inlineStr">
        <is>
          <t>-</t>
        </is>
      </c>
      <c r="N124" s="12" t="n"/>
      <c r="O124" s="12" t="n"/>
      <c r="P124" s="12" t="n"/>
      <c r="Q124" s="25" t="n"/>
    </row>
    <row r="125">
      <c r="A125" s="12" t="inlineStr">
        <is>
          <t>SCR-DM-12</t>
        </is>
      </c>
      <c r="B125" s="12" t="inlineStr">
        <is>
          <t>Cutover</t>
        </is>
      </c>
      <c r="C125" s="12" t="inlineStr">
        <is>
          <t>5</t>
        </is>
      </c>
      <c r="D125" s="12" t="inlineStr">
        <is>
          <t>New Cutover Plan</t>
        </is>
      </c>
      <c r="E125" s="12" t="inlineStr">
        <is>
          <t>Kind</t>
        </is>
      </c>
      <c r="F125" s="12" t="inlineStr">
        <is>
          <t>Drop-down</t>
        </is>
      </c>
      <c r="G125" s="12" t="inlineStr">
        <is>
          <t>Mock run, Dress rehearsal, Production cut-over</t>
        </is>
      </c>
      <c r="H125" s="12" t="inlineStr">
        <is>
          <t>Y</t>
        </is>
      </c>
      <c r="I125" s="12" t="inlineStr">
        <is>
          <t>-</t>
        </is>
      </c>
      <c r="J125" s="12" t="inlineStr">
        <is>
          <t>Mock run</t>
        </is>
      </c>
      <c r="K125" s="12" t="inlineStr">
        <is>
          <t>-</t>
        </is>
      </c>
      <c r="L125" s="12" t="inlineStr">
        <is>
          <t>-</t>
        </is>
      </c>
      <c r="M125" s="12" t="inlineStr">
        <is>
          <t>-</t>
        </is>
      </c>
      <c r="N125" s="12" t="n"/>
      <c r="O125" s="12" t="n"/>
      <c r="P125" s="12" t="n"/>
      <c r="Q125" s="25" t="n"/>
    </row>
    <row r="126">
      <c r="A126" s="12" t="inlineStr">
        <is>
          <t>SCR-DM-12</t>
        </is>
      </c>
      <c r="B126" s="12" t="inlineStr">
        <is>
          <t>Cutover</t>
        </is>
      </c>
      <c r="C126" s="12" t="inlineStr">
        <is>
          <t>6</t>
        </is>
      </c>
      <c r="D126" s="12" t="inlineStr">
        <is>
          <t>New Cutover Plan</t>
        </is>
      </c>
      <c r="E126" s="12" t="inlineStr">
        <is>
          <t>Mock No.</t>
        </is>
      </c>
      <c r="F126" s="12" t="inlineStr">
        <is>
          <t>Number</t>
        </is>
      </c>
      <c r="G126" s="12" t="inlineStr">
        <is>
          <t>1 or more</t>
        </is>
      </c>
      <c r="H126" s="12" t="inlineStr">
        <is>
          <t>N</t>
        </is>
      </c>
      <c r="I126" s="12" t="inlineStr">
        <is>
          <t>-</t>
        </is>
      </c>
      <c r="J126" s="12" t="inlineStr">
        <is>
          <t>-</t>
        </is>
      </c>
      <c r="K126" s="12" t="inlineStr">
        <is>
          <t>-</t>
        </is>
      </c>
      <c r="L126" s="12" t="inlineStr">
        <is>
          <t>For a mock run</t>
        </is>
      </c>
      <c r="M126" s="12" t="inlineStr">
        <is>
          <t>-</t>
        </is>
      </c>
      <c r="N126" s="12" t="n"/>
      <c r="O126" s="12" t="n"/>
      <c r="P126" s="12" t="n"/>
      <c r="Q126" s="25" t="n"/>
    </row>
    <row r="127">
      <c r="A127" s="12" t="inlineStr">
        <is>
          <t>SCR-DM-12</t>
        </is>
      </c>
      <c r="B127" s="12" t="inlineStr">
        <is>
          <t>Cutover</t>
        </is>
      </c>
      <c r="C127" s="12" t="inlineStr">
        <is>
          <t>7</t>
        </is>
      </c>
      <c r="D127" s="12" t="inlineStr">
        <is>
          <t>New Cutover Plan</t>
        </is>
      </c>
      <c r="E127" s="12" t="inlineStr">
        <is>
          <t>Environment</t>
        </is>
      </c>
      <c r="F127" s="12" t="inlineStr">
        <is>
          <t>Text</t>
        </is>
      </c>
      <c r="G127" s="12" t="inlineStr">
        <is>
          <t>SIT, UAT, PERF or PROD</t>
        </is>
      </c>
      <c r="H127" s="12" t="inlineStr">
        <is>
          <t>Y</t>
        </is>
      </c>
      <c r="I127" s="12" t="inlineStr">
        <is>
          <t>-</t>
        </is>
      </c>
      <c r="J127" s="12" t="inlineStr">
        <is>
          <t>SIT</t>
        </is>
      </c>
      <c r="K127" s="12" t="inlineStr">
        <is>
          <t>-</t>
        </is>
      </c>
      <c r="L127" s="12" t="inlineStr">
        <is>
          <t>Not blank</t>
        </is>
      </c>
      <c r="M127" s="12" t="inlineStr">
        <is>
          <t>-</t>
        </is>
      </c>
      <c r="N127" s="12" t="n"/>
      <c r="O127" s="12" t="n"/>
      <c r="P127" s="12" t="n"/>
      <c r="Q127" s="25" t="n"/>
    </row>
    <row r="128">
      <c r="A128" s="12" t="inlineStr">
        <is>
          <t>SCR-DM-12</t>
        </is>
      </c>
      <c r="B128" s="12" t="inlineStr">
        <is>
          <t>Cutover</t>
        </is>
      </c>
      <c r="C128" s="12" t="inlineStr">
        <is>
          <t>8</t>
        </is>
      </c>
      <c r="D128" s="12" t="inlineStr">
        <is>
          <t>New Cutover Plan</t>
        </is>
      </c>
      <c r="E128" s="12" t="inlineStr">
        <is>
          <t>Go-live Date</t>
        </is>
      </c>
      <c r="F128" s="12" t="inlineStr">
        <is>
          <t>Date</t>
        </is>
      </c>
      <c r="G128" s="12" t="inlineStr">
        <is>
          <t>dd-MMM-yyyy</t>
        </is>
      </c>
      <c r="H128" s="12" t="inlineStr">
        <is>
          <t>Y</t>
        </is>
      </c>
      <c r="I128" s="12" t="inlineStr">
        <is>
          <t>-</t>
        </is>
      </c>
      <c r="J128" s="12" t="inlineStr">
        <is>
          <t>-</t>
        </is>
      </c>
      <c r="K128" s="12" t="inlineStr">
        <is>
          <t>-</t>
        </is>
      </c>
      <c r="L128" s="12" t="inlineStr">
        <is>
          <t>-</t>
        </is>
      </c>
      <c r="M128" s="12" t="inlineStr">
        <is>
          <t>Give the go-live date of the plan</t>
        </is>
      </c>
      <c r="N128" s="12" t="n"/>
      <c r="O128" s="12" t="n"/>
      <c r="P128" s="12" t="n"/>
      <c r="Q128" s="25" t="n"/>
    </row>
    <row r="129">
      <c r="A129" s="12" t="inlineStr">
        <is>
          <t>SCR-DM-12</t>
        </is>
      </c>
      <c r="B129" s="12" t="inlineStr">
        <is>
          <t>Cutover</t>
        </is>
      </c>
      <c r="C129" s="12" t="inlineStr">
        <is>
          <t>9</t>
        </is>
      </c>
      <c r="D129" s="12" t="inlineStr">
        <is>
          <t>Runbook</t>
        </is>
      </c>
      <c r="E129" s="12" t="inlineStr">
        <is>
          <t>No., Task, Owner, After, Planned, Actual, Status</t>
        </is>
      </c>
      <c r="F129" s="12" t="inlineStr">
        <is>
          <t>Columns</t>
        </is>
      </c>
      <c r="G129" s="12" t="inlineStr">
        <is>
          <t>Phase under the task; object under the owner; reason under the status</t>
        </is>
      </c>
      <c r="H129" s="12" t="inlineStr">
        <is>
          <t>-</t>
        </is>
      </c>
      <c r="I129" s="12" t="inlineStr">
        <is>
          <t>Runbook tasks</t>
        </is>
      </c>
      <c r="J129" s="12" t="inlineStr">
        <is>
          <t>-</t>
        </is>
      </c>
      <c r="K129" s="12" t="inlineStr">
        <is>
          <t>-</t>
        </is>
      </c>
      <c r="L129" s="12" t="inlineStr">
        <is>
          <t>-</t>
        </is>
      </c>
      <c r="M129" s="12" t="inlineStr">
        <is>
          <t>-</t>
        </is>
      </c>
      <c r="N129" s="12" t="n"/>
      <c r="O129" s="12" t="n"/>
      <c r="P129" s="12" t="n"/>
      <c r="Q129" s="25" t="n"/>
    </row>
    <row r="130">
      <c r="A130" s="12" t="inlineStr">
        <is>
          <t>SCR-DM-12</t>
        </is>
      </c>
      <c r="B130" s="12" t="inlineStr">
        <is>
          <t>Cutover</t>
        </is>
      </c>
      <c r="C130" s="12" t="inlineStr">
        <is>
          <t>10</t>
        </is>
      </c>
      <c r="D130" s="12" t="inlineStr">
        <is>
          <t>Go / No-Go Criteria</t>
        </is>
      </c>
      <c r="E130" s="12" t="inlineStr">
        <is>
          <t>No., Criterion, Kind, Measured, Result</t>
        </is>
      </c>
      <c r="F130" s="12" t="inlineStr">
        <is>
          <t>Columns</t>
        </is>
      </c>
      <c r="G130" s="12" t="inlineStr">
        <is>
          <t>Threshold under the criterion; Measured or Recorded; Open, Met, Not met</t>
        </is>
      </c>
      <c r="H130" s="12" t="inlineStr">
        <is>
          <t>-</t>
        </is>
      </c>
      <c r="I130" s="12" t="inlineStr">
        <is>
          <t>Criteria</t>
        </is>
      </c>
      <c r="J130" s="12" t="inlineStr">
        <is>
          <t>-</t>
        </is>
      </c>
      <c r="K130" s="12" t="inlineStr">
        <is>
          <t>-</t>
        </is>
      </c>
      <c r="L130" s="12" t="inlineStr">
        <is>
          <t>-</t>
        </is>
      </c>
      <c r="M130" s="12" t="inlineStr">
        <is>
          <t>-</t>
        </is>
      </c>
      <c r="N130" s="12" t="n"/>
      <c r="O130" s="12" t="n"/>
      <c r="P130" s="12" t="n"/>
      <c r="Q130" s="25" t="n"/>
    </row>
    <row r="131">
      <c r="A131" s="12" t="inlineStr">
        <is>
          <t>SCR-DM-12</t>
        </is>
      </c>
      <c r="B131" s="12" t="inlineStr">
        <is>
          <t>Cutover</t>
        </is>
      </c>
      <c r="C131" s="12" t="inlineStr">
        <is>
          <t>11</t>
        </is>
      </c>
      <c r="D131" s="12" t="inlineStr">
        <is>
          <t>Decisions</t>
        </is>
      </c>
      <c r="E131" s="12" t="inlineStr">
        <is>
          <t>Decision, Criteria met, Decided by, At, Comment</t>
        </is>
      </c>
      <c r="F131" s="12" t="inlineStr">
        <is>
          <t>Columns</t>
        </is>
      </c>
      <c r="G131" s="12" t="inlineStr">
        <is>
          <t>GO or NO-GO</t>
        </is>
      </c>
      <c r="H131" s="12" t="inlineStr">
        <is>
          <t>-</t>
        </is>
      </c>
      <c r="I131" s="12" t="inlineStr">
        <is>
          <t>Decisions of the board</t>
        </is>
      </c>
      <c r="J131" s="12" t="inlineStr">
        <is>
          <t>-</t>
        </is>
      </c>
      <c r="K131" s="12" t="inlineStr">
        <is>
          <t>-</t>
        </is>
      </c>
      <c r="L131" s="12" t="inlineStr">
        <is>
          <t>-</t>
        </is>
      </c>
      <c r="M131" s="12" t="inlineStr">
        <is>
          <t>-</t>
        </is>
      </c>
      <c r="N131" s="12" t="n"/>
      <c r="O131" s="12" t="n"/>
      <c r="P131" s="12" t="n"/>
      <c r="Q131" s="25" t="n"/>
    </row>
    <row r="132">
      <c r="A132" s="12" t="inlineStr">
        <is>
          <t>SCR-DM-13</t>
        </is>
      </c>
      <c r="B132" s="12" t="inlineStr">
        <is>
          <t>Run-off and Decommissioning</t>
        </is>
      </c>
      <c r="C132" s="12" t="inlineStr">
        <is>
          <t>1</t>
        </is>
      </c>
      <c r="D132" s="12" t="inlineStr">
        <is>
          <t>Run-off</t>
        </is>
      </c>
      <c r="E132" s="12" t="inlineStr">
        <is>
          <t>Expiry Month, System</t>
        </is>
      </c>
      <c r="F132" s="12" t="inlineStr">
        <is>
          <t>Column</t>
        </is>
      </c>
      <c r="G132" s="12" t="inlineStr">
        <is>
          <t>yyyy-MM; EBIX, QPS, ISYS, CMS</t>
        </is>
      </c>
      <c r="H132" s="12" t="inlineStr">
        <is>
          <t>-</t>
        </is>
      </c>
      <c r="I132" s="12" t="inlineStr">
        <is>
          <t>Run-off snapshot</t>
        </is>
      </c>
      <c r="J132" s="12" t="inlineStr">
        <is>
          <t>-</t>
        </is>
      </c>
      <c r="K132" s="12" t="inlineStr">
        <is>
          <t>-</t>
        </is>
      </c>
      <c r="L132" s="12" t="inlineStr">
        <is>
          <t>-</t>
        </is>
      </c>
      <c r="M132" s="12" t="inlineStr">
        <is>
          <t>-</t>
        </is>
      </c>
      <c r="N132" s="12" t="n"/>
      <c r="O132" s="12" t="n"/>
      <c r="P132" s="12" t="n"/>
      <c r="Q132" s="25" t="n"/>
    </row>
    <row r="133">
      <c r="A133" s="12" t="inlineStr">
        <is>
          <t>SCR-DM-13</t>
        </is>
      </c>
      <c r="B133" s="12" t="inlineStr">
        <is>
          <t>Run-off and Decommissioning</t>
        </is>
      </c>
      <c r="C133" s="12" t="inlineStr">
        <is>
          <t>2</t>
        </is>
      </c>
      <c r="D133" s="12" t="inlineStr">
        <is>
          <t>Run-off</t>
        </is>
      </c>
      <c r="E133" s="12" t="inlineStr">
        <is>
          <t>In Force, Premium in Force</t>
        </is>
      </c>
      <c r="F133" s="12" t="inlineStr">
        <is>
          <t>Column</t>
        </is>
      </c>
      <c r="G133" s="12" t="inlineStr">
        <is>
          <t>Count; amount</t>
        </is>
      </c>
      <c r="H133" s="12" t="inlineStr">
        <is>
          <t>-</t>
        </is>
      </c>
      <c r="I133" s="12" t="inlineStr">
        <is>
          <t>Run-off snapshot</t>
        </is>
      </c>
      <c r="J133" s="12" t="inlineStr">
        <is>
          <t>-</t>
        </is>
      </c>
      <c r="K133" s="12" t="inlineStr">
        <is>
          <t>-</t>
        </is>
      </c>
      <c r="L133" s="12" t="inlineStr">
        <is>
          <t>-</t>
        </is>
      </c>
      <c r="M133" s="12" t="inlineStr">
        <is>
          <t>-</t>
        </is>
      </c>
      <c r="N133" s="12" t="n"/>
      <c r="O133" s="12" t="n"/>
      <c r="P133" s="12" t="n"/>
      <c r="Q133" s="25" t="n"/>
    </row>
    <row r="134">
      <c r="A134" s="12" t="inlineStr">
        <is>
          <t>SCR-DM-13</t>
        </is>
      </c>
      <c r="B134" s="12" t="inlineStr">
        <is>
          <t>Run-off and Decommissioning</t>
        </is>
      </c>
      <c r="C134" s="12" t="inlineStr">
        <is>
          <t>3</t>
        </is>
      </c>
      <c r="D134" s="12" t="inlineStr">
        <is>
          <t>Run-off</t>
        </is>
      </c>
      <c r="E134" s="12" t="inlineStr">
        <is>
          <t>Renewed, Not Renewed, Lapsed, Still Open</t>
        </is>
      </c>
      <c r="F134" s="12" t="inlineStr">
        <is>
          <t>Column</t>
        </is>
      </c>
      <c r="G134" s="12" t="inlineStr">
        <is>
          <t>Counts</t>
        </is>
      </c>
      <c r="H134" s="12" t="inlineStr">
        <is>
          <t>-</t>
        </is>
      </c>
      <c r="I134" s="12" t="inlineStr">
        <is>
          <t>Run-off snapshot</t>
        </is>
      </c>
      <c r="J134" s="12" t="inlineStr">
        <is>
          <t>-</t>
        </is>
      </c>
      <c r="K134" s="12" t="inlineStr">
        <is>
          <t>-</t>
        </is>
      </c>
      <c r="L134" s="12" t="inlineStr">
        <is>
          <t>-</t>
        </is>
      </c>
      <c r="M134" s="12" t="inlineStr">
        <is>
          <t>-</t>
        </is>
      </c>
      <c r="N134" s="12" t="n"/>
      <c r="O134" s="12" t="n"/>
      <c r="P134" s="12" t="n"/>
      <c r="Q134" s="25" t="n"/>
    </row>
    <row r="135">
      <c r="A135" s="12" t="inlineStr">
        <is>
          <t>SCR-DM-13</t>
        </is>
      </c>
      <c r="B135" s="12" t="inlineStr">
        <is>
          <t>Run-off and Decommissioning</t>
        </is>
      </c>
      <c r="C135" s="12" t="inlineStr">
        <is>
          <t>4</t>
        </is>
      </c>
      <c r="D135" s="12" t="inlineStr">
        <is>
          <t>Decommissioning Checklists</t>
        </is>
      </c>
      <c r="E135" s="12" t="inlineStr">
        <is>
          <t>Legacy System</t>
        </is>
      </c>
      <c r="F135" s="12" t="inlineStr">
        <is>
          <t>Drop-down</t>
        </is>
      </c>
      <c r="G135" s="12" t="inlineStr">
        <is>
          <t>EBIX, QPS, ISYS, CMS without an open checklist</t>
        </is>
      </c>
      <c r="H135" s="12" t="inlineStr">
        <is>
          <t>Y</t>
        </is>
      </c>
      <c r="I135" s="12" t="inlineStr">
        <is>
          <t>Legacy systems</t>
        </is>
      </c>
      <c r="J135" s="12" t="inlineStr">
        <is>
          <t>EBIX</t>
        </is>
      </c>
      <c r="K135" s="12" t="inlineStr">
        <is>
          <t>-</t>
        </is>
      </c>
      <c r="L135" s="12" t="inlineStr">
        <is>
          <t>-</t>
        </is>
      </c>
      <c r="M135" s="12" t="inlineStr">
        <is>
          <t>The checklist of &lt;system&gt; is already open</t>
        </is>
      </c>
      <c r="N135" s="12" t="n"/>
      <c r="O135" s="12" t="n"/>
      <c r="P135" s="12" t="n"/>
      <c r="Q135" s="25" t="n"/>
    </row>
    <row r="136">
      <c r="A136" s="12" t="inlineStr">
        <is>
          <t>SCR-DM-13</t>
        </is>
      </c>
      <c r="B136" s="12" t="inlineStr">
        <is>
          <t>Run-off and Decommissioning</t>
        </is>
      </c>
      <c r="C136" s="12" t="inlineStr">
        <is>
          <t>5</t>
        </is>
      </c>
      <c r="D136" s="12" t="inlineStr">
        <is>
          <t>Decommissioning Checklists</t>
        </is>
      </c>
      <c r="E136" s="12" t="inlineStr">
        <is>
          <t>System</t>
        </is>
      </c>
      <c r="F136" s="12" t="inlineStr">
        <is>
          <t>Column</t>
        </is>
      </c>
      <c r="G136" s="12" t="inlineStr">
        <is>
          <t>System, or Legacy context; the milestone under it</t>
        </is>
      </c>
      <c r="H136" s="12" t="inlineStr">
        <is>
          <t>-</t>
        </is>
      </c>
      <c r="I136" s="12" t="inlineStr">
        <is>
          <t>Checklist</t>
        </is>
      </c>
      <c r="J136" s="12" t="inlineStr">
        <is>
          <t>-</t>
        </is>
      </c>
      <c r="K136" s="12" t="inlineStr">
        <is>
          <t>-</t>
        </is>
      </c>
      <c r="L136" s="12" t="inlineStr">
        <is>
          <t>-</t>
        </is>
      </c>
      <c r="M136" s="12" t="inlineStr">
        <is>
          <t>-</t>
        </is>
      </c>
      <c r="N136" s="12" t="n"/>
      <c r="O136" s="12" t="n"/>
      <c r="P136" s="12" t="n"/>
      <c r="Q136" s="25" t="n"/>
    </row>
    <row r="137">
      <c r="A137" s="12" t="inlineStr">
        <is>
          <t>SCR-DM-13</t>
        </is>
      </c>
      <c r="B137" s="12" t="inlineStr">
        <is>
          <t>Run-off and Decommissioning</t>
        </is>
      </c>
      <c r="C137" s="12" t="inlineStr">
        <is>
          <t>6</t>
        </is>
      </c>
      <c r="D137" s="12" t="inlineStr">
        <is>
          <t>Decommissioning Checklists</t>
        </is>
      </c>
      <c r="E137" s="12" t="inlineStr">
        <is>
          <t>Criterion</t>
        </is>
      </c>
      <c r="F137" s="12" t="inlineStr">
        <is>
          <t>Column</t>
        </is>
      </c>
      <c r="G137" s="12" t="inlineStr">
        <is>
          <t>Name; description under it</t>
        </is>
      </c>
      <c r="H137" s="12" t="inlineStr">
        <is>
          <t>-</t>
        </is>
      </c>
      <c r="I137" s="12" t="inlineStr">
        <is>
          <t>Checklist template</t>
        </is>
      </c>
      <c r="J137" s="12" t="inlineStr">
        <is>
          <t>-</t>
        </is>
      </c>
      <c r="K137" s="12" t="inlineStr">
        <is>
          <t>-</t>
        </is>
      </c>
      <c r="L137" s="12" t="inlineStr">
        <is>
          <t>-</t>
        </is>
      </c>
      <c r="M137" s="12" t="inlineStr">
        <is>
          <t>-</t>
        </is>
      </c>
      <c r="N137" s="12" t="n"/>
      <c r="O137" s="12" t="n"/>
      <c r="P137" s="12" t="n"/>
      <c r="Q137" s="25" t="n"/>
    </row>
    <row r="138">
      <c r="A138" s="12" t="inlineStr">
        <is>
          <t>SCR-DM-13</t>
        </is>
      </c>
      <c r="B138" s="12" t="inlineStr">
        <is>
          <t>Run-off and Decommissioning</t>
        </is>
      </c>
      <c r="C138" s="12" t="inlineStr">
        <is>
          <t>7</t>
        </is>
      </c>
      <c r="D138" s="12" t="inlineStr">
        <is>
          <t>Decommissioning Checklists</t>
        </is>
      </c>
      <c r="E138" s="12" t="inlineStr">
        <is>
          <t>Evidence</t>
        </is>
      </c>
      <c r="F138" s="12" t="inlineStr">
        <is>
          <t>Column</t>
        </is>
      </c>
      <c r="G138" s="12" t="inlineStr">
        <is>
          <t>Text; who signed and when under it</t>
        </is>
      </c>
      <c r="H138" s="12" t="inlineStr">
        <is>
          <t>-</t>
        </is>
      </c>
      <c r="I138" s="12" t="inlineStr">
        <is>
          <t>Checklist</t>
        </is>
      </c>
      <c r="J138" s="12" t="inlineStr">
        <is>
          <t>-</t>
        </is>
      </c>
      <c r="K138" s="12" t="inlineStr">
        <is>
          <t>-</t>
        </is>
      </c>
      <c r="L138" s="12" t="inlineStr">
        <is>
          <t>Evidence given</t>
        </is>
      </c>
      <c r="M138" s="12" t="inlineStr">
        <is>
          <t>Give the evidence of the criterion</t>
        </is>
      </c>
      <c r="N138" s="12" t="n"/>
      <c r="O138" s="12" t="n"/>
      <c r="P138" s="12" t="n"/>
      <c r="Q138" s="25" t="n"/>
    </row>
    <row r="139">
      <c r="A139" s="12" t="inlineStr">
        <is>
          <t>SCR-DM-13</t>
        </is>
      </c>
      <c r="B139" s="12" t="inlineStr">
        <is>
          <t>Run-off and Decommissioning</t>
        </is>
      </c>
      <c r="C139" s="12" t="inlineStr">
        <is>
          <t>8</t>
        </is>
      </c>
      <c r="D139" s="12" t="inlineStr">
        <is>
          <t>Decommissioning Checklists</t>
        </is>
      </c>
      <c r="E139" s="12" t="inlineStr">
        <is>
          <t>Status</t>
        </is>
      </c>
      <c r="F139" s="12" t="inlineStr">
        <is>
          <t>Pill</t>
        </is>
      </c>
      <c r="G139" s="12" t="inlineStr">
        <is>
          <t>Open, Met, Signed, Not applicable</t>
        </is>
      </c>
      <c r="H139" s="12" t="inlineStr">
        <is>
          <t>-</t>
        </is>
      </c>
      <c r="I139" s="12" t="inlineStr">
        <is>
          <t>Checklist</t>
        </is>
      </c>
      <c r="J139" s="12" t="inlineStr">
        <is>
          <t>Open</t>
        </is>
      </c>
      <c r="K139" s="12" t="inlineStr">
        <is>
          <t>-</t>
        </is>
      </c>
      <c r="L139" s="12" t="inlineStr">
        <is>
          <t>-</t>
        </is>
      </c>
      <c r="M139" s="12" t="inlineStr">
        <is>
          <t>-</t>
        </is>
      </c>
      <c r="N139" s="12" t="n"/>
      <c r="O139" s="12" t="n"/>
      <c r="P139" s="12" t="n"/>
      <c r="Q139" s="25" t="n"/>
    </row>
    <row r="140">
      <c r="A140" s="12" t="inlineStr">
        <is>
          <t>SCR-DM-14</t>
        </is>
      </c>
      <c r="B140" s="12" t="inlineStr">
        <is>
          <t>Legacy Inquiry</t>
        </is>
      </c>
      <c r="C140" s="12" t="inlineStr">
        <is>
          <t>1</t>
        </is>
      </c>
      <c r="D140" s="12" t="inlineStr">
        <is>
          <t>Reason of the Inquiry</t>
        </is>
      </c>
      <c r="E140" s="12" t="inlineStr">
        <is>
          <t>Reason</t>
        </is>
      </c>
      <c r="F140" s="12" t="inlineStr">
        <is>
          <t>Drop-down</t>
        </is>
      </c>
      <c r="G140" s="12" t="inlineStr">
        <is>
          <t>Reasons of the list</t>
        </is>
      </c>
      <c r="H140" s="12" t="inlineStr">
        <is>
          <t>Y</t>
        </is>
      </c>
      <c r="I140" s="12" t="inlineStr">
        <is>
          <t>Access reasons</t>
        </is>
      </c>
      <c r="J140" s="12" t="inlineStr">
        <is>
          <t>-</t>
        </is>
      </c>
      <c r="K140" s="12" t="inlineStr">
        <is>
          <t>-</t>
        </is>
      </c>
      <c r="L140" s="12" t="inlineStr">
        <is>
          <t>-</t>
        </is>
      </c>
      <c r="M140" s="12" t="inlineStr">
        <is>
          <t>Give the reason for opening the legacy archive</t>
        </is>
      </c>
      <c r="N140" s="12" t="n"/>
      <c r="O140" s="12" t="n"/>
      <c r="P140" s="12" t="n"/>
      <c r="Q140" s="25" t="n"/>
    </row>
    <row r="141">
      <c r="A141" s="12" t="inlineStr">
        <is>
          <t>SCR-DM-14</t>
        </is>
      </c>
      <c r="B141" s="12" t="inlineStr">
        <is>
          <t>Legacy Inquiry</t>
        </is>
      </c>
      <c r="C141" s="12" t="inlineStr">
        <is>
          <t>2</t>
        </is>
      </c>
      <c r="D141" s="12" t="inlineStr">
        <is>
          <t>Reason of the Inquiry</t>
        </is>
      </c>
      <c r="E141" s="12" t="inlineStr">
        <is>
          <t>Details</t>
        </is>
      </c>
      <c r="F141" s="12" t="inlineStr">
        <is>
          <t>Text</t>
        </is>
      </c>
      <c r="G141" s="12" t="inlineStr">
        <is>
          <t>Audit reference, request or case; up to 500 characters</t>
        </is>
      </c>
      <c r="H141" s="12" t="inlineStr">
        <is>
          <t>C</t>
        </is>
      </c>
      <c r="I141" s="12" t="inlineStr">
        <is>
          <t>-</t>
        </is>
      </c>
      <c r="J141" s="12" t="inlineStr">
        <is>
          <t>-</t>
        </is>
      </c>
      <c r="K141" s="12" t="inlineStr">
        <is>
          <t>-</t>
        </is>
      </c>
      <c r="L141" s="12" t="inlineStr">
        <is>
          <t>Mandatory for the reason Other</t>
        </is>
      </c>
      <c r="M141" s="12" t="inlineStr">
        <is>
          <t>-</t>
        </is>
      </c>
      <c r="N141" s="12" t="n"/>
      <c r="O141" s="12" t="n"/>
      <c r="P141" s="12" t="n"/>
      <c r="Q141" s="25" t="n"/>
    </row>
    <row r="142">
      <c r="A142" s="12" t="inlineStr">
        <is>
          <t>SCR-DM-14</t>
        </is>
      </c>
      <c r="B142" s="12" t="inlineStr">
        <is>
          <t>Legacy Inquiry</t>
        </is>
      </c>
      <c r="C142" s="12" t="inlineStr">
        <is>
          <t>3</t>
        </is>
      </c>
      <c r="D142" s="12" t="inlineStr">
        <is>
          <t>Search</t>
        </is>
      </c>
      <c r="E142" s="12" t="inlineStr">
        <is>
          <t>Client Name or No., Policy / Cover No., Invoice No., Receipt No., Claim No.</t>
        </is>
      </c>
      <c r="F142" s="12" t="inlineStr">
        <is>
          <t>Text</t>
        </is>
      </c>
      <c r="G142" s="12" t="inlineStr">
        <is>
          <t>-</t>
        </is>
      </c>
      <c r="H142" s="12" t="inlineStr">
        <is>
          <t>C</t>
        </is>
      </c>
      <c r="I142" s="12" t="inlineStr">
        <is>
          <t>-</t>
        </is>
      </c>
      <c r="J142" s="12" t="inlineStr">
        <is>
          <t>-</t>
        </is>
      </c>
      <c r="K142" s="12" t="inlineStr">
        <is>
          <t>-</t>
        </is>
      </c>
      <c r="L142" s="12" t="inlineStr">
        <is>
          <t>At least one criterion</t>
        </is>
      </c>
      <c r="M142" s="12" t="inlineStr">
        <is>
          <t>Give a client, policy, invoice, receipt or claim, a record type or a date range</t>
        </is>
      </c>
      <c r="N142" s="12" t="n"/>
      <c r="O142" s="12" t="n"/>
      <c r="P142" s="12" t="n"/>
      <c r="Q142" s="25" t="n"/>
    </row>
    <row r="143">
      <c r="A143" s="12" t="inlineStr">
        <is>
          <t>SCR-DM-14</t>
        </is>
      </c>
      <c r="B143" s="12" t="inlineStr">
        <is>
          <t>Legacy Inquiry</t>
        </is>
      </c>
      <c r="C143" s="12" t="inlineStr">
        <is>
          <t>4</t>
        </is>
      </c>
      <c r="D143" s="12" t="inlineStr">
        <is>
          <t>Search</t>
        </is>
      </c>
      <c r="E143" s="12" t="inlineStr">
        <is>
          <t>Record Type</t>
        </is>
      </c>
      <c r="F143" s="12" t="inlineStr">
        <is>
          <t>Drop-down</t>
        </is>
      </c>
      <c r="G143" s="12" t="inlineStr">
        <is>
          <t>All, client, policy, invoice, receipt, remittance, endorsement, claim, GL journal, renewal advice, letter, other</t>
        </is>
      </c>
      <c r="H143" s="12" t="inlineStr">
        <is>
          <t>N</t>
        </is>
      </c>
      <c r="I143" s="12" t="inlineStr">
        <is>
          <t>-</t>
        </is>
      </c>
      <c r="J143" s="12" t="inlineStr">
        <is>
          <t>All</t>
        </is>
      </c>
      <c r="K143" s="12" t="inlineStr">
        <is>
          <t>-</t>
        </is>
      </c>
      <c r="L143" s="12" t="inlineStr">
        <is>
          <t>-</t>
        </is>
      </c>
      <c r="M143" s="12" t="inlineStr">
        <is>
          <t>-</t>
        </is>
      </c>
      <c r="N143" s="12" t="n"/>
      <c r="O143" s="12" t="n"/>
      <c r="P143" s="12" t="n"/>
      <c r="Q143" s="25" t="n"/>
    </row>
    <row r="144">
      <c r="A144" s="12" t="inlineStr">
        <is>
          <t>SCR-DM-14</t>
        </is>
      </c>
      <c r="B144" s="12" t="inlineStr">
        <is>
          <t>Legacy Inquiry</t>
        </is>
      </c>
      <c r="C144" s="12" t="inlineStr">
        <is>
          <t>5</t>
        </is>
      </c>
      <c r="D144" s="12" t="inlineStr">
        <is>
          <t>Search</t>
        </is>
      </c>
      <c r="E144" s="12" t="inlineStr">
        <is>
          <t>Date From, Date To</t>
        </is>
      </c>
      <c r="F144" s="12" t="inlineStr">
        <is>
          <t>Date</t>
        </is>
      </c>
      <c r="G144" s="12" t="inlineStr">
        <is>
          <t>dd-MMM-yyyy</t>
        </is>
      </c>
      <c r="H144" s="12" t="inlineStr">
        <is>
          <t>N</t>
        </is>
      </c>
      <c r="I144" s="12" t="inlineStr">
        <is>
          <t>-</t>
        </is>
      </c>
      <c r="J144" s="12" t="inlineStr">
        <is>
          <t>-</t>
        </is>
      </c>
      <c r="K144" s="12" t="inlineStr">
        <is>
          <t>-</t>
        </is>
      </c>
      <c r="L144" s="12" t="inlineStr">
        <is>
          <t>Valid dates</t>
        </is>
      </c>
      <c r="M144" s="12" t="inlineStr">
        <is>
          <t>Give the date as yyyy-MM-dd: &lt;value&gt;</t>
        </is>
      </c>
      <c r="N144" s="12" t="n"/>
      <c r="O144" s="12" t="n"/>
      <c r="P144" s="12" t="n"/>
      <c r="Q144" s="25" t="n"/>
    </row>
    <row r="145">
      <c r="A145" s="12" t="inlineStr">
        <is>
          <t>SCR-DM-14</t>
        </is>
      </c>
      <c r="B145" s="12" t="inlineStr">
        <is>
          <t>Legacy Inquiry</t>
        </is>
      </c>
      <c r="C145" s="12" t="inlineStr">
        <is>
          <t>6</t>
        </is>
      </c>
      <c r="D145" s="12" t="inlineStr">
        <is>
          <t>Legacy Records</t>
        </is>
      </c>
      <c r="E145" s="12" t="inlineStr">
        <is>
          <t>Record</t>
        </is>
      </c>
      <c r="F145" s="12" t="inlineStr">
        <is>
          <t>Column</t>
        </is>
      </c>
      <c r="G145" s="12" t="inlineStr">
        <is>
          <t>Legacy key; source system and record type under it</t>
        </is>
      </c>
      <c r="H145" s="12" t="inlineStr">
        <is>
          <t>-</t>
        </is>
      </c>
      <c r="I145" s="12" t="inlineStr">
        <is>
          <t>Archive</t>
        </is>
      </c>
      <c r="J145" s="12" t="inlineStr">
        <is>
          <t>-</t>
        </is>
      </c>
      <c r="K145" s="12" t="inlineStr">
        <is>
          <t>-</t>
        </is>
      </c>
      <c r="L145" s="12" t="inlineStr">
        <is>
          <t>-</t>
        </is>
      </c>
      <c r="M145" s="12" t="inlineStr">
        <is>
          <t>-</t>
        </is>
      </c>
      <c r="N145" s="12" t="n"/>
      <c r="O145" s="12" t="n"/>
      <c r="P145" s="12" t="n"/>
      <c r="Q145" s="25" t="n"/>
    </row>
    <row r="146">
      <c r="A146" s="12" t="inlineStr">
        <is>
          <t>SCR-DM-14</t>
        </is>
      </c>
      <c r="B146" s="12" t="inlineStr">
        <is>
          <t>Legacy Inquiry</t>
        </is>
      </c>
      <c r="C146" s="12" t="inlineStr">
        <is>
          <t>7</t>
        </is>
      </c>
      <c r="D146" s="12" t="inlineStr">
        <is>
          <t>Legacy Records</t>
        </is>
      </c>
      <c r="E146" s="12" t="inlineStr">
        <is>
          <t>Client</t>
        </is>
      </c>
      <c r="F146" s="12" t="inlineStr">
        <is>
          <t>Column</t>
        </is>
      </c>
      <c r="G146" s="12" t="inlineStr">
        <is>
          <t>Name; legacy client number under it</t>
        </is>
      </c>
      <c r="H146" s="12" t="inlineStr">
        <is>
          <t>-</t>
        </is>
      </c>
      <c r="I146" s="12" t="inlineStr">
        <is>
          <t>Archive</t>
        </is>
      </c>
      <c r="J146" s="12" t="inlineStr">
        <is>
          <t>-</t>
        </is>
      </c>
      <c r="K146" s="12" t="inlineStr">
        <is>
          <t>-</t>
        </is>
      </c>
      <c r="L146" s="12" t="inlineStr">
        <is>
          <t>-</t>
        </is>
      </c>
      <c r="M146" s="12" t="inlineStr">
        <is>
          <t>-</t>
        </is>
      </c>
      <c r="N146" s="12" t="n"/>
      <c r="O146" s="12" t="n"/>
      <c r="P146" s="12" t="n"/>
      <c r="Q146" s="25" t="n"/>
    </row>
    <row r="147">
      <c r="A147" s="12" t="inlineStr">
        <is>
          <t>SCR-DM-14</t>
        </is>
      </c>
      <c r="B147" s="12" t="inlineStr">
        <is>
          <t>Legacy Inquiry</t>
        </is>
      </c>
      <c r="C147" s="12" t="inlineStr">
        <is>
          <t>8</t>
        </is>
      </c>
      <c r="D147" s="12" t="inlineStr">
        <is>
          <t>Legacy Records</t>
        </is>
      </c>
      <c r="E147" s="12" t="inlineStr">
        <is>
          <t>Policy / Invoice / Receipt</t>
        </is>
      </c>
      <c r="F147" s="12" t="inlineStr">
        <is>
          <t>Column</t>
        </is>
      </c>
      <c r="G147" s="12" t="inlineStr">
        <is>
          <t>Policy; invoice, receipt and claim under it</t>
        </is>
      </c>
      <c r="H147" s="12" t="inlineStr">
        <is>
          <t>-</t>
        </is>
      </c>
      <c r="I147" s="12" t="inlineStr">
        <is>
          <t>Archive</t>
        </is>
      </c>
      <c r="J147" s="12" t="inlineStr">
        <is>
          <t>-</t>
        </is>
      </c>
      <c r="K147" s="12" t="inlineStr">
        <is>
          <t>-</t>
        </is>
      </c>
      <c r="L147" s="12" t="inlineStr">
        <is>
          <t>-</t>
        </is>
      </c>
      <c r="M147" s="12" t="inlineStr">
        <is>
          <t>-</t>
        </is>
      </c>
      <c r="N147" s="12" t="n"/>
      <c r="O147" s="12" t="n"/>
      <c r="P147" s="12" t="n"/>
      <c r="Q147" s="25" t="n"/>
    </row>
    <row r="148">
      <c r="A148" s="12" t="inlineStr">
        <is>
          <t>SCR-DM-14</t>
        </is>
      </c>
      <c r="B148" s="12" t="inlineStr">
        <is>
          <t>Legacy Inquiry</t>
        </is>
      </c>
      <c r="C148" s="12" t="inlineStr">
        <is>
          <t>9</t>
        </is>
      </c>
      <c r="D148" s="12" t="inlineStr">
        <is>
          <t>Legacy Records</t>
        </is>
      </c>
      <c r="E148" s="12" t="inlineStr">
        <is>
          <t>Date, Amount, Legacy Status, Documents</t>
        </is>
      </c>
      <c r="F148" s="12" t="inlineStr">
        <is>
          <t>Column</t>
        </is>
      </c>
      <c r="G148" s="12" t="inlineStr">
        <is>
          <t>dd-MMM-yyyy; currency and amount; status; count</t>
        </is>
      </c>
      <c r="H148" s="12" t="inlineStr">
        <is>
          <t>-</t>
        </is>
      </c>
      <c r="I148" s="12" t="inlineStr">
        <is>
          <t>Archive</t>
        </is>
      </c>
      <c r="J148" s="12" t="inlineStr">
        <is>
          <t>-</t>
        </is>
      </c>
      <c r="K148" s="12" t="inlineStr">
        <is>
          <t>-</t>
        </is>
      </c>
      <c r="L148" s="12" t="inlineStr">
        <is>
          <t>-</t>
        </is>
      </c>
      <c r="M148" s="12" t="inlineStr">
        <is>
          <t>-</t>
        </is>
      </c>
      <c r="N148" s="12" t="n"/>
      <c r="O148" s="12" t="n"/>
      <c r="P148" s="12" t="n"/>
      <c r="Q148" s="25" t="n"/>
    </row>
    <row r="149">
      <c r="A149" s="12" t="inlineStr">
        <is>
          <t>SCR-DM-14</t>
        </is>
      </c>
      <c r="B149" s="12" t="inlineStr">
        <is>
          <t>Legacy Inquiry</t>
        </is>
      </c>
      <c r="C149" s="12" t="inlineStr">
        <is>
          <t>10</t>
        </is>
      </c>
      <c r="D149" s="12" t="inlineStr">
        <is>
          <t>Record</t>
        </is>
      </c>
      <c r="E149" s="12" t="inlineStr">
        <is>
          <t>Legacy system, Client, Policy / cover, Invoice, Receipt, Claim</t>
        </is>
      </c>
      <c r="F149" s="12" t="inlineStr">
        <is>
          <t>Text</t>
        </is>
      </c>
      <c r="G149" s="12" t="inlineStr">
        <is>
          <t>-</t>
        </is>
      </c>
      <c r="H149" s="12" t="inlineStr">
        <is>
          <t>-</t>
        </is>
      </c>
      <c r="I149" s="12" t="inlineStr">
        <is>
          <t>Archive record</t>
        </is>
      </c>
      <c r="J149" s="12" t="inlineStr">
        <is>
          <t>-</t>
        </is>
      </c>
      <c r="K149" s="12" t="inlineStr">
        <is>
          <t>-</t>
        </is>
      </c>
      <c r="L149" s="12" t="inlineStr">
        <is>
          <t>-</t>
        </is>
      </c>
      <c r="M149" s="12" t="inlineStr">
        <is>
          <t>-</t>
        </is>
      </c>
      <c r="N149" s="12" t="n"/>
      <c r="O149" s="12" t="n"/>
      <c r="P149" s="12" t="n"/>
      <c r="Q149" s="25" t="n"/>
    </row>
    <row r="150">
      <c r="A150" s="12" t="inlineStr">
        <is>
          <t>SCR-DM-14</t>
        </is>
      </c>
      <c r="B150" s="12" t="inlineStr">
        <is>
          <t>Legacy Inquiry</t>
        </is>
      </c>
      <c r="C150" s="12" t="inlineStr">
        <is>
          <t>11</t>
        </is>
      </c>
      <c r="D150" s="12" t="inlineStr">
        <is>
          <t>Record</t>
        </is>
      </c>
      <c r="E150" s="12" t="inlineStr">
        <is>
          <t>Date, Period, Amount, Legacy status, Archived</t>
        </is>
      </c>
      <c r="F150" s="12" t="inlineStr">
        <is>
          <t>Text</t>
        </is>
      </c>
      <c r="G150" s="12" t="inlineStr">
        <is>
          <t>dd-MMM-yyyy; amounts with two decimals</t>
        </is>
      </c>
      <c r="H150" s="12" t="inlineStr">
        <is>
          <t>-</t>
        </is>
      </c>
      <c r="I150" s="12" t="inlineStr">
        <is>
          <t>Archive record</t>
        </is>
      </c>
      <c r="J150" s="12" t="inlineStr">
        <is>
          <t>-</t>
        </is>
      </c>
      <c r="K150" s="12" t="inlineStr">
        <is>
          <t>-</t>
        </is>
      </c>
      <c r="L150" s="12" t="inlineStr">
        <is>
          <t>-</t>
        </is>
      </c>
      <c r="M150" s="12" t="inlineStr">
        <is>
          <t>-</t>
        </is>
      </c>
      <c r="N150" s="12" t="n"/>
      <c r="O150" s="12" t="n"/>
      <c r="P150" s="12" t="n"/>
      <c r="Q150" s="25" t="n"/>
    </row>
    <row r="151">
      <c r="A151" s="12" t="inlineStr">
        <is>
          <t>SCR-DM-14</t>
        </is>
      </c>
      <c r="B151" s="12" t="inlineStr">
        <is>
          <t>Legacy Inquiry</t>
        </is>
      </c>
      <c r="C151" s="12" t="inlineStr">
        <is>
          <t>12</t>
        </is>
      </c>
      <c r="D151" s="12" t="inlineStr">
        <is>
          <t>Record</t>
        </is>
      </c>
      <c r="E151" s="12" t="inlineStr">
        <is>
          <t>Legacy details</t>
        </is>
      </c>
      <c r="F151" s="12" t="inlineStr">
        <is>
          <t>Text</t>
        </is>
      </c>
      <c r="G151" s="12" t="inlineStr">
        <is>
          <t>Every legacy column with its label</t>
        </is>
      </c>
      <c r="H151" s="12" t="inlineStr">
        <is>
          <t>-</t>
        </is>
      </c>
      <c r="I151" s="12" t="inlineStr">
        <is>
          <t>Archive record</t>
        </is>
      </c>
      <c r="J151" s="12" t="inlineStr">
        <is>
          <t>-</t>
        </is>
      </c>
      <c r="K151" s="12" t="inlineStr">
        <is>
          <t>-</t>
        </is>
      </c>
      <c r="L151" s="12" t="inlineStr">
        <is>
          <t>-</t>
        </is>
      </c>
      <c r="M151" s="12" t="inlineStr">
        <is>
          <t>-</t>
        </is>
      </c>
      <c r="N151" s="12" t="n"/>
      <c r="O151" s="12" t="n"/>
      <c r="P151" s="12" t="n"/>
      <c r="Q151" s="25" t="n"/>
    </row>
    <row r="152">
      <c r="A152" s="12" t="inlineStr">
        <is>
          <t>SCR-DM-14</t>
        </is>
      </c>
      <c r="B152" s="12" t="inlineStr">
        <is>
          <t>Legacy Inquiry</t>
        </is>
      </c>
      <c r="C152" s="12" t="inlineStr">
        <is>
          <t>13</t>
        </is>
      </c>
      <c r="D152" s="12" t="inlineStr">
        <is>
          <t>Record</t>
        </is>
      </c>
      <c r="E152" s="12" t="inlineStr">
        <is>
          <t>File, Document, Size</t>
        </is>
      </c>
      <c r="F152" s="12" t="inlineStr">
        <is>
          <t>Columns</t>
        </is>
      </c>
      <c r="G152" s="12" t="inlineStr">
        <is>
          <t>Documents archived with the record</t>
        </is>
      </c>
      <c r="H152" s="12" t="inlineStr">
        <is>
          <t>-</t>
        </is>
      </c>
      <c r="I152" s="12" t="inlineStr">
        <is>
          <t>Archive documents</t>
        </is>
      </c>
      <c r="J152" s="12" t="inlineStr">
        <is>
          <t>-</t>
        </is>
      </c>
      <c r="K152" s="12" t="inlineStr">
        <is>
          <t>-</t>
        </is>
      </c>
      <c r="L152" s="12" t="inlineStr">
        <is>
          <t>-</t>
        </is>
      </c>
      <c r="M152" s="12" t="inlineStr">
        <is>
          <t>-</t>
        </is>
      </c>
      <c r="N152" s="12" t="n"/>
      <c r="O152" s="12" t="n"/>
      <c r="P152" s="12" t="n"/>
      <c r="Q152" s="25" t="n"/>
    </row>
    <row r="153">
      <c r="A153" s="12" t="inlineStr">
        <is>
          <t>SCR-DM-15</t>
        </is>
      </c>
      <c r="B153" s="12" t="inlineStr">
        <is>
          <t>Access Log</t>
        </is>
      </c>
      <c r="C153" s="12" t="inlineStr">
        <is>
          <t>1</t>
        </is>
      </c>
      <c r="D153" s="12" t="inlineStr">
        <is>
          <t>Filters</t>
        </is>
      </c>
      <c r="E153" s="12" t="inlineStr">
        <is>
          <t>User</t>
        </is>
      </c>
      <c r="F153" s="12" t="inlineStr">
        <is>
          <t>Text</t>
        </is>
      </c>
      <c r="G153" s="12" t="inlineStr">
        <is>
          <t>User name</t>
        </is>
      </c>
      <c r="H153" s="12" t="inlineStr">
        <is>
          <t>N</t>
        </is>
      </c>
      <c r="I153" s="12" t="inlineStr">
        <is>
          <t>-</t>
        </is>
      </c>
      <c r="J153" s="12" t="inlineStr">
        <is>
          <t>-</t>
        </is>
      </c>
      <c r="K153" s="12" t="inlineStr">
        <is>
          <t>-</t>
        </is>
      </c>
      <c r="L153" s="12" t="inlineStr">
        <is>
          <t>-</t>
        </is>
      </c>
      <c r="M153" s="12" t="inlineStr">
        <is>
          <t>-</t>
        </is>
      </c>
      <c r="N153" s="12" t="n"/>
      <c r="O153" s="12" t="n"/>
      <c r="P153" s="12" t="n"/>
      <c r="Q153" s="25" t="n"/>
    </row>
    <row r="154">
      <c r="A154" s="12" t="inlineStr">
        <is>
          <t>SCR-DM-15</t>
        </is>
      </c>
      <c r="B154" s="12" t="inlineStr">
        <is>
          <t>Access Log</t>
        </is>
      </c>
      <c r="C154" s="12" t="inlineStr">
        <is>
          <t>2</t>
        </is>
      </c>
      <c r="D154" s="12" t="inlineStr">
        <is>
          <t>Filters</t>
        </is>
      </c>
      <c r="E154" s="12" t="inlineStr">
        <is>
          <t>Action</t>
        </is>
      </c>
      <c r="F154" s="12" t="inlineStr">
        <is>
          <t>Drop-down</t>
        </is>
      </c>
      <c r="G154" s="12" t="inlineStr">
        <is>
          <t>All, Search, View, Download, Export</t>
        </is>
      </c>
      <c r="H154" s="12" t="inlineStr">
        <is>
          <t>N</t>
        </is>
      </c>
      <c r="I154" s="12" t="inlineStr">
        <is>
          <t>-</t>
        </is>
      </c>
      <c r="J154" s="12" t="inlineStr">
        <is>
          <t>All</t>
        </is>
      </c>
      <c r="K154" s="12" t="inlineStr">
        <is>
          <t>-</t>
        </is>
      </c>
      <c r="L154" s="12" t="inlineStr">
        <is>
          <t>-</t>
        </is>
      </c>
      <c r="M154" s="12" t="inlineStr">
        <is>
          <t>-</t>
        </is>
      </c>
      <c r="N154" s="12" t="n"/>
      <c r="O154" s="12" t="n"/>
      <c r="P154" s="12" t="n"/>
      <c r="Q154" s="25" t="n"/>
    </row>
    <row r="155">
      <c r="A155" s="12" t="inlineStr">
        <is>
          <t>SCR-DM-15</t>
        </is>
      </c>
      <c r="B155" s="12" t="inlineStr">
        <is>
          <t>Access Log</t>
        </is>
      </c>
      <c r="C155" s="12" t="inlineStr">
        <is>
          <t>3</t>
        </is>
      </c>
      <c r="D155" s="12" t="inlineStr">
        <is>
          <t>Filters</t>
        </is>
      </c>
      <c r="E155" s="12" t="inlineStr">
        <is>
          <t>From, To</t>
        </is>
      </c>
      <c r="F155" s="12" t="inlineStr">
        <is>
          <t>Date</t>
        </is>
      </c>
      <c r="G155" s="12" t="inlineStr">
        <is>
          <t>dd-MMM-yyyy</t>
        </is>
      </c>
      <c r="H155" s="12" t="inlineStr">
        <is>
          <t>N</t>
        </is>
      </c>
      <c r="I155" s="12" t="inlineStr">
        <is>
          <t>-</t>
        </is>
      </c>
      <c r="J155" s="12" t="inlineStr">
        <is>
          <t>-</t>
        </is>
      </c>
      <c r="K155" s="12" t="inlineStr">
        <is>
          <t>-</t>
        </is>
      </c>
      <c r="L155" s="12" t="inlineStr">
        <is>
          <t>-</t>
        </is>
      </c>
      <c r="M155" s="12" t="inlineStr">
        <is>
          <t>-</t>
        </is>
      </c>
      <c r="N155" s="12" t="n"/>
      <c r="O155" s="12" t="n"/>
      <c r="P155" s="12" t="n"/>
      <c r="Q155" s="25" t="n"/>
    </row>
    <row r="156">
      <c r="A156" s="12" t="inlineStr">
        <is>
          <t>SCR-DM-15</t>
        </is>
      </c>
      <c r="B156" s="12" t="inlineStr">
        <is>
          <t>Access Log</t>
        </is>
      </c>
      <c r="C156" s="12" t="inlineStr">
        <is>
          <t>4</t>
        </is>
      </c>
      <c r="D156" s="12" t="inlineStr">
        <is>
          <t>Log</t>
        </is>
      </c>
      <c r="E156" s="12" t="inlineStr">
        <is>
          <t>When</t>
        </is>
      </c>
      <c r="F156" s="12" t="inlineStr">
        <is>
          <t>Column</t>
        </is>
      </c>
      <c r="G156" s="12" t="inlineStr">
        <is>
          <t>dd-MMM-yyyy HH:mm; source address under it</t>
        </is>
      </c>
      <c r="H156" s="12" t="inlineStr">
        <is>
          <t>-</t>
        </is>
      </c>
      <c r="I156" s="12" t="inlineStr">
        <is>
          <t>Access log</t>
        </is>
      </c>
      <c r="J156" s="12" t="inlineStr">
        <is>
          <t>-</t>
        </is>
      </c>
      <c r="K156" s="12" t="inlineStr">
        <is>
          <t>-</t>
        </is>
      </c>
      <c r="L156" s="12" t="inlineStr">
        <is>
          <t>-</t>
        </is>
      </c>
      <c r="M156" s="12" t="inlineStr">
        <is>
          <t>-</t>
        </is>
      </c>
      <c r="N156" s="12" t="n"/>
      <c r="O156" s="12" t="n"/>
      <c r="P156" s="12" t="n"/>
      <c r="Q156" s="25" t="n"/>
    </row>
    <row r="157">
      <c r="A157" s="12" t="inlineStr">
        <is>
          <t>SCR-DM-15</t>
        </is>
      </c>
      <c r="B157" s="12" t="inlineStr">
        <is>
          <t>Access Log</t>
        </is>
      </c>
      <c r="C157" s="12" t="inlineStr">
        <is>
          <t>5</t>
        </is>
      </c>
      <c r="D157" s="12" t="inlineStr">
        <is>
          <t>Log</t>
        </is>
      </c>
      <c r="E157" s="12" t="inlineStr">
        <is>
          <t>User, Action</t>
        </is>
      </c>
      <c r="F157" s="12" t="inlineStr">
        <is>
          <t>Column</t>
        </is>
      </c>
      <c r="G157" s="12" t="inlineStr">
        <is>
          <t>Name; Search, View, Download or Export</t>
        </is>
      </c>
      <c r="H157" s="12" t="inlineStr">
        <is>
          <t>-</t>
        </is>
      </c>
      <c r="I157" s="12" t="inlineStr">
        <is>
          <t>Access log</t>
        </is>
      </c>
      <c r="J157" s="12" t="inlineStr">
        <is>
          <t>-</t>
        </is>
      </c>
      <c r="K157" s="12" t="inlineStr">
        <is>
          <t>-</t>
        </is>
      </c>
      <c r="L157" s="12" t="inlineStr">
        <is>
          <t>-</t>
        </is>
      </c>
      <c r="M157" s="12" t="inlineStr">
        <is>
          <t>-</t>
        </is>
      </c>
      <c r="N157" s="12" t="n"/>
      <c r="O157" s="12" t="n"/>
      <c r="P157" s="12" t="n"/>
      <c r="Q157" s="25" t="n"/>
    </row>
    <row r="158">
      <c r="A158" s="12" t="inlineStr">
        <is>
          <t>SCR-DM-15</t>
        </is>
      </c>
      <c r="B158" s="12" t="inlineStr">
        <is>
          <t>Access Log</t>
        </is>
      </c>
      <c r="C158" s="12" t="inlineStr">
        <is>
          <t>6</t>
        </is>
      </c>
      <c r="D158" s="12" t="inlineStr">
        <is>
          <t>Log</t>
        </is>
      </c>
      <c r="E158" s="12" t="inlineStr">
        <is>
          <t>Criteria / Records</t>
        </is>
      </c>
      <c r="F158" s="12" t="inlineStr">
        <is>
          <t>Column</t>
        </is>
      </c>
      <c r="G158" s="12" t="inlineStr">
        <is>
          <t>Search criteria; record keys under them</t>
        </is>
      </c>
      <c r="H158" s="12" t="inlineStr">
        <is>
          <t>-</t>
        </is>
      </c>
      <c r="I158" s="12" t="inlineStr">
        <is>
          <t>Access log</t>
        </is>
      </c>
      <c r="J158" s="12" t="inlineStr">
        <is>
          <t>-</t>
        </is>
      </c>
      <c r="K158" s="12" t="inlineStr">
        <is>
          <t>-</t>
        </is>
      </c>
      <c r="L158" s="12" t="inlineStr">
        <is>
          <t>-</t>
        </is>
      </c>
      <c r="M158" s="12" t="inlineStr">
        <is>
          <t>-</t>
        </is>
      </c>
      <c r="N158" s="12" t="n"/>
      <c r="O158" s="12" t="n"/>
      <c r="P158" s="12" t="n"/>
      <c r="Q158" s="25" t="n"/>
    </row>
    <row r="159">
      <c r="A159" s="12" t="inlineStr">
        <is>
          <t>SCR-DM-15</t>
        </is>
      </c>
      <c r="B159" s="12" t="inlineStr">
        <is>
          <t>Access Log</t>
        </is>
      </c>
      <c r="C159" s="12" t="inlineStr">
        <is>
          <t>7</t>
        </is>
      </c>
      <c r="D159" s="12" t="inlineStr">
        <is>
          <t>Log</t>
        </is>
      </c>
      <c r="E159" s="12" t="inlineStr">
        <is>
          <t>Count, Reason</t>
        </is>
      </c>
      <c r="F159" s="12" t="inlineStr">
        <is>
          <t>Column</t>
        </is>
      </c>
      <c r="G159" s="12" t="inlineStr">
        <is>
          <t>Records returned; reason and details</t>
        </is>
      </c>
      <c r="H159" s="12" t="inlineStr">
        <is>
          <t>-</t>
        </is>
      </c>
      <c r="I159" s="12" t="inlineStr">
        <is>
          <t>Access log</t>
        </is>
      </c>
      <c r="J159" s="12" t="inlineStr">
        <is>
          <t>-</t>
        </is>
      </c>
      <c r="K159" s="12" t="inlineStr">
        <is>
          <t>-</t>
        </is>
      </c>
      <c r="L159" s="12" t="inlineStr">
        <is>
          <t>-</t>
        </is>
      </c>
      <c r="M159" s="12" t="inlineStr">
        <is>
          <t>-</t>
        </is>
      </c>
      <c r="N159" s="12" t="n"/>
      <c r="O159" s="12" t="n"/>
      <c r="P159" s="12" t="n"/>
      <c r="Q159" s="25" t="n"/>
    </row>
    <row r="160">
      <c r="A160" s="12" t="inlineStr">
        <is>
          <t>SCR-DM-16</t>
        </is>
      </c>
      <c r="B160" s="12" t="inlineStr">
        <is>
          <t>LEGACY badge and Origin filter on the lists</t>
        </is>
      </c>
      <c r="C160" s="12" t="inlineStr">
        <is>
          <t>1</t>
        </is>
      </c>
      <c r="D160" s="12" t="inlineStr">
        <is>
          <t>Every list with migrated records</t>
        </is>
      </c>
      <c r="E160" s="12" t="inlineStr">
        <is>
          <t>LEGACY</t>
        </is>
      </c>
      <c r="F160" s="12" t="inlineStr">
        <is>
          <t>Badge</t>
        </is>
      </c>
      <c r="G160" s="12" t="inlineStr">
        <is>
          <t>Next to the number; tooltip: Migrated from &lt;system&gt;, legacy reference &lt;ref&gt;, batch &lt;batch&gt;</t>
        </is>
      </c>
      <c r="H160" s="12" t="inlineStr">
        <is>
          <t>-</t>
        </is>
      </c>
      <c r="I160" s="12" t="inlineStr">
        <is>
          <t>Origin of the record</t>
        </is>
      </c>
      <c r="J160" s="12" t="inlineStr">
        <is>
          <t>-</t>
        </is>
      </c>
      <c r="K160" s="12" t="inlineStr">
        <is>
          <t>-</t>
        </is>
      </c>
      <c r="L160" s="12" t="inlineStr">
        <is>
          <t>-</t>
        </is>
      </c>
      <c r="M160" s="12" t="inlineStr">
        <is>
          <t>-</t>
        </is>
      </c>
      <c r="N160" s="12" t="n"/>
      <c r="O160" s="12" t="n"/>
      <c r="P160" s="12" t="n"/>
      <c r="Q160" s="25" t="n"/>
    </row>
    <row r="161">
      <c r="A161" s="12" t="inlineStr">
        <is>
          <t>SCR-DM-16</t>
        </is>
      </c>
      <c r="B161" s="12" t="inlineStr">
        <is>
          <t>LEGACY badge and Origin filter on the lists</t>
        </is>
      </c>
      <c r="C161" s="12" t="inlineStr">
        <is>
          <t>2</t>
        </is>
      </c>
      <c r="D161" s="12" t="inlineStr">
        <is>
          <t>Lists with the Origin filter</t>
        </is>
      </c>
      <c r="E161" s="12" t="inlineStr">
        <is>
          <t>Origin</t>
        </is>
      </c>
      <c r="F161" s="12" t="inlineStr">
        <is>
          <t>Drop-down</t>
        </is>
      </c>
      <c r="G161" s="12" t="inlineStr">
        <is>
          <t>All origins, BIBS, Migrated</t>
        </is>
      </c>
      <c r="H161" s="12" t="inlineStr">
        <is>
          <t>N</t>
        </is>
      </c>
      <c r="I161" s="12" t="inlineStr">
        <is>
          <t>-</t>
        </is>
      </c>
      <c r="J161" s="12" t="inlineStr">
        <is>
          <t>All origins</t>
        </is>
      </c>
      <c r="K161" s="12" t="inlineStr">
        <is>
          <t>-</t>
        </is>
      </c>
      <c r="L161" s="12" t="inlineStr">
        <is>
          <t>-</t>
        </is>
      </c>
      <c r="M161" s="12" t="inlineStr">
        <is>
          <t>-</t>
        </is>
      </c>
      <c r="N161" s="12" t="n"/>
      <c r="O161" s="12" t="n"/>
      <c r="P161" s="12" t="n"/>
      <c r="Q161" s="25" t="n"/>
    </row>
    <row r="162">
      <c r="A162" s="12" t="inlineStr">
        <is>
          <t>SCR-DM-16</t>
        </is>
      </c>
      <c r="B162" s="12" t="inlineStr">
        <is>
          <t>LEGACY badge and Origin filter on the lists</t>
        </is>
      </c>
      <c r="C162" s="12" t="inlineStr">
        <is>
          <t>3</t>
        </is>
      </c>
      <c r="D162" s="12" t="inlineStr">
        <is>
          <t>Client search</t>
        </is>
      </c>
      <c r="E162" s="12" t="inlineStr">
        <is>
          <t>Legacy client number</t>
        </is>
      </c>
      <c r="F162" s="12" t="inlineStr">
        <is>
          <t>Text</t>
        </is>
      </c>
      <c r="G162" s="12" t="inlineStr">
        <is>
          <t>A legacy client number finds the BIBS client it was merged into</t>
        </is>
      </c>
      <c r="H162" s="12" t="inlineStr">
        <is>
          <t>N</t>
        </is>
      </c>
      <c r="I162" s="12" t="inlineStr">
        <is>
          <t>Key cross-reference</t>
        </is>
      </c>
      <c r="J162" s="12" t="inlineStr">
        <is>
          <t>-</t>
        </is>
      </c>
      <c r="K162" s="12" t="inlineStr">
        <is>
          <t>-</t>
        </is>
      </c>
      <c r="L162" s="12" t="inlineStr">
        <is>
          <t>-</t>
        </is>
      </c>
      <c r="M162" s="12" t="inlineStr">
        <is>
          <t>-</t>
        </is>
      </c>
      <c r="N162" s="12" t="n"/>
      <c r="O162" s="12" t="n"/>
      <c r="P162" s="12" t="n"/>
      <c r="Q162" s="25" t="n"/>
    </row>
    <row r="163">
      <c r="A163" s="12" t="inlineStr">
        <is>
          <t>SCR-DM-16</t>
        </is>
      </c>
      <c r="B163" s="12" t="inlineStr">
        <is>
          <t>LEGACY badge and Origin filter on the lists</t>
        </is>
      </c>
      <c r="C163" s="12" t="inlineStr">
        <is>
          <t>4</t>
        </is>
      </c>
      <c r="D163" s="12" t="inlineStr">
        <is>
          <t>Account search</t>
        </is>
      </c>
      <c r="E163" s="12" t="inlineStr">
        <is>
          <t>Legacy policy reference</t>
        </is>
      </c>
      <c r="F163" s="12" t="inlineStr">
        <is>
          <t>Text</t>
        </is>
      </c>
      <c r="G163" s="12" t="inlineStr">
        <is>
          <t>A legacy policy number finds the migrated policy header</t>
        </is>
      </c>
      <c r="H163" s="12" t="inlineStr">
        <is>
          <t>N</t>
        </is>
      </c>
      <c r="I163" s="12" t="inlineStr">
        <is>
          <t>Key cross-reference</t>
        </is>
      </c>
      <c r="J163" s="12" t="inlineStr">
        <is>
          <t>-</t>
        </is>
      </c>
      <c r="K163" s="12" t="inlineStr">
        <is>
          <t>-</t>
        </is>
      </c>
      <c r="L163" s="12" t="inlineStr">
        <is>
          <t>-</t>
        </is>
      </c>
      <c r="M163" s="12" t="inlineStr">
        <is>
          <t>-</t>
        </is>
      </c>
      <c r="N163" s="12" t="n"/>
      <c r="O163" s="12" t="n"/>
      <c r="P163" s="12" t="n"/>
      <c r="Q163" s="25" t="n"/>
    </row>
    <row r="164">
      <c r="A164" s="12" t="inlineStr">
        <is>
          <t>SCR-DM-17</t>
        </is>
      </c>
      <c r="B164" s="12" t="inlineStr">
        <is>
          <t>Legacy invoice on Invoice 360</t>
        </is>
      </c>
      <c r="C164" s="12" t="inlineStr">
        <is>
          <t>1</t>
        </is>
      </c>
      <c r="D164" s="12" t="inlineStr">
        <is>
          <t>Header</t>
        </is>
      </c>
      <c r="E164" s="12" t="inlineStr">
        <is>
          <t>LEGACY</t>
        </is>
      </c>
      <c r="F164" s="12" t="inlineStr">
        <is>
          <t>Badge</t>
        </is>
      </c>
      <c r="G164" s="12" t="inlineStr">
        <is>
          <t>Next to the invoice number</t>
        </is>
      </c>
      <c r="H164" s="12" t="inlineStr">
        <is>
          <t>-</t>
        </is>
      </c>
      <c r="I164" s="12" t="inlineStr">
        <is>
          <t>Origin</t>
        </is>
      </c>
      <c r="J164" s="12" t="inlineStr">
        <is>
          <t>-</t>
        </is>
      </c>
      <c r="K164" s="12" t="inlineStr">
        <is>
          <t>-</t>
        </is>
      </c>
      <c r="L164" s="12" t="inlineStr">
        <is>
          <t>-</t>
        </is>
      </c>
      <c r="M164" s="12" t="inlineStr">
        <is>
          <t>-</t>
        </is>
      </c>
      <c r="N164" s="12" t="n"/>
      <c r="O164" s="12" t="n"/>
      <c r="P164" s="12" t="n"/>
      <c r="Q164" s="25" t="n"/>
    </row>
    <row r="165">
      <c r="A165" s="12" t="inlineStr">
        <is>
          <t>SCR-DM-17</t>
        </is>
      </c>
      <c r="B165" s="12" t="inlineStr">
        <is>
          <t>Legacy invoice on Invoice 360</t>
        </is>
      </c>
      <c r="C165" s="12" t="inlineStr">
        <is>
          <t>2</t>
        </is>
      </c>
      <c r="D165" s="12" t="inlineStr">
        <is>
          <t>Header</t>
        </is>
      </c>
      <c r="E165" s="12" t="inlineStr">
        <is>
          <t>Legacy Invoice</t>
        </is>
      </c>
      <c r="F165" s="12" t="inlineStr">
        <is>
          <t>Chip</t>
        </is>
      </c>
      <c r="G165" s="12" t="inlineStr">
        <is>
          <t>Legacy invoice number when it differs from the BIBS number</t>
        </is>
      </c>
      <c r="H165" s="12" t="inlineStr">
        <is>
          <t>-</t>
        </is>
      </c>
      <c r="I165" s="12" t="inlineStr">
        <is>
          <t>Legacy invoice</t>
        </is>
      </c>
      <c r="J165" s="12" t="inlineStr">
        <is>
          <t>-</t>
        </is>
      </c>
      <c r="K165" s="12" t="inlineStr">
        <is>
          <t>-</t>
        </is>
      </c>
      <c r="L165" s="12" t="inlineStr">
        <is>
          <t>-</t>
        </is>
      </c>
      <c r="M165" s="12" t="inlineStr">
        <is>
          <t>-</t>
        </is>
      </c>
      <c r="N165" s="12" t="n"/>
      <c r="O165" s="12" t="n"/>
      <c r="P165" s="12" t="n"/>
      <c r="Q165" s="25" t="n"/>
    </row>
    <row r="166">
      <c r="A166" s="12" t="inlineStr">
        <is>
          <t>SCR-DM-17</t>
        </is>
      </c>
      <c r="B166" s="12" t="inlineStr">
        <is>
          <t>Legacy invoice on Invoice 360</t>
        </is>
      </c>
      <c r="C166" s="12" t="inlineStr">
        <is>
          <t>3</t>
        </is>
      </c>
      <c r="D166" s="12" t="inlineStr">
        <is>
          <t>Legacy Invoice</t>
        </is>
      </c>
      <c r="E166" s="12" t="inlineStr">
        <is>
          <t>Source System, Legacy Invoice No., Legacy Reference, Legacy Service Invoice</t>
        </is>
      </c>
      <c r="F166" s="12" t="inlineStr">
        <is>
          <t>Text</t>
        </is>
      </c>
      <c r="G166" s="12" t="inlineStr">
        <is>
          <t>-</t>
        </is>
      </c>
      <c r="H166" s="12" t="inlineStr">
        <is>
          <t>-</t>
        </is>
      </c>
      <c r="I166" s="12" t="inlineStr">
        <is>
          <t>Values at cut-over</t>
        </is>
      </c>
      <c r="J166" s="12" t="inlineStr">
        <is>
          <t>-</t>
        </is>
      </c>
      <c r="K166" s="12" t="inlineStr">
        <is>
          <t>-</t>
        </is>
      </c>
      <c r="L166" s="12" t="inlineStr">
        <is>
          <t>-</t>
        </is>
      </c>
      <c r="M166" s="12" t="inlineStr">
        <is>
          <t>-</t>
        </is>
      </c>
      <c r="N166" s="12" t="n"/>
      <c r="O166" s="12" t="n"/>
      <c r="P166" s="12" t="n"/>
      <c r="Q166" s="25" t="n"/>
    </row>
    <row r="167">
      <c r="A167" s="12" t="inlineStr">
        <is>
          <t>SCR-DM-17</t>
        </is>
      </c>
      <c r="B167" s="12" t="inlineStr">
        <is>
          <t>Legacy invoice on Invoice 360</t>
        </is>
      </c>
      <c r="C167" s="12" t="inlineStr">
        <is>
          <t>4</t>
        </is>
      </c>
      <c r="D167" s="12" t="inlineStr">
        <is>
          <t>Legacy Invoice</t>
        </is>
      </c>
      <c r="E167" s="12" t="inlineStr">
        <is>
          <t>Invoice Date, Due Date</t>
        </is>
      </c>
      <c r="F167" s="12" t="inlineStr">
        <is>
          <t>Date</t>
        </is>
      </c>
      <c r="G167" s="12" t="inlineStr">
        <is>
          <t>dd-MMM-yyyy</t>
        </is>
      </c>
      <c r="H167" s="12" t="inlineStr">
        <is>
          <t>-</t>
        </is>
      </c>
      <c r="I167" s="12" t="inlineStr">
        <is>
          <t>Values at cut-over</t>
        </is>
      </c>
      <c r="J167" s="12" t="inlineStr">
        <is>
          <t>-</t>
        </is>
      </c>
      <c r="K167" s="12" t="inlineStr">
        <is>
          <t>-</t>
        </is>
      </c>
      <c r="L167" s="12" t="inlineStr">
        <is>
          <t>-</t>
        </is>
      </c>
      <c r="M167" s="12" t="inlineStr">
        <is>
          <t>-</t>
        </is>
      </c>
      <c r="N167" s="12" t="n"/>
      <c r="O167" s="12" t="n"/>
      <c r="P167" s="12" t="n"/>
      <c r="Q167" s="25" t="n"/>
    </row>
    <row r="168">
      <c r="A168" s="12" t="inlineStr">
        <is>
          <t>SCR-DM-17</t>
        </is>
      </c>
      <c r="B168" s="12" t="inlineStr">
        <is>
          <t>Legacy invoice on Invoice 360</t>
        </is>
      </c>
      <c r="C168" s="12" t="inlineStr">
        <is>
          <t>5</t>
        </is>
      </c>
      <c r="D168" s="12" t="inlineStr">
        <is>
          <t>Legacy Invoice</t>
        </is>
      </c>
      <c r="E168" s="12" t="inlineStr">
        <is>
          <t>Original Gross Premium, Original Commission / VAT</t>
        </is>
      </c>
      <c r="F168" s="12" t="inlineStr">
        <is>
          <t>Amount</t>
        </is>
      </c>
      <c r="G168" s="12" t="inlineStr">
        <is>
          <t>Two decimals</t>
        </is>
      </c>
      <c r="H168" s="12" t="inlineStr">
        <is>
          <t>-</t>
        </is>
      </c>
      <c r="I168" s="12" t="inlineStr">
        <is>
          <t>Values at cut-over</t>
        </is>
      </c>
      <c r="J168" s="12" t="inlineStr">
        <is>
          <t>-</t>
        </is>
      </c>
      <c r="K168" s="12" t="inlineStr">
        <is>
          <t>-</t>
        </is>
      </c>
      <c r="L168" s="12" t="inlineStr">
        <is>
          <t>-</t>
        </is>
      </c>
      <c r="M168" s="12" t="inlineStr">
        <is>
          <t>-</t>
        </is>
      </c>
      <c r="N168" s="12" t="n"/>
      <c r="O168" s="12" t="n"/>
      <c r="P168" s="12" t="n"/>
      <c r="Q168" s="25" t="n"/>
    </row>
    <row r="169">
      <c r="A169" s="12" t="inlineStr">
        <is>
          <t>SCR-DM-17</t>
        </is>
      </c>
      <c r="B169" s="12" t="inlineStr">
        <is>
          <t>Legacy invoice on Invoice 360</t>
        </is>
      </c>
      <c r="C169" s="12" t="inlineStr">
        <is>
          <t>6</t>
        </is>
      </c>
      <c r="D169" s="12" t="inlineStr">
        <is>
          <t>Legacy Invoice</t>
        </is>
      </c>
      <c r="E169" s="12" t="inlineStr">
        <is>
          <t>Commission Realised in Legacy, Deferred VAT Open</t>
        </is>
      </c>
      <c r="F169" s="12" t="inlineStr">
        <is>
          <t>Amount</t>
        </is>
      </c>
      <c r="G169" s="12" t="inlineStr">
        <is>
          <t>Two decimals</t>
        </is>
      </c>
      <c r="H169" s="12" t="inlineStr">
        <is>
          <t>-</t>
        </is>
      </c>
      <c r="I169" s="12" t="inlineStr">
        <is>
          <t>Values at cut-over</t>
        </is>
      </c>
      <c r="J169" s="12" t="inlineStr">
        <is>
          <t>-</t>
        </is>
      </c>
      <c r="K169" s="12" t="inlineStr">
        <is>
          <t>-</t>
        </is>
      </c>
      <c r="L169" s="12" t="inlineStr">
        <is>
          <t>-</t>
        </is>
      </c>
      <c r="M169" s="12" t="inlineStr">
        <is>
          <t>-</t>
        </is>
      </c>
      <c r="N169" s="12" t="n"/>
      <c r="O169" s="12" t="n"/>
      <c r="P169" s="12" t="n"/>
      <c r="Q169" s="25" t="n"/>
    </row>
    <row r="170">
      <c r="A170" s="12" t="inlineStr">
        <is>
          <t>SCR-DM-17</t>
        </is>
      </c>
      <c r="B170" s="12" t="inlineStr">
        <is>
          <t>Legacy invoice on Invoice 360</t>
        </is>
      </c>
      <c r="C170" s="12" t="inlineStr">
        <is>
          <t>7</t>
        </is>
      </c>
      <c r="D170" s="12" t="inlineStr">
        <is>
          <t>Legacy Invoice</t>
        </is>
      </c>
      <c r="E170" s="12" t="inlineStr">
        <is>
          <t>Insurer Shares, Migration Batch</t>
        </is>
      </c>
      <c r="F170" s="12" t="inlineStr">
        <is>
          <t>Text</t>
        </is>
      </c>
      <c r="G170" s="12" t="inlineStr">
        <is>
          <t>-</t>
        </is>
      </c>
      <c r="H170" s="12" t="inlineStr">
        <is>
          <t>-</t>
        </is>
      </c>
      <c r="I170" s="12" t="inlineStr">
        <is>
          <t>Values at cut-over</t>
        </is>
      </c>
      <c r="J170" s="12" t="inlineStr">
        <is>
          <t>-</t>
        </is>
      </c>
      <c r="K170" s="12" t="inlineStr">
        <is>
          <t>-</t>
        </is>
      </c>
      <c r="L170" s="12" t="inlineStr">
        <is>
          <t>-</t>
        </is>
      </c>
      <c r="M170" s="12" t="inlineStr">
        <is>
          <t>-</t>
        </is>
      </c>
      <c r="N170" s="12" t="n"/>
      <c r="O170" s="12" t="n"/>
      <c r="P170" s="12" t="n"/>
      <c r="Q170" s="25" t="n"/>
    </row>
    <row r="171">
      <c r="A171" s="12" t="inlineStr">
        <is>
          <t>SCR-DM-17</t>
        </is>
      </c>
      <c r="B171" s="12" t="inlineStr">
        <is>
          <t>Legacy invoice on Invoice 360</t>
        </is>
      </c>
      <c r="C171" s="12" t="inlineStr">
        <is>
          <t>8</t>
        </is>
      </c>
      <c r="D171" s="12" t="inlineStr">
        <is>
          <t>Legacy positions at cut-over</t>
        </is>
      </c>
      <c r="E171" s="12" t="inlineStr">
        <is>
          <t>Component, Booked, Adjusted, Paid in Legacy, Remitted in Legacy, Written Off, Open at Cut-over</t>
        </is>
      </c>
      <c r="F171" s="12" t="inlineStr">
        <is>
          <t>Columns</t>
        </is>
      </c>
      <c r="G171" s="12" t="inlineStr">
        <is>
          <t>One row per component</t>
        </is>
      </c>
      <c r="H171" s="12" t="inlineStr">
        <is>
          <t>-</t>
        </is>
      </c>
      <c r="I171" s="12" t="inlineStr">
        <is>
          <t>Values at cut-over</t>
        </is>
      </c>
      <c r="J171" s="12" t="inlineStr">
        <is>
          <t>-</t>
        </is>
      </c>
      <c r="K171" s="12" t="inlineStr">
        <is>
          <t>-</t>
        </is>
      </c>
      <c r="L171" s="12" t="inlineStr">
        <is>
          <t>-</t>
        </is>
      </c>
      <c r="M171" s="12" t="inlineStr">
        <is>
          <t>-</t>
        </is>
      </c>
      <c r="N171" s="12" t="n"/>
      <c r="O171" s="12" t="n"/>
      <c r="P171" s="12" t="n"/>
      <c r="Q171" s="25" t="n"/>
    </row>
    <row r="172">
      <c r="A172" s="12" t="inlineStr">
        <is>
          <t>SCR-DM-18</t>
        </is>
      </c>
      <c r="B172" s="12" t="inlineStr">
        <is>
          <t>Unapplied to Income</t>
        </is>
      </c>
      <c r="C172" s="12" t="inlineStr">
        <is>
          <t>1</t>
        </is>
      </c>
      <c r="D172" s="12" t="inlineStr">
        <is>
          <t>List</t>
        </is>
      </c>
      <c r="E172" s="12" t="inlineStr">
        <is>
          <t>Batch</t>
        </is>
      </c>
      <c r="F172" s="12" t="inlineStr">
        <is>
          <t>Column</t>
        </is>
      </c>
      <c r="G172" s="12" t="inlineStr">
        <is>
          <t>Batch number; reason under it</t>
        </is>
      </c>
      <c r="H172" s="12" t="inlineStr">
        <is>
          <t>-</t>
        </is>
      </c>
      <c r="I172" s="12" t="inlineStr">
        <is>
          <t>Batches</t>
        </is>
      </c>
      <c r="J172" s="12" t="inlineStr">
        <is>
          <t>-</t>
        </is>
      </c>
      <c r="K172" s="12" t="inlineStr">
        <is>
          <t>-</t>
        </is>
      </c>
      <c r="L172" s="12" t="inlineStr">
        <is>
          <t>-</t>
        </is>
      </c>
      <c r="M172" s="12" t="inlineStr">
        <is>
          <t>-</t>
        </is>
      </c>
      <c r="N172" s="12" t="n"/>
      <c r="O172" s="12" t="n"/>
      <c r="P172" s="12" t="n"/>
      <c r="Q172" s="25" t="n"/>
    </row>
    <row r="173">
      <c r="A173" s="12" t="inlineStr">
        <is>
          <t>SCR-DM-18</t>
        </is>
      </c>
      <c r="B173" s="12" t="inlineStr">
        <is>
          <t>Unapplied to Income</t>
        </is>
      </c>
      <c r="C173" s="12" t="inlineStr">
        <is>
          <t>2</t>
        </is>
      </c>
      <c r="D173" s="12" t="inlineStr">
        <is>
          <t>List</t>
        </is>
      </c>
      <c r="E173" s="12" t="inlineStr">
        <is>
          <t>Lines, Total</t>
        </is>
      </c>
      <c r="F173" s="12" t="inlineStr">
        <is>
          <t>Column</t>
        </is>
      </c>
      <c r="G173" s="12" t="inlineStr">
        <is>
          <t>Count; amount</t>
        </is>
      </c>
      <c r="H173" s="12" t="inlineStr">
        <is>
          <t>-</t>
        </is>
      </c>
      <c r="I173" s="12" t="inlineStr">
        <is>
          <t>Batch</t>
        </is>
      </c>
      <c r="J173" s="12" t="inlineStr">
        <is>
          <t>-</t>
        </is>
      </c>
      <c r="K173" s="12" t="inlineStr">
        <is>
          <t>-</t>
        </is>
      </c>
      <c r="L173" s="12" t="inlineStr">
        <is>
          <t>-</t>
        </is>
      </c>
      <c r="M173" s="12" t="inlineStr">
        <is>
          <t>-</t>
        </is>
      </c>
      <c r="N173" s="12" t="n"/>
      <c r="O173" s="12" t="n"/>
      <c r="P173" s="12" t="n"/>
      <c r="Q173" s="25" t="n"/>
    </row>
    <row r="174">
      <c r="A174" s="12" t="inlineStr">
        <is>
          <t>SCR-DM-18</t>
        </is>
      </c>
      <c r="B174" s="12" t="inlineStr">
        <is>
          <t>Unapplied to Income</t>
        </is>
      </c>
      <c r="C174" s="12" t="inlineStr">
        <is>
          <t>3</t>
        </is>
      </c>
      <c r="D174" s="12" t="inlineStr">
        <is>
          <t>List</t>
        </is>
      </c>
      <c r="E174" s="12" t="inlineStr">
        <is>
          <t>Requested / Approved</t>
        </is>
      </c>
      <c r="F174" s="12" t="inlineStr">
        <is>
          <t>Column</t>
        </is>
      </c>
      <c r="G174" s="12" t="inlineStr">
        <is>
          <t>Requester; approvers under it</t>
        </is>
      </c>
      <c r="H174" s="12" t="inlineStr">
        <is>
          <t>-</t>
        </is>
      </c>
      <c r="I174" s="12" t="inlineStr">
        <is>
          <t>Batch</t>
        </is>
      </c>
      <c r="J174" s="12" t="inlineStr">
        <is>
          <t>-</t>
        </is>
      </c>
      <c r="K174" s="12" t="inlineStr">
        <is>
          <t>-</t>
        </is>
      </c>
      <c r="L174" s="12" t="inlineStr">
        <is>
          <t>-</t>
        </is>
      </c>
      <c r="M174" s="12" t="inlineStr">
        <is>
          <t>-</t>
        </is>
      </c>
      <c r="N174" s="12" t="n"/>
      <c r="O174" s="12" t="n"/>
      <c r="P174" s="12" t="n"/>
      <c r="Q174" s="25" t="n"/>
    </row>
    <row r="175">
      <c r="A175" s="12" t="inlineStr">
        <is>
          <t>SCR-DM-18</t>
        </is>
      </c>
      <c r="B175" s="12" t="inlineStr">
        <is>
          <t>Unapplied to Income</t>
        </is>
      </c>
      <c r="C175" s="12" t="inlineStr">
        <is>
          <t>4</t>
        </is>
      </c>
      <c r="D175" s="12" t="inlineStr">
        <is>
          <t>List</t>
        </is>
      </c>
      <c r="E175" s="12" t="inlineStr">
        <is>
          <t>Posted</t>
        </is>
      </c>
      <c r="F175" s="12" t="inlineStr">
        <is>
          <t>Column</t>
        </is>
      </c>
      <c r="G175" s="12" t="inlineStr">
        <is>
          <t>Lines posted and refused; date and time</t>
        </is>
      </c>
      <c r="H175" s="12" t="inlineStr">
        <is>
          <t>-</t>
        </is>
      </c>
      <c r="I175" s="12" t="inlineStr">
        <is>
          <t>Batch</t>
        </is>
      </c>
      <c r="J175" s="12" t="inlineStr">
        <is>
          <t>-</t>
        </is>
      </c>
      <c r="K175" s="12" t="inlineStr">
        <is>
          <t>-</t>
        </is>
      </c>
      <c r="L175" s="12" t="inlineStr">
        <is>
          <t>-</t>
        </is>
      </c>
      <c r="M175" s="12" t="inlineStr">
        <is>
          <t>-</t>
        </is>
      </c>
      <c r="N175" s="12" t="n"/>
      <c r="O175" s="12" t="n"/>
      <c r="P175" s="12" t="n"/>
      <c r="Q175" s="25" t="n"/>
    </row>
    <row r="176">
      <c r="A176" s="12" t="inlineStr">
        <is>
          <t>SCR-DM-18</t>
        </is>
      </c>
      <c r="B176" s="12" t="inlineStr">
        <is>
          <t>Unapplied to Income</t>
        </is>
      </c>
      <c r="C176" s="12" t="inlineStr">
        <is>
          <t>5</t>
        </is>
      </c>
      <c r="D176" s="12" t="inlineStr">
        <is>
          <t>List</t>
        </is>
      </c>
      <c r="E176" s="12" t="inlineStr">
        <is>
          <t>Status</t>
        </is>
      </c>
      <c r="F176" s="12" t="inlineStr">
        <is>
          <t>Pill</t>
        </is>
      </c>
      <c r="G176" s="12" t="inlineStr">
        <is>
          <t>Draft, For approval, For top management, Posted, Returned, Cancelled</t>
        </is>
      </c>
      <c r="H176" s="12" t="inlineStr">
        <is>
          <t>-</t>
        </is>
      </c>
      <c r="I176" s="12" t="inlineStr">
        <is>
          <t>Batch</t>
        </is>
      </c>
      <c r="J176" s="12" t="inlineStr">
        <is>
          <t>Draft</t>
        </is>
      </c>
      <c r="K176" s="12" t="inlineStr">
        <is>
          <t>-</t>
        </is>
      </c>
      <c r="L176" s="12" t="inlineStr">
        <is>
          <t>-</t>
        </is>
      </c>
      <c r="M176" s="12" t="inlineStr">
        <is>
          <t>-</t>
        </is>
      </c>
      <c r="N176" s="12" t="n"/>
      <c r="O176" s="12" t="n"/>
      <c r="P176" s="12" t="n"/>
      <c r="Q176" s="25" t="n"/>
    </row>
    <row r="177">
      <c r="A177" s="12" t="inlineStr">
        <is>
          <t>SCR-DM-18</t>
        </is>
      </c>
      <c r="B177" s="12" t="inlineStr">
        <is>
          <t>Unapplied to Income</t>
        </is>
      </c>
      <c r="C177" s="12" t="inlineStr">
        <is>
          <t>6</t>
        </is>
      </c>
      <c r="D177" s="12" t="inlineStr">
        <is>
          <t>New Batch</t>
        </is>
      </c>
      <c r="E177" s="12" t="inlineStr">
        <is>
          <t>Reason</t>
        </is>
      </c>
      <c r="F177" s="12" t="inlineStr">
        <is>
          <t>Text area</t>
        </is>
      </c>
      <c r="G177" s="12" t="inlineStr">
        <is>
          <t>Up to 500 characters</t>
        </is>
      </c>
      <c r="H177" s="12" t="inlineStr">
        <is>
          <t>Y</t>
        </is>
      </c>
      <c r="I177" s="12" t="inlineStr">
        <is>
          <t>-</t>
        </is>
      </c>
      <c r="J177" s="12" t="inlineStr">
        <is>
          <t>-</t>
        </is>
      </c>
      <c r="K177" s="12" t="inlineStr">
        <is>
          <t>Draft</t>
        </is>
      </c>
      <c r="L177" s="12" t="inlineStr">
        <is>
          <t>Not blank</t>
        </is>
      </c>
      <c r="M177" s="12" t="inlineStr">
        <is>
          <t>-</t>
        </is>
      </c>
      <c r="N177" s="12" t="n"/>
      <c r="O177" s="12" t="n"/>
      <c r="P177" s="12" t="n"/>
      <c r="Q177" s="25" t="n"/>
    </row>
    <row r="178">
      <c r="A178" s="12" t="inlineStr">
        <is>
          <t>SCR-DM-18</t>
        </is>
      </c>
      <c r="B178" s="12" t="inlineStr">
        <is>
          <t>Unapplied to Income</t>
        </is>
      </c>
      <c r="C178" s="12" t="inlineStr">
        <is>
          <t>7</t>
        </is>
      </c>
      <c r="D178" s="12" t="inlineStr">
        <is>
          <t>New Batch</t>
        </is>
      </c>
      <c r="E178" s="12" t="inlineStr">
        <is>
          <t>Currency</t>
        </is>
      </c>
      <c r="F178" s="12" t="inlineStr">
        <is>
          <t>Drop-down</t>
        </is>
      </c>
      <c r="G178" s="12" t="inlineStr">
        <is>
          <t>PHP, USD</t>
        </is>
      </c>
      <c r="H178" s="12" t="inlineStr">
        <is>
          <t>Y</t>
        </is>
      </c>
      <c r="I178" s="12" t="inlineStr">
        <is>
          <t>-</t>
        </is>
      </c>
      <c r="J178" s="12" t="inlineStr">
        <is>
          <t>PHP</t>
        </is>
      </c>
      <c r="K178" s="12" t="inlineStr">
        <is>
          <t>Draft</t>
        </is>
      </c>
      <c r="L178" s="12" t="inlineStr">
        <is>
          <t>-</t>
        </is>
      </c>
      <c r="M178" s="12" t="inlineStr">
        <is>
          <t>-</t>
        </is>
      </c>
      <c r="N178" s="12" t="n"/>
      <c r="O178" s="12" t="n"/>
      <c r="P178" s="12" t="n"/>
      <c r="Q178" s="25" t="n"/>
    </row>
    <row r="179">
      <c r="A179" s="12" t="inlineStr">
        <is>
          <t>SCR-DM-18</t>
        </is>
      </c>
      <c r="B179" s="12" t="inlineStr">
        <is>
          <t>Unapplied to Income</t>
        </is>
      </c>
      <c r="C179" s="12" t="inlineStr">
        <is>
          <t>8</t>
        </is>
      </c>
      <c r="D179" s="12" t="inlineStr">
        <is>
          <t>Batch</t>
        </is>
      </c>
      <c r="E179" s="12" t="inlineStr">
        <is>
          <t>Status, Reason, Total, Lines, Requested By, Submitted, Approved By, Posted, Returned Because</t>
        </is>
      </c>
      <c r="F179" s="12" t="inlineStr">
        <is>
          <t>Text</t>
        </is>
      </c>
      <c r="G179" s="12" t="inlineStr">
        <is>
          <t>-</t>
        </is>
      </c>
      <c r="H179" s="12" t="inlineStr">
        <is>
          <t>-</t>
        </is>
      </c>
      <c r="I179" s="12" t="inlineStr">
        <is>
          <t>Batch</t>
        </is>
      </c>
      <c r="J179" s="12" t="inlineStr">
        <is>
          <t>-</t>
        </is>
      </c>
      <c r="K179" s="12" t="inlineStr">
        <is>
          <t>-</t>
        </is>
      </c>
      <c r="L179" s="12" t="inlineStr">
        <is>
          <t>-</t>
        </is>
      </c>
      <c r="M179" s="12" t="inlineStr">
        <is>
          <t>-</t>
        </is>
      </c>
      <c r="N179" s="12" t="n"/>
      <c r="O179" s="12" t="n"/>
      <c r="P179" s="12" t="n"/>
      <c r="Q179" s="25" t="n"/>
    </row>
    <row r="180">
      <c r="A180" s="12" t="inlineStr">
        <is>
          <t>SCR-DM-18</t>
        </is>
      </c>
      <c r="B180" s="12" t="inlineStr">
        <is>
          <t>Unapplied to Income</t>
        </is>
      </c>
      <c r="C180" s="12" t="inlineStr">
        <is>
          <t>9</t>
        </is>
      </c>
      <c r="D180" s="12" t="inlineStr">
        <is>
          <t>Lines</t>
        </is>
      </c>
      <c r="E180" s="12" t="inlineStr">
        <is>
          <t>#, Unapplied Payment, Amount, Result, Status</t>
        </is>
      </c>
      <c r="F180" s="12" t="inlineStr">
        <is>
          <t>Columns</t>
        </is>
      </c>
      <c r="G180" s="12" t="inlineStr">
        <is>
          <t>LEGACY tag on a legacy item; age in days under it; journal or refusal message</t>
        </is>
      </c>
      <c r="H180" s="12" t="inlineStr">
        <is>
          <t>-</t>
        </is>
      </c>
      <c r="I180" s="12" t="inlineStr">
        <is>
          <t>Lines</t>
        </is>
      </c>
      <c r="J180" s="12" t="inlineStr">
        <is>
          <t>-</t>
        </is>
      </c>
      <c r="K180" s="12" t="inlineStr">
        <is>
          <t>-</t>
        </is>
      </c>
      <c r="L180" s="12" t="inlineStr">
        <is>
          <t>-</t>
        </is>
      </c>
      <c r="M180" s="12" t="inlineStr">
        <is>
          <t>-</t>
        </is>
      </c>
      <c r="N180" s="12" t="n"/>
      <c r="O180" s="12" t="n"/>
      <c r="P180" s="12" t="n"/>
      <c r="Q180" s="25" t="n"/>
    </row>
    <row r="181">
      <c r="A181" s="12" t="inlineStr">
        <is>
          <t>SCR-DM-18</t>
        </is>
      </c>
      <c r="B181" s="12" t="inlineStr">
        <is>
          <t>Unapplied to Income</t>
        </is>
      </c>
      <c r="C181" s="12" t="inlineStr">
        <is>
          <t>10</t>
        </is>
      </c>
      <c r="D181" s="12" t="inlineStr">
        <is>
          <t>Add Unapplied Payments</t>
        </is>
      </c>
      <c r="E181" s="12" t="inlineStr">
        <is>
          <t>Received At Least (days ago)</t>
        </is>
      </c>
      <c r="F181" s="12" t="inlineStr">
        <is>
          <t>Number</t>
        </is>
      </c>
      <c r="G181" s="12" t="inlineStr">
        <is>
          <t>Days</t>
        </is>
      </c>
      <c r="H181" s="12" t="inlineStr">
        <is>
          <t>N</t>
        </is>
      </c>
      <c r="I181" s="12" t="inlineStr">
        <is>
          <t>-</t>
        </is>
      </c>
      <c r="J181" s="12" t="inlineStr">
        <is>
          <t>365</t>
        </is>
      </c>
      <c r="K181" s="12" t="inlineStr">
        <is>
          <t>Draft</t>
        </is>
      </c>
      <c r="L181" s="12" t="inlineStr">
        <is>
          <t>-</t>
        </is>
      </c>
      <c r="M181" s="12" t="inlineStr">
        <is>
          <t>-</t>
        </is>
      </c>
      <c r="N181" s="12" t="n"/>
      <c r="O181" s="12" t="n"/>
      <c r="P181" s="12" t="n"/>
      <c r="Q181" s="25" t="n"/>
    </row>
    <row r="182">
      <c r="A182" s="12" t="inlineStr">
        <is>
          <t>SCR-DM-18</t>
        </is>
      </c>
      <c r="B182" s="12" t="inlineStr">
        <is>
          <t>Unapplied to Income</t>
        </is>
      </c>
      <c r="C182" s="12" t="inlineStr">
        <is>
          <t>11</t>
        </is>
      </c>
      <c r="D182" s="12" t="inlineStr">
        <is>
          <t>Add Unapplied Payments</t>
        </is>
      </c>
      <c r="E182" s="12" t="inlineStr">
        <is>
          <t>Origin</t>
        </is>
      </c>
      <c r="F182" s="12" t="inlineStr">
        <is>
          <t>Drop-down</t>
        </is>
      </c>
      <c r="G182" s="12" t="inlineStr">
        <is>
          <t>All origins, BIBS, Migrated</t>
        </is>
      </c>
      <c r="H182" s="12" t="inlineStr">
        <is>
          <t>N</t>
        </is>
      </c>
      <c r="I182" s="12" t="inlineStr">
        <is>
          <t>-</t>
        </is>
      </c>
      <c r="J182" s="12" t="inlineStr">
        <is>
          <t>All origins</t>
        </is>
      </c>
      <c r="K182" s="12" t="inlineStr">
        <is>
          <t>Draft</t>
        </is>
      </c>
      <c r="L182" s="12" t="inlineStr">
        <is>
          <t>-</t>
        </is>
      </c>
      <c r="M182" s="12" t="inlineStr">
        <is>
          <t>-</t>
        </is>
      </c>
      <c r="N182" s="12" t="n"/>
      <c r="O182" s="12" t="n"/>
      <c r="P182" s="12" t="n"/>
      <c r="Q182" s="25" t="n"/>
    </row>
    <row r="183">
      <c r="A183" s="12" t="inlineStr">
        <is>
          <t>SCR-DM-18</t>
        </is>
      </c>
      <c r="B183" s="12" t="inlineStr">
        <is>
          <t>Unapplied to Income</t>
        </is>
      </c>
      <c r="C183" s="12" t="inlineStr">
        <is>
          <t>12</t>
        </is>
      </c>
      <c r="D183" s="12" t="inlineStr">
        <is>
          <t>Add Unapplied Payments</t>
        </is>
      </c>
      <c r="E183" s="12" t="inlineStr">
        <is>
          <t>Reason for the Lines</t>
        </is>
      </c>
      <c r="F183" s="12" t="inlineStr">
        <is>
          <t>Text</t>
        </is>
      </c>
      <c r="G183" s="12" t="inlineStr">
        <is>
          <t>Up to 250 characters</t>
        </is>
      </c>
      <c r="H183" s="12" t="inlineStr">
        <is>
          <t>N</t>
        </is>
      </c>
      <c r="I183" s="12" t="inlineStr">
        <is>
          <t>-</t>
        </is>
      </c>
      <c r="J183" s="12" t="inlineStr">
        <is>
          <t>-</t>
        </is>
      </c>
      <c r="K183" s="12" t="inlineStr">
        <is>
          <t>Draft</t>
        </is>
      </c>
      <c r="L183" s="12" t="inlineStr">
        <is>
          <t>-</t>
        </is>
      </c>
      <c r="M183" s="12" t="inlineStr">
        <is>
          <t>-</t>
        </is>
      </c>
      <c r="N183" s="12" t="n"/>
      <c r="O183" s="12" t="n"/>
      <c r="P183" s="12" t="n"/>
      <c r="Q183" s="25" t="n"/>
    </row>
    <row r="184">
      <c r="A184" s="12" t="inlineStr">
        <is>
          <t>SCR-DM-18</t>
        </is>
      </c>
      <c r="B184" s="12" t="inlineStr">
        <is>
          <t>Unapplied to Income</t>
        </is>
      </c>
      <c r="C184" s="12" t="inlineStr">
        <is>
          <t>13</t>
        </is>
      </c>
      <c r="D184" s="12" t="inlineStr">
        <is>
          <t>Add Unapplied Payments</t>
        </is>
      </c>
      <c r="E184" s="12" t="inlineStr">
        <is>
          <t>Unapplied Payment, Payor / Client, Age (days), Stage, Balance</t>
        </is>
      </c>
      <c r="F184" s="12" t="inlineStr">
        <is>
          <t>Columns</t>
        </is>
      </c>
      <c r="G184" s="12" t="inlineStr">
        <is>
          <t>Legacy AR number under a legacy item</t>
        </is>
      </c>
      <c r="H184" s="12" t="inlineStr">
        <is>
          <t>-</t>
        </is>
      </c>
      <c r="I184" s="12" t="inlineStr">
        <is>
          <t>Open unapplied payments of the currency, old enough, not in another batch</t>
        </is>
      </c>
      <c r="J184" s="12" t="inlineStr">
        <is>
          <t>-</t>
        </is>
      </c>
      <c r="K184" s="12" t="inlineStr">
        <is>
          <t>-</t>
        </is>
      </c>
      <c r="L184" s="12" t="inlineStr">
        <is>
          <t>-</t>
        </is>
      </c>
      <c r="M184" s="12" t="inlineStr">
        <is>
          <t>-</t>
        </is>
      </c>
      <c r="N184" s="12" t="n"/>
      <c r="O184" s="12" t="n"/>
      <c r="P184" s="12" t="n"/>
      <c r="Q184" s="25" t="n"/>
    </row>
    <row r="185">
      <c r="A185" s="12" t="inlineStr">
        <is>
          <t>SCR-DM-19</t>
        </is>
      </c>
      <c r="B185" s="12" t="inlineStr">
        <is>
          <t>Legacy PR 2307 Reversal</t>
        </is>
      </c>
      <c r="C185" s="12" t="inlineStr">
        <is>
          <t>1</t>
        </is>
      </c>
      <c r="D185" s="12" t="inlineStr">
        <is>
          <t>New Batch</t>
        </is>
      </c>
      <c r="E185" s="12" t="inlineStr">
        <is>
          <t>Reason, Currency</t>
        </is>
      </c>
      <c r="F185" s="12" t="inlineStr">
        <is>
          <t>Text area; Drop-down</t>
        </is>
      </c>
      <c r="G185" s="12" t="inlineStr">
        <is>
          <t>Up to 500 characters; PHP or USD</t>
        </is>
      </c>
      <c r="H185" s="12" t="inlineStr">
        <is>
          <t>Y</t>
        </is>
      </c>
      <c r="I185" s="12" t="inlineStr">
        <is>
          <t>-</t>
        </is>
      </c>
      <c r="J185" s="12" t="inlineStr">
        <is>
          <t>PHP</t>
        </is>
      </c>
      <c r="K185" s="12" t="inlineStr">
        <is>
          <t>Draft</t>
        </is>
      </c>
      <c r="L185" s="12" t="inlineStr">
        <is>
          <t>-</t>
        </is>
      </c>
      <c r="M185" s="12" t="inlineStr">
        <is>
          <t>-</t>
        </is>
      </c>
      <c r="N185" s="12" t="n"/>
      <c r="O185" s="12" t="n"/>
      <c r="P185" s="12" t="n"/>
      <c r="Q185" s="25" t="n"/>
    </row>
    <row r="186">
      <c r="A186" s="12" t="inlineStr">
        <is>
          <t>SCR-DM-19</t>
        </is>
      </c>
      <c r="B186" s="12" t="inlineStr">
        <is>
          <t>Legacy PR 2307 Reversal</t>
        </is>
      </c>
      <c r="C186" s="12" t="inlineStr">
        <is>
          <t>2</t>
        </is>
      </c>
      <c r="D186" s="12" t="inlineStr">
        <is>
          <t>Add a Legacy Invoice</t>
        </is>
      </c>
      <c r="E186" s="12" t="inlineStr">
        <is>
          <t>Invoice No.</t>
        </is>
      </c>
      <c r="F186" s="12" t="inlineStr">
        <is>
          <t>Text</t>
        </is>
      </c>
      <c r="G186" s="12" t="inlineStr">
        <is>
          <t>Legacy invoice number</t>
        </is>
      </c>
      <c r="H186" s="12" t="inlineStr">
        <is>
          <t>Y</t>
        </is>
      </c>
      <c r="I186" s="12" t="inlineStr">
        <is>
          <t>Legacy invoices</t>
        </is>
      </c>
      <c r="J186" s="12" t="inlineStr">
        <is>
          <t>-</t>
        </is>
      </c>
      <c r="K186" s="12" t="inlineStr">
        <is>
          <t>Draft</t>
        </is>
      </c>
      <c r="L186" s="12" t="inlineStr">
        <is>
          <t>A legacy invoice with an open PR 2307</t>
        </is>
      </c>
      <c r="M186" s="12" t="inlineStr">
        <is>
          <t>-</t>
        </is>
      </c>
      <c r="N186" s="12" t="n"/>
      <c r="O186" s="12" t="n"/>
      <c r="P186" s="12" t="n"/>
      <c r="Q186" s="25" t="n"/>
    </row>
    <row r="187">
      <c r="A187" s="12" t="inlineStr">
        <is>
          <t>SCR-DM-19</t>
        </is>
      </c>
      <c r="B187" s="12" t="inlineStr">
        <is>
          <t>Legacy PR 2307 Reversal</t>
        </is>
      </c>
      <c r="C187" s="12" t="inlineStr">
        <is>
          <t>3</t>
        </is>
      </c>
      <c r="D187" s="12" t="inlineStr">
        <is>
          <t>Add a Legacy Invoice</t>
        </is>
      </c>
      <c r="E187" s="12" t="inlineStr">
        <is>
          <t>Amount</t>
        </is>
      </c>
      <c r="F187" s="12" t="inlineStr">
        <is>
          <t>Amount</t>
        </is>
      </c>
      <c r="G187" s="12" t="inlineStr">
        <is>
          <t>Within the open PR 2307 and the due to insurer</t>
        </is>
      </c>
      <c r="H187" s="12" t="inlineStr">
        <is>
          <t>Y</t>
        </is>
      </c>
      <c r="I187" s="12" t="inlineStr">
        <is>
          <t>-</t>
        </is>
      </c>
      <c r="J187" s="12" t="inlineStr">
        <is>
          <t>-</t>
        </is>
      </c>
      <c r="K187" s="12" t="inlineStr">
        <is>
          <t>Draft</t>
        </is>
      </c>
      <c r="L187" s="12" t="inlineStr">
        <is>
          <t>Above 0</t>
        </is>
      </c>
      <c r="M187" s="12" t="inlineStr">
        <is>
          <t>-</t>
        </is>
      </c>
      <c r="N187" s="12" t="n"/>
      <c r="O187" s="12" t="n"/>
      <c r="P187" s="12" t="n"/>
      <c r="Q187" s="25" t="n"/>
    </row>
    <row r="188">
      <c r="A188" s="12" t="inlineStr">
        <is>
          <t>SCR-DM-19</t>
        </is>
      </c>
      <c r="B188" s="12" t="inlineStr">
        <is>
          <t>Legacy PR 2307 Reversal</t>
        </is>
      </c>
      <c r="C188" s="12" t="inlineStr">
        <is>
          <t>4</t>
        </is>
      </c>
      <c r="D188" s="12" t="inlineStr">
        <is>
          <t>Add a Legacy Invoice</t>
        </is>
      </c>
      <c r="E188" s="12" t="inlineStr">
        <is>
          <t>Reason</t>
        </is>
      </c>
      <c r="F188" s="12" t="inlineStr">
        <is>
          <t>Text</t>
        </is>
      </c>
      <c r="G188" s="12" t="inlineStr">
        <is>
          <t>Up to 250 characters</t>
        </is>
      </c>
      <c r="H188" s="12" t="inlineStr">
        <is>
          <t>N</t>
        </is>
      </c>
      <c r="I188" s="12" t="inlineStr">
        <is>
          <t>-</t>
        </is>
      </c>
      <c r="J188" s="12" t="inlineStr">
        <is>
          <t>-</t>
        </is>
      </c>
      <c r="K188" s="12" t="inlineStr">
        <is>
          <t>Draft</t>
        </is>
      </c>
      <c r="L188" s="12" t="inlineStr">
        <is>
          <t>-</t>
        </is>
      </c>
      <c r="M188" s="12" t="inlineStr">
        <is>
          <t>-</t>
        </is>
      </c>
      <c r="N188" s="12" t="n"/>
      <c r="O188" s="12" t="n"/>
      <c r="P188" s="12" t="n"/>
      <c r="Q188" s="25" t="n"/>
    </row>
    <row r="189">
      <c r="A189" s="12" t="inlineStr">
        <is>
          <t>SCR-DM-19</t>
        </is>
      </c>
      <c r="B189" s="12" t="inlineStr">
        <is>
          <t>Legacy PR 2307 Reversal</t>
        </is>
      </c>
      <c r="C189" s="12" t="inlineStr">
        <is>
          <t>5</t>
        </is>
      </c>
      <c r="D189" s="12" t="inlineStr">
        <is>
          <t>Lines</t>
        </is>
      </c>
      <c r="E189" s="12" t="inlineStr">
        <is>
          <t>#, Invoice, Amount, Result, Status</t>
        </is>
      </c>
      <c r="F189" s="12" t="inlineStr">
        <is>
          <t>Columns</t>
        </is>
      </c>
      <c r="G189" s="12" t="inlineStr">
        <is>
          <t>LEGACY tag; journal or refusal message</t>
        </is>
      </c>
      <c r="H189" s="12" t="inlineStr">
        <is>
          <t>-</t>
        </is>
      </c>
      <c r="I189" s="12" t="inlineStr">
        <is>
          <t>Lines</t>
        </is>
      </c>
      <c r="J189" s="12" t="inlineStr">
        <is>
          <t>-</t>
        </is>
      </c>
      <c r="K189" s="12" t="inlineStr">
        <is>
          <t>-</t>
        </is>
      </c>
      <c r="L189" s="12" t="inlineStr">
        <is>
          <t>-</t>
        </is>
      </c>
      <c r="M189" s="12" t="inlineStr">
        <is>
          <t>-</t>
        </is>
      </c>
      <c r="N189" s="12" t="n"/>
      <c r="O189" s="12" t="n"/>
      <c r="P189" s="12" t="n"/>
      <c r="Q189" s="25" t="n"/>
    </row>
    <row r="190">
      <c r="A190" s="12" t="inlineStr">
        <is>
          <t>SCR-DM-20</t>
        </is>
      </c>
      <c r="B190" s="12" t="inlineStr">
        <is>
          <t>DP PR Legacy Reversal</t>
        </is>
      </c>
      <c r="C190" s="12" t="inlineStr">
        <is>
          <t>1</t>
        </is>
      </c>
      <c r="D190" s="12" t="inlineStr">
        <is>
          <t>New Batch</t>
        </is>
      </c>
      <c r="E190" s="12" t="inlineStr">
        <is>
          <t>Reason</t>
        </is>
      </c>
      <c r="F190" s="12" t="inlineStr">
        <is>
          <t>Text area</t>
        </is>
      </c>
      <c r="G190" s="12" t="inlineStr">
        <is>
          <t>Up to 500 characters</t>
        </is>
      </c>
      <c r="H190" s="12" t="inlineStr">
        <is>
          <t>Y</t>
        </is>
      </c>
      <c r="I190" s="12" t="inlineStr">
        <is>
          <t>-</t>
        </is>
      </c>
      <c r="J190" s="12" t="inlineStr">
        <is>
          <t>-</t>
        </is>
      </c>
      <c r="K190" s="12" t="inlineStr">
        <is>
          <t>Draft</t>
        </is>
      </c>
      <c r="L190" s="12" t="inlineStr">
        <is>
          <t>Not blank</t>
        </is>
      </c>
      <c r="M190" s="12" t="inlineStr">
        <is>
          <t>-</t>
        </is>
      </c>
      <c r="N190" s="12" t="n"/>
      <c r="O190" s="12" t="n"/>
      <c r="P190" s="12" t="n"/>
      <c r="Q190" s="25" t="n"/>
    </row>
    <row r="191">
      <c r="A191" s="12" t="inlineStr">
        <is>
          <t>SCR-DM-20</t>
        </is>
      </c>
      <c r="B191" s="12" t="inlineStr">
        <is>
          <t>DP PR Legacy Reversal</t>
        </is>
      </c>
      <c r="C191" s="12" t="inlineStr">
        <is>
          <t>2</t>
        </is>
      </c>
      <c r="D191" s="12" t="inlineStr">
        <is>
          <t>Add Legacy Invoices</t>
        </is>
      </c>
      <c r="E191" s="12" t="inlineStr">
        <is>
          <t>Show</t>
        </is>
      </c>
      <c r="F191" s="12" t="inlineStr">
        <is>
          <t>Drop-down</t>
        </is>
      </c>
      <c r="G191" s="12" t="inlineStr">
        <is>
          <t>Tagged DP PR for reversal by Collections, Every legacy invoice with open premium</t>
        </is>
      </c>
      <c r="H191" s="12" t="inlineStr">
        <is>
          <t>N</t>
        </is>
      </c>
      <c r="I191" s="12" t="inlineStr">
        <is>
          <t>-</t>
        </is>
      </c>
      <c r="J191" s="12" t="inlineStr">
        <is>
          <t>Tagged</t>
        </is>
      </c>
      <c r="K191" s="12" t="inlineStr">
        <is>
          <t>Draft</t>
        </is>
      </c>
      <c r="L191" s="12" t="inlineStr">
        <is>
          <t>-</t>
        </is>
      </c>
      <c r="M191" s="12" t="inlineStr">
        <is>
          <t>-</t>
        </is>
      </c>
      <c r="N191" s="12" t="n"/>
      <c r="O191" s="12" t="n"/>
      <c r="P191" s="12" t="n"/>
      <c r="Q191" s="25" t="n"/>
    </row>
    <row r="192">
      <c r="A192" s="12" t="inlineStr">
        <is>
          <t>SCR-DM-20</t>
        </is>
      </c>
      <c r="B192" s="12" t="inlineStr">
        <is>
          <t>DP PR Legacy Reversal</t>
        </is>
      </c>
      <c r="C192" s="12" t="inlineStr">
        <is>
          <t>3</t>
        </is>
      </c>
      <c r="D192" s="12" t="inlineStr">
        <is>
          <t>Add Legacy Invoices</t>
        </is>
      </c>
      <c r="E192" s="12" t="inlineStr">
        <is>
          <t>Reason for the Lines</t>
        </is>
      </c>
      <c r="F192" s="12" t="inlineStr">
        <is>
          <t>Text</t>
        </is>
      </c>
      <c r="G192" s="12" t="inlineStr">
        <is>
          <t>Up to 250 characters</t>
        </is>
      </c>
      <c r="H192" s="12" t="inlineStr">
        <is>
          <t>N</t>
        </is>
      </c>
      <c r="I192" s="12" t="inlineStr">
        <is>
          <t>-</t>
        </is>
      </c>
      <c r="J192" s="12" t="inlineStr">
        <is>
          <t>-</t>
        </is>
      </c>
      <c r="K192" s="12" t="inlineStr">
        <is>
          <t>Draft</t>
        </is>
      </c>
      <c r="L192" s="12" t="inlineStr">
        <is>
          <t>-</t>
        </is>
      </c>
      <c r="M192" s="12" t="inlineStr">
        <is>
          <t>-</t>
        </is>
      </c>
      <c r="N192" s="12" t="n"/>
      <c r="O192" s="12" t="n"/>
      <c r="P192" s="12" t="n"/>
      <c r="Q192" s="25" t="n"/>
    </row>
    <row r="193">
      <c r="A193" s="12" t="inlineStr">
        <is>
          <t>SCR-DM-20</t>
        </is>
      </c>
      <c r="B193" s="12" t="inlineStr">
        <is>
          <t>DP PR Legacy Reversal</t>
        </is>
      </c>
      <c r="C193" s="12" t="inlineStr">
        <is>
          <t>4</t>
        </is>
      </c>
      <c r="D193" s="12" t="inlineStr">
        <is>
          <t>Add Legacy Invoices</t>
        </is>
      </c>
      <c r="E193" s="12" t="inlineStr">
        <is>
          <t>Invoice, Client / Insurer, Policy, Tagged, Open Premium</t>
        </is>
      </c>
      <c r="F193" s="12" t="inlineStr">
        <is>
          <t>Columns</t>
        </is>
      </c>
      <c r="G193" s="12" t="inlineStr">
        <is>
          <t>LEGACY tag; source system and legacy number under the invoice</t>
        </is>
      </c>
      <c r="H193" s="12" t="inlineStr">
        <is>
          <t>-</t>
        </is>
      </c>
      <c r="I193" s="12" t="inlineStr">
        <is>
          <t>Legacy invoices with open premium</t>
        </is>
      </c>
      <c r="J193" s="12" t="inlineStr">
        <is>
          <t>-</t>
        </is>
      </c>
      <c r="K193" s="12" t="inlineStr">
        <is>
          <t>-</t>
        </is>
      </c>
      <c r="L193" s="12" t="inlineStr">
        <is>
          <t>-</t>
        </is>
      </c>
      <c r="M193" s="12" t="inlineStr">
        <is>
          <t>-</t>
        </is>
      </c>
      <c r="N193" s="12" t="n"/>
      <c r="O193" s="12" t="n"/>
      <c r="P193" s="12" t="n"/>
      <c r="Q193" s="25" t="n"/>
    </row>
    <row r="194">
      <c r="A194" s="12" t="inlineStr">
        <is>
          <t>SCR-DM-20</t>
        </is>
      </c>
      <c r="B194" s="12" t="inlineStr">
        <is>
          <t>DP PR Legacy Reversal</t>
        </is>
      </c>
      <c r="C194" s="12" t="inlineStr">
        <is>
          <t>5</t>
        </is>
      </c>
      <c r="D194" s="12" t="inlineStr">
        <is>
          <t>Lines</t>
        </is>
      </c>
      <c r="E194" s="12" t="inlineStr">
        <is>
          <t>#, Invoice, Amount, Result, Status</t>
        </is>
      </c>
      <c r="F194" s="12" t="inlineStr">
        <is>
          <t>Columns</t>
        </is>
      </c>
      <c r="G194" s="12" t="inlineStr">
        <is>
          <t>The whole open premium receivable of the invoice</t>
        </is>
      </c>
      <c r="H194" s="12" t="inlineStr">
        <is>
          <t>-</t>
        </is>
      </c>
      <c r="I194" s="12" t="inlineStr">
        <is>
          <t>Lines</t>
        </is>
      </c>
      <c r="J194" s="12" t="inlineStr">
        <is>
          <t>-</t>
        </is>
      </c>
      <c r="K194" s="12" t="inlineStr">
        <is>
          <t>-</t>
        </is>
      </c>
      <c r="L194" s="12" t="inlineStr">
        <is>
          <t>-</t>
        </is>
      </c>
      <c r="M194" s="12" t="inlineStr">
        <is>
          <t>-</t>
        </is>
      </c>
      <c r="N194" s="12" t="n"/>
      <c r="O194" s="12" t="n"/>
      <c r="P194" s="12" t="n"/>
      <c r="Q194" s="25" t="n"/>
    </row>
  </sheetData>
  <autoFilter ref="A4:Q194"/>
  <mergeCells count="1">
    <mergeCell ref="A2:Q2"/>
  </mergeCells>
  <conditionalFormatting sqref="A5:Q694">
    <cfRule type="expression" priority="1" dxfId="0">
      <formula>AND(MOD(ROW(),2)=0,$A5&lt;&gt;"")</formula>
    </cfRule>
  </conditionalFormatting>
  <dataValidations count="2">
    <dataValidation sqref="N5:N694" showDropDown="0" showInputMessage="0" showErrorMessage="1" allowBlank="1" errorTitle="BU review" error="Choose a value from the list (BU review)." type="list">
      <formula1>'_lists'!$AB$1:$AB$3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2.xml><?xml version="1.0" encoding="utf-8"?>
<worksheet xmlns="http://schemas.openxmlformats.org/spreadsheetml/2006/main">
  <sheetPr>
    <outlinePr summaryBelow="1" summaryRight="1"/>
    <pageSetUpPr fitToPage="1"/>
  </sheetPr>
  <dimension ref="A1:H9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SCR-DM-01</t>
        </is>
      </c>
      <c r="B5" s="12" t="inlineStr">
        <is>
          <t>Migration Home</t>
        </is>
      </c>
      <c r="C5" s="12" t="inlineStr">
        <is>
          <t>Load Templates</t>
        </is>
      </c>
      <c r="D5" s="12" t="inlineStr">
        <is>
          <t>Every migration role</t>
        </is>
      </c>
      <c r="E5" s="12" t="inlineStr">
        <is>
          <t>Always</t>
        </is>
      </c>
      <c r="F5" s="12" t="inlineStr">
        <is>
          <t>Opens Layouts and Rules with the templates</t>
        </is>
      </c>
      <c r="G5" s="12" t="inlineStr">
        <is>
          <t>-</t>
        </is>
      </c>
      <c r="H5" s="12" t="inlineStr">
        <is>
          <t>-</t>
        </is>
      </c>
    </row>
    <row r="6">
      <c r="A6" s="12" t="inlineStr">
        <is>
          <t>SCR-DM-01</t>
        </is>
      </c>
      <c r="B6" s="12" t="inlineStr">
        <is>
          <t>Migration Home</t>
        </is>
      </c>
      <c r="C6" s="12" t="inlineStr">
        <is>
          <t>Batches</t>
        </is>
      </c>
      <c r="D6" s="12" t="inlineStr">
        <is>
          <t>Every migration role</t>
        </is>
      </c>
      <c r="E6" s="12" t="inlineStr">
        <is>
          <t>Always</t>
        </is>
      </c>
      <c r="F6" s="12" t="inlineStr">
        <is>
          <t>Opens the batch list</t>
        </is>
      </c>
      <c r="G6" s="12" t="inlineStr">
        <is>
          <t>-</t>
        </is>
      </c>
      <c r="H6" s="12" t="inlineStr">
        <is>
          <t>-</t>
        </is>
      </c>
    </row>
    <row r="7">
      <c r="A7" s="12" t="inlineStr">
        <is>
          <t>SCR-DM-01</t>
        </is>
      </c>
      <c r="B7" s="12" t="inlineStr">
        <is>
          <t>Migration Home</t>
        </is>
      </c>
      <c r="C7" s="12" t="inlineStr">
        <is>
          <t>Upload Extract</t>
        </is>
      </c>
      <c r="D7" s="12" t="inlineStr">
        <is>
          <t>Migration Operator</t>
        </is>
      </c>
      <c r="E7" s="12" t="inlineStr">
        <is>
          <t>Always</t>
        </is>
      </c>
      <c r="F7" s="12" t="inlineStr">
        <is>
          <t>Opens Extracts to upload a file with its control file</t>
        </is>
      </c>
      <c r="G7" s="12" t="inlineStr">
        <is>
          <t>-</t>
        </is>
      </c>
      <c r="H7" s="12" t="inlineStr">
        <is>
          <t>-</t>
        </is>
      </c>
    </row>
    <row r="8">
      <c r="A8" s="12" t="inlineStr">
        <is>
          <t>SCR-DM-01</t>
        </is>
      </c>
      <c r="B8" s="12" t="inlineStr">
        <is>
          <t>Migration Home</t>
        </is>
      </c>
      <c r="C8" s="12" t="inlineStr">
        <is>
          <t>A tile</t>
        </is>
      </c>
      <c r="D8" s="12" t="inlineStr">
        <is>
          <t>Every migration role</t>
        </is>
      </c>
      <c r="E8" s="12" t="inlineStr">
        <is>
          <t>Always</t>
        </is>
      </c>
      <c r="F8" s="12" t="inlineStr">
        <is>
          <t>Opens the screen of the tile</t>
        </is>
      </c>
      <c r="G8" s="12" t="inlineStr">
        <is>
          <t>-</t>
        </is>
      </c>
      <c r="H8" s="12" t="inlineStr">
        <is>
          <t>-</t>
        </is>
      </c>
    </row>
    <row r="9">
      <c r="A9" s="12" t="inlineStr">
        <is>
          <t>SCR-DM-02</t>
        </is>
      </c>
      <c r="B9" s="12" t="inlineStr">
        <is>
          <t>Data Objects and the decision of an object</t>
        </is>
      </c>
      <c r="C9" s="12" t="inlineStr">
        <is>
          <t>All Load Templates</t>
        </is>
      </c>
      <c r="D9" s="12" t="inlineStr">
        <is>
          <t>Every migration role</t>
        </is>
      </c>
      <c r="E9" s="12" t="inlineStr">
        <is>
          <t>Always</t>
        </is>
      </c>
      <c r="F9" s="12" t="inlineStr">
        <is>
          <t>Downloads the workbook of every load template with the columns, the control file and the How to fill rules</t>
        </is>
      </c>
      <c r="G9" s="12" t="inlineStr">
        <is>
          <t>-</t>
        </is>
      </c>
      <c r="H9" s="12" t="inlineStr">
        <is>
          <t>-</t>
        </is>
      </c>
    </row>
    <row r="10">
      <c r="A10" s="12" t="inlineStr">
        <is>
          <t>SCR-DM-02</t>
        </is>
      </c>
      <c r="B10" s="12" t="inlineStr">
        <is>
          <t>Data Objects and the decision of an object</t>
        </is>
      </c>
      <c r="C10" s="12" t="inlineStr">
        <is>
          <t>Download on a row</t>
        </is>
      </c>
      <c r="D10" s="12" t="inlineStr">
        <is>
          <t>Every migration role</t>
        </is>
      </c>
      <c r="E10" s="12" t="inlineStr">
        <is>
          <t>Always</t>
        </is>
      </c>
      <c r="F10" s="12" t="inlineStr">
        <is>
          <t>Downloads the load template workbook of the object</t>
        </is>
      </c>
      <c r="G10" s="12" t="inlineStr">
        <is>
          <t>-</t>
        </is>
      </c>
      <c r="H10" s="12" t="inlineStr">
        <is>
          <t>-</t>
        </is>
      </c>
    </row>
    <row r="11">
      <c r="A11" s="12" t="inlineStr">
        <is>
          <t>SCR-DM-02</t>
        </is>
      </c>
      <c r="B11" s="12" t="inlineStr">
        <is>
          <t>Data Objects and the decision of an object</t>
        </is>
      </c>
      <c r="C11" s="12" t="inlineStr">
        <is>
          <t>Submit for Decision</t>
        </is>
      </c>
      <c r="D11" s="12" t="inlineStr">
        <is>
          <t>Data Migration Lead</t>
        </is>
      </c>
      <c r="E11" s="12" t="inlineStr">
        <is>
          <t>Object not waiting for a decision</t>
        </is>
      </c>
      <c r="F11" s="12" t="inlineStr">
        <is>
          <t>Sends the proposed class to the business owner after a confirmation</t>
        </is>
      </c>
      <c r="G11" s="12" t="inlineStr">
        <is>
          <t>For decision</t>
        </is>
      </c>
      <c r="H11" s="12" t="inlineStr">
        <is>
          <t>Alert to the business owner</t>
        </is>
      </c>
    </row>
    <row r="12">
      <c r="A12" s="12" t="inlineStr">
        <is>
          <t>SCR-DM-02</t>
        </is>
      </c>
      <c r="B12" s="12" t="inlineStr">
        <is>
          <t>Data Objects and the decision of an object</t>
        </is>
      </c>
      <c r="C12" s="12" t="inlineStr">
        <is>
          <t>Approve</t>
        </is>
      </c>
      <c r="D12" s="12" t="inlineStr">
        <is>
          <t>Data owner (business owner of the object)</t>
        </is>
      </c>
      <c r="E12" s="12" t="inlineStr">
        <is>
          <t>Decision For decision and submitted by another user</t>
        </is>
      </c>
      <c r="F12" s="12" t="inlineStr">
        <is>
          <t>Decides the class of the object (gate G1), with an optional comment</t>
        </is>
      </c>
      <c r="G12" s="12" t="inlineStr">
        <is>
          <t>Decided</t>
        </is>
      </c>
      <c r="H12" s="12" t="inlineStr">
        <is>
          <t>-</t>
        </is>
      </c>
    </row>
    <row r="13">
      <c r="A13" s="12" t="inlineStr">
        <is>
          <t>SCR-DM-02</t>
        </is>
      </c>
      <c r="B13" s="12" t="inlineStr">
        <is>
          <t>Data Objects and the decision of an object</t>
        </is>
      </c>
      <c r="C13" s="12" t="inlineStr">
        <is>
          <t>Return</t>
        </is>
      </c>
      <c r="D13" s="12" t="inlineStr">
        <is>
          <t>Data owner</t>
        </is>
      </c>
      <c r="E13" s="12" t="inlineStr">
        <is>
          <t>Decision For decision and submitted by another user</t>
        </is>
      </c>
      <c r="F13" s="12" t="inlineStr">
        <is>
          <t>Returns the proposal to the Data Migration Lead with the reason</t>
        </is>
      </c>
      <c r="G13" s="12" t="inlineStr">
        <is>
          <t>Proposed</t>
        </is>
      </c>
      <c r="H13" s="12" t="inlineStr">
        <is>
          <t>-</t>
        </is>
      </c>
    </row>
    <row r="14">
      <c r="A14" s="12" t="inlineStr">
        <is>
          <t>SCR-DM-02</t>
        </is>
      </c>
      <c r="B14" s="12" t="inlineStr">
        <is>
          <t>Data Objects and the decision of an object</t>
        </is>
      </c>
      <c r="C14" s="12" t="inlineStr">
        <is>
          <t>Close</t>
        </is>
      </c>
      <c r="D14" s="12" t="inlineStr">
        <is>
          <t>Every migration role</t>
        </is>
      </c>
      <c r="E14" s="12" t="inlineStr">
        <is>
          <t>Always</t>
        </is>
      </c>
      <c r="F14" s="12" t="inlineStr">
        <is>
          <t>Closes the panel</t>
        </is>
      </c>
      <c r="G14" s="12" t="inlineStr">
        <is>
          <t>-</t>
        </is>
      </c>
      <c r="H14" s="12" t="inlineStr">
        <is>
          <t>-</t>
        </is>
      </c>
    </row>
    <row r="15">
      <c r="A15" s="12" t="inlineStr">
        <is>
          <t>SCR-DM-03</t>
        </is>
      </c>
      <c r="B15" s="12" t="inlineStr">
        <is>
          <t>Code Maps and the versions of a code map</t>
        </is>
      </c>
      <c r="C15" s="12" t="inlineStr">
        <is>
          <t>New Version</t>
        </is>
      </c>
      <c r="D15" s="12" t="inlineStr">
        <is>
          <t>Data Steward</t>
        </is>
      </c>
      <c r="E15" s="12" t="inlineStr">
        <is>
          <t>No version is being edited or waiting for approval</t>
        </is>
      </c>
      <c r="F15" s="12" t="inlineStr">
        <is>
          <t>Creates a draft from the approved version, with an optional comment</t>
        </is>
      </c>
      <c r="G15" s="12" t="inlineStr">
        <is>
          <t>Draft</t>
        </is>
      </c>
      <c r="H15" s="12" t="inlineStr">
        <is>
          <t>-</t>
        </is>
      </c>
    </row>
    <row r="16">
      <c r="A16" s="12" t="inlineStr">
        <is>
          <t>SCR-DM-03</t>
        </is>
      </c>
      <c r="B16" s="12" t="inlineStr">
        <is>
          <t>Code Maps and the versions of a code map</t>
        </is>
      </c>
      <c r="C16" s="12" t="inlineStr">
        <is>
          <t>Import Excel</t>
        </is>
      </c>
      <c r="D16" s="12" t="inlineStr">
        <is>
          <t>Data Steward</t>
        </is>
      </c>
      <c r="E16" s="12" t="inlineStr">
        <is>
          <t>No open version</t>
        </is>
      </c>
      <c r="F16" s="12" t="inlineStr">
        <is>
          <t>Creates a draft version from an Excel file with the columns source_system, legacy_code and action</t>
        </is>
      </c>
      <c r="G16" s="12" t="inlineStr">
        <is>
          <t>Draft</t>
        </is>
      </c>
      <c r="H16" s="12" t="inlineStr">
        <is>
          <t>-</t>
        </is>
      </c>
    </row>
    <row r="17">
      <c r="A17" s="12" t="inlineStr">
        <is>
          <t>SCR-DM-03</t>
        </is>
      </c>
      <c r="B17" s="12" t="inlineStr">
        <is>
          <t>Code Maps and the versions of a code map</t>
        </is>
      </c>
      <c r="C17" s="12" t="inlineStr">
        <is>
          <t>Export</t>
        </is>
      </c>
      <c r="D17" s="12" t="inlineStr">
        <is>
          <t>Every migration role</t>
        </is>
      </c>
      <c r="E17" s="12" t="inlineStr">
        <is>
          <t>A version is chosen</t>
        </is>
      </c>
      <c r="F17" s="12" t="inlineStr">
        <is>
          <t>Downloads the entries of the version in Excel</t>
        </is>
      </c>
      <c r="G17" s="12" t="inlineStr">
        <is>
          <t>-</t>
        </is>
      </c>
      <c r="H17" s="12" t="inlineStr">
        <is>
          <t>-</t>
        </is>
      </c>
    </row>
    <row r="18">
      <c r="A18" s="12" t="inlineStr">
        <is>
          <t>SCR-DM-03</t>
        </is>
      </c>
      <c r="B18" s="12" t="inlineStr">
        <is>
          <t>Code Maps and the versions of a code map</t>
        </is>
      </c>
      <c r="C18" s="12" t="inlineStr">
        <is>
          <t>Add Entry</t>
        </is>
      </c>
      <c r="D18" s="12" t="inlineStr">
        <is>
          <t>Data Steward</t>
        </is>
      </c>
      <c r="E18" s="12" t="inlineStr">
        <is>
          <t>Version is a draft</t>
        </is>
      </c>
      <c r="F18" s="12" t="inlineStr">
        <is>
          <t>Adds an entry; a row of a draft opens it for change; the bin removes it</t>
        </is>
      </c>
      <c r="G18" s="12" t="inlineStr">
        <is>
          <t>Draft</t>
        </is>
      </c>
      <c r="H18" s="12" t="inlineStr">
        <is>
          <t>-</t>
        </is>
      </c>
    </row>
    <row r="19">
      <c r="A19" s="12" t="inlineStr">
        <is>
          <t>SCR-DM-03</t>
        </is>
      </c>
      <c r="B19" s="12" t="inlineStr">
        <is>
          <t>Code Maps and the versions of a code map</t>
        </is>
      </c>
      <c r="C19" s="12" t="inlineStr">
        <is>
          <t>Submit</t>
        </is>
      </c>
      <c r="D19" s="12" t="inlineStr">
        <is>
          <t>Data Steward</t>
        </is>
      </c>
      <c r="E19" s="12" t="inlineStr">
        <is>
          <t>Version is a draft with at least one entry</t>
        </is>
      </c>
      <c r="F19" s="12" t="inlineStr">
        <is>
          <t>Sends the version to the business owner after a confirmation</t>
        </is>
      </c>
      <c r="G19" s="12" t="inlineStr">
        <is>
          <t>Submitted</t>
        </is>
      </c>
      <c r="H19" s="12" t="inlineStr">
        <is>
          <t>-</t>
        </is>
      </c>
    </row>
    <row r="20">
      <c r="A20" s="12" t="inlineStr">
        <is>
          <t>SCR-DM-03</t>
        </is>
      </c>
      <c r="B20" s="12" t="inlineStr">
        <is>
          <t>Code Maps and the versions of a code map</t>
        </is>
      </c>
      <c r="C20" s="12" t="inlineStr">
        <is>
          <t>Approve</t>
        </is>
      </c>
      <c r="D20" s="12" t="inlineStr">
        <is>
          <t>Data owner</t>
        </is>
      </c>
      <c r="E20" s="12" t="inlineStr">
        <is>
          <t>Version submitted by another user</t>
        </is>
      </c>
      <c r="F20" s="12" t="inlineStr">
        <is>
          <t>Makes the version the approved one; values marked Create are created through the reference-data load</t>
        </is>
      </c>
      <c r="G20" s="12" t="inlineStr">
        <is>
          <t>Approved; the previous version Superseded</t>
        </is>
      </c>
      <c r="H20" s="12" t="inlineStr">
        <is>
          <t>-</t>
        </is>
      </c>
    </row>
    <row r="21">
      <c r="A21" s="12" t="inlineStr">
        <is>
          <t>SCR-DM-03</t>
        </is>
      </c>
      <c r="B21" s="12" t="inlineStr">
        <is>
          <t>Code Maps and the versions of a code map</t>
        </is>
      </c>
      <c r="C21" s="12" t="inlineStr">
        <is>
          <t>Return</t>
        </is>
      </c>
      <c r="D21" s="12" t="inlineStr">
        <is>
          <t>Data owner</t>
        </is>
      </c>
      <c r="E21" s="12" t="inlineStr">
        <is>
          <t>Version submitted by another user</t>
        </is>
      </c>
      <c r="F21" s="12" t="inlineStr">
        <is>
          <t>Returns the version to the Data Steward as a draft with the reason</t>
        </is>
      </c>
      <c r="G21" s="12" t="inlineStr">
        <is>
          <t>Draft</t>
        </is>
      </c>
      <c r="H21" s="12" t="inlineStr">
        <is>
          <t>-</t>
        </is>
      </c>
    </row>
    <row r="22">
      <c r="A22" s="12" t="inlineStr">
        <is>
          <t>SCR-DM-04</t>
        </is>
      </c>
      <c r="B22" s="12" t="inlineStr">
        <is>
          <t>Layouts and Rules</t>
        </is>
      </c>
      <c r="C22" s="12" t="inlineStr">
        <is>
          <t>Control File Template</t>
        </is>
      </c>
      <c r="D22" s="12" t="inlineStr">
        <is>
          <t>Every migration role</t>
        </is>
      </c>
      <c r="E22" s="12" t="inlineStr">
        <is>
          <t>Always</t>
        </is>
      </c>
      <c r="F22" s="12" t="inlineStr">
        <is>
          <t>Downloads the header of the control file (CONTROL_template.ctl.csv)</t>
        </is>
      </c>
      <c r="G22" s="12" t="inlineStr">
        <is>
          <t>-</t>
        </is>
      </c>
      <c r="H22" s="12" t="inlineStr">
        <is>
          <t>-</t>
        </is>
      </c>
    </row>
    <row r="23">
      <c r="A23" s="12" t="inlineStr">
        <is>
          <t>SCR-DM-04</t>
        </is>
      </c>
      <c r="B23" s="12" t="inlineStr">
        <is>
          <t>Layouts and Rules</t>
        </is>
      </c>
      <c r="C23" s="12" t="inlineStr">
        <is>
          <t>Load Templates Workbook</t>
        </is>
      </c>
      <c r="D23" s="12" t="inlineStr">
        <is>
          <t>Every migration role</t>
        </is>
      </c>
      <c r="E23" s="12" t="inlineStr">
        <is>
          <t>Always</t>
        </is>
      </c>
      <c r="F23" s="12" t="inlineStr">
        <is>
          <t>Downloads one workbook with a Start here sheet (the rules of a delivery and the order) and one guided sheet per layout (a guide above every column)</t>
        </is>
      </c>
      <c r="G23" s="12" t="inlineStr">
        <is>
          <t>-</t>
        </is>
      </c>
      <c r="H23" s="12" t="inlineStr">
        <is>
          <t>-</t>
        </is>
      </c>
    </row>
    <row r="24">
      <c r="A24" s="12" t="inlineStr">
        <is>
          <t>SCR-DM-04</t>
        </is>
      </c>
      <c r="B24" s="12" t="inlineStr">
        <is>
          <t>Layouts and Rules</t>
        </is>
      </c>
      <c r="C24" s="12" t="inlineStr">
        <is>
          <t>Download on a layout row</t>
        </is>
      </c>
      <c r="D24" s="12" t="inlineStr">
        <is>
          <t>Every migration role</t>
        </is>
      </c>
      <c r="E24" s="12" t="inlineStr">
        <is>
          <t>Always</t>
        </is>
      </c>
      <c r="F24" s="12" t="inlineStr">
        <is>
          <t>Downloads the CSV template of the layout (header row only)</t>
        </is>
      </c>
      <c r="G24" s="12" t="inlineStr">
        <is>
          <t>-</t>
        </is>
      </c>
      <c r="H24" s="12" t="inlineStr">
        <is>
          <t>-</t>
        </is>
      </c>
    </row>
    <row r="25">
      <c r="A25" s="12" t="inlineStr">
        <is>
          <t>SCR-DM-04</t>
        </is>
      </c>
      <c r="B25" s="12" t="inlineStr">
        <is>
          <t>Layouts and Rules</t>
        </is>
      </c>
      <c r="C25" s="12" t="inlineStr">
        <is>
          <t>Object Workbook</t>
        </is>
      </c>
      <c r="D25" s="12" t="inlineStr">
        <is>
          <t>Every migration role</t>
        </is>
      </c>
      <c r="E25" s="12" t="inlineStr">
        <is>
          <t>A layout is open</t>
        </is>
      </c>
      <c r="F25" s="12" t="inlineStr">
        <is>
          <t>Downloads the workbook of the object of the layout</t>
        </is>
      </c>
      <c r="G25" s="12" t="inlineStr">
        <is>
          <t>-</t>
        </is>
      </c>
      <c r="H25" s="12" t="inlineStr">
        <is>
          <t>-</t>
        </is>
      </c>
    </row>
    <row r="26">
      <c r="A26" s="12" t="inlineStr">
        <is>
          <t>SCR-DM-04</t>
        </is>
      </c>
      <c r="B26" s="12" t="inlineStr">
        <is>
          <t>Layouts and Rules</t>
        </is>
      </c>
      <c r="C26" s="12" t="inlineStr">
        <is>
          <t>Freeze</t>
        </is>
      </c>
      <c r="D26" s="12" t="inlineStr">
        <is>
          <t>Data Steward</t>
        </is>
      </c>
      <c r="E26" s="12" t="inlineStr">
        <is>
          <t>Layout version is a draft</t>
        </is>
      </c>
      <c r="F26" s="12" t="inlineStr">
        <is>
          <t>Makes the version the one in force after a confirmation; extracts and templates follow it and the previous version is retired</t>
        </is>
      </c>
      <c r="G26" s="12" t="inlineStr">
        <is>
          <t>Frozen</t>
        </is>
      </c>
      <c r="H26" s="12" t="inlineStr">
        <is>
          <t>-</t>
        </is>
      </c>
    </row>
    <row r="27">
      <c r="A27" s="12" t="inlineStr">
        <is>
          <t>SCR-DM-05</t>
        </is>
      </c>
      <c r="B27" s="12" t="inlineStr">
        <is>
          <t>Extracts</t>
        </is>
      </c>
      <c r="C27" s="12" t="inlineStr">
        <is>
          <t>Upload and Check</t>
        </is>
      </c>
      <c r="D27" s="12" t="inlineStr">
        <is>
          <t>Migration Operator</t>
        </is>
      </c>
      <c r="E27" s="12" t="inlineStr">
        <is>
          <t>A data file and a control file are chosen (until then the card says what is still needed)</t>
        </is>
      </c>
      <c r="F27" s="12" t="inlineStr">
        <is>
          <t>Receives the files and runs every intake check; the message gives the extract number and the staged rows, or the rejection with the number of failed checks, listed on the card</t>
        </is>
      </c>
      <c r="G27" s="12" t="inlineStr">
        <is>
          <t>Staged or Rejected</t>
        </is>
      </c>
      <c r="H27" s="12" t="inlineStr">
        <is>
          <t>Alert Extract rejected to the Data Migration Lead</t>
        </is>
      </c>
    </row>
    <row r="28">
      <c r="A28" s="12" t="inlineStr">
        <is>
          <t>SCR-DM-05</t>
        </is>
      </c>
      <c r="B28" s="12" t="inlineStr">
        <is>
          <t>Extracts</t>
        </is>
      </c>
      <c r="C28" s="12" t="inlineStr">
        <is>
          <t>Download on a row</t>
        </is>
      </c>
      <c r="D28" s="12" t="inlineStr">
        <is>
          <t>Migration Operator</t>
        </is>
      </c>
      <c r="E28" s="12" t="inlineStr">
        <is>
          <t>File not yet purged</t>
        </is>
      </c>
      <c r="F28" s="12" t="inlineStr">
        <is>
          <t>Downloads the data file as received</t>
        </is>
      </c>
      <c r="G28" s="12" t="inlineStr">
        <is>
          <t>-</t>
        </is>
      </c>
      <c r="H28" s="12" t="inlineStr">
        <is>
          <t>-</t>
        </is>
      </c>
    </row>
    <row r="29">
      <c r="A29" s="12" t="inlineStr">
        <is>
          <t>SCR-DM-06</t>
        </is>
      </c>
      <c r="B29" s="12" t="inlineStr">
        <is>
          <t>Batches and resubmissions</t>
        </is>
      </c>
      <c r="C29" s="12" t="inlineStr">
        <is>
          <t>Plan Batch</t>
        </is>
      </c>
      <c r="D29" s="12" t="inlineStr">
        <is>
          <t>Migration Operator</t>
        </is>
      </c>
      <c r="E29" s="12" t="inlineStr">
        <is>
          <t>Always</t>
        </is>
      </c>
      <c r="F29" s="12" t="inlineStr">
        <is>
          <t>Plans a batch from the staged extracts and opens it</t>
        </is>
      </c>
      <c r="G29" s="12" t="inlineStr">
        <is>
          <t>Planned</t>
        </is>
      </c>
      <c r="H29" s="12" t="inlineStr">
        <is>
          <t>-</t>
        </is>
      </c>
    </row>
    <row r="30">
      <c r="A30" s="12" t="inlineStr">
        <is>
          <t>SCR-DM-06</t>
        </is>
      </c>
      <c r="B30" s="12" t="inlineStr">
        <is>
          <t>Batches and resubmissions</t>
        </is>
      </c>
      <c r="C30" s="12" t="inlineStr">
        <is>
          <t>A batch row</t>
        </is>
      </c>
      <c r="D30" s="12" t="inlineStr">
        <is>
          <t>Every migration role</t>
        </is>
      </c>
      <c r="E30" s="12" t="inlineStr">
        <is>
          <t>Always</t>
        </is>
      </c>
      <c r="F30" s="12" t="inlineStr">
        <is>
          <t>Opens the batch page</t>
        </is>
      </c>
      <c r="G30" s="12" t="inlineStr">
        <is>
          <t>-</t>
        </is>
      </c>
      <c r="H30" s="12" t="inlineStr">
        <is>
          <t>-</t>
        </is>
      </c>
    </row>
    <row r="31">
      <c r="A31" s="12" t="inlineStr">
        <is>
          <t>SCR-DM-06</t>
        </is>
      </c>
      <c r="B31" s="12" t="inlineStr">
        <is>
          <t>Batches and resubmissions</t>
        </is>
      </c>
      <c r="C31" s="12" t="inlineStr">
        <is>
          <t>Approve</t>
        </is>
      </c>
      <c r="D31" s="12" t="inlineStr">
        <is>
          <t>Checker of the object (resubmission approval)</t>
        </is>
      </c>
      <c r="E31" s="12" t="inlineStr">
        <is>
          <t>Resubmission Prepared by another user</t>
        </is>
      </c>
      <c r="F31" s="12" t="inlineStr">
        <is>
          <t>Creates a rerun batch of the corrected rows, with an optional note</t>
        </is>
      </c>
      <c r="G31" s="12" t="inlineStr">
        <is>
          <t>Approved</t>
        </is>
      </c>
      <c r="H31" s="12" t="inlineStr">
        <is>
          <t>-</t>
        </is>
      </c>
    </row>
    <row r="32">
      <c r="A32" s="12" t="inlineStr">
        <is>
          <t>SCR-DM-06</t>
        </is>
      </c>
      <c r="B32" s="12" t="inlineStr">
        <is>
          <t>Batches and resubmissions</t>
        </is>
      </c>
      <c r="C32" s="12" t="inlineStr">
        <is>
          <t>Return</t>
        </is>
      </c>
      <c r="D32" s="12" t="inlineStr">
        <is>
          <t>Checker of the object</t>
        </is>
      </c>
      <c r="E32" s="12" t="inlineStr">
        <is>
          <t>Resubmission Prepared by another user</t>
        </is>
      </c>
      <c r="F32" s="12" t="inlineStr">
        <is>
          <t>Returns the corrected rows to the maker with the reason</t>
        </is>
      </c>
      <c r="G32" s="12" t="inlineStr">
        <is>
          <t>Returned</t>
        </is>
      </c>
      <c r="H32" s="12" t="inlineStr">
        <is>
          <t>-</t>
        </is>
      </c>
    </row>
    <row r="33">
      <c r="A33" s="12" t="inlineStr">
        <is>
          <t>SCR-DM-07</t>
        </is>
      </c>
      <c r="B33" s="12" t="inlineStr">
        <is>
          <t>Batch</t>
        </is>
      </c>
      <c r="C33" s="12" t="inlineStr">
        <is>
          <t>Validate</t>
        </is>
      </c>
      <c r="D33" s="12" t="inlineStr">
        <is>
          <t>Migration Operator</t>
        </is>
      </c>
      <c r="E33" s="12" t="inlineStr">
        <is>
          <t>Planned</t>
        </is>
      </c>
      <c r="F33" s="12" t="inlineStr">
        <is>
          <t>Maps the rows with the approved code maps and checks them against the data-quality rules</t>
        </is>
      </c>
      <c r="G33" s="12" t="inlineStr">
        <is>
          <t>Validated</t>
        </is>
      </c>
      <c r="H33" s="12" t="inlineStr">
        <is>
          <t>Alert Unmapped codes when a code has no entry</t>
        </is>
      </c>
    </row>
    <row r="34">
      <c r="A34" s="12" t="inlineStr">
        <is>
          <t>SCR-DM-07</t>
        </is>
      </c>
      <c r="B34" s="12" t="inlineStr">
        <is>
          <t>Batch</t>
        </is>
      </c>
      <c r="C34" s="12" t="inlineStr">
        <is>
          <t>Sign Validation</t>
        </is>
      </c>
      <c r="D34" s="12" t="inlineStr">
        <is>
          <t>Data Steward</t>
        </is>
      </c>
      <c r="E34" s="12" t="inlineStr">
        <is>
          <t>Validated</t>
        </is>
      </c>
      <c r="F34" s="12" t="inlineStr">
        <is>
          <t>Signs gate G3: the error rate is within the limit, no mandatory code is unmapped and no client pair waits for review</t>
        </is>
      </c>
      <c r="G34" s="12" t="inlineStr">
        <is>
          <t>Validated (G3 signed)</t>
        </is>
      </c>
      <c r="H34" s="12" t="inlineStr">
        <is>
          <t>-</t>
        </is>
      </c>
    </row>
    <row r="35">
      <c r="A35" s="12" t="inlineStr">
        <is>
          <t>SCR-DM-07</t>
        </is>
      </c>
      <c r="B35" s="12" t="inlineStr">
        <is>
          <t>Batch</t>
        </is>
      </c>
      <c r="C35" s="12" t="inlineStr">
        <is>
          <t>Approve Load</t>
        </is>
      </c>
      <c r="D35" s="12" t="inlineStr">
        <is>
          <t>Data Migration Lead</t>
        </is>
      </c>
      <c r="E35" s="12" t="inlineStr">
        <is>
          <t>Validated, by a user other than the validator</t>
        </is>
      </c>
      <c r="F35" s="12" t="inlineStr">
        <is>
          <t>Signs gate G4: the batch may be loaded by an operator other than the approver</t>
        </is>
      </c>
      <c r="G35" s="12" t="inlineStr">
        <is>
          <t>Load approved</t>
        </is>
      </c>
      <c r="H35" s="12" t="inlineStr">
        <is>
          <t>-</t>
        </is>
      </c>
    </row>
    <row r="36">
      <c r="A36" s="12" t="inlineStr">
        <is>
          <t>SCR-DM-07</t>
        </is>
      </c>
      <c r="B36" s="12" t="inlineStr">
        <is>
          <t>Batch</t>
        </is>
      </c>
      <c r="C36" s="12" t="inlineStr">
        <is>
          <t>Load</t>
        </is>
      </c>
      <c r="D36" s="12" t="inlineStr">
        <is>
          <t>Migration Operator</t>
        </is>
      </c>
      <c r="E36" s="12" t="inlineStr">
        <is>
          <t>Load approved, by a user other than the approver</t>
        </is>
      </c>
      <c r="F36" s="12" t="inlineStr">
        <is>
          <t>Loads the valid rows through the BIBS services without notifications, then reconciles the batch</t>
        </is>
      </c>
      <c r="G36" s="12" t="inlineStr">
        <is>
          <t>Loaded or Loaded with rejects</t>
        </is>
      </c>
      <c r="H36" s="12" t="inlineStr">
        <is>
          <t>Alert Load failed when a chunk fails</t>
        </is>
      </c>
    </row>
    <row r="37">
      <c r="A37" s="12" t="inlineStr">
        <is>
          <t>SCR-DM-07</t>
        </is>
      </c>
      <c r="B37" s="12" t="inlineStr">
        <is>
          <t>Batch</t>
        </is>
      </c>
      <c r="C37" s="12" t="inlineStr">
        <is>
          <t>Reconcile</t>
        </is>
      </c>
      <c r="D37" s="12" t="inlineStr">
        <is>
          <t>Migration Operator</t>
        </is>
      </c>
      <c r="E37" s="12" t="inlineStr">
        <is>
          <t>Loaded, Loaded with rejects or Reconciled</t>
        </is>
      </c>
      <c r="F37" s="12" t="inlineStr">
        <is>
          <t>Compares counts, amounts, hash totals and fields again between the source, the staging and BIBS</t>
        </is>
      </c>
      <c r="G37" s="12" t="inlineStr">
        <is>
          <t>Reconciled when no break is open</t>
        </is>
      </c>
      <c r="H37" s="12" t="inlineStr">
        <is>
          <t>Alert Reconciliation break</t>
        </is>
      </c>
    </row>
    <row r="38">
      <c r="A38" s="12" t="inlineStr">
        <is>
          <t>SCR-DM-07</t>
        </is>
      </c>
      <c r="B38" s="12" t="inlineStr">
        <is>
          <t>Batch</t>
        </is>
      </c>
      <c r="C38" s="12" t="inlineStr">
        <is>
          <t>Rerun Rejects</t>
        </is>
      </c>
      <c r="D38" s="12" t="inlineStr">
        <is>
          <t>Migration Operator</t>
        </is>
      </c>
      <c r="E38" s="12" t="inlineStr">
        <is>
          <t>Rejected rows exist</t>
        </is>
      </c>
      <c r="F38" s="12" t="inlineStr">
        <is>
          <t>Plans a new batch of the rejected rows for validation and load</t>
        </is>
      </c>
      <c r="G38" s="12" t="inlineStr">
        <is>
          <t>Planned (rerun batch)</t>
        </is>
      </c>
      <c r="H38" s="12" t="inlineStr">
        <is>
          <t>-</t>
        </is>
      </c>
    </row>
    <row r="39">
      <c r="A39" s="12" t="inlineStr">
        <is>
          <t>SCR-DM-07</t>
        </is>
      </c>
      <c r="B39" s="12" t="inlineStr">
        <is>
          <t>Batch</t>
        </is>
      </c>
      <c r="C39" s="12" t="inlineStr">
        <is>
          <t>Sign Reconciliation</t>
        </is>
      </c>
      <c r="D39" s="12" t="inlineStr">
        <is>
          <t>Reconciliation approver</t>
        </is>
      </c>
      <c r="E39" s="12" t="inlineStr">
        <is>
          <t>Loaded and every break explained and approved</t>
        </is>
      </c>
      <c r="F39" s="12" t="inlineStr">
        <is>
          <t>Signs gate G5</t>
        </is>
      </c>
      <c r="G39" s="12" t="inlineStr">
        <is>
          <t>Reconciled</t>
        </is>
      </c>
      <c r="H39" s="12" t="inlineStr">
        <is>
          <t>-</t>
        </is>
      </c>
    </row>
    <row r="40">
      <c r="A40" s="12" t="inlineStr">
        <is>
          <t>SCR-DM-07</t>
        </is>
      </c>
      <c r="B40" s="12" t="inlineStr">
        <is>
          <t>Batch</t>
        </is>
      </c>
      <c r="C40" s="12" t="inlineStr">
        <is>
          <t>Accept as Data Owner, Accept as Migration Lead</t>
        </is>
      </c>
      <c r="D40" s="12" t="inlineStr">
        <is>
          <t>Data owner; Data Migration Lead</t>
        </is>
      </c>
      <c r="E40" s="12" t="inlineStr">
        <is>
          <t>Reconciled</t>
        </is>
      </c>
      <c r="F40" s="12" t="inlineStr">
        <is>
          <t>Sign gate G6; with both acceptances the object is accepted and its staging data is purged after the retention days</t>
        </is>
      </c>
      <c r="G40" s="12" t="inlineStr">
        <is>
          <t>Accepted</t>
        </is>
      </c>
      <c r="H40" s="12" t="inlineStr">
        <is>
          <t>-</t>
        </is>
      </c>
    </row>
    <row r="41">
      <c r="A41" s="12" t="inlineStr">
        <is>
          <t>SCR-DM-07</t>
        </is>
      </c>
      <c r="B41" s="12" t="inlineStr">
        <is>
          <t>Batch</t>
        </is>
      </c>
      <c r="C41" s="12" t="inlineStr">
        <is>
          <t>Request Rollback</t>
        </is>
      </c>
      <c r="D41" s="12" t="inlineStr">
        <is>
          <t>Data Migration Lead</t>
        </is>
      </c>
      <c r="E41" s="12" t="inlineStr">
        <is>
          <t>Loaded, Reconciled, Accepted or Failed</t>
        </is>
      </c>
      <c r="F41" s="12" t="inlineStr">
        <is>
          <t>Asks for the records loaded by the batch to be undone, with the reason</t>
        </is>
      </c>
      <c r="G41" s="12" t="inlineStr">
        <is>
          <t>Rollback requested</t>
        </is>
      </c>
      <c r="H41" s="12" t="inlineStr">
        <is>
          <t>-</t>
        </is>
      </c>
    </row>
    <row r="42">
      <c r="A42" s="12" t="inlineStr">
        <is>
          <t>SCR-DM-07</t>
        </is>
      </c>
      <c r="B42" s="12" t="inlineStr">
        <is>
          <t>Batch</t>
        </is>
      </c>
      <c r="C42" s="12" t="inlineStr">
        <is>
          <t>Approve Rollback, Reject Rollback</t>
        </is>
      </c>
      <c r="D42" s="12" t="inlineStr">
        <is>
          <t>Reconciliation approver</t>
        </is>
      </c>
      <c r="E42" s="12" t="inlineStr">
        <is>
          <t>Rollback requested by another user</t>
        </is>
      </c>
      <c r="F42" s="12" t="inlineStr">
        <is>
          <t>Undoes the records loaded by the batch through the BIBS services, or keeps the batch loaded with the reason</t>
        </is>
      </c>
      <c r="G42" s="12" t="inlineStr">
        <is>
          <t>Rolled back, or the previous status</t>
        </is>
      </c>
      <c r="H42" s="12" t="inlineStr">
        <is>
          <t>-</t>
        </is>
      </c>
    </row>
    <row r="43">
      <c r="A43" s="12" t="inlineStr">
        <is>
          <t>SCR-DM-07</t>
        </is>
      </c>
      <c r="B43" s="12" t="inlineStr">
        <is>
          <t>Batch</t>
        </is>
      </c>
      <c r="C43" s="12" t="inlineStr">
        <is>
          <t>Rejects</t>
        </is>
      </c>
      <c r="D43" s="12" t="inlineStr">
        <is>
          <t>Every migration role</t>
        </is>
      </c>
      <c r="E43" s="12" t="inlineStr">
        <is>
          <t>The batch has rejected or invalid rows</t>
        </is>
      </c>
      <c r="F43" s="12" t="inlineStr">
        <is>
          <t>Downloads the rejected rows with their messages and the correction columns</t>
        </is>
      </c>
      <c r="G43" s="12" t="inlineStr">
        <is>
          <t>-</t>
        </is>
      </c>
      <c r="H43" s="12" t="inlineStr">
        <is>
          <t>-</t>
        </is>
      </c>
    </row>
    <row r="44">
      <c r="A44" s="12" t="inlineStr">
        <is>
          <t>SCR-DM-07</t>
        </is>
      </c>
      <c r="B44" s="12" t="inlineStr">
        <is>
          <t>Batch</t>
        </is>
      </c>
      <c r="C44" s="12" t="inlineStr">
        <is>
          <t>Fixed at Source</t>
        </is>
      </c>
      <c r="D44" s="12" t="inlineStr">
        <is>
          <t>Data Steward</t>
        </is>
      </c>
      <c r="E44" s="12" t="inlineStr">
        <is>
          <t>Issue open</t>
        </is>
      </c>
      <c r="F44" s="12" t="inlineStr">
        <is>
          <t>Records that the legacy source is corrected, with a note</t>
        </is>
      </c>
      <c r="G44" s="12" t="inlineStr">
        <is>
          <t>Issue Fixed at source</t>
        </is>
      </c>
      <c r="H44" s="12" t="inlineStr">
        <is>
          <t>-</t>
        </is>
      </c>
    </row>
    <row r="45">
      <c r="A45" s="12" t="inlineStr">
        <is>
          <t>SCR-DM-07</t>
        </is>
      </c>
      <c r="B45" s="12" t="inlineStr">
        <is>
          <t>Batch</t>
        </is>
      </c>
      <c r="C45" s="12" t="inlineStr">
        <is>
          <t>Waive Rows, Exclude Rows</t>
        </is>
      </c>
      <c r="D45" s="12" t="inlineStr">
        <is>
          <t>Data owner</t>
        </is>
      </c>
      <c r="E45" s="12" t="inlineStr">
        <is>
          <t>Batch validated; rows selected</t>
        </is>
      </c>
      <c r="F45" s="12" t="inlineStr">
        <is>
          <t>Loads the rows despite their errors (waiver), or leaves them out with a manual-entry plan</t>
        </is>
      </c>
      <c r="G45" s="12" t="inlineStr">
        <is>
          <t>Rows Waived or Excluded</t>
        </is>
      </c>
      <c r="H45" s="12" t="inlineStr">
        <is>
          <t>-</t>
        </is>
      </c>
    </row>
    <row r="46">
      <c r="A46" s="12" t="inlineStr">
        <is>
          <t>SCR-DM-07</t>
        </is>
      </c>
      <c r="B46" s="12" t="inlineStr">
        <is>
          <t>Batch</t>
        </is>
      </c>
      <c r="C46" s="12" t="inlineStr">
        <is>
          <t>Resubmit Corrected Rows</t>
        </is>
      </c>
      <c r="D46" s="12" t="inlineStr">
        <is>
          <t>Data Steward or Migration Operator</t>
        </is>
      </c>
      <c r="E46" s="12" t="inlineStr">
        <is>
          <t>The batch has rejected rows</t>
        </is>
      </c>
      <c r="F46" s="12" t="inlineStr">
        <is>
          <t>Prepares a resubmission of the corrected rows for the checker</t>
        </is>
      </c>
      <c r="G46" s="12" t="inlineStr">
        <is>
          <t>Resubmission Prepared</t>
        </is>
      </c>
      <c r="H46" s="12" t="inlineStr">
        <is>
          <t>-</t>
        </is>
      </c>
    </row>
    <row r="47">
      <c r="A47" s="12" t="inlineStr">
        <is>
          <t>SCR-DM-07</t>
        </is>
      </c>
      <c r="B47" s="12" t="inlineStr">
        <is>
          <t>Batch</t>
        </is>
      </c>
      <c r="C47" s="12" t="inlineStr">
        <is>
          <t>Attach</t>
        </is>
      </c>
      <c r="D47" s="12" t="inlineStr">
        <is>
          <t>The signer of a gate</t>
        </is>
      </c>
      <c r="E47" s="12" t="inlineStr">
        <is>
          <t>Own gate without evidence</t>
        </is>
      </c>
      <c r="F47" s="12" t="inlineStr">
        <is>
          <t>Attaches the evidence file to the gate signed</t>
        </is>
      </c>
      <c r="G47" s="12" t="inlineStr">
        <is>
          <t>-</t>
        </is>
      </c>
      <c r="H47" s="12" t="inlineStr">
        <is>
          <t>-</t>
        </is>
      </c>
    </row>
    <row r="48">
      <c r="A48" s="12" t="inlineStr">
        <is>
          <t>SCR-DM-08</t>
        </is>
      </c>
      <c r="B48" s="12" t="inlineStr">
        <is>
          <t>Client Matching</t>
        </is>
      </c>
      <c r="C48" s="12" t="inlineStr">
        <is>
          <t>Merge</t>
        </is>
      </c>
      <c r="D48" s="12" t="inlineStr">
        <is>
          <t>Data Steward</t>
        </is>
      </c>
      <c r="E48" s="12" t="inlineStr">
        <is>
          <t>Pair To review</t>
        </is>
      </c>
      <c r="F48" s="12" t="inlineStr">
        <is>
          <t>Makes the two records one BIBS client; every value that lost is kept for review</t>
        </is>
      </c>
      <c r="G48" s="12" t="inlineStr">
        <is>
          <t>Merged</t>
        </is>
      </c>
      <c r="H48" s="12" t="inlineStr">
        <is>
          <t>-</t>
        </is>
      </c>
    </row>
    <row r="49">
      <c r="A49" s="12" t="inlineStr">
        <is>
          <t>SCR-DM-08</t>
        </is>
      </c>
      <c r="B49" s="12" t="inlineStr">
        <is>
          <t>Client Matching</t>
        </is>
      </c>
      <c r="C49" s="12" t="inlineStr">
        <is>
          <t>Keep Separate</t>
        </is>
      </c>
      <c r="D49" s="12" t="inlineStr">
        <is>
          <t>Data Steward</t>
        </is>
      </c>
      <c r="E49" s="12" t="inlineStr">
        <is>
          <t>Pair To review</t>
        </is>
      </c>
      <c r="F49" s="12" t="inlineStr">
        <is>
          <t>Keeps two clients</t>
        </is>
      </c>
      <c r="G49" s="12" t="inlineStr">
        <is>
          <t>Kept separate</t>
        </is>
      </c>
      <c r="H49" s="12" t="inlineStr">
        <is>
          <t>-</t>
        </is>
      </c>
    </row>
    <row r="50">
      <c r="A50" s="12" t="inlineStr">
        <is>
          <t>SCR-DM-09</t>
        </is>
      </c>
      <c r="B50" s="12" t="inlineStr">
        <is>
          <t>Reconciliation</t>
        </is>
      </c>
      <c r="C50" s="12" t="inlineStr">
        <is>
          <t>Explain</t>
        </is>
      </c>
      <c r="D50" s="12" t="inlineStr">
        <is>
          <t>Data Steward or Migration Operator</t>
        </is>
      </c>
      <c r="E50" s="12" t="inlineStr">
        <is>
          <t>Line in Break</t>
        </is>
      </c>
      <c r="F50" s="12" t="inlineStr">
        <is>
          <t>Records the reason and the explanation</t>
        </is>
      </c>
      <c r="G50" s="12" t="inlineStr">
        <is>
          <t>Explained</t>
        </is>
      </c>
      <c r="H50" s="12" t="inlineStr">
        <is>
          <t>-</t>
        </is>
      </c>
    </row>
    <row r="51">
      <c r="A51" s="12" t="inlineStr">
        <is>
          <t>SCR-DM-09</t>
        </is>
      </c>
      <c r="B51" s="12" t="inlineStr">
        <is>
          <t>Reconciliation</t>
        </is>
      </c>
      <c r="C51" s="12" t="inlineStr">
        <is>
          <t>Approve</t>
        </is>
      </c>
      <c r="D51" s="12" t="inlineStr">
        <is>
          <t>Reconciliation approver</t>
        </is>
      </c>
      <c r="E51" s="12" t="inlineStr">
        <is>
          <t>Line Explained by another user</t>
        </is>
      </c>
      <c r="F51" s="12" t="inlineStr">
        <is>
          <t>Approves the explanation</t>
        </is>
      </c>
      <c r="G51" s="12" t="inlineStr">
        <is>
          <t>Explained (approved)</t>
        </is>
      </c>
      <c r="H51" s="12" t="inlineStr">
        <is>
          <t>-</t>
        </is>
      </c>
    </row>
    <row r="52">
      <c r="A52" s="12" t="inlineStr">
        <is>
          <t>SCR-DM-10</t>
        </is>
      </c>
      <c r="B52" s="12" t="inlineStr">
        <is>
          <t>Sign-off</t>
        </is>
      </c>
      <c r="C52" s="12" t="inlineStr">
        <is>
          <t>Sign Mapping</t>
        </is>
      </c>
      <c r="D52" s="12" t="inlineStr">
        <is>
          <t>Data owner</t>
        </is>
      </c>
      <c r="E52" s="12" t="inlineStr">
        <is>
          <t>G1 approved and G2 not yet signed</t>
        </is>
      </c>
      <c r="F52" s="12" t="inlineStr">
        <is>
          <t>Signs gate G2: the layouts of the object are frozen and every code map its columns use has an approved version</t>
        </is>
      </c>
      <c r="G52" s="12" t="inlineStr">
        <is>
          <t>G2 signed</t>
        </is>
      </c>
      <c r="H52" s="12" t="inlineStr">
        <is>
          <t>-</t>
        </is>
      </c>
    </row>
    <row r="53">
      <c r="A53" s="12" t="inlineStr">
        <is>
          <t>SCR-DM-10</t>
        </is>
      </c>
      <c r="B53" s="12" t="inlineStr">
        <is>
          <t>Sign-off</t>
        </is>
      </c>
      <c r="C53" s="12" t="inlineStr">
        <is>
          <t>Latest batch link</t>
        </is>
      </c>
      <c r="D53" s="12" t="inlineStr">
        <is>
          <t>Every migration role</t>
        </is>
      </c>
      <c r="E53" s="12" t="inlineStr">
        <is>
          <t>A batch exists</t>
        </is>
      </c>
      <c r="F53" s="12" t="inlineStr">
        <is>
          <t>Opens the batch page</t>
        </is>
      </c>
      <c r="G53" s="12" t="inlineStr">
        <is>
          <t>-</t>
        </is>
      </c>
      <c r="H53" s="12" t="inlineStr">
        <is>
          <t>-</t>
        </is>
      </c>
    </row>
    <row r="54">
      <c r="A54" s="12" t="inlineStr">
        <is>
          <t>SCR-DM-11</t>
        </is>
      </c>
      <c r="B54" s="12" t="inlineStr">
        <is>
          <t>Opening-Balance Adjustments</t>
        </is>
      </c>
      <c r="C54" s="12" t="inlineStr">
        <is>
          <t>Prepare Adjustment</t>
        </is>
      </c>
      <c r="D54" s="12" t="inlineStr">
        <is>
          <t>Comptrollership GL lead</t>
        </is>
      </c>
      <c r="E54" s="12" t="inlineStr">
        <is>
          <t>Year-end option A</t>
        </is>
      </c>
      <c r="F54" s="12" t="inlineStr">
        <is>
          <t>Prepares the adjustment on the chosen batches</t>
        </is>
      </c>
      <c r="G54" s="12" t="inlineStr">
        <is>
          <t>Prepared</t>
        </is>
      </c>
      <c r="H54" s="12" t="inlineStr">
        <is>
          <t>-</t>
        </is>
      </c>
    </row>
    <row r="55">
      <c r="A55" s="12" t="inlineStr">
        <is>
          <t>SCR-DM-11</t>
        </is>
      </c>
      <c r="B55" s="12" t="inlineStr">
        <is>
          <t>Opening-Balance Adjustments</t>
        </is>
      </c>
      <c r="C55" s="12" t="inlineStr">
        <is>
          <t>Submit</t>
        </is>
      </c>
      <c r="D55" s="12" t="inlineStr">
        <is>
          <t>Comptrollership GL lead</t>
        </is>
      </c>
      <c r="E55" s="12" t="inlineStr">
        <is>
          <t>Prepared</t>
        </is>
      </c>
      <c r="F55" s="12" t="inlineStr">
        <is>
          <t>Sends the adjustment to the Head of Comptrollership</t>
        </is>
      </c>
      <c r="G55" s="12" t="inlineStr">
        <is>
          <t>For approval</t>
        </is>
      </c>
      <c r="H55" s="12" t="inlineStr">
        <is>
          <t>-</t>
        </is>
      </c>
    </row>
    <row r="56">
      <c r="A56" s="12" t="inlineStr">
        <is>
          <t>SCR-DM-11</t>
        </is>
      </c>
      <c r="B56" s="12" t="inlineStr">
        <is>
          <t>Opening-Balance Adjustments</t>
        </is>
      </c>
      <c r="C56" s="12" t="inlineStr">
        <is>
          <t>Approve</t>
        </is>
      </c>
      <c r="D56" s="12" t="inlineStr">
        <is>
          <t>Head, Comptrollership</t>
        </is>
      </c>
      <c r="E56" s="12" t="inlineStr">
        <is>
          <t>For approval, prepared by another user</t>
        </is>
      </c>
      <c r="F56" s="12" t="inlineStr">
        <is>
          <t>Allows the adjustment batch to be loaded; its journals post into the opening period</t>
        </is>
      </c>
      <c r="G56" s="12" t="inlineStr">
        <is>
          <t>Approved</t>
        </is>
      </c>
      <c r="H56" s="12" t="inlineStr">
        <is>
          <t>-</t>
        </is>
      </c>
    </row>
    <row r="57">
      <c r="A57" s="12" t="inlineStr">
        <is>
          <t>SCR-DM-11</t>
        </is>
      </c>
      <c r="B57" s="12" t="inlineStr">
        <is>
          <t>Opening-Balance Adjustments</t>
        </is>
      </c>
      <c r="C57" s="12" t="inlineStr">
        <is>
          <t>Return</t>
        </is>
      </c>
      <c r="D57" s="12" t="inlineStr">
        <is>
          <t>Head, Comptrollership</t>
        </is>
      </c>
      <c r="E57" s="12" t="inlineStr">
        <is>
          <t>For approval</t>
        </is>
      </c>
      <c r="F57" s="12" t="inlineStr">
        <is>
          <t>Returns the adjustment to the preparer with the reason</t>
        </is>
      </c>
      <c r="G57" s="12" t="inlineStr">
        <is>
          <t>Prepared</t>
        </is>
      </c>
      <c r="H57" s="12" t="inlineStr">
        <is>
          <t>-</t>
        </is>
      </c>
    </row>
    <row r="58">
      <c r="A58" s="12" t="inlineStr">
        <is>
          <t>SCR-DM-11</t>
        </is>
      </c>
      <c r="B58" s="12" t="inlineStr">
        <is>
          <t>Opening-Balance Adjustments</t>
        </is>
      </c>
      <c r="C58" s="12" t="inlineStr">
        <is>
          <t>Reconcile</t>
        </is>
      </c>
      <c r="D58" s="12" t="inlineStr">
        <is>
          <t>Comptrollership GL lead or Head, Comptrollership</t>
        </is>
      </c>
      <c r="E58" s="12" t="inlineStr">
        <is>
          <t>Posted or Reconciled</t>
        </is>
      </c>
      <c r="F58" s="12" t="inlineStr">
        <is>
          <t>Compares the adjustment with the legacy trial balances and checks that Migration Clearing is zero</t>
        </is>
      </c>
      <c r="G58" s="12" t="inlineStr">
        <is>
          <t>Reconciled when every check is met</t>
        </is>
      </c>
      <c r="H58" s="12" t="inlineStr">
        <is>
          <t>Alert when a check breaks</t>
        </is>
      </c>
    </row>
    <row r="59">
      <c r="A59" s="12" t="inlineStr">
        <is>
          <t>SCR-DM-11</t>
        </is>
      </c>
      <c r="B59" s="12" t="inlineStr">
        <is>
          <t>Opening-Balance Adjustments</t>
        </is>
      </c>
      <c r="C59" s="12" t="inlineStr">
        <is>
          <t>Sign</t>
        </is>
      </c>
      <c r="D59" s="12" t="inlineStr">
        <is>
          <t>Head, Comptrollership</t>
        </is>
      </c>
      <c r="E59" s="12" t="inlineStr">
        <is>
          <t>Reconciled</t>
        </is>
      </c>
      <c r="F59" s="12" t="inlineStr">
        <is>
          <t>Signs the reconciled adjustment</t>
        </is>
      </c>
      <c r="G59" s="12" t="inlineStr">
        <is>
          <t>Signed</t>
        </is>
      </c>
      <c r="H59" s="12" t="inlineStr">
        <is>
          <t>-</t>
        </is>
      </c>
    </row>
    <row r="60">
      <c r="A60" s="12" t="inlineStr">
        <is>
          <t>SCR-DM-12</t>
        </is>
      </c>
      <c r="B60" s="12" t="inlineStr">
        <is>
          <t>Cutover</t>
        </is>
      </c>
      <c r="C60" s="12" t="inlineStr">
        <is>
          <t>New Plan</t>
        </is>
      </c>
      <c r="D60" s="12" t="inlineStr">
        <is>
          <t>Data Migration Lead</t>
        </is>
      </c>
      <c r="E60" s="12" t="inlineStr">
        <is>
          <t>Always</t>
        </is>
      </c>
      <c r="F60" s="12" t="inlineStr">
        <is>
          <t>Creates a plan; its runbook tasks and the twelve criteria are created from the go-live date</t>
        </is>
      </c>
      <c r="G60" s="12" t="inlineStr">
        <is>
          <t>Planned</t>
        </is>
      </c>
      <c r="H60" s="12" t="inlineStr">
        <is>
          <t>-</t>
        </is>
      </c>
    </row>
    <row r="61">
      <c r="A61" s="12" t="inlineStr">
        <is>
          <t>SCR-DM-12</t>
        </is>
      </c>
      <c r="B61" s="12" t="inlineStr">
        <is>
          <t>Cutover</t>
        </is>
      </c>
      <c r="C61" s="12" t="inlineStr">
        <is>
          <t>Create</t>
        </is>
      </c>
      <c r="D61" s="12" t="inlineStr">
        <is>
          <t>Data Migration Lead</t>
        </is>
      </c>
      <c r="E61" s="12" t="inlineStr">
        <is>
          <t>Name, environment and go-live date given (until then the dialog says what is still needed)</t>
        </is>
      </c>
      <c r="F61" s="12" t="inlineStr">
        <is>
          <t>Creates the plan of the New Cutover Plan dialog</t>
        </is>
      </c>
      <c r="G61" s="12" t="inlineStr">
        <is>
          <t>Planned</t>
        </is>
      </c>
      <c r="H61" s="12" t="inlineStr">
        <is>
          <t>-</t>
        </is>
      </c>
    </row>
    <row r="62">
      <c r="A62" s="12" t="inlineStr">
        <is>
          <t>SCR-DM-12</t>
        </is>
      </c>
      <c r="B62" s="12" t="inlineStr">
        <is>
          <t>Cutover</t>
        </is>
      </c>
      <c r="C62" s="12" t="inlineStr">
        <is>
          <t>Runbook</t>
        </is>
      </c>
      <c r="D62" s="12" t="inlineStr">
        <is>
          <t>Every migration role</t>
        </is>
      </c>
      <c r="E62" s="12" t="inlineStr">
        <is>
          <t>A plan is open</t>
        </is>
      </c>
      <c r="F62" s="12" t="inlineStr">
        <is>
          <t>Downloads the runbook workbook of the plan</t>
        </is>
      </c>
      <c r="G62" s="12" t="inlineStr">
        <is>
          <t>-</t>
        </is>
      </c>
      <c r="H62" s="12" t="inlineStr">
        <is>
          <t>-</t>
        </is>
      </c>
    </row>
    <row r="63">
      <c r="A63" s="12" t="inlineStr">
        <is>
          <t>SCR-DM-12</t>
        </is>
      </c>
      <c r="B63" s="12" t="inlineStr">
        <is>
          <t>Cutover</t>
        </is>
      </c>
      <c r="C63" s="12" t="inlineStr">
        <is>
          <t>Measure Criteria</t>
        </is>
      </c>
      <c r="D63" s="12" t="inlineStr">
        <is>
          <t>Data Migration Lead or the board</t>
        </is>
      </c>
      <c r="E63" s="12" t="inlineStr">
        <is>
          <t>A plan is open</t>
        </is>
      </c>
      <c r="F63" s="12" t="inlineStr">
        <is>
          <t>Measures the criteria that BIBS measures (acceptance, counts, financial rejects, amounts, clearing, legacy accounts, client queue)</t>
        </is>
      </c>
      <c r="G63" s="12" t="inlineStr">
        <is>
          <t>-</t>
        </is>
      </c>
      <c r="H63" s="12" t="inlineStr">
        <is>
          <t>-</t>
        </is>
      </c>
    </row>
    <row r="64">
      <c r="A64" s="12" t="inlineStr">
        <is>
          <t>SCR-DM-12</t>
        </is>
      </c>
      <c r="B64" s="12" t="inlineStr">
        <is>
          <t>Cutover</t>
        </is>
      </c>
      <c r="C64" s="12" t="inlineStr">
        <is>
          <t>Start, Done, Block</t>
        </is>
      </c>
      <c r="D64" s="12" t="inlineStr">
        <is>
          <t>Data Migration Lead</t>
        </is>
      </c>
      <c r="E64" s="12" t="inlineStr">
        <is>
          <t>Task not started, in progress or blocked</t>
        </is>
      </c>
      <c r="F64" s="12" t="inlineStr">
        <is>
          <t>Records the actual start or end; a block needs its reason</t>
        </is>
      </c>
      <c r="G64" s="12" t="inlineStr">
        <is>
          <t>In progress, Done, Blocked</t>
        </is>
      </c>
      <c r="H64" s="12" t="inlineStr">
        <is>
          <t>-</t>
        </is>
      </c>
    </row>
    <row r="65">
      <c r="A65" s="12" t="inlineStr">
        <is>
          <t>SCR-DM-12</t>
        </is>
      </c>
      <c r="B65" s="12" t="inlineStr">
        <is>
          <t>Cutover</t>
        </is>
      </c>
      <c r="C65" s="12" t="inlineStr">
        <is>
          <t>Met, Not met</t>
        </is>
      </c>
      <c r="D65" s="12" t="inlineStr">
        <is>
          <t>Data Migration Lead</t>
        </is>
      </c>
      <c r="E65" s="12" t="inlineStr">
        <is>
          <t>Recorded criterion</t>
        </is>
      </c>
      <c r="F65" s="12" t="inlineStr">
        <is>
          <t>Records a criterion that BIBS does not measure, with its evidence</t>
        </is>
      </c>
      <c r="G65" s="12" t="inlineStr">
        <is>
          <t>Met or Not met</t>
        </is>
      </c>
      <c r="H65" s="12" t="inlineStr">
        <is>
          <t>-</t>
        </is>
      </c>
    </row>
    <row r="66">
      <c r="A66" s="12" t="inlineStr">
        <is>
          <t>SCR-DM-12</t>
        </is>
      </c>
      <c r="B66" s="12" t="inlineStr">
        <is>
          <t>Cutover</t>
        </is>
      </c>
      <c r="C66" s="12" t="inlineStr">
        <is>
          <t>GO</t>
        </is>
      </c>
      <c r="D66" s="12" t="inlineStr">
        <is>
          <t>Go / no-go board</t>
        </is>
      </c>
      <c r="E66" s="12" t="inlineStr">
        <is>
          <t>A plan is open</t>
        </is>
      </c>
      <c r="F66" s="12" t="inlineStr">
        <is>
          <t>Records GO; when a criterion is not met the justification is mandatory; on the production plan it signs gate G7</t>
        </is>
      </c>
      <c r="G66" s="12" t="inlineStr">
        <is>
          <t>GO</t>
        </is>
      </c>
      <c r="H66" s="12" t="inlineStr">
        <is>
          <t>-</t>
        </is>
      </c>
    </row>
    <row r="67">
      <c r="A67" s="12" t="inlineStr">
        <is>
          <t>SCR-DM-12</t>
        </is>
      </c>
      <c r="B67" s="12" t="inlineStr">
        <is>
          <t>Cutover</t>
        </is>
      </c>
      <c r="C67" s="12" t="inlineStr">
        <is>
          <t>NO-GO</t>
        </is>
      </c>
      <c r="D67" s="12" t="inlineStr">
        <is>
          <t>Go / no-go board</t>
        </is>
      </c>
      <c r="E67" s="12" t="inlineStr">
        <is>
          <t>A plan is open</t>
        </is>
      </c>
      <c r="F67" s="12" t="inlineStr">
        <is>
          <t>Records NO-GO with the reason; the cut-over stops and rolls back to the snapshot</t>
        </is>
      </c>
      <c r="G67" s="12" t="inlineStr">
        <is>
          <t>NO-GO</t>
        </is>
      </c>
      <c r="H67" s="12" t="inlineStr">
        <is>
          <t>-</t>
        </is>
      </c>
    </row>
    <row r="68">
      <c r="A68" s="12" t="inlineStr">
        <is>
          <t>SCR-DM-13</t>
        </is>
      </c>
      <c r="B68" s="12" t="inlineStr">
        <is>
          <t>Run-off and Decommissioning</t>
        </is>
      </c>
      <c r="C68" s="12" t="inlineStr">
        <is>
          <t>Take Snapshot</t>
        </is>
      </c>
      <c r="D68" s="12" t="inlineStr">
        <is>
          <t>Data Migration Lead</t>
        </is>
      </c>
      <c r="E68" s="12" t="inlineStr">
        <is>
          <t>Always</t>
        </is>
      </c>
      <c r="F68" s="12" t="inlineStr">
        <is>
          <t>Takes the run-off snapshot of today (it is also taken on the first of each month)</t>
        </is>
      </c>
      <c r="G68" s="12" t="inlineStr">
        <is>
          <t>-</t>
        </is>
      </c>
      <c r="H68" s="12" t="inlineStr">
        <is>
          <t>-</t>
        </is>
      </c>
    </row>
    <row r="69">
      <c r="A69" s="12" t="inlineStr">
        <is>
          <t>SCR-DM-13</t>
        </is>
      </c>
      <c r="B69" s="12" t="inlineStr">
        <is>
          <t>Run-off and Decommissioning</t>
        </is>
      </c>
      <c r="C69" s="12" t="inlineStr">
        <is>
          <t>Open Checklist</t>
        </is>
      </c>
      <c r="D69" s="12" t="inlineStr">
        <is>
          <t>Data Migration Lead</t>
        </is>
      </c>
      <c r="E69" s="12" t="inlineStr">
        <is>
          <t>The system has no checklist</t>
        </is>
      </c>
      <c r="F69" s="12" t="inlineStr">
        <is>
          <t>Opens the decommissioning checklist of the system</t>
        </is>
      </c>
      <c r="G69" s="12" t="inlineStr">
        <is>
          <t>Open</t>
        </is>
      </c>
      <c r="H69" s="12" t="inlineStr">
        <is>
          <t>-</t>
        </is>
      </c>
    </row>
    <row r="70">
      <c r="A70" s="12" t="inlineStr">
        <is>
          <t>SCR-DM-13</t>
        </is>
      </c>
      <c r="B70" s="12" t="inlineStr">
        <is>
          <t>Run-off and Decommissioning</t>
        </is>
      </c>
      <c r="C70" s="12" t="inlineStr">
        <is>
          <t>Met, Sign, Not applicable</t>
        </is>
      </c>
      <c r="D70" s="12" t="inlineStr">
        <is>
          <t>Data Migration Lead</t>
        </is>
      </c>
      <c r="E70" s="12" t="inlineStr">
        <is>
          <t>Criterion open or met</t>
        </is>
      </c>
      <c r="F70" s="12" t="inlineStr">
        <is>
          <t>Records the criterion with its evidence</t>
        </is>
      </c>
      <c r="G70" s="12" t="inlineStr">
        <is>
          <t>Met, Signed or Not applicable</t>
        </is>
      </c>
      <c r="H70" s="12" t="inlineStr">
        <is>
          <t>-</t>
        </is>
      </c>
    </row>
    <row r="71">
      <c r="A71" s="12" t="inlineStr">
        <is>
          <t>SCR-DM-14</t>
        </is>
      </c>
      <c r="B71" s="12" t="inlineStr">
        <is>
          <t>Legacy Inquiry</t>
        </is>
      </c>
      <c r="C71" s="12" t="inlineStr">
        <is>
          <t>Continue</t>
        </is>
      </c>
      <c r="D71" s="12" t="inlineStr">
        <is>
          <t>Audit / Compliance user</t>
        </is>
      </c>
      <c r="E71" s="12" t="inlineStr">
        <is>
          <t>A reason is chosen (and details for Other)</t>
        </is>
      </c>
      <c r="F71" s="12" t="inlineStr">
        <is>
          <t>Keeps the reason for the session and opens the search</t>
        </is>
      </c>
      <c r="G71" s="12" t="inlineStr">
        <is>
          <t>-</t>
        </is>
      </c>
      <c r="H71" s="12" t="inlineStr">
        <is>
          <t>-</t>
        </is>
      </c>
    </row>
    <row r="72">
      <c r="A72" s="12" t="inlineStr">
        <is>
          <t>SCR-DM-14</t>
        </is>
      </c>
      <c r="B72" s="12" t="inlineStr">
        <is>
          <t>Legacy Inquiry</t>
        </is>
      </c>
      <c r="C72" s="12" t="inlineStr">
        <is>
          <t>Search</t>
        </is>
      </c>
      <c r="D72" s="12" t="inlineStr">
        <is>
          <t>Audit / Compliance user</t>
        </is>
      </c>
      <c r="E72" s="12" t="inlineStr">
        <is>
          <t>At least one criterion</t>
        </is>
      </c>
      <c r="F72" s="12" t="inlineStr">
        <is>
          <t>Lists the matching records; the search is logged</t>
        </is>
      </c>
      <c r="G72" s="12" t="inlineStr">
        <is>
          <t>-</t>
        </is>
      </c>
      <c r="H72" s="12" t="inlineStr">
        <is>
          <t>-</t>
        </is>
      </c>
    </row>
    <row r="73">
      <c r="A73" s="12" t="inlineStr">
        <is>
          <t>SCR-DM-14</t>
        </is>
      </c>
      <c r="B73" s="12" t="inlineStr">
        <is>
          <t>Legacy Inquiry</t>
        </is>
      </c>
      <c r="C73" s="12" t="inlineStr">
        <is>
          <t>Export</t>
        </is>
      </c>
      <c r="D73" s="12" t="inlineStr">
        <is>
          <t>Audit / Compliance user with the export right</t>
        </is>
      </c>
      <c r="E73" s="12" t="inlineStr">
        <is>
          <t>Records found</t>
        </is>
      </c>
      <c r="F73" s="12" t="inlineStr">
        <is>
          <t>Exports the records to Excel, up to 1,000 at a time; the export is logged</t>
        </is>
      </c>
      <c r="G73" s="12" t="inlineStr">
        <is>
          <t>-</t>
        </is>
      </c>
      <c r="H73" s="12" t="inlineStr">
        <is>
          <t>Alert Unusual access when a user exports more than 5,000 records in a day</t>
        </is>
      </c>
    </row>
    <row r="74">
      <c r="A74" s="12" t="inlineStr">
        <is>
          <t>SCR-DM-14</t>
        </is>
      </c>
      <c r="B74" s="12" t="inlineStr">
        <is>
          <t>Legacy Inquiry</t>
        </is>
      </c>
      <c r="C74" s="12" t="inlineStr">
        <is>
          <t>Download a document</t>
        </is>
      </c>
      <c r="D74" s="12" t="inlineStr">
        <is>
          <t>Audit / Compliance user</t>
        </is>
      </c>
      <c r="E74" s="12" t="inlineStr">
        <is>
          <t>Record open</t>
        </is>
      </c>
      <c r="F74" s="12" t="inlineStr">
        <is>
          <t>Downloads the document; the download is logged</t>
        </is>
      </c>
      <c r="G74" s="12" t="inlineStr">
        <is>
          <t>-</t>
        </is>
      </c>
      <c r="H74" s="12" t="inlineStr">
        <is>
          <t>-</t>
        </is>
      </c>
    </row>
    <row r="75">
      <c r="A75" s="12" t="inlineStr">
        <is>
          <t>SCR-DM-14</t>
        </is>
      </c>
      <c r="B75" s="12" t="inlineStr">
        <is>
          <t>Legacy Inquiry</t>
        </is>
      </c>
      <c r="C75" s="12" t="inlineStr">
        <is>
          <t>Close</t>
        </is>
      </c>
      <c r="D75" s="12" t="inlineStr">
        <is>
          <t>Audit / Compliance user</t>
        </is>
      </c>
      <c r="E75" s="12" t="inlineStr">
        <is>
          <t>Record open</t>
        </is>
      </c>
      <c r="F75" s="12" t="inlineStr">
        <is>
          <t>Closes the record</t>
        </is>
      </c>
      <c r="G75" s="12" t="inlineStr">
        <is>
          <t>-</t>
        </is>
      </c>
      <c r="H75" s="12" t="inlineStr">
        <is>
          <t>-</t>
        </is>
      </c>
    </row>
    <row r="76">
      <c r="A76" s="12" t="inlineStr">
        <is>
          <t>SCR-DM-15</t>
        </is>
      </c>
      <c r="B76" s="12" t="inlineStr">
        <is>
          <t>Access Log</t>
        </is>
      </c>
      <c r="C76" s="12" t="inlineStr">
        <is>
          <t>Filters</t>
        </is>
      </c>
      <c r="D76" s="12" t="inlineStr">
        <is>
          <t>Compliance reviewer</t>
        </is>
      </c>
      <c r="E76" s="12" t="inlineStr">
        <is>
          <t>Always</t>
        </is>
      </c>
      <c r="F76" s="12" t="inlineStr">
        <is>
          <t>Narrows the log</t>
        </is>
      </c>
      <c r="G76" s="12" t="inlineStr">
        <is>
          <t>-</t>
        </is>
      </c>
      <c r="H76" s="12" t="inlineStr">
        <is>
          <t>-</t>
        </is>
      </c>
    </row>
    <row r="77">
      <c r="A77" s="12" t="inlineStr">
        <is>
          <t>SCR-DM-16</t>
        </is>
      </c>
      <c r="B77" s="12" t="inlineStr">
        <is>
          <t>LEGACY badge and Origin filter on the lists</t>
        </is>
      </c>
      <c r="C77" s="12" t="inlineStr">
        <is>
          <t>Search and filters</t>
        </is>
      </c>
      <c r="D77" s="12" t="inlineStr">
        <is>
          <t>Users of each list</t>
        </is>
      </c>
      <c r="E77" s="12" t="inlineStr">
        <is>
          <t>Always</t>
        </is>
      </c>
      <c r="F77" s="12" t="inlineStr">
        <is>
          <t>Find migrated records by their BIBS or legacy number, or only the migrated or BIBS records</t>
        </is>
      </c>
      <c r="G77" s="12" t="inlineStr">
        <is>
          <t>-</t>
        </is>
      </c>
      <c r="H77" s="12" t="inlineStr">
        <is>
          <t>-</t>
        </is>
      </c>
    </row>
    <row r="78">
      <c r="A78" s="12" t="inlineStr">
        <is>
          <t>SCR-DM-17</t>
        </is>
      </c>
      <c r="B78" s="12" t="inlineStr">
        <is>
          <t>Legacy invoice on Invoice 360</t>
        </is>
      </c>
      <c r="C78" s="12" t="inlineStr">
        <is>
          <t>The actions of Invoice 360</t>
        </is>
      </c>
      <c r="D78" s="12" t="inlineStr">
        <is>
          <t>Users of Invoice 360</t>
        </is>
      </c>
      <c r="E78" s="12" t="inlineStr">
        <is>
          <t>As for a BIBS invoice</t>
        </is>
      </c>
      <c r="F78" s="12" t="inlineStr">
        <is>
          <t>Payments, automatch, refunds, reclassifications, remittance and endorsements work on the legacy invoice; its postings go to the legacy accounts</t>
        </is>
      </c>
      <c r="G78" s="12" t="inlineStr">
        <is>
          <t>-</t>
        </is>
      </c>
      <c r="H78" s="12" t="inlineStr">
        <is>
          <t>-</t>
        </is>
      </c>
    </row>
    <row r="79">
      <c r="A79" s="12" t="inlineStr">
        <is>
          <t>SCR-DM-18</t>
        </is>
      </c>
      <c r="B79" s="12" t="inlineStr">
        <is>
          <t>Unapplied to Income</t>
        </is>
      </c>
      <c r="C79" s="12" t="inlineStr">
        <is>
          <t>New Batch</t>
        </is>
      </c>
      <c r="D79" s="12" t="inlineStr">
        <is>
          <t>Cashiering user</t>
        </is>
      </c>
      <c r="E79" s="12" t="inlineStr">
        <is>
          <t>Always</t>
        </is>
      </c>
      <c r="F79" s="12" t="inlineStr">
        <is>
          <t>Opens a draft batch</t>
        </is>
      </c>
      <c r="G79" s="12" t="inlineStr">
        <is>
          <t>Draft</t>
        </is>
      </c>
      <c r="H79" s="12" t="inlineStr">
        <is>
          <t>-</t>
        </is>
      </c>
    </row>
    <row r="80">
      <c r="A80" s="12" t="inlineStr">
        <is>
          <t>SCR-DM-18</t>
        </is>
      </c>
      <c r="B80" s="12" t="inlineStr">
        <is>
          <t>Unapplied to Income</t>
        </is>
      </c>
      <c r="C80" s="12" t="inlineStr">
        <is>
          <t>Add</t>
        </is>
      </c>
      <c r="D80" s="12" t="inlineStr">
        <is>
          <t>Cashiering user</t>
        </is>
      </c>
      <c r="E80" s="12" t="inlineStr">
        <is>
          <t>Draft</t>
        </is>
      </c>
      <c r="F80" s="12" t="inlineStr">
        <is>
          <t>Adds the payment as a line</t>
        </is>
      </c>
      <c r="G80" s="12" t="inlineStr">
        <is>
          <t>Draft</t>
        </is>
      </c>
      <c r="H80" s="12" t="inlineStr">
        <is>
          <t>-</t>
        </is>
      </c>
    </row>
    <row r="81">
      <c r="A81" s="12" t="inlineStr">
        <is>
          <t>SCR-DM-18</t>
        </is>
      </c>
      <c r="B81" s="12" t="inlineStr">
        <is>
          <t>Unapplied to Income</t>
        </is>
      </c>
      <c r="C81" s="12" t="inlineStr">
        <is>
          <t>Remove</t>
        </is>
      </c>
      <c r="D81" s="12" t="inlineStr">
        <is>
          <t>Cashiering user</t>
        </is>
      </c>
      <c r="E81" s="12" t="inlineStr">
        <is>
          <t>Draft</t>
        </is>
      </c>
      <c r="F81" s="12" t="inlineStr">
        <is>
          <t>From the row action menu of the line: removes the line</t>
        </is>
      </c>
      <c r="G81" s="12" t="inlineStr">
        <is>
          <t>Draft</t>
        </is>
      </c>
      <c r="H81" s="12" t="inlineStr">
        <is>
          <t>-</t>
        </is>
      </c>
    </row>
    <row r="82">
      <c r="A82" s="12" t="inlineStr">
        <is>
          <t>SCR-DM-18</t>
        </is>
      </c>
      <c r="B82" s="12" t="inlineStr">
        <is>
          <t>Unapplied to Income</t>
        </is>
      </c>
      <c r="C82" s="12" t="inlineStr">
        <is>
          <t>Submit</t>
        </is>
      </c>
      <c r="D82" s="12" t="inlineStr">
        <is>
          <t>Cashiering user</t>
        </is>
      </c>
      <c r="E82" s="12" t="inlineStr">
        <is>
          <t>Draft with lines</t>
        </is>
      </c>
      <c r="F82" s="12" t="inlineStr">
        <is>
          <t>Sends the batch to the Cashiering team lead</t>
        </is>
      </c>
      <c r="G82" s="12" t="inlineStr">
        <is>
          <t>For approval</t>
        </is>
      </c>
      <c r="H82" s="12" t="inlineStr">
        <is>
          <t>-</t>
        </is>
      </c>
    </row>
    <row r="83">
      <c r="A83" s="12" t="inlineStr">
        <is>
          <t>SCR-DM-18</t>
        </is>
      </c>
      <c r="B83" s="12" t="inlineStr">
        <is>
          <t>Unapplied to Income</t>
        </is>
      </c>
      <c r="C83" s="12" t="inlineStr">
        <is>
          <t>Cancel Batch</t>
        </is>
      </c>
      <c r="D83" s="12" t="inlineStr">
        <is>
          <t>Cashiering user</t>
        </is>
      </c>
      <c r="E83" s="12" t="inlineStr">
        <is>
          <t>Draft</t>
        </is>
      </c>
      <c r="F83" s="12" t="inlineStr">
        <is>
          <t>Closes the batch without posting; its lines may be taken again</t>
        </is>
      </c>
      <c r="G83" s="12" t="inlineStr">
        <is>
          <t>Cancelled</t>
        </is>
      </c>
      <c r="H83" s="12" t="inlineStr">
        <is>
          <t>-</t>
        </is>
      </c>
    </row>
    <row r="84">
      <c r="A84" s="12" t="inlineStr">
        <is>
          <t>SCR-DM-18</t>
        </is>
      </c>
      <c r="B84" s="12" t="inlineStr">
        <is>
          <t>Unapplied to Income</t>
        </is>
      </c>
      <c r="C84" s="12" t="inlineStr">
        <is>
          <t>Approve</t>
        </is>
      </c>
      <c r="D84" s="12" t="inlineStr">
        <is>
          <t>Cashiering team lead, then top management</t>
        </is>
      </c>
      <c r="E84" s="12" t="inlineStr">
        <is>
          <t>For approval, For top management; never the requester</t>
        </is>
      </c>
      <c r="F84" s="12" t="inlineStr">
        <is>
          <t>First approval sends the batch to top management; the second posts each line in its own transaction</t>
        </is>
      </c>
      <c r="G84" s="12" t="inlineStr">
        <is>
          <t>For top management, Posted</t>
        </is>
      </c>
      <c r="H84" s="12" t="inlineStr">
        <is>
          <t>-</t>
        </is>
      </c>
    </row>
    <row r="85">
      <c r="A85" s="12" t="inlineStr">
        <is>
          <t>SCR-DM-18</t>
        </is>
      </c>
      <c r="B85" s="12" t="inlineStr">
        <is>
          <t>Unapplied to Income</t>
        </is>
      </c>
      <c r="C85" s="12" t="inlineStr">
        <is>
          <t>Return</t>
        </is>
      </c>
      <c r="D85" s="12" t="inlineStr">
        <is>
          <t>Approver of the step</t>
        </is>
      </c>
      <c r="E85" s="12" t="inlineStr">
        <is>
          <t>For approval, For top management</t>
        </is>
      </c>
      <c r="F85" s="12" t="inlineStr">
        <is>
          <t>Returns the batch to its requester as a draft with the reason</t>
        </is>
      </c>
      <c r="G85" s="12" t="inlineStr">
        <is>
          <t>Draft</t>
        </is>
      </c>
      <c r="H85" s="12" t="inlineStr">
        <is>
          <t>-</t>
        </is>
      </c>
    </row>
    <row r="86">
      <c r="A86" s="12" t="inlineStr">
        <is>
          <t>SCR-DM-19</t>
        </is>
      </c>
      <c r="B86" s="12" t="inlineStr">
        <is>
          <t>Legacy PR 2307 Reversal</t>
        </is>
      </c>
      <c r="C86" s="12" t="inlineStr">
        <is>
          <t>Add Invoice</t>
        </is>
      </c>
      <c r="D86" s="12" t="inlineStr">
        <is>
          <t>Cashiering user</t>
        </is>
      </c>
      <c r="E86" s="12" t="inlineStr">
        <is>
          <t>Draft; invoice and amount given</t>
        </is>
      </c>
      <c r="F86" s="12" t="inlineStr">
        <is>
          <t>Adds the line</t>
        </is>
      </c>
      <c r="G86" s="12" t="inlineStr">
        <is>
          <t>Draft</t>
        </is>
      </c>
      <c r="H86" s="12" t="inlineStr">
        <is>
          <t>-</t>
        </is>
      </c>
    </row>
    <row r="87">
      <c r="A87" s="12" t="inlineStr">
        <is>
          <t>SCR-DM-19</t>
        </is>
      </c>
      <c r="B87" s="12" t="inlineStr">
        <is>
          <t>Legacy PR 2307 Reversal</t>
        </is>
      </c>
      <c r="C87" s="12" t="inlineStr">
        <is>
          <t>Submit, Cancel Batch</t>
        </is>
      </c>
      <c r="D87" s="12" t="inlineStr">
        <is>
          <t>Cashiering user</t>
        </is>
      </c>
      <c r="E87" s="12" t="inlineStr">
        <is>
          <t>Draft</t>
        </is>
      </c>
      <c r="F87" s="12" t="inlineStr">
        <is>
          <t>Sends the batch for approval, or closes it without posting</t>
        </is>
      </c>
      <c r="G87" s="12" t="inlineStr">
        <is>
          <t>For approval, Cancelled</t>
        </is>
      </c>
      <c r="H87" s="12" t="inlineStr">
        <is>
          <t>-</t>
        </is>
      </c>
    </row>
    <row r="88">
      <c r="A88" s="12" t="inlineStr">
        <is>
          <t>SCR-DM-19</t>
        </is>
      </c>
      <c r="B88" s="12" t="inlineStr">
        <is>
          <t>Legacy PR 2307 Reversal</t>
        </is>
      </c>
      <c r="C88" s="12" t="inlineStr">
        <is>
          <t>Approve, Return</t>
        </is>
      </c>
      <c r="D88" s="12" t="inlineStr">
        <is>
          <t>Cashiering team lead</t>
        </is>
      </c>
      <c r="E88" s="12" t="inlineStr">
        <is>
          <t>For approval; never the requester</t>
        </is>
      </c>
      <c r="F88" s="12" t="inlineStr">
        <is>
          <t>Posts each line in its own transaction, or returns the batch with the reason</t>
        </is>
      </c>
      <c r="G88" s="12" t="inlineStr">
        <is>
          <t>Posted, Draft</t>
        </is>
      </c>
      <c r="H88" s="12" t="inlineStr">
        <is>
          <t>-</t>
        </is>
      </c>
    </row>
    <row r="89">
      <c r="A89" s="12" t="inlineStr">
        <is>
          <t>SCR-DM-20</t>
        </is>
      </c>
      <c r="B89" s="12" t="inlineStr">
        <is>
          <t>DP PR Legacy Reversal</t>
        </is>
      </c>
      <c r="C89" s="12" t="inlineStr">
        <is>
          <t>Add</t>
        </is>
      </c>
      <c r="D89" s="12" t="inlineStr">
        <is>
          <t>Commission user</t>
        </is>
      </c>
      <c r="E89" s="12" t="inlineStr">
        <is>
          <t>Draft</t>
        </is>
      </c>
      <c r="F89" s="12" t="inlineStr">
        <is>
          <t>Adds the invoice as a line</t>
        </is>
      </c>
      <c r="G89" s="12" t="inlineStr">
        <is>
          <t>Draft</t>
        </is>
      </c>
      <c r="H89" s="12" t="inlineStr">
        <is>
          <t>-</t>
        </is>
      </c>
    </row>
    <row r="90">
      <c r="A90" s="12" t="inlineStr">
        <is>
          <t>SCR-DM-20</t>
        </is>
      </c>
      <c r="B90" s="12" t="inlineStr">
        <is>
          <t>DP PR Legacy Reversal</t>
        </is>
      </c>
      <c r="C90" s="12" t="inlineStr">
        <is>
          <t>Submit, Cancel Batch</t>
        </is>
      </c>
      <c r="D90" s="12" t="inlineStr">
        <is>
          <t>Commission user</t>
        </is>
      </c>
      <c r="E90" s="12" t="inlineStr">
        <is>
          <t>Draft</t>
        </is>
      </c>
      <c r="F90" s="12" t="inlineStr">
        <is>
          <t>Sends the batch for approval, or closes it without posting</t>
        </is>
      </c>
      <c r="G90" s="12" t="inlineStr">
        <is>
          <t>For approval, Cancelled</t>
        </is>
      </c>
      <c r="H90" s="12" t="inlineStr">
        <is>
          <t>-</t>
        </is>
      </c>
    </row>
    <row r="91">
      <c r="A91" s="12" t="inlineStr">
        <is>
          <t>SCR-DM-20</t>
        </is>
      </c>
      <c r="B91" s="12" t="inlineStr">
        <is>
          <t>DP PR Legacy Reversal</t>
        </is>
      </c>
      <c r="C91" s="12" t="inlineStr">
        <is>
          <t>Approve, Return</t>
        </is>
      </c>
      <c r="D91" s="12" t="inlineStr">
        <is>
          <t>Commission team lead</t>
        </is>
      </c>
      <c r="E91" s="12" t="inlineStr">
        <is>
          <t>For approval; never the requester</t>
        </is>
      </c>
      <c r="F91" s="12" t="inlineStr">
        <is>
          <t>Posts each invoice on its own, or returns the batch with the reason</t>
        </is>
      </c>
      <c r="G91" s="12" t="inlineStr">
        <is>
          <t>Posted, Draft</t>
        </is>
      </c>
      <c r="H91" s="12" t="inlineStr">
        <is>
          <t>-</t>
        </is>
      </c>
    </row>
  </sheetData>
  <autoFilter ref="A4:H91"/>
  <mergeCells count="1">
    <mergeCell ref="A2:H2"/>
  </mergeCells>
  <conditionalFormatting sqref="A5:H59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3.xml><?xml version="1.0" encoding="utf-8"?>
<worksheet xmlns="http://schemas.openxmlformats.org/spreadsheetml/2006/main">
  <sheetPr>
    <outlinePr summaryBelow="1" summaryRight="1"/>
    <pageSetUpPr fitToPage="1"/>
  </sheetPr>
  <dimension ref="A1:I7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BR-DM-001</t>
        </is>
      </c>
      <c r="B5" s="12" t="inlineStr">
        <is>
          <t>SCR-DM-01</t>
        </is>
      </c>
      <c r="C5" s="12" t="inlineStr">
        <is>
          <t>Migration Home</t>
        </is>
      </c>
      <c r="D5" s="12" t="inlineStr">
        <is>
          <t>A tile marked Needs attention has at least one item that blocks a gate: a failed batch, a break, an unmapped code or an open error.</t>
        </is>
      </c>
      <c r="E5" s="12" t="inlineStr">
        <is>
          <t>FR-DM-003</t>
        </is>
      </c>
      <c r="F5" s="12" t="n"/>
      <c r="G5" s="12" t="n"/>
      <c r="H5" s="12" t="n"/>
      <c r="I5" s="25" t="n"/>
    </row>
    <row r="6">
      <c r="A6" s="12" t="inlineStr">
        <is>
          <t>BR-DM-002</t>
        </is>
      </c>
      <c r="B6" s="12" t="inlineStr">
        <is>
          <t>SCR-DM-01</t>
        </is>
      </c>
      <c r="C6" s="12" t="inlineStr">
        <is>
          <t>Migration Home</t>
        </is>
      </c>
      <c r="D6" s="12" t="inlineStr">
        <is>
          <t>The migration roles (operator, steward, owner, lead, reconciliation approver, go / no-go board) land on Migration Home after sign-in; My Approvals stays one click away in the header.</t>
        </is>
      </c>
      <c r="E6" s="12" t="inlineStr">
        <is>
          <t>FR-DM-003</t>
        </is>
      </c>
      <c r="F6" s="12" t="n"/>
      <c r="G6" s="12" t="n"/>
      <c r="H6" s="12" t="n"/>
      <c r="I6" s="25" t="n"/>
    </row>
    <row r="7">
      <c r="A7" s="12" t="inlineStr">
        <is>
          <t>BR-DM-003</t>
        </is>
      </c>
      <c r="B7" s="12" t="inlineStr">
        <is>
          <t>SCR-DM-01</t>
        </is>
      </c>
      <c r="C7" s="12" t="inlineStr">
        <is>
          <t>Migration Home</t>
        </is>
      </c>
      <c r="D7" s="12" t="inlineStr">
        <is>
          <t>The run-off table is the latest monthly snapshot of the legacy policies in force at go-live.</t>
        </is>
      </c>
      <c r="E7" s="12" t="inlineStr">
        <is>
          <t>FR-DM-122</t>
        </is>
      </c>
      <c r="F7" s="12" t="n"/>
      <c r="G7" s="12" t="n"/>
      <c r="H7" s="12" t="n"/>
      <c r="I7" s="25" t="n"/>
    </row>
    <row r="8">
      <c r="A8" s="12" t="inlineStr">
        <is>
          <t>BR-DM-004</t>
        </is>
      </c>
      <c r="B8" s="12" t="inlineStr">
        <is>
          <t>SCR-DM-02</t>
        </is>
      </c>
      <c r="C8" s="12" t="inlineStr">
        <is>
          <t>Data Objects and the decision of an object</t>
        </is>
      </c>
      <c r="D8" s="12" t="inlineStr">
        <is>
          <t>An object loads only after the objects it depends on are accepted in the same environment; its load order follows theirs.</t>
        </is>
      </c>
      <c r="E8" s="12" t="inlineStr">
        <is>
          <t>FR-DM-001</t>
        </is>
      </c>
      <c r="F8" s="12" t="n"/>
      <c r="G8" s="12" t="n"/>
      <c r="H8" s="12" t="n"/>
      <c r="I8" s="25" t="n"/>
    </row>
    <row r="9">
      <c r="A9" s="12" t="inlineStr">
        <is>
          <t>BR-DM-005</t>
        </is>
      </c>
      <c r="B9" s="12" t="inlineStr">
        <is>
          <t>SCR-DM-02</t>
        </is>
      </c>
      <c r="C9" s="12" t="inlineStr">
        <is>
          <t>Data Objects and the decision of an object</t>
        </is>
      </c>
      <c r="D9" s="12" t="inlineStr">
        <is>
          <t>The business owner of the object decides its class, never the user who submitted it.</t>
        </is>
      </c>
      <c r="E9" s="12" t="inlineStr">
        <is>
          <t>FR-DM-002</t>
        </is>
      </c>
      <c r="F9" s="12" t="n"/>
      <c r="G9" s="12" t="n"/>
      <c r="H9" s="12" t="n"/>
      <c r="I9" s="25" t="n"/>
    </row>
    <row r="10">
      <c r="A10" s="12" t="inlineStr">
        <is>
          <t>BR-DM-006</t>
        </is>
      </c>
      <c r="B10" s="12" t="inlineStr">
        <is>
          <t>SCR-DM-02</t>
        </is>
      </c>
      <c r="C10" s="12" t="inlineStr">
        <is>
          <t>Data Objects and the decision of an object</t>
        </is>
      </c>
      <c r="D10" s="12" t="inlineStr">
        <is>
          <t>The class of an object whose batches are loaded changes only after the batches are rolled back.</t>
        </is>
      </c>
      <c r="E10" s="12" t="inlineStr">
        <is>
          <t>FR-DM-002</t>
        </is>
      </c>
      <c r="F10" s="12" t="n"/>
      <c r="G10" s="12" t="n"/>
      <c r="H10" s="12" t="n"/>
      <c r="I10" s="25" t="n"/>
    </row>
    <row r="11">
      <c r="A11" s="12" t="inlineStr">
        <is>
          <t>BR-DM-007</t>
        </is>
      </c>
      <c r="B11" s="12" t="inlineStr">
        <is>
          <t>SCR-DM-02</t>
        </is>
      </c>
      <c r="C11" s="12" t="inlineStr">
        <is>
          <t>Data Objects and the decision of an object</t>
        </is>
      </c>
      <c r="D11" s="12" t="inlineStr">
        <is>
          <t>Only objects decided as Migrate, Carry forward or Conditional (with its condition met) can be planned in a batch; archive objects load into the legacy archive.</t>
        </is>
      </c>
      <c r="E11" s="12" t="inlineStr">
        <is>
          <t>FR-DM-002</t>
        </is>
      </c>
      <c r="F11" s="12" t="n"/>
      <c r="G11" s="12" t="n"/>
      <c r="H11" s="12" t="n"/>
      <c r="I11" s="25" t="n"/>
    </row>
    <row r="12">
      <c r="A12" s="12" t="inlineStr">
        <is>
          <t>BR-DM-008</t>
        </is>
      </c>
      <c r="B12" s="12" t="inlineStr">
        <is>
          <t>SCR-DM-03</t>
        </is>
      </c>
      <c r="C12" s="12" t="inlineStr">
        <is>
          <t>Code Maps and the versions of a code map</t>
        </is>
      </c>
      <c r="D12" s="12" t="inlineStr">
        <is>
          <t>Only the approved version of a map is used by a batch, and the batch records the versions it used.</t>
        </is>
      </c>
      <c r="E12" s="12" t="inlineStr">
        <is>
          <t>FR-DM-011</t>
        </is>
      </c>
      <c r="F12" s="12" t="n"/>
      <c r="G12" s="12" t="n"/>
      <c r="H12" s="12" t="n"/>
      <c r="I12" s="25" t="n"/>
    </row>
    <row r="13">
      <c r="A13" s="12" t="inlineStr">
        <is>
          <t>BR-DM-009</t>
        </is>
      </c>
      <c r="B13" s="12" t="inlineStr">
        <is>
          <t>SCR-DM-03</t>
        </is>
      </c>
      <c r="C13" s="12" t="inlineStr">
        <is>
          <t>Code Maps and the versions of a code map</t>
        </is>
      </c>
      <c r="D13" s="12" t="inlineStr">
        <is>
          <t>A map has one version being edited or waiting for approval at a time.</t>
        </is>
      </c>
      <c r="E13" s="12" t="inlineStr">
        <is>
          <t>FR-DM-011</t>
        </is>
      </c>
      <c r="F13" s="12" t="n"/>
      <c r="G13" s="12" t="n"/>
      <c r="H13" s="12" t="n"/>
      <c r="I13" s="25" t="n"/>
    </row>
    <row r="14">
      <c r="A14" s="12" t="inlineStr">
        <is>
          <t>BR-DM-010</t>
        </is>
      </c>
      <c r="B14" s="12" t="inlineStr">
        <is>
          <t>SCR-DM-03</t>
        </is>
      </c>
      <c r="C14" s="12" t="inlineStr">
        <is>
          <t>Code Maps and the versions of a code map</t>
        </is>
      </c>
      <c r="D14" s="12" t="inlineStr">
        <is>
          <t>The business owner approves a version, never the Data Steward who submitted it.</t>
        </is>
      </c>
      <c r="E14" s="12" t="inlineStr">
        <is>
          <t>FR-DM-011</t>
        </is>
      </c>
      <c r="F14" s="12" t="n"/>
      <c r="G14" s="12" t="n"/>
      <c r="H14" s="12" t="n"/>
      <c r="I14" s="25" t="n"/>
    </row>
    <row r="15">
      <c r="A15" s="12" t="inlineStr">
        <is>
          <t>BR-DM-011</t>
        </is>
      </c>
      <c r="B15" s="12" t="inlineStr">
        <is>
          <t>SCR-DM-03</t>
        </is>
      </c>
      <c r="C15" s="12" t="inlineStr">
        <is>
          <t>Code Maps and the versions of a code map</t>
        </is>
      </c>
      <c r="D15" s="12" t="inlineStr">
        <is>
          <t>A batch with an unmapped code in a mandatory column cannot be approved for load.</t>
        </is>
      </c>
      <c r="E15" s="12" t="inlineStr">
        <is>
          <t>FR-DM-012</t>
        </is>
      </c>
      <c r="F15" s="12" t="n"/>
      <c r="G15" s="12" t="n"/>
      <c r="H15" s="12" t="n"/>
      <c r="I15" s="25" t="n"/>
    </row>
    <row r="16">
      <c r="A16" s="12" t="inlineStr">
        <is>
          <t>BR-DM-012</t>
        </is>
      </c>
      <c r="B16" s="12" t="inlineStr">
        <is>
          <t>SCR-DM-03</t>
        </is>
      </c>
      <c r="C16" s="12" t="inlineStr">
        <is>
          <t>Code Maps and the versions of a code map</t>
        </is>
      </c>
      <c r="D16" s="12" t="inlineStr">
        <is>
          <t>Legacy packages are mapped to package versions in the package code map, which Renewal uses at sanitation; the migration does not resolve packages on the policy headers.</t>
        </is>
      </c>
      <c r="E16" s="12" t="inlineStr">
        <is>
          <t>FR-DM-034</t>
        </is>
      </c>
      <c r="F16" s="12" t="n"/>
      <c r="G16" s="12" t="n"/>
      <c r="H16" s="12" t="n"/>
      <c r="I16" s="25" t="n"/>
    </row>
    <row r="17">
      <c r="A17" s="12" t="inlineStr">
        <is>
          <t>BR-DM-013</t>
        </is>
      </c>
      <c r="B17" s="12" t="inlineStr">
        <is>
          <t>SCR-DM-04</t>
        </is>
      </c>
      <c r="C17" s="12" t="inlineStr">
        <is>
          <t>Layouts and Rules</t>
        </is>
      </c>
      <c r="D17" s="12" t="inlineStr">
        <is>
          <t>A file whose header does not match the layout version in force is rejected at intake.</t>
        </is>
      </c>
      <c r="E17" s="12" t="inlineStr">
        <is>
          <t>FR-DM-010</t>
        </is>
      </c>
      <c r="F17" s="12" t="n"/>
      <c r="G17" s="12" t="n"/>
      <c r="H17" s="12" t="n"/>
      <c r="I17" s="25" t="n"/>
    </row>
    <row r="18">
      <c r="A18" s="12" t="inlineStr">
        <is>
          <t>BR-DM-014</t>
        </is>
      </c>
      <c r="B18" s="12" t="inlineStr">
        <is>
          <t>SCR-DM-04</t>
        </is>
      </c>
      <c r="C18" s="12" t="inlineStr">
        <is>
          <t>Layouts and Rules</t>
        </is>
      </c>
      <c r="D18" s="12" t="inlineStr">
        <is>
          <t>The layouts of an object are frozen before its mapping is signed (gate G2).</t>
        </is>
      </c>
      <c r="E18" s="12" t="inlineStr">
        <is>
          <t>FR-DM-003</t>
        </is>
      </c>
      <c r="F18" s="12" t="n"/>
      <c r="G18" s="12" t="n"/>
      <c r="H18" s="12" t="n"/>
      <c r="I18" s="25" t="n"/>
    </row>
    <row r="19">
      <c r="A19" s="12" t="inlineStr">
        <is>
          <t>BR-DM-015</t>
        </is>
      </c>
      <c r="B19" s="12" t="inlineStr">
        <is>
          <t>SCR-DM-04</t>
        </is>
      </c>
      <c r="C19" s="12" t="inlineStr">
        <is>
          <t>Layouts and Rules</t>
        </is>
      </c>
      <c r="D19" s="12" t="inlineStr">
        <is>
          <t>Outside production the columns listed on Masking Rules are masked before a row is staged.</t>
        </is>
      </c>
      <c r="E19" s="12" t="inlineStr">
        <is>
          <t>FR-DM-010</t>
        </is>
      </c>
      <c r="F19" s="12" t="n"/>
      <c r="G19" s="12" t="n"/>
      <c r="H19" s="12" t="n"/>
      <c r="I19" s="25" t="n"/>
    </row>
    <row r="20">
      <c r="A20" s="12" t="inlineStr">
        <is>
          <t>BR-DM-016</t>
        </is>
      </c>
      <c r="B20" s="12" t="inlineStr">
        <is>
          <t>SCR-DM-04</t>
        </is>
      </c>
      <c r="C20" s="12" t="inlineStr">
        <is>
          <t>Layouts and Rules</t>
        </is>
      </c>
      <c r="D20" s="12" t="inlineStr">
        <is>
          <t>An error stops the row; a warning loads it and reports it.</t>
        </is>
      </c>
      <c r="E20" s="12" t="inlineStr">
        <is>
          <t>FR-DM-013</t>
        </is>
      </c>
      <c r="F20" s="12" t="n"/>
      <c r="G20" s="12" t="n"/>
      <c r="H20" s="12" t="n"/>
      <c r="I20" s="25" t="n"/>
    </row>
    <row r="21">
      <c r="A21" s="12" t="inlineStr">
        <is>
          <t>BR-DM-017</t>
        </is>
      </c>
      <c r="B21" s="12" t="inlineStr">
        <is>
          <t>SCR-DM-05</t>
        </is>
      </c>
      <c r="C21" s="12" t="inlineStr">
        <is>
          <t>Extracts</t>
        </is>
      </c>
      <c r="D21" s="12" t="inlineStr">
        <is>
          <t>The file name starts with the layout code, then the source system, the as-of date and the sequence of the day.</t>
        </is>
      </c>
      <c r="E21" s="12" t="inlineStr">
        <is>
          <t>FR-DM-010</t>
        </is>
      </c>
      <c r="F21" s="12" t="n"/>
      <c r="G21" s="12" t="n"/>
      <c r="H21" s="12" t="n"/>
      <c r="I21" s="25" t="n"/>
    </row>
    <row r="22">
      <c r="A22" s="12" t="inlineStr">
        <is>
          <t>BR-DM-018</t>
        </is>
      </c>
      <c r="B22" s="12" t="inlineStr">
        <is>
          <t>SCR-DM-05</t>
        </is>
      </c>
      <c r="C22" s="12" t="inlineStr">
        <is>
          <t>Extracts</t>
        </is>
      </c>
      <c r="D22" s="12" t="inlineStr">
        <is>
          <t>A file whose checksum, header, row count, amount totals or hash total do not agree with its control file is rejected; nothing of it is staged. Every check runs, and the rejection lists each failed check with its own reason.</t>
        </is>
      </c>
      <c r="E22" s="12" t="inlineStr">
        <is>
          <t>FR-DM-010</t>
        </is>
      </c>
      <c r="F22" s="12" t="n"/>
      <c r="G22" s="12" t="n"/>
      <c r="H22" s="12" t="n"/>
      <c r="I22" s="25" t="n"/>
    </row>
    <row r="23">
      <c r="A23" s="12" t="inlineStr">
        <is>
          <t>BR-DM-019</t>
        </is>
      </c>
      <c r="B23" s="12" t="inlineStr">
        <is>
          <t>SCR-DM-05</t>
        </is>
      </c>
      <c r="C23" s="12" t="inlineStr">
        <is>
          <t>Extracts</t>
        </is>
      </c>
      <c r="D23" s="12" t="inlineStr">
        <is>
          <t>Extracts are received only for objects decided for migration.</t>
        </is>
      </c>
      <c r="E23" s="12" t="inlineStr">
        <is>
          <t>FR-DM-002</t>
        </is>
      </c>
      <c r="F23" s="12" t="n"/>
      <c r="G23" s="12" t="n"/>
      <c r="H23" s="12" t="n"/>
      <c r="I23" s="25" t="n"/>
    </row>
    <row r="24">
      <c r="A24" s="12" t="inlineStr">
        <is>
          <t>BR-DM-020</t>
        </is>
      </c>
      <c r="B24" s="12" t="inlineStr">
        <is>
          <t>SCR-DM-05</t>
        </is>
      </c>
      <c r="C24" s="12" t="inlineStr">
        <is>
          <t>Extracts</t>
        </is>
      </c>
      <c r="D24" s="12" t="inlineStr">
        <is>
          <t>Staged rows and files are purged 5 days after the batch is accepted or rolled back, or after the rejection.</t>
        </is>
      </c>
      <c r="E24" s="12" t="inlineStr">
        <is>
          <t>FR-DM-010</t>
        </is>
      </c>
      <c r="F24" s="12" t="n"/>
      <c r="G24" s="12" t="n"/>
      <c r="H24" s="12" t="n"/>
      <c r="I24" s="25" t="n"/>
    </row>
    <row r="25">
      <c r="A25" s="12" t="inlineStr">
        <is>
          <t>BR-DM-021</t>
        </is>
      </c>
      <c r="B25" s="12" t="inlineStr">
        <is>
          <t>SCR-DM-06</t>
        </is>
      </c>
      <c r="C25" s="12" t="inlineStr">
        <is>
          <t>Batches and resubmissions</t>
        </is>
      </c>
      <c r="D25" s="12" t="inlineStr">
        <is>
          <t>The extracts of one batch have the same as-of date and one layout each.</t>
        </is>
      </c>
      <c r="E25" s="12" t="inlineStr">
        <is>
          <t>FR-DM-010</t>
        </is>
      </c>
      <c r="F25" s="12" t="n"/>
      <c r="G25" s="12" t="n"/>
      <c r="H25" s="12" t="n"/>
      <c r="I25" s="25" t="n"/>
    </row>
    <row r="26">
      <c r="A26" s="12" t="inlineStr">
        <is>
          <t>BR-DM-022</t>
        </is>
      </c>
      <c r="B26" s="12" t="inlineStr">
        <is>
          <t>SCR-DM-06</t>
        </is>
      </c>
      <c r="C26" s="12" t="inlineStr">
        <is>
          <t>Batches and resubmissions</t>
        </is>
      </c>
      <c r="D26" s="12" t="inlineStr">
        <is>
          <t>Resubmissions of the RA-sent file are accepted until the resubmission deadline (12:00 on the day before go-live).</t>
        </is>
      </c>
      <c r="E26" s="12" t="inlineStr">
        <is>
          <t>FR-DM-125</t>
        </is>
      </c>
      <c r="F26" s="12" t="n"/>
      <c r="G26" s="12" t="n"/>
      <c r="H26" s="12" t="n"/>
      <c r="I26" s="25" t="n"/>
    </row>
    <row r="27">
      <c r="A27" s="12" t="inlineStr">
        <is>
          <t>BR-DM-023</t>
        </is>
      </c>
      <c r="B27" s="12" t="inlineStr">
        <is>
          <t>SCR-DM-06</t>
        </is>
      </c>
      <c r="C27" s="12" t="inlineStr">
        <is>
          <t>Batches and resubmissions</t>
        </is>
      </c>
      <c r="D27" s="12" t="inlineStr">
        <is>
          <t>The checker of a resubmission is never its maker.</t>
        </is>
      </c>
      <c r="E27" s="12" t="inlineStr">
        <is>
          <t>FR-DM-125</t>
        </is>
      </c>
      <c r="F27" s="12" t="n"/>
      <c r="G27" s="12" t="n"/>
      <c r="H27" s="12" t="n"/>
      <c r="I27" s="25" t="n"/>
    </row>
    <row r="28">
      <c r="A28" s="12" t="inlineStr">
        <is>
          <t>BR-DM-024</t>
        </is>
      </c>
      <c r="B28" s="12" t="inlineStr">
        <is>
          <t>SCR-DM-07</t>
        </is>
      </c>
      <c r="C28" s="12" t="inlineStr">
        <is>
          <t>Batch</t>
        </is>
      </c>
      <c r="D28" s="12" t="inlineStr">
        <is>
          <t>The load of a batch is approved by the Data Migration Lead and run by an operator other than the approver; the validator does not approve the load.</t>
        </is>
      </c>
      <c r="E28" s="12" t="inlineStr">
        <is>
          <t>FR-DM-014</t>
        </is>
      </c>
      <c r="F28" s="12" t="n"/>
      <c r="G28" s="12" t="n"/>
      <c r="H28" s="12" t="n"/>
      <c r="I28" s="25" t="n"/>
    </row>
    <row r="29">
      <c r="A29" s="12" t="inlineStr">
        <is>
          <t>BR-DM-025</t>
        </is>
      </c>
      <c r="B29" s="12" t="inlineStr">
        <is>
          <t>SCR-DM-07</t>
        </is>
      </c>
      <c r="C29" s="12" t="inlineStr">
        <is>
          <t>Batch</t>
        </is>
      </c>
      <c r="D29" s="12" t="inlineStr">
        <is>
          <t>Master data loads with at most 0.5 percent of rows failing or waived; open items, unapplied payments and the trial balance load with none, unless each excluded row has a manual-entry plan.</t>
        </is>
      </c>
      <c r="E29" s="12" t="inlineStr">
        <is>
          <t>FR-DM-013</t>
        </is>
      </c>
      <c r="F29" s="12" t="n"/>
      <c r="G29" s="12" t="n"/>
      <c r="H29" s="12" t="n"/>
      <c r="I29" s="25" t="n"/>
    </row>
    <row r="30">
      <c r="A30" s="12" t="inlineStr">
        <is>
          <t>BR-DM-026</t>
        </is>
      </c>
      <c r="B30" s="12" t="inlineStr">
        <is>
          <t>SCR-DM-07</t>
        </is>
      </c>
      <c r="C30" s="12" t="inlineStr">
        <is>
          <t>Batch</t>
        </is>
      </c>
      <c r="D30" s="12" t="inlineStr">
        <is>
          <t>A row already loaded and unchanged is skipped; a rerun loads only the rejected and changed rows.</t>
        </is>
      </c>
      <c r="E30" s="12" t="inlineStr">
        <is>
          <t>FR-DM-015</t>
        </is>
      </c>
      <c r="F30" s="12" t="n"/>
      <c r="G30" s="12" t="n"/>
      <c r="H30" s="12" t="n"/>
      <c r="I30" s="25" t="n"/>
    </row>
    <row r="31">
      <c r="A31" s="12" t="inlineStr">
        <is>
          <t>BR-DM-027</t>
        </is>
      </c>
      <c r="B31" s="12" t="inlineStr">
        <is>
          <t>SCR-DM-07</t>
        </is>
      </c>
      <c r="C31" s="12" t="inlineStr">
        <is>
          <t>Batch</t>
        </is>
      </c>
      <c r="D31" s="12" t="inlineStr">
        <is>
          <t>A rollback undoes the records of the batch newest first, unless a record was changed in BIBS since the load; the requester never approves it.</t>
        </is>
      </c>
      <c r="E31" s="12" t="inlineStr">
        <is>
          <t>FR-DM-015</t>
        </is>
      </c>
      <c r="F31" s="12" t="n"/>
      <c r="G31" s="12" t="n"/>
      <c r="H31" s="12" t="n"/>
      <c r="I31" s="25" t="n"/>
    </row>
    <row r="32">
      <c r="A32" s="12" t="inlineStr">
        <is>
          <t>BR-DM-028</t>
        </is>
      </c>
      <c r="B32" s="12" t="inlineStr">
        <is>
          <t>SCR-DM-07</t>
        </is>
      </c>
      <c r="C32" s="12" t="inlineStr">
        <is>
          <t>Batch</t>
        </is>
      </c>
      <c r="D32" s="12" t="inlineStr">
        <is>
          <t>The operator who ran a batch cannot sign its reconciliation or acceptance; one person cannot sign two gates of one batch.</t>
        </is>
      </c>
      <c r="E32" s="12" t="inlineStr">
        <is>
          <t>FR-DM-003</t>
        </is>
      </c>
      <c r="F32" s="12" t="n"/>
      <c r="G32" s="12" t="n"/>
      <c r="H32" s="12" t="n"/>
      <c r="I32" s="25" t="n"/>
    </row>
    <row r="33">
      <c r="A33" s="12" t="inlineStr">
        <is>
          <t>BR-DM-029</t>
        </is>
      </c>
      <c r="B33" s="12" t="inlineStr">
        <is>
          <t>SCR-DM-07</t>
        </is>
      </c>
      <c r="C33" s="12" t="inlineStr">
        <is>
          <t>Batch</t>
        </is>
      </c>
      <c r="D33" s="12" t="inlineStr">
        <is>
          <t>The reconciliation cannot be signed while a break is open.</t>
        </is>
      </c>
      <c r="E33" s="12" t="inlineStr">
        <is>
          <t>FR-DM-020</t>
        </is>
      </c>
      <c r="F33" s="12" t="n"/>
      <c r="G33" s="12" t="n"/>
      <c r="H33" s="12" t="n"/>
      <c r="I33" s="25" t="n"/>
    </row>
    <row r="34">
      <c r="A34" s="12" t="inlineStr">
        <is>
          <t>BR-DM-030</t>
        </is>
      </c>
      <c r="B34" s="12" t="inlineStr">
        <is>
          <t>SCR-DM-08</t>
        </is>
      </c>
      <c r="C34" s="12" t="inlineStr">
        <is>
          <t>Client Matching</t>
        </is>
      </c>
      <c r="D34" s="12" t="inlineStr">
        <is>
          <t>Pairs scoring 90 or more merge automatically; 60 to 89 go to this queue; below 60 are different clients.</t>
        </is>
      </c>
      <c r="E34" s="12" t="inlineStr">
        <is>
          <t>FR-DM-031</t>
        </is>
      </c>
      <c r="F34" s="12" t="n"/>
      <c r="G34" s="12" t="n"/>
      <c r="H34" s="12" t="n"/>
      <c r="I34" s="25" t="n"/>
    </row>
    <row r="35">
      <c r="A35" s="12" t="inlineStr">
        <is>
          <t>BR-DM-031</t>
        </is>
      </c>
      <c r="B35" s="12" t="inlineStr">
        <is>
          <t>SCR-DM-08</t>
        </is>
      </c>
      <c r="C35" s="12" t="inlineStr">
        <is>
          <t>Client Matching</t>
        </is>
      </c>
      <c r="D35" s="12" t="inlineStr">
        <is>
          <t>The load of a client batch is not approved while pairs wait for review.</t>
        </is>
      </c>
      <c r="E35" s="12" t="inlineStr">
        <is>
          <t>FR-DM-031</t>
        </is>
      </c>
      <c r="F35" s="12" t="n"/>
      <c r="G35" s="12" t="n"/>
      <c r="H35" s="12" t="n"/>
      <c r="I35" s="25" t="n"/>
    </row>
    <row r="36">
      <c r="A36" s="12" t="inlineStr">
        <is>
          <t>BR-DM-032</t>
        </is>
      </c>
      <c r="B36" s="12" t="inlineStr">
        <is>
          <t>SCR-DM-08</t>
        </is>
      </c>
      <c r="C36" s="12" t="inlineStr">
        <is>
          <t>Client Matching</t>
        </is>
      </c>
      <c r="D36" s="12" t="inlineStr">
        <is>
          <t>Per field the surviving value is the first non-blank value by source priority, or the latest updated value.</t>
        </is>
      </c>
      <c r="E36" s="12" t="inlineStr">
        <is>
          <t>FR-DM-031</t>
        </is>
      </c>
      <c r="F36" s="12" t="n"/>
      <c r="G36" s="12" t="n"/>
      <c r="H36" s="12" t="n"/>
      <c r="I36" s="25" t="n"/>
    </row>
    <row r="37">
      <c r="A37" s="12" t="inlineStr">
        <is>
          <t>BR-DM-033</t>
        </is>
      </c>
      <c r="B37" s="12" t="inlineStr">
        <is>
          <t>SCR-DM-09</t>
        </is>
      </c>
      <c r="C37" s="12" t="inlineStr">
        <is>
          <t>Reconciliation</t>
        </is>
      </c>
      <c r="D37" s="12" t="inlineStr">
        <is>
          <t>Counts: received equals the control count and loaded + skipped + rejected + excluded equals staged.</t>
        </is>
      </c>
      <c r="E37" s="12" t="inlineStr">
        <is>
          <t>FR-DM-020</t>
        </is>
      </c>
      <c r="F37" s="12" t="n"/>
      <c r="G37" s="12" t="n"/>
      <c r="H37" s="12" t="n"/>
      <c r="I37" s="25" t="n"/>
    </row>
    <row r="38">
      <c r="A38" s="12" t="inlineStr">
        <is>
          <t>BR-DM-034</t>
        </is>
      </c>
      <c r="B38" s="12" t="inlineStr">
        <is>
          <t>SCR-DM-09</t>
        </is>
      </c>
      <c r="C38" s="12" t="inlineStr">
        <is>
          <t>Reconciliation</t>
        </is>
      </c>
      <c r="D38" s="12" t="inlineStr">
        <is>
          <t>Amounts: the control total, the staged sum and the value in BIBS agree per amount column and currency.</t>
        </is>
      </c>
      <c r="E38" s="12" t="inlineStr">
        <is>
          <t>FR-DM-020</t>
        </is>
      </c>
      <c r="F38" s="12" t="n"/>
      <c r="G38" s="12" t="n"/>
      <c r="H38" s="12" t="n"/>
      <c r="I38" s="25" t="n"/>
    </row>
    <row r="39">
      <c r="A39" s="12" t="inlineStr">
        <is>
          <t>BR-DM-035</t>
        </is>
      </c>
      <c r="B39" s="12" t="inlineStr">
        <is>
          <t>SCR-DM-09</t>
        </is>
      </c>
      <c r="C39" s="12" t="inlineStr">
        <is>
          <t>Reconciliation</t>
        </is>
      </c>
      <c r="D39" s="12" t="inlineStr">
        <is>
          <t>GL: Migration Clearing is 0.00 per branch and currency and each legacy control account equals its legacy sub-ledger.</t>
        </is>
      </c>
      <c r="E39" s="12" t="inlineStr">
        <is>
          <t>FR-DM-021</t>
        </is>
      </c>
      <c r="F39" s="12" t="n"/>
      <c r="G39" s="12" t="n"/>
      <c r="H39" s="12" t="n"/>
      <c r="I39" s="25" t="n"/>
    </row>
    <row r="40">
      <c r="A40" s="12" t="inlineStr">
        <is>
          <t>BR-DM-036</t>
        </is>
      </c>
      <c r="B40" s="12" t="inlineStr">
        <is>
          <t>SCR-DM-09</t>
        </is>
      </c>
      <c r="C40" s="12" t="inlineStr">
        <is>
          <t>Reconciliation</t>
        </is>
      </c>
      <c r="D40" s="12" t="inlineStr">
        <is>
          <t>The explanation of a break is approved by a user other than the one who explained it.</t>
        </is>
      </c>
      <c r="E40" s="12" t="inlineStr">
        <is>
          <t>FR-DM-020</t>
        </is>
      </c>
      <c r="F40" s="12" t="n"/>
      <c r="G40" s="12" t="n"/>
      <c r="H40" s="12" t="n"/>
      <c r="I40" s="25" t="n"/>
    </row>
    <row r="41">
      <c r="A41" s="12" t="inlineStr">
        <is>
          <t>BR-DM-037</t>
        </is>
      </c>
      <c r="B41" s="12" t="inlineStr">
        <is>
          <t>SCR-DM-10</t>
        </is>
      </c>
      <c r="C41" s="12" t="inlineStr">
        <is>
          <t>Sign-off</t>
        </is>
      </c>
      <c r="D41" s="12" t="inlineStr">
        <is>
          <t>Gates are signed in order; a gate refused returns the object to the step of that gate.</t>
        </is>
      </c>
      <c r="E41" s="12" t="inlineStr">
        <is>
          <t>FR-DM-003</t>
        </is>
      </c>
      <c r="F41" s="12" t="n"/>
      <c r="G41" s="12" t="n"/>
      <c r="H41" s="12" t="n"/>
      <c r="I41" s="25" t="n"/>
    </row>
    <row r="42">
      <c r="A42" s="12" t="inlineStr">
        <is>
          <t>BR-DM-038</t>
        </is>
      </c>
      <c r="B42" s="12" t="inlineStr">
        <is>
          <t>SCR-DM-10</t>
        </is>
      </c>
      <c r="C42" s="12" t="inlineStr">
        <is>
          <t>Sign-off</t>
        </is>
      </c>
      <c r="D42" s="12" t="inlineStr">
        <is>
          <t>The mapping is signed only when the layouts are frozen and every map used has an approved version.</t>
        </is>
      </c>
      <c r="E42" s="12" t="inlineStr">
        <is>
          <t>FR-DM-003</t>
        </is>
      </c>
      <c r="F42" s="12" t="n"/>
      <c r="G42" s="12" t="n"/>
      <c r="H42" s="12" t="n"/>
      <c r="I42" s="25" t="n"/>
    </row>
    <row r="43">
      <c r="A43" s="12" t="inlineStr">
        <is>
          <t>BR-DM-039</t>
        </is>
      </c>
      <c r="B43" s="12" t="inlineStr">
        <is>
          <t>SCR-DM-11</t>
        </is>
      </c>
      <c r="C43" s="12" t="inlineStr">
        <is>
          <t>Opening-Balance Adjustments</t>
        </is>
      </c>
      <c r="D43" s="12" t="inlineStr">
        <is>
          <t>Only journals dated in FY2027, posted in legacy after the freeze and entered in the FY2027 adjustment register are accepted.</t>
        </is>
      </c>
      <c r="E43" s="12" t="inlineStr">
        <is>
          <t>FR-DM-023</t>
        </is>
      </c>
      <c r="F43" s="12" t="n"/>
      <c r="G43" s="12" t="n"/>
      <c r="H43" s="12" t="n"/>
      <c r="I43" s="25" t="n"/>
    </row>
    <row r="44">
      <c r="A44" s="12" t="inlineStr">
        <is>
          <t>BR-DM-040</t>
        </is>
      </c>
      <c r="B44" s="12" t="inlineStr">
        <is>
          <t>SCR-DM-11</t>
        </is>
      </c>
      <c r="C44" s="12" t="inlineStr">
        <is>
          <t>Opening-Balance Adjustments</t>
        </is>
      </c>
      <c r="D44" s="12" t="inlineStr">
        <is>
          <t>FY2027 profit and loss lines post to retained earnings; lines on legacy control accounts post to Migration Clearing with their open-item detail.</t>
        </is>
      </c>
      <c r="E44" s="12" t="inlineStr">
        <is>
          <t>FR-DM-023</t>
        </is>
      </c>
      <c r="F44" s="12" t="n"/>
      <c r="G44" s="12" t="n"/>
      <c r="H44" s="12" t="n"/>
      <c r="I44" s="25" t="n"/>
    </row>
    <row r="45">
      <c r="A45" s="12" t="inlineStr">
        <is>
          <t>BR-DM-041</t>
        </is>
      </c>
      <c r="B45" s="12" t="inlineStr">
        <is>
          <t>SCR-DM-11</t>
        </is>
      </c>
      <c r="C45" s="12" t="inlineStr">
        <is>
          <t>Opening-Balance Adjustments</t>
        </is>
      </c>
      <c r="D45" s="12" t="inlineStr">
        <is>
          <t>The preparer never approves; a wrong adjustment is corrected by the next adjustment, never by changing a posted journal.</t>
        </is>
      </c>
      <c r="E45" s="12" t="inlineStr">
        <is>
          <t>FR-DM-023</t>
        </is>
      </c>
      <c r="F45" s="12" t="n"/>
      <c r="G45" s="12" t="n"/>
      <c r="H45" s="12" t="n"/>
      <c r="I45" s="25" t="n"/>
    </row>
    <row r="46">
      <c r="A46" s="12" t="inlineStr">
        <is>
          <t>BR-DM-042</t>
        </is>
      </c>
      <c r="B46" s="12" t="inlineStr">
        <is>
          <t>SCR-DM-11</t>
        </is>
      </c>
      <c r="C46" s="12" t="inlineStr">
        <is>
          <t>Opening-Balance Adjustments</t>
        </is>
      </c>
      <c r="D46" s="12" t="inlineStr">
        <is>
          <t>An adjustment is signed only when the cut-off, movement, balance, clearing and opening-period checks are met.</t>
        </is>
      </c>
      <c r="E46" s="12" t="inlineStr">
        <is>
          <t>FR-DM-024</t>
        </is>
      </c>
      <c r="F46" s="12" t="n"/>
      <c r="G46" s="12" t="n"/>
      <c r="H46" s="12" t="n"/>
      <c r="I46" s="25" t="n"/>
    </row>
    <row r="47">
      <c r="A47" s="12" t="inlineStr">
        <is>
          <t>BR-DM-043</t>
        </is>
      </c>
      <c r="B47" s="12" t="inlineStr">
        <is>
          <t>SCR-DM-12</t>
        </is>
      </c>
      <c r="C47" s="12" t="inlineStr">
        <is>
          <t>Cutover</t>
        </is>
      </c>
      <c r="D47" s="12" t="inlineStr">
        <is>
          <t>A task starts only when the tasks it depends on are done.</t>
        </is>
      </c>
      <c r="E47" s="12" t="inlineStr">
        <is>
          <t>FR-DM-120</t>
        </is>
      </c>
      <c r="F47" s="12" t="n"/>
      <c r="G47" s="12" t="n"/>
      <c r="H47" s="12" t="n"/>
      <c r="I47" s="25" t="n"/>
    </row>
    <row r="48">
      <c r="A48" s="12" t="inlineStr">
        <is>
          <t>BR-DM-044</t>
        </is>
      </c>
      <c r="B48" s="12" t="inlineStr">
        <is>
          <t>SCR-DM-12</t>
        </is>
      </c>
      <c r="C48" s="12" t="inlineStr">
        <is>
          <t>Cutover</t>
        </is>
      </c>
      <c r="D48" s="12" t="inlineStr">
        <is>
          <t>Criteria measured by BIBS cannot be recorded by hand.</t>
        </is>
      </c>
      <c r="E48" s="12" t="inlineStr">
        <is>
          <t>FR-DM-121</t>
        </is>
      </c>
      <c r="F48" s="12" t="n"/>
      <c r="G48" s="12" t="n"/>
      <c r="H48" s="12" t="n"/>
      <c r="I48" s="25" t="n"/>
    </row>
    <row r="49">
      <c r="A49" s="12" t="inlineStr">
        <is>
          <t>BR-DM-045</t>
        </is>
      </c>
      <c r="B49" s="12" t="inlineStr">
        <is>
          <t>SCR-DM-12</t>
        </is>
      </c>
      <c r="C49" s="12" t="inlineStr">
        <is>
          <t>Cutover</t>
        </is>
      </c>
      <c r="D49" s="12" t="inlineStr">
        <is>
          <t>A GO with criteria not met needs the board's justification; the financial and clearing criteria of the go-live decision are never waived.</t>
        </is>
      </c>
      <c r="E49" s="12" t="inlineStr">
        <is>
          <t>FR-DM-121</t>
        </is>
      </c>
      <c r="F49" s="12" t="n"/>
      <c r="G49" s="12" t="n"/>
      <c r="H49" s="12" t="n"/>
      <c r="I49" s="25" t="n"/>
    </row>
    <row r="50">
      <c r="A50" s="12" t="inlineStr">
        <is>
          <t>BR-DM-046</t>
        </is>
      </c>
      <c r="B50" s="12" t="inlineStr">
        <is>
          <t>SCR-DM-12</t>
        </is>
      </c>
      <c r="C50" s="12" t="inlineStr">
        <is>
          <t>Cutover</t>
        </is>
      </c>
      <c r="D50" s="12" t="inlineStr">
        <is>
          <t>Until the go / no-go decision the rollback restores the snapshot taken before the production load.</t>
        </is>
      </c>
      <c r="E50" s="12" t="inlineStr">
        <is>
          <t>FR-DM-121</t>
        </is>
      </c>
      <c r="F50" s="12" t="n"/>
      <c r="G50" s="12" t="n"/>
      <c r="H50" s="12" t="n"/>
      <c r="I50" s="25" t="n"/>
    </row>
    <row r="51">
      <c r="A51" s="12" t="inlineStr">
        <is>
          <t>BR-DM-047</t>
        </is>
      </c>
      <c r="B51" s="12" t="inlineStr">
        <is>
          <t>SCR-DM-13</t>
        </is>
      </c>
      <c r="C51" s="12" t="inlineStr">
        <is>
          <t>Run-off and Decommissioning</t>
        </is>
      </c>
      <c r="D51" s="12" t="inlineStr">
        <is>
          <t>A legacy system is decommissioned only when every criterion of its checklist is signed.</t>
        </is>
      </c>
      <c r="E51" s="12" t="inlineStr">
        <is>
          <t>FR-DM-123</t>
        </is>
      </c>
      <c r="F51" s="12" t="n"/>
      <c r="G51" s="12" t="n"/>
      <c r="H51" s="12" t="n"/>
      <c r="I51" s="25" t="n"/>
    </row>
    <row r="52">
      <c r="A52" s="12" t="inlineStr">
        <is>
          <t>BR-DM-048</t>
        </is>
      </c>
      <c r="B52" s="12" t="inlineStr">
        <is>
          <t>SCR-DM-13</t>
        </is>
      </c>
      <c r="C52" s="12" t="inlineStr">
        <is>
          <t>Run-off and Decommissioning</t>
        </is>
      </c>
      <c r="D52" s="12" t="inlineStr">
        <is>
          <t>The legacy context closes when no legacy invoice or unapplied payment is open and the legacy accounts and Migration Clearing are at 0.00.</t>
        </is>
      </c>
      <c r="E52" s="12" t="inlineStr">
        <is>
          <t>FR-DM-123</t>
        </is>
      </c>
      <c r="F52" s="12" t="n"/>
      <c r="G52" s="12" t="n"/>
      <c r="H52" s="12" t="n"/>
      <c r="I52" s="25" t="n"/>
    </row>
    <row r="53">
      <c r="A53" s="12" t="inlineStr">
        <is>
          <t>BR-DM-049</t>
        </is>
      </c>
      <c r="B53" s="12" t="inlineStr">
        <is>
          <t>SCR-DM-14</t>
        </is>
      </c>
      <c r="C53" s="12" t="inlineStr">
        <is>
          <t>Legacy Inquiry</t>
        </is>
      </c>
      <c r="D53" s="12" t="inlineStr">
        <is>
          <t>The legacy archive is read-only; no record or document is changed.</t>
        </is>
      </c>
      <c r="E53" s="12" t="inlineStr">
        <is>
          <t>FR-DM-110</t>
        </is>
      </c>
      <c r="F53" s="12" t="n"/>
      <c r="G53" s="12" t="n"/>
      <c r="H53" s="12" t="n"/>
      <c r="I53" s="25" t="n"/>
    </row>
    <row r="54">
      <c r="A54" s="12" t="inlineStr">
        <is>
          <t>BR-DM-050</t>
        </is>
      </c>
      <c r="B54" s="12" t="inlineStr">
        <is>
          <t>SCR-DM-14</t>
        </is>
      </c>
      <c r="C54" s="12" t="inlineStr">
        <is>
          <t>Legacy Inquiry</t>
        </is>
      </c>
      <c r="D54" s="12" t="inlineStr">
        <is>
          <t>A reason is required before the archive is searched and is written with every search, view, download and export.</t>
        </is>
      </c>
      <c r="E54" s="12" t="inlineStr">
        <is>
          <t>FR-DM-110</t>
        </is>
      </c>
      <c r="F54" s="12" t="n"/>
      <c r="G54" s="12" t="n"/>
      <c r="H54" s="12" t="n"/>
      <c r="I54" s="25" t="n"/>
    </row>
    <row r="55">
      <c r="A55" s="12" t="inlineStr">
        <is>
          <t>BR-DM-051</t>
        </is>
      </c>
      <c r="B55" s="12" t="inlineStr">
        <is>
          <t>SCR-DM-14</t>
        </is>
      </c>
      <c r="C55" s="12" t="inlineStr">
        <is>
          <t>Legacy Inquiry</t>
        </is>
      </c>
      <c r="D55" s="12" t="inlineStr">
        <is>
          <t>An export is limited to 1,000 records; a narrower search is asked for above it.</t>
        </is>
      </c>
      <c r="E55" s="12" t="inlineStr">
        <is>
          <t>FR-DM-110</t>
        </is>
      </c>
      <c r="F55" s="12" t="n"/>
      <c r="G55" s="12" t="n"/>
      <c r="H55" s="12" t="n"/>
      <c r="I55" s="25" t="n"/>
    </row>
    <row r="56">
      <c r="A56" s="12" t="inlineStr">
        <is>
          <t>BR-DM-052</t>
        </is>
      </c>
      <c r="B56" s="12" t="inlineStr">
        <is>
          <t>SCR-DM-14</t>
        </is>
      </c>
      <c r="C56" s="12" t="inlineStr">
        <is>
          <t>Legacy Inquiry</t>
        </is>
      </c>
      <c r="D56" s="12" t="inlineStr">
        <is>
          <t>The addresses of the read-only legacy applications are shown to the users who still need them until each system is decommissioned.</t>
        </is>
      </c>
      <c r="E56" s="12" t="inlineStr">
        <is>
          <t>FR-DM-110</t>
        </is>
      </c>
      <c r="F56" s="12" t="n"/>
      <c r="G56" s="12" t="n"/>
      <c r="H56" s="12" t="n"/>
      <c r="I56" s="25" t="n"/>
    </row>
    <row r="57">
      <c r="A57" s="12" t="inlineStr">
        <is>
          <t>BR-DM-053</t>
        </is>
      </c>
      <c r="B57" s="12" t="inlineStr">
        <is>
          <t>SCR-DM-15</t>
        </is>
      </c>
      <c r="C57" s="12" t="inlineStr">
        <is>
          <t>Access Log</t>
        </is>
      </c>
      <c r="D57" s="12" t="inlineStr">
        <is>
          <t>No entry of the access log can be changed or deleted.</t>
        </is>
      </c>
      <c r="E57" s="12" t="inlineStr">
        <is>
          <t>FR-DM-111</t>
        </is>
      </c>
      <c r="F57" s="12" t="n"/>
      <c r="G57" s="12" t="n"/>
      <c r="H57" s="12" t="n"/>
      <c r="I57" s="25" t="n"/>
    </row>
    <row r="58">
      <c r="A58" s="12" t="inlineStr">
        <is>
          <t>BR-DM-054</t>
        </is>
      </c>
      <c r="B58" s="12" t="inlineStr">
        <is>
          <t>SCR-DM-15</t>
        </is>
      </c>
      <c r="C58" s="12" t="inlineStr">
        <is>
          <t>Access Log</t>
        </is>
      </c>
      <c r="D58" s="12" t="inlineStr">
        <is>
          <t>The reviewers receive a monthly digest of the log.</t>
        </is>
      </c>
      <c r="E58" s="12" t="inlineStr">
        <is>
          <t>FR-DM-111</t>
        </is>
      </c>
      <c r="F58" s="12" t="n"/>
      <c r="G58" s="12" t="n"/>
      <c r="H58" s="12" t="n"/>
      <c r="I58" s="25" t="n"/>
    </row>
    <row r="59">
      <c r="A59" s="12" t="inlineStr">
        <is>
          <t>BR-DM-055</t>
        </is>
      </c>
      <c r="B59" s="12" t="inlineStr">
        <is>
          <t>SCR-DM-16</t>
        </is>
      </c>
      <c r="C59" s="12" t="inlineStr">
        <is>
          <t>LEGACY badge and Origin filter on the lists</t>
        </is>
      </c>
      <c r="D59" s="12" t="inlineStr">
        <is>
          <t>Every migrated record keeps the origin Migrated, its source system, legacy reference and migration batch.</t>
        </is>
      </c>
      <c r="E59" s="12" t="inlineStr">
        <is>
          <t>FR-DM-032</t>
        </is>
      </c>
      <c r="F59" s="12" t="n"/>
      <c r="G59" s="12" t="n"/>
      <c r="H59" s="12" t="n"/>
      <c r="I59" s="25" t="n"/>
    </row>
    <row r="60">
      <c r="A60" s="12" t="inlineStr">
        <is>
          <t>BR-DM-056</t>
        </is>
      </c>
      <c r="B60" s="12" t="inlineStr">
        <is>
          <t>SCR-DM-16</t>
        </is>
      </c>
      <c r="C60" s="12" t="inlineStr">
        <is>
          <t>LEGACY badge and Origin filter on the lists</t>
        </is>
      </c>
      <c r="D60" s="12" t="inlineStr">
        <is>
          <t>Migrated records raise no notification to clients or insurers and no outbound integration message.</t>
        </is>
      </c>
      <c r="E60" s="12" t="inlineStr">
        <is>
          <t>FR-DM-014</t>
        </is>
      </c>
      <c r="F60" s="12" t="n"/>
      <c r="G60" s="12" t="n"/>
      <c r="H60" s="12" t="n"/>
      <c r="I60" s="25" t="n"/>
    </row>
    <row r="61">
      <c r="A61" s="12" t="inlineStr">
        <is>
          <t>BR-DM-057</t>
        </is>
      </c>
      <c r="B61" s="12" t="inlineStr">
        <is>
          <t>SCR-DM-16</t>
        </is>
      </c>
      <c r="C61" s="12" t="inlineStr">
        <is>
          <t>LEGACY badge and Origin filter on the lists</t>
        </is>
      </c>
      <c r="D61" s="12" t="inlineStr">
        <is>
          <t>A migrated client is found by any of its legacy client numbers.</t>
        </is>
      </c>
      <c r="E61" s="12" t="inlineStr">
        <is>
          <t>FR-DM-033</t>
        </is>
      </c>
      <c r="F61" s="12" t="n"/>
      <c r="G61" s="12" t="n"/>
      <c r="H61" s="12" t="n"/>
      <c r="I61" s="25" t="n"/>
    </row>
    <row r="62">
      <c r="A62" s="12" t="inlineStr">
        <is>
          <t>BR-DM-058</t>
        </is>
      </c>
      <c r="B62" s="12" t="inlineStr">
        <is>
          <t>SCR-DM-17</t>
        </is>
      </c>
      <c r="C62" s="12" t="inlineStr">
        <is>
          <t>Legacy invoice on Invoice 360</t>
        </is>
      </c>
      <c r="D62" s="12" t="inlineStr">
        <is>
          <t>A legacy invoice is not re-booked; it keeps its legacy number and its postings go to the legacy control accounts.</t>
        </is>
      </c>
      <c r="E62" s="12" t="inlineStr">
        <is>
          <t>FR-DM-050</t>
        </is>
      </c>
      <c r="F62" s="12" t="n"/>
      <c r="G62" s="12" t="n"/>
      <c r="H62" s="12" t="n"/>
      <c r="I62" s="25" t="n"/>
    </row>
    <row r="63">
      <c r="A63" s="12" t="inlineStr">
        <is>
          <t>BR-DM-059</t>
        </is>
      </c>
      <c r="B63" s="12" t="inlineStr">
        <is>
          <t>SCR-DM-17</t>
        </is>
      </c>
      <c r="C63" s="12" t="inlineStr">
        <is>
          <t>Legacy invoice on Invoice 360</t>
        </is>
      </c>
      <c r="D63" s="12" t="inlineStr">
        <is>
          <t>The values at cut-over are never changed; the report Changes to Legacy Invoices compares every later change with them.</t>
        </is>
      </c>
      <c r="E63" s="12" t="inlineStr">
        <is>
          <t>FR-DM-100</t>
        </is>
      </c>
      <c r="F63" s="12" t="n"/>
      <c r="G63" s="12" t="n"/>
      <c r="H63" s="12" t="n"/>
      <c r="I63" s="25" t="n"/>
    </row>
    <row r="64">
      <c r="A64" s="12" t="inlineStr">
        <is>
          <t>BR-DM-060</t>
        </is>
      </c>
      <c r="B64" s="12" t="inlineStr">
        <is>
          <t>SCR-DM-17</t>
        </is>
      </c>
      <c r="C64" s="12" t="inlineStr">
        <is>
          <t>Legacy invoice on Invoice 360</t>
        </is>
      </c>
      <c r="D64" s="12" t="inlineStr">
        <is>
          <t>When legacy could give only the open balances, the card says so and the original amounts are blank.</t>
        </is>
      </c>
      <c r="E64" s="12" t="inlineStr">
        <is>
          <t>FR-DM-050</t>
        </is>
      </c>
      <c r="F64" s="12" t="n"/>
      <c r="G64" s="12" t="n"/>
      <c r="H64" s="12" t="n"/>
      <c r="I64" s="25" t="n"/>
    </row>
    <row r="65">
      <c r="A65" s="12" t="inlineStr">
        <is>
          <t>BR-DM-061</t>
        </is>
      </c>
      <c r="B65" s="12" t="inlineStr">
        <is>
          <t>SCR-DM-18</t>
        </is>
      </c>
      <c r="C65" s="12" t="inlineStr">
        <is>
          <t>Unapplied to Income</t>
        </is>
      </c>
      <c r="D65" s="12" t="inlineStr">
        <is>
          <t>Two approvals by two different people, the Cashiering team lead and then top management; the requester approves neither.</t>
        </is>
      </c>
      <c r="E65" s="12" t="inlineStr">
        <is>
          <t>FR-DM-055</t>
        </is>
      </c>
      <c r="F65" s="12" t="n"/>
      <c r="G65" s="12" t="n"/>
      <c r="H65" s="12" t="n"/>
      <c r="I65" s="25" t="n"/>
    </row>
    <row r="66">
      <c r="A66" s="12" t="inlineStr">
        <is>
          <t>BR-DM-062</t>
        </is>
      </c>
      <c r="B66" s="12" t="inlineStr">
        <is>
          <t>SCR-DM-18</t>
        </is>
      </c>
      <c r="C66" s="12" t="inlineStr">
        <is>
          <t>Unapplied to Income</t>
        </is>
      </c>
      <c r="D66" s="12" t="inlineStr">
        <is>
          <t>A line whose payment changed since it was added is refused at posting; the other lines still post.</t>
        </is>
      </c>
      <c r="E66" s="12" t="inlineStr">
        <is>
          <t>FR-DM-055</t>
        </is>
      </c>
      <c r="F66" s="12" t="n"/>
      <c r="G66" s="12" t="n"/>
      <c r="H66" s="12" t="n"/>
      <c r="I66" s="25" t="n"/>
    </row>
    <row r="67">
      <c r="A67" s="12" t="inlineStr">
        <is>
          <t>BR-DM-063</t>
        </is>
      </c>
      <c r="B67" s="12" t="inlineStr">
        <is>
          <t>SCR-DM-18</t>
        </is>
      </c>
      <c r="C67" s="12" t="inlineStr">
        <is>
          <t>Unapplied to Income</t>
        </is>
      </c>
      <c r="D67" s="12" t="inlineStr">
        <is>
          <t>Legacy payments post from Unapplied Collections - Legacy, new ones from Unapplied Collections, to other income - unclaimed collections.</t>
        </is>
      </c>
      <c r="E67" s="12" t="inlineStr">
        <is>
          <t>FR-DM-055</t>
        </is>
      </c>
      <c r="F67" s="12" t="n"/>
      <c r="G67" s="12" t="n"/>
      <c r="H67" s="12" t="n"/>
      <c r="I67" s="25" t="n"/>
    </row>
    <row r="68">
      <c r="A68" s="12" t="inlineStr">
        <is>
          <t>BR-DM-064</t>
        </is>
      </c>
      <c r="B68" s="12" t="inlineStr">
        <is>
          <t>SCR-DM-19</t>
        </is>
      </c>
      <c r="C68" s="12" t="inlineStr">
        <is>
          <t>Legacy PR 2307 Reversal</t>
        </is>
      </c>
      <c r="D68" s="12" t="inlineStr">
        <is>
          <t>The amount of a line is within the open PR 2307 (after the move from the premium receivable) and the due to insurer of the invoice.</t>
        </is>
      </c>
      <c r="E68" s="12" t="inlineStr">
        <is>
          <t>FR-DM-071</t>
        </is>
      </c>
      <c r="F68" s="12" t="n"/>
      <c r="G68" s="12" t="n"/>
      <c r="H68" s="12" t="n"/>
      <c r="I68" s="25" t="n"/>
    </row>
    <row r="69">
      <c r="A69" s="12" t="inlineStr">
        <is>
          <t>BR-DM-065</t>
        </is>
      </c>
      <c r="B69" s="12" t="inlineStr">
        <is>
          <t>SCR-DM-19</t>
        </is>
      </c>
      <c r="C69" s="12" t="inlineStr">
        <is>
          <t>Legacy PR 2307 Reversal</t>
        </is>
      </c>
      <c r="D69" s="12" t="inlineStr">
        <is>
          <t>The Cashiering team lead approves; the requester never approves.</t>
        </is>
      </c>
      <c r="E69" s="12" t="inlineStr">
        <is>
          <t>FR-DM-071</t>
        </is>
      </c>
      <c r="F69" s="12" t="n"/>
      <c r="G69" s="12" t="n"/>
      <c r="H69" s="12" t="n"/>
      <c r="I69" s="25" t="n"/>
    </row>
    <row r="70">
      <c r="A70" s="12" t="inlineStr">
        <is>
          <t>BR-DM-066</t>
        </is>
      </c>
      <c r="B70" s="12" t="inlineStr">
        <is>
          <t>SCR-DM-20</t>
        </is>
      </c>
      <c r="C70" s="12" t="inlineStr">
        <is>
          <t>DP PR Legacy Reversal</t>
        </is>
      </c>
      <c r="D70" s="12" t="inlineStr">
        <is>
          <t>The line amount is the whole open premium receivable of the invoice.</t>
        </is>
      </c>
      <c r="E70" s="12" t="inlineStr">
        <is>
          <t>FR-DM-070</t>
        </is>
      </c>
      <c r="F70" s="12" t="n"/>
      <c r="G70" s="12" t="n"/>
      <c r="H70" s="12" t="n"/>
      <c r="I70" s="25" t="n"/>
    </row>
    <row r="71">
      <c r="A71" s="12" t="inlineStr">
        <is>
          <t>BR-DM-067</t>
        </is>
      </c>
      <c r="B71" s="12" t="inlineStr">
        <is>
          <t>SCR-DM-20</t>
        </is>
      </c>
      <c r="C71" s="12" t="inlineStr">
        <is>
          <t>DP PR Legacy Reversal</t>
        </is>
      </c>
      <c r="D71" s="12" t="inlineStr">
        <is>
          <t>An invoice whose balance changed since it was added is refused at posting; the other lines still post.</t>
        </is>
      </c>
      <c r="E71" s="12" t="inlineStr">
        <is>
          <t>FR-DM-070</t>
        </is>
      </c>
      <c r="F71" s="12" t="n"/>
      <c r="G71" s="12" t="n"/>
      <c r="H71" s="12" t="n"/>
      <c r="I71" s="25" t="n"/>
    </row>
    <row r="72">
      <c r="A72" s="12" t="inlineStr">
        <is>
          <t>BR-DM-068</t>
        </is>
      </c>
      <c r="B72" s="12" t="inlineStr">
        <is>
          <t>SCR-DM-20</t>
        </is>
      </c>
      <c r="C72" s="12" t="inlineStr">
        <is>
          <t>DP PR Legacy Reversal</t>
        </is>
      </c>
      <c r="D72" s="12" t="inlineStr">
        <is>
          <t>The Commission team lead approves; the requester never approves.</t>
        </is>
      </c>
      <c r="E72" s="12" t="inlineStr">
        <is>
          <t>FR-DM-070</t>
        </is>
      </c>
      <c r="F72" s="12" t="n"/>
      <c r="G72" s="12" t="n"/>
      <c r="H72" s="12" t="n"/>
      <c r="I72" s="25" t="n"/>
    </row>
  </sheetData>
  <autoFilter ref="A4:I72"/>
  <mergeCells count="1">
    <mergeCell ref="A2:I2"/>
  </mergeCells>
  <conditionalFormatting sqref="A5:I572">
    <cfRule type="expression" priority="1" dxfId="0">
      <formula>AND(MOD(ROW(),2)=0,$A5&lt;&gt;"")</formula>
    </cfRule>
  </conditionalFormatting>
  <dataValidations count="2">
    <dataValidation sqref="F5:F572" showDropDown="0" showInputMessage="0" showErrorMessage="1" allowBlank="1" errorTitle="BU review" error="Choose a value from the list (BU review)." type="list">
      <formula1>'_lists'!$AC$1:$AC$3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4.xml><?xml version="1.0" encoding="utf-8"?>
<worksheet xmlns="http://schemas.openxmlformats.org/spreadsheetml/2006/main">
  <sheetPr>
    <outlinePr summaryBelow="1" summaryRight="1"/>
    <pageSetUpPr fitToPage="1"/>
  </sheetPr>
  <dimension ref="A1:K2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MSG-DM-001</t>
        </is>
      </c>
      <c r="B5" s="12" t="inlineStr">
        <is>
          <t>Migration Home (SCR-DM-01)</t>
        </is>
      </c>
      <c r="C5" s="12" t="inlineStr">
        <is>
          <t>Screen</t>
        </is>
      </c>
      <c r="D5" s="12" t="inlineStr">
        <is>
          <t>-</t>
        </is>
      </c>
      <c r="E5" s="12" t="inlineStr">
        <is>
          <t>No open cut-over task</t>
        </is>
      </c>
      <c r="F5" s="12" t="inlineStr">
        <is>
          <t>Information</t>
        </is>
      </c>
      <c r="G5" s="12" t="inlineStr">
        <is>
          <t>No action.</t>
        </is>
      </c>
      <c r="H5" s="12" t="n"/>
      <c r="I5" s="12" t="n"/>
      <c r="J5" s="12" t="n"/>
      <c r="K5" s="25" t="n"/>
    </row>
    <row r="6">
      <c r="A6" s="12" t="inlineStr">
        <is>
          <t>MSG-DM-002</t>
        </is>
      </c>
      <c r="B6" s="12" t="inlineStr">
        <is>
          <t>Migration Home (SCR-DM-01)</t>
        </is>
      </c>
      <c r="C6" s="12" t="inlineStr">
        <is>
          <t>Screen</t>
        </is>
      </c>
      <c r="D6" s="12" t="inlineStr">
        <is>
          <t>-</t>
        </is>
      </c>
      <c r="E6" s="12" t="inlineStr">
        <is>
          <t>No run-off snapshot yet</t>
        </is>
      </c>
      <c r="F6" s="12" t="inlineStr">
        <is>
          <t>Information</t>
        </is>
      </c>
      <c r="G6" s="12" t="inlineStr">
        <is>
          <t>No action.</t>
        </is>
      </c>
      <c r="H6" s="12" t="n"/>
      <c r="I6" s="12" t="n"/>
      <c r="J6" s="12" t="n"/>
      <c r="K6" s="25" t="n"/>
    </row>
    <row r="7">
      <c r="A7" s="12" t="inlineStr">
        <is>
          <t>MSG-DM-003</t>
        </is>
      </c>
      <c r="B7" s="12" t="inlineStr">
        <is>
          <t>Data Objects and the decision of an object (SCR-DM-02)</t>
        </is>
      </c>
      <c r="C7" s="12" t="inlineStr">
        <is>
          <t>Screen</t>
        </is>
      </c>
      <c r="D7" s="12" t="inlineStr">
        <is>
          <t>-</t>
        </is>
      </c>
      <c r="E7" s="12" t="inlineStr">
        <is>
          <t>No data object in the register</t>
        </is>
      </c>
      <c r="F7" s="12" t="inlineStr">
        <is>
          <t>Information</t>
        </is>
      </c>
      <c r="G7" s="12" t="inlineStr">
        <is>
          <t>No action.</t>
        </is>
      </c>
      <c r="H7" s="12" t="n"/>
      <c r="I7" s="12" t="n"/>
      <c r="J7" s="12" t="n"/>
      <c r="K7" s="25" t="n"/>
    </row>
    <row r="8">
      <c r="A8" s="12" t="inlineStr">
        <is>
          <t>MSG-DM-004</t>
        </is>
      </c>
      <c r="B8" s="12" t="inlineStr">
        <is>
          <t>Data Objects and the decision of an object (SCR-DM-02)</t>
        </is>
      </c>
      <c r="C8" s="12" t="inlineStr">
        <is>
          <t>Screen</t>
        </is>
      </c>
      <c r="D8" s="12" t="inlineStr">
        <is>
          <t>-</t>
        </is>
      </c>
      <c r="E8" s="12" t="inlineStr">
        <is>
          <t>No decision submitted yet</t>
        </is>
      </c>
      <c r="F8" s="12" t="inlineStr">
        <is>
          <t>Information</t>
        </is>
      </c>
      <c r="G8" s="12" t="inlineStr">
        <is>
          <t>No action.</t>
        </is>
      </c>
      <c r="H8" s="12" t="n"/>
      <c r="I8" s="12" t="n"/>
      <c r="J8" s="12" t="n"/>
      <c r="K8" s="25" t="n"/>
    </row>
    <row r="9">
      <c r="A9" s="12" t="inlineStr">
        <is>
          <t>MSG-DM-005</t>
        </is>
      </c>
      <c r="B9" s="12" t="inlineStr">
        <is>
          <t>Data Objects and the decision of an object (SCR-DM-02)</t>
        </is>
      </c>
      <c r="C9" s="12" t="inlineStr">
        <is>
          <t>Screen</t>
        </is>
      </c>
      <c r="D9" s="12" t="inlineStr">
        <is>
          <t>-</t>
        </is>
      </c>
      <c r="E9" s="12" t="inlineStr">
        <is>
          <t>The proposal goes back to the Data Migration Lead.</t>
        </is>
      </c>
      <c r="F9" s="12" t="inlineStr">
        <is>
          <t>Validation</t>
        </is>
      </c>
      <c r="G9" s="12" t="inlineStr">
        <is>
          <t>Confirm to go ahead, or cancel to leave the record as it is.</t>
        </is>
      </c>
      <c r="H9" s="12" t="n"/>
      <c r="I9" s="12" t="n"/>
      <c r="J9" s="12" t="n"/>
      <c r="K9" s="25" t="n"/>
    </row>
    <row r="10">
      <c r="A10" s="12" t="inlineStr">
        <is>
          <t>MSG-DM-006</t>
        </is>
      </c>
      <c r="B10" s="12" t="inlineStr">
        <is>
          <t>Data Objects and the decision of an object (SCR-DM-02)</t>
        </is>
      </c>
      <c r="C10" s="12" t="inlineStr">
        <is>
          <t>Screen</t>
        </is>
      </c>
      <c r="D10" s="12" t="inlineStr">
        <is>
          <t>-</t>
        </is>
      </c>
      <c r="E10" s="12" t="inlineStr">
        <is>
          <t>The proposed class &lt;proposed class&gt; goes to the business owner for approval.</t>
        </is>
      </c>
      <c r="F10" s="12" t="inlineStr">
        <is>
          <t>Validation</t>
        </is>
      </c>
      <c r="G10" s="12" t="inlineStr">
        <is>
          <t>Confirm to go ahead, or cancel to leave the record as it is.</t>
        </is>
      </c>
      <c r="H10" s="12" t="n"/>
      <c r="I10" s="12" t="n"/>
      <c r="J10" s="12" t="n"/>
      <c r="K10" s="25" t="n"/>
    </row>
    <row r="11">
      <c r="A11" s="12" t="inlineStr">
        <is>
          <t>MSG-DM-007</t>
        </is>
      </c>
      <c r="B11" s="12" t="inlineStr">
        <is>
          <t>Data Objects and the decision of an object (SCR-DM-02)</t>
        </is>
      </c>
      <c r="C11" s="12" t="inlineStr">
        <is>
          <t>Server</t>
        </is>
      </c>
      <c r="D11" s="12" t="inlineStr">
        <is>
          <t>DUPLICATE</t>
        </is>
      </c>
      <c r="E11" s="12" t="inlineStr">
        <is>
          <t>Data object already exists: &lt;key&gt;</t>
        </is>
      </c>
      <c r="F11" s="12" t="inlineStr">
        <is>
          <t>Error</t>
        </is>
      </c>
      <c r="G11" s="12" t="inlineStr">
        <is>
          <t>Use another code; the code is already used.</t>
        </is>
      </c>
      <c r="H11" s="12" t="n"/>
      <c r="I11" s="12" t="n"/>
      <c r="J11" s="12" t="n"/>
      <c r="K11" s="25" t="n"/>
    </row>
    <row r="12">
      <c r="A12" s="12" t="inlineStr">
        <is>
          <t>MSG-DM-008</t>
        </is>
      </c>
      <c r="B12" s="12" t="inlineStr">
        <is>
          <t>Data Objects and the decision of an object (SCR-DM-02)</t>
        </is>
      </c>
      <c r="C12" s="12" t="inlineStr">
        <is>
          <t>Server</t>
        </is>
      </c>
      <c r="D12" s="12" t="inlineStr">
        <is>
          <t>MAKER_CHECKER_VIOLATION</t>
        </is>
      </c>
      <c r="E12" s="12" t="inlineStr">
        <is>
          <t>A record cannot be authorized by the user who maintained it</t>
        </is>
      </c>
      <c r="F12" s="12" t="inlineStr">
        <is>
          <t>Error</t>
        </is>
      </c>
      <c r="G12" s="12" t="inlineStr">
        <is>
          <t>Ask another user with the approval right to approve; the maker, submitter or operator of the record cannot.</t>
        </is>
      </c>
      <c r="H12" s="12" t="n"/>
      <c r="I12" s="12" t="n"/>
      <c r="J12" s="12" t="n"/>
      <c r="K12" s="25" t="n"/>
    </row>
    <row r="13">
      <c r="A13" s="12" t="inlineStr">
        <is>
          <t>MSG-DM-009</t>
        </is>
      </c>
      <c r="B13" s="12" t="inlineStr">
        <is>
          <t>Data Objects and the decision of an object (SCR-DM-02)</t>
        </is>
      </c>
      <c r="C13" s="12" t="inlineStr">
        <is>
          <t>Server</t>
        </is>
      </c>
      <c r="D13" s="12" t="inlineStr">
        <is>
          <t>MIG_CLASS_CHANGE_LOADED</t>
        </is>
      </c>
      <c r="E13" s="12" t="inlineStr">
        <is>
          <t>Roll back the loaded batches before changing the class of this object</t>
        </is>
      </c>
      <c r="F13" s="12" t="inlineStr">
        <is>
          <t>Error</t>
        </is>
      </c>
      <c r="G13" s="12" t="inlineStr">
        <is>
          <t>Request the rollback of the loaded batches of the object first.</t>
        </is>
      </c>
      <c r="H13" s="12" t="n"/>
      <c r="I13" s="12" t="n"/>
      <c r="J13" s="12" t="n"/>
      <c r="K13" s="25" t="n"/>
    </row>
    <row r="14">
      <c r="A14" s="12" t="inlineStr">
        <is>
          <t>MSG-DM-010</t>
        </is>
      </c>
      <c r="B14" s="12" t="inlineStr">
        <is>
          <t>Data Objects and the decision of an object (SCR-DM-02)</t>
        </is>
      </c>
      <c r="C14" s="12" t="inlineStr">
        <is>
          <t>Server</t>
        </is>
      </c>
      <c r="D14" s="12" t="inlineStr">
        <is>
          <t>MIG_CONDITION_REQUIRED</t>
        </is>
      </c>
      <c r="E14" s="12" t="inlineStr">
        <is>
          <t>Enter the condition of a conditional object</t>
        </is>
      </c>
      <c r="F14" s="12" t="inlineStr">
        <is>
          <t>Error</t>
        </is>
      </c>
      <c r="G14" s="12" t="inlineStr">
        <is>
          <t>Enter the condition of a conditional object.</t>
        </is>
      </c>
      <c r="H14" s="12" t="n"/>
      <c r="I14" s="12" t="n"/>
      <c r="J14" s="12" t="n"/>
      <c r="K14" s="25" t="n"/>
    </row>
    <row r="15">
      <c r="A15" s="12" t="inlineStr">
        <is>
          <t>MSG-DM-011</t>
        </is>
      </c>
      <c r="B15" s="12" t="inlineStr">
        <is>
          <t>Data Objects and the decision of an object (SCR-DM-02)</t>
        </is>
      </c>
      <c r="C15" s="12" t="inlineStr">
        <is>
          <t>Server</t>
        </is>
      </c>
      <c r="D15" s="12" t="inlineStr">
        <is>
          <t>MIG_DECISION_NOT_PENDING</t>
        </is>
      </c>
      <c r="E15" s="12" t="inlineStr">
        <is>
          <t>Decision &lt;decision no&gt; is not waiting for approval</t>
        </is>
      </c>
      <c r="F15" s="12" t="inlineStr">
        <is>
          <t>Error</t>
        </is>
      </c>
      <c r="G15" s="12" t="inlineStr">
        <is>
          <t>Refresh the object; the decision was already approved or returned.</t>
        </is>
      </c>
      <c r="H15" s="12" t="n"/>
      <c r="I15" s="12" t="n"/>
      <c r="J15" s="12" t="n"/>
      <c r="K15" s="25" t="n"/>
    </row>
    <row r="16">
      <c r="A16" s="12" t="inlineStr">
        <is>
          <t>MSG-DM-012</t>
        </is>
      </c>
      <c r="B16" s="12" t="inlineStr">
        <is>
          <t>Data Objects and the decision of an object (SCR-DM-02)</t>
        </is>
      </c>
      <c r="C16" s="12" t="inlineStr">
        <is>
          <t>Server</t>
        </is>
      </c>
      <c r="D16" s="12" t="inlineStr">
        <is>
          <t>MIG_DECISION_PENDING</t>
        </is>
      </c>
      <c r="E16" s="12" t="inlineStr">
        <is>
          <t>A decision of object &lt;code&gt; is already waiting for approval</t>
        </is>
      </c>
      <c r="F16" s="12" t="inlineStr">
        <is>
          <t>Error</t>
        </is>
      </c>
      <c r="G16" s="12" t="inlineStr">
        <is>
          <t>Wait for the business owner to approve or return the decision already submitted.</t>
        </is>
      </c>
      <c r="H16" s="12" t="n"/>
      <c r="I16" s="12" t="n"/>
      <c r="J16" s="12" t="n"/>
      <c r="K16" s="25" t="n"/>
    </row>
    <row r="17">
      <c r="A17" s="12" t="inlineStr">
        <is>
          <t>MSG-DM-013</t>
        </is>
      </c>
      <c r="B17" s="12" t="inlineStr">
        <is>
          <t>Data Objects and the decision of an object (SCR-DM-02)</t>
        </is>
      </c>
      <c r="C17" s="12" t="inlineStr">
        <is>
          <t>Server</t>
        </is>
      </c>
      <c r="D17" s="12" t="inlineStr">
        <is>
          <t>MIG_DEPENDENCY_CYCLE</t>
        </is>
      </c>
      <c r="E17" s="12" t="inlineStr">
        <is>
          <t>Object &lt;code&gt; cannot depend on itself through &lt;deps&gt;</t>
        </is>
      </c>
      <c r="F17" s="12" t="inlineStr">
        <is>
          <t>Error</t>
        </is>
      </c>
      <c r="G17" s="12" t="inlineStr">
        <is>
          <t>Remove the dependency that makes the object depend on itself.</t>
        </is>
      </c>
      <c r="H17" s="12" t="n"/>
      <c r="I17" s="12" t="n"/>
      <c r="J17" s="12" t="n"/>
      <c r="K17" s="25" t="n"/>
    </row>
    <row r="18">
      <c r="A18" s="12" t="inlineStr">
        <is>
          <t>MSG-DM-014</t>
        </is>
      </c>
      <c r="B18" s="12" t="inlineStr">
        <is>
          <t>Data Objects and the decision of an object (SCR-DM-02)</t>
        </is>
      </c>
      <c r="C18" s="12" t="inlineStr">
        <is>
          <t>Server</t>
        </is>
      </c>
      <c r="D18" s="12" t="inlineStr">
        <is>
          <t>MIG_LOAD_ORDER</t>
        </is>
      </c>
      <c r="E18" s="12" t="inlineStr">
        <is>
          <t>The load order must follow the objects this object depends on</t>
        </is>
      </c>
      <c r="F18" s="12" t="inlineStr">
        <is>
          <t>Error</t>
        </is>
      </c>
      <c r="G18" s="12" t="inlineStr">
        <is>
          <t>Give a load order after the load order of every object it depends on.</t>
        </is>
      </c>
      <c r="H18" s="12" t="n"/>
      <c r="I18" s="12" t="n"/>
      <c r="J18" s="12" t="n"/>
      <c r="K18" s="25" t="n"/>
    </row>
    <row r="19">
      <c r="A19" s="12" t="inlineStr">
        <is>
          <t>MSG-DM-015</t>
        </is>
      </c>
      <c r="B19" s="12" t="inlineStr">
        <is>
          <t>Data Objects and the decision of an object (SCR-DM-02)</t>
        </is>
      </c>
      <c r="C19" s="12" t="inlineStr">
        <is>
          <t>Server</t>
        </is>
      </c>
      <c r="D19" s="12" t="inlineStr">
        <is>
          <t>MIG_NOT_OBJECT_OWNER</t>
        </is>
      </c>
      <c r="E19" s="12" t="inlineStr">
        <is>
          <t>Only the business owner of object &lt;code&gt; can decide its class</t>
        </is>
      </c>
      <c r="F19" s="12" t="inlineStr">
        <is>
          <t>Error</t>
        </is>
      </c>
      <c r="G19" s="12" t="inlineStr">
        <is>
          <t>Ask the business owner of the object to decide; only the owner can.</t>
        </is>
      </c>
      <c r="H19" s="12" t="n"/>
      <c r="I19" s="12" t="n"/>
      <c r="J19" s="12" t="n"/>
      <c r="K19" s="25" t="n"/>
    </row>
    <row r="20">
      <c r="A20" s="12" t="inlineStr">
        <is>
          <t>MSG-DM-016</t>
        </is>
      </c>
      <c r="B20" s="12" t="inlineStr">
        <is>
          <t>Data Objects and the decision of an object (SCR-DM-02)</t>
        </is>
      </c>
      <c r="C20" s="12" t="inlineStr">
        <is>
          <t>Server</t>
        </is>
      </c>
      <c r="D20" s="12" t="inlineStr">
        <is>
          <t>MIG_OBJECT_CODE</t>
        </is>
      </c>
      <c r="E20" s="12" t="inlineStr">
        <is>
          <t>The object code is 2 to 10 letters and digits</t>
        </is>
      </c>
      <c r="F20" s="12" t="inlineStr">
        <is>
          <t>Error</t>
        </is>
      </c>
      <c r="G20" s="12" t="inlineStr">
        <is>
          <t>Use 2 to 10 letters and digits for the object code.</t>
        </is>
      </c>
      <c r="H20" s="12" t="n"/>
      <c r="I20" s="12" t="n"/>
      <c r="J20" s="12" t="n"/>
      <c r="K20" s="25" t="n"/>
    </row>
    <row r="21">
      <c r="A21" s="12" t="inlineStr">
        <is>
          <t>MSG-DM-017</t>
        </is>
      </c>
      <c r="B21" s="12" t="inlineStr">
        <is>
          <t>Data Objects and the decision of an object (SCR-DM-02)</t>
        </is>
      </c>
      <c r="C21" s="12" t="inlineStr">
        <is>
          <t>Server</t>
        </is>
      </c>
      <c r="D21" s="12" t="inlineStr">
        <is>
          <t>MIG_OBJECT_UNKNOWN</t>
        </is>
      </c>
      <c r="E21" s="12" t="inlineStr">
        <is>
          <t>Object &lt;dep&gt; does not exist</t>
        </is>
      </c>
      <c r="F21" s="12" t="inlineStr">
        <is>
          <t>Error</t>
        </is>
      </c>
      <c r="G21" s="12" t="inlineStr">
        <is>
          <t>Choose objects of the register as dependencies.</t>
        </is>
      </c>
      <c r="H21" s="12" t="n"/>
      <c r="I21" s="12" t="n"/>
      <c r="J21" s="12" t="n"/>
      <c r="K21" s="25" t="n"/>
    </row>
    <row r="22">
      <c r="A22" s="12" t="inlineStr">
        <is>
          <t>MSG-DM-018</t>
        </is>
      </c>
      <c r="B22" s="12" t="inlineStr">
        <is>
          <t>Data Objects and the decision of an object (SCR-DM-02)</t>
        </is>
      </c>
      <c r="C22" s="12" t="inlineStr">
        <is>
          <t>Server</t>
        </is>
      </c>
      <c r="D22" s="12" t="inlineStr">
        <is>
          <t>MIG_RATIONALE_LENGTH</t>
        </is>
      </c>
      <c r="E22" s="12" t="inlineStr">
        <is>
          <t>The rationale is limited to 2,000 characters</t>
        </is>
      </c>
      <c r="F22" s="12" t="inlineStr">
        <is>
          <t>Error</t>
        </is>
      </c>
      <c r="G22" s="12" t="inlineStr">
        <is>
          <t>Shorten the rationale to 2,000 characters.</t>
        </is>
      </c>
      <c r="H22" s="12" t="n"/>
      <c r="I22" s="12" t="n"/>
      <c r="J22" s="12" t="n"/>
      <c r="K22" s="25" t="n"/>
    </row>
    <row r="23">
      <c r="A23" s="12" t="inlineStr">
        <is>
          <t>MSG-DM-019</t>
        </is>
      </c>
      <c r="B23" s="12" t="inlineStr">
        <is>
          <t>Data Objects and the decision of an object (SCR-DM-02)</t>
        </is>
      </c>
      <c r="C23" s="12" t="inlineStr">
        <is>
          <t>Server</t>
        </is>
      </c>
      <c r="D23" s="12" t="inlineStr">
        <is>
          <t>MIG_RATIONALE_REQUIRED</t>
        </is>
      </c>
      <c r="E23" s="12" t="inlineStr">
        <is>
          <t>Enter the rationale for the proposed class</t>
        </is>
      </c>
      <c r="F23" s="12" t="inlineStr">
        <is>
          <t>Error</t>
        </is>
      </c>
      <c r="G23" s="12" t="inlineStr">
        <is>
          <t>Enter the rationale for the proposed class.</t>
        </is>
      </c>
      <c r="H23" s="12" t="n"/>
      <c r="I23" s="12" t="n"/>
      <c r="J23" s="12" t="n"/>
      <c r="K23" s="25" t="n"/>
    </row>
    <row r="24">
      <c r="A24" s="12" t="inlineStr">
        <is>
          <t>MSG-DM-020</t>
        </is>
      </c>
      <c r="B24" s="12" t="inlineStr">
        <is>
          <t>Data Objects and the decision of an object (SCR-DM-02)</t>
        </is>
      </c>
      <c r="C24" s="12" t="inlineStr">
        <is>
          <t>Server</t>
        </is>
      </c>
      <c r="D24" s="12" t="inlineStr">
        <is>
          <t>MIG_REASON_REQUIRED</t>
        </is>
      </c>
      <c r="E24" s="12" t="inlineStr">
        <is>
          <t>Enter the reason for the return</t>
        </is>
      </c>
      <c r="F24" s="12" t="inlineStr">
        <is>
          <t>Error</t>
        </is>
      </c>
      <c r="G24" s="12" t="inlineStr">
        <is>
          <t>Enter the reason for the return.</t>
        </is>
      </c>
      <c r="H24" s="12" t="n"/>
      <c r="I24" s="12" t="n"/>
      <c r="J24" s="12" t="n"/>
      <c r="K24" s="25" t="n"/>
    </row>
    <row r="25">
      <c r="A25" s="12" t="inlineStr">
        <is>
          <t>MSG-DM-021</t>
        </is>
      </c>
      <c r="B25" s="12" t="inlineStr">
        <is>
          <t>Code Maps (SCR-DM-03)</t>
        </is>
      </c>
      <c r="C25" s="12" t="inlineStr">
        <is>
          <t>Screen</t>
        </is>
      </c>
      <c r="D25" s="12" t="inlineStr">
        <is>
          <t>-</t>
        </is>
      </c>
      <c r="E25" s="12" t="inlineStr">
        <is>
          <t>A draft is created from the approved version, ready for your changes.</t>
        </is>
      </c>
      <c r="F25" s="12" t="inlineStr">
        <is>
          <t>Validation</t>
        </is>
      </c>
      <c r="G25" s="12" t="inlineStr">
        <is>
          <t>Confirm to go ahead, or cancel to leave the record as it is.</t>
        </is>
      </c>
      <c r="H25" s="12" t="n"/>
      <c r="I25" s="12" t="n"/>
      <c r="J25" s="12" t="n"/>
      <c r="K25" s="25" t="n"/>
    </row>
    <row r="26">
      <c r="A26" s="12" t="inlineStr">
        <is>
          <t>MSG-DM-022</t>
        </is>
      </c>
      <c r="B26" s="12" t="inlineStr">
        <is>
          <t>Code Maps (SCR-DM-03)</t>
        </is>
      </c>
      <c r="C26" s="12" t="inlineStr">
        <is>
          <t>Screen</t>
        </is>
      </c>
      <c r="D26" s="12" t="inlineStr">
        <is>
          <t>-</t>
        </is>
      </c>
      <c r="E26" s="12" t="inlineStr">
        <is>
          <t>Add Entry</t>
        </is>
      </c>
      <c r="F26" s="12" t="inlineStr">
        <is>
          <t>Validation</t>
        </is>
      </c>
      <c r="G26" s="12" t="inlineStr">
        <is>
          <t>Add Entry.</t>
        </is>
      </c>
      <c r="H26" s="12" t="n"/>
      <c r="I26" s="12" t="n"/>
      <c r="J26" s="12" t="n"/>
      <c r="K26" s="25" t="n"/>
    </row>
    <row r="27">
      <c r="A27" s="12" t="inlineStr">
        <is>
          <t>MSG-DM-023</t>
        </is>
      </c>
      <c r="B27" s="12" t="inlineStr">
        <is>
          <t>Code Maps (SCR-DM-03)</t>
        </is>
      </c>
      <c r="C27" s="12" t="inlineStr">
        <is>
          <t>Screen</t>
        </is>
      </c>
      <c r="D27" s="12" t="inlineStr">
        <is>
          <t>-</t>
        </is>
      </c>
      <c r="E27" s="12" t="inlineStr">
        <is>
          <t>Every legacy code of the batches in validation is mapped</t>
        </is>
      </c>
      <c r="F27" s="12" t="inlineStr">
        <is>
          <t>Information</t>
        </is>
      </c>
      <c r="G27" s="12" t="inlineStr">
        <is>
          <t>No action.</t>
        </is>
      </c>
      <c r="H27" s="12" t="n"/>
      <c r="I27" s="12" t="n"/>
      <c r="J27" s="12" t="n"/>
      <c r="K27" s="25" t="n"/>
    </row>
    <row r="28">
      <c r="A28" s="12" t="inlineStr">
        <is>
          <t>MSG-DM-024</t>
        </is>
      </c>
      <c r="B28" s="12" t="inlineStr">
        <is>
          <t>Code Maps (SCR-DM-03)</t>
        </is>
      </c>
      <c r="C28" s="12" t="inlineStr">
        <is>
          <t>Screen</t>
        </is>
      </c>
      <c r="D28" s="12" t="inlineStr">
        <is>
          <t>-</t>
        </is>
      </c>
      <c r="E28" s="12" t="inlineStr">
        <is>
          <t>No code map</t>
        </is>
      </c>
      <c r="F28" s="12" t="inlineStr">
        <is>
          <t>Information</t>
        </is>
      </c>
      <c r="G28" s="12" t="inlineStr">
        <is>
          <t>No action.</t>
        </is>
      </c>
      <c r="H28" s="12" t="n"/>
      <c r="I28" s="12" t="n"/>
      <c r="J28" s="12" t="n"/>
      <c r="K28" s="25" t="n"/>
    </row>
    <row r="29">
      <c r="A29" s="12" t="inlineStr">
        <is>
          <t>MSG-DM-025</t>
        </is>
      </c>
      <c r="B29" s="12" t="inlineStr">
        <is>
          <t>Code Maps (SCR-DM-03)</t>
        </is>
      </c>
      <c r="C29" s="12" t="inlineStr">
        <is>
          <t>Screen</t>
        </is>
      </c>
      <c r="D29" s="12" t="inlineStr">
        <is>
          <t>-</t>
        </is>
      </c>
      <c r="E29" s="12" t="inlineStr">
        <is>
          <t>No entry in this version</t>
        </is>
      </c>
      <c r="F29" s="12" t="inlineStr">
        <is>
          <t>Information</t>
        </is>
      </c>
      <c r="G29" s="12" t="inlineStr">
        <is>
          <t>No action.</t>
        </is>
      </c>
      <c r="H29" s="12" t="n"/>
      <c r="I29" s="12" t="n"/>
      <c r="J29" s="12" t="n"/>
      <c r="K29" s="25" t="n"/>
    </row>
    <row r="30">
      <c r="A30" s="12" t="inlineStr">
        <is>
          <t>MSG-DM-026</t>
        </is>
      </c>
      <c r="B30" s="12" t="inlineStr">
        <is>
          <t>Code Maps (SCR-DM-03)</t>
        </is>
      </c>
      <c r="C30" s="12" t="inlineStr">
        <is>
          <t>Screen</t>
        </is>
      </c>
      <c r="D30" s="12" t="inlineStr">
        <is>
          <t>-</t>
        </is>
      </c>
      <c r="E30" s="12" t="inlineStr">
        <is>
          <t>No version yet</t>
        </is>
      </c>
      <c r="F30" s="12" t="inlineStr">
        <is>
          <t>Information</t>
        </is>
      </c>
      <c r="G30" s="12" t="inlineStr">
        <is>
          <t>No action.</t>
        </is>
      </c>
      <c r="H30" s="12" t="n"/>
      <c r="I30" s="12" t="n"/>
      <c r="J30" s="12" t="n"/>
      <c r="K30" s="25" t="n"/>
    </row>
    <row r="31">
      <c r="A31" s="12" t="inlineStr">
        <is>
          <t>MSG-DM-027</t>
        </is>
      </c>
      <c r="B31" s="12" t="inlineStr">
        <is>
          <t>Code Maps (SCR-DM-03)</t>
        </is>
      </c>
      <c r="C31" s="12" t="inlineStr">
        <is>
          <t>Screen</t>
        </is>
      </c>
      <c r="D31" s="12" t="inlineStr">
        <is>
          <t>-</t>
        </is>
      </c>
      <c r="E31" s="12" t="inlineStr">
        <is>
          <t>The version goes back to the Data Steward as a draft.</t>
        </is>
      </c>
      <c r="F31" s="12" t="inlineStr">
        <is>
          <t>Validation</t>
        </is>
      </c>
      <c r="G31" s="12" t="inlineStr">
        <is>
          <t>Confirm to go ahead, or cancel to leave the record as it is.</t>
        </is>
      </c>
      <c r="H31" s="12" t="n"/>
      <c r="I31" s="12" t="n"/>
      <c r="J31" s="12" t="n"/>
      <c r="K31" s="25" t="n"/>
    </row>
    <row r="32">
      <c r="A32" s="12" t="inlineStr">
        <is>
          <t>MSG-DM-028</t>
        </is>
      </c>
      <c r="B32" s="12" t="inlineStr">
        <is>
          <t>Code Maps (SCR-DM-03)</t>
        </is>
      </c>
      <c r="C32" s="12" t="inlineStr">
        <is>
          <t>Screen</t>
        </is>
      </c>
      <c r="D32" s="12" t="inlineStr">
        <is>
          <t>-</t>
        </is>
      </c>
      <c r="E32" s="12" t="inlineStr">
        <is>
          <t>The version goes to the business owner for approval.</t>
        </is>
      </c>
      <c r="F32" s="12" t="inlineStr">
        <is>
          <t>Validation</t>
        </is>
      </c>
      <c r="G32" s="12" t="inlineStr">
        <is>
          <t>Confirm to go ahead, or cancel to leave the record as it is.</t>
        </is>
      </c>
      <c r="H32" s="12" t="n"/>
      <c r="I32" s="12" t="n"/>
      <c r="J32" s="12" t="n"/>
      <c r="K32" s="25" t="n"/>
    </row>
    <row r="33">
      <c r="A33" s="12" t="inlineStr">
        <is>
          <t>MSG-DM-029</t>
        </is>
      </c>
      <c r="B33" s="12" t="inlineStr">
        <is>
          <t>Code Maps (SCR-DM-03)</t>
        </is>
      </c>
      <c r="C33" s="12" t="inlineStr">
        <is>
          <t>Screen</t>
        </is>
      </c>
      <c r="D33" s="12" t="inlineStr">
        <is>
          <t>-</t>
        </is>
      </c>
      <c r="E33" s="12" t="inlineStr">
        <is>
          <t>The version replaces the approved one for the next batches; values marked Create are created through the reference-data load.</t>
        </is>
      </c>
      <c r="F33" s="12" t="inlineStr">
        <is>
          <t>Validation</t>
        </is>
      </c>
      <c r="G33" s="12" t="inlineStr">
        <is>
          <t>Confirm to go ahead, or cancel to leave the record as it is.</t>
        </is>
      </c>
      <c r="H33" s="12" t="n"/>
      <c r="I33" s="12" t="n"/>
      <c r="J33" s="12" t="n"/>
      <c r="K33" s="25" t="n"/>
    </row>
    <row r="34">
      <c r="A34" s="12" t="inlineStr">
        <is>
          <t>MSG-DM-030</t>
        </is>
      </c>
      <c r="B34" s="12" t="inlineStr">
        <is>
          <t>Code Maps (SCR-DM-03)</t>
        </is>
      </c>
      <c r="C34" s="12" t="inlineStr">
        <is>
          <t>Screen</t>
        </is>
      </c>
      <c r="D34" s="12" t="inlineStr">
        <is>
          <t>-</t>
        </is>
      </c>
      <c r="E34" s="12" t="inlineStr">
        <is>
          <t>Use the default value</t>
        </is>
      </c>
      <c r="F34" s="12" t="inlineStr">
        <is>
          <t>Validation</t>
        </is>
      </c>
      <c r="G34" s="12" t="inlineStr">
        <is>
          <t>Use the default value.</t>
        </is>
      </c>
      <c r="H34" s="12" t="n"/>
      <c r="I34" s="12" t="n"/>
      <c r="J34" s="12" t="n"/>
      <c r="K34" s="25" t="n"/>
    </row>
    <row r="35">
      <c r="A35" s="12" t="inlineStr">
        <is>
          <t>MSG-DM-031</t>
        </is>
      </c>
      <c r="B35" s="12" t="inlineStr">
        <is>
          <t>Code Maps (SCR-DM-03)</t>
        </is>
      </c>
      <c r="C35" s="12" t="inlineStr">
        <is>
          <t>Server</t>
        </is>
      </c>
      <c r="D35" s="12" t="inlineStr">
        <is>
          <t>MAKER_CHECKER_VIOLATION</t>
        </is>
      </c>
      <c r="E35" s="12" t="inlineStr">
        <is>
          <t>A record cannot be authorized by the user who maintained it</t>
        </is>
      </c>
      <c r="F35" s="12" t="inlineStr">
        <is>
          <t>Error</t>
        </is>
      </c>
      <c r="G35" s="12" t="inlineStr">
        <is>
          <t>Ask another user with the approval right to approve; the maker, submitter or operator of the record cannot.</t>
        </is>
      </c>
      <c r="H35" s="12" t="n"/>
      <c r="I35" s="12" t="n"/>
      <c r="J35" s="12" t="n"/>
      <c r="K35" s="25" t="n"/>
    </row>
    <row r="36">
      <c r="A36" s="12" t="inlineStr">
        <is>
          <t>MSG-DM-032</t>
        </is>
      </c>
      <c r="B36" s="12" t="inlineStr">
        <is>
          <t>Code Maps (SCR-DM-03)</t>
        </is>
      </c>
      <c r="C36" s="12" t="inlineStr">
        <is>
          <t>Server</t>
        </is>
      </c>
      <c r="D36" s="12" t="inlineStr">
        <is>
          <t>MIG_MAP_DRAFT_EXISTS</t>
        </is>
      </c>
      <c r="E36" s="12" t="inlineStr">
        <is>
          <t>Set &lt;set code&gt; already has a version being edited or waiting for approval</t>
        </is>
      </c>
      <c r="F36" s="12" t="inlineStr">
        <is>
          <t>Error</t>
        </is>
      </c>
      <c r="G36" s="12" t="inlineStr">
        <is>
          <t>Complete, submit or return the version being edited before starting another.</t>
        </is>
      </c>
      <c r="H36" s="12" t="n"/>
      <c r="I36" s="12" t="n"/>
      <c r="J36" s="12" t="n"/>
      <c r="K36" s="25" t="n"/>
    </row>
    <row r="37">
      <c r="A37" s="12" t="inlineStr">
        <is>
          <t>MSG-DM-033</t>
        </is>
      </c>
      <c r="B37" s="12" t="inlineStr">
        <is>
          <t>Code Maps (SCR-DM-03)</t>
        </is>
      </c>
      <c r="C37" s="12" t="inlineStr">
        <is>
          <t>Server</t>
        </is>
      </c>
      <c r="D37" s="12" t="inlineStr">
        <is>
          <t>MIG_MAP_DUPLICATE</t>
        </is>
      </c>
      <c r="E37" s="12" t="inlineStr">
        <is>
          <t>Legacy code &lt;legacy code&gt; of &lt;source system&gt; is mapped twice</t>
        </is>
      </c>
      <c r="F37" s="12" t="inlineStr">
        <is>
          <t>Error</t>
        </is>
      </c>
      <c r="G37" s="12" t="inlineStr">
        <is>
          <t>Keep one entry per legacy code and source system (a conditional entry needs its condition).</t>
        </is>
      </c>
      <c r="H37" s="12" t="n"/>
      <c r="I37" s="12" t="n"/>
      <c r="J37" s="12" t="n"/>
      <c r="K37" s="25" t="n"/>
    </row>
    <row r="38">
      <c r="A38" s="12" t="inlineStr">
        <is>
          <t>MSG-DM-034</t>
        </is>
      </c>
      <c r="B38" s="12" t="inlineStr">
        <is>
          <t>Code Maps (SCR-DM-03)</t>
        </is>
      </c>
      <c r="C38" s="12" t="inlineStr">
        <is>
          <t>Server</t>
        </is>
      </c>
      <c r="D38" s="12" t="inlineStr">
        <is>
          <t>MIG_MAP_EMPTY</t>
        </is>
      </c>
      <c r="E38" s="12" t="inlineStr">
        <is>
          <t>Add at least one entry before submitting</t>
        </is>
      </c>
      <c r="F38" s="12" t="inlineStr">
        <is>
          <t>Error</t>
        </is>
      </c>
      <c r="G38" s="12" t="inlineStr">
        <is>
          <t>Add at least one entry before submitting.</t>
        </is>
      </c>
      <c r="H38" s="12" t="n"/>
      <c r="I38" s="12" t="n"/>
      <c r="J38" s="12" t="n"/>
      <c r="K38" s="25" t="n"/>
    </row>
    <row r="39">
      <c r="A39" s="12" t="inlineStr">
        <is>
          <t>MSG-DM-035</t>
        </is>
      </c>
      <c r="B39" s="12" t="inlineStr">
        <is>
          <t>Code Maps (SCR-DM-03)</t>
        </is>
      </c>
      <c r="C39" s="12" t="inlineStr">
        <is>
          <t>Server</t>
        </is>
      </c>
      <c r="D39" s="12" t="inlineStr">
        <is>
          <t>MIG_MAP_ENTRY</t>
        </is>
      </c>
      <c r="E39" s="12" t="inlineStr">
        <is>
          <t>Enter the source system, the legacy code and the action</t>
        </is>
      </c>
      <c r="F39" s="12" t="inlineStr">
        <is>
          <t>Error</t>
        </is>
      </c>
      <c r="G39" s="12" t="inlineStr">
        <is>
          <t>Enter the source system, the legacy code and the action.</t>
        </is>
      </c>
      <c r="H39" s="12" t="n"/>
      <c r="I39" s="12" t="n"/>
      <c r="J39" s="12" t="n"/>
      <c r="K39" s="25" t="n"/>
    </row>
    <row r="40">
      <c r="A40" s="12" t="inlineStr">
        <is>
          <t>MSG-DM-036</t>
        </is>
      </c>
      <c r="B40" s="12" t="inlineStr">
        <is>
          <t>Code Maps (SCR-DM-03)</t>
        </is>
      </c>
      <c r="C40" s="12" t="inlineStr">
        <is>
          <t>Server</t>
        </is>
      </c>
      <c r="D40" s="12" t="inlineStr">
        <is>
          <t>MIG_MAP_IMPORT_ACTION</t>
        </is>
      </c>
      <c r="E40" s="12" t="inlineStr">
        <is>
          <t>Row &lt;row no&gt;: the action must be MAP, DEFAULT, REJECT or CREATE</t>
        </is>
      </c>
      <c r="F40" s="12" t="inlineStr">
        <is>
          <t>Error</t>
        </is>
      </c>
      <c r="G40" s="12" t="inlineStr">
        <is>
          <t>Correct the action of the row to MAP, DEFAULT, REJECT or CREATE.</t>
        </is>
      </c>
      <c r="H40" s="12" t="n"/>
      <c r="I40" s="12" t="n"/>
      <c r="J40" s="12" t="n"/>
      <c r="K40" s="25" t="n"/>
    </row>
    <row r="41">
      <c r="A41" s="12" t="inlineStr">
        <is>
          <t>MSG-DM-037</t>
        </is>
      </c>
      <c r="B41" s="12" t="inlineStr">
        <is>
          <t>Code Maps (SCR-DM-03)</t>
        </is>
      </c>
      <c r="C41" s="12" t="inlineStr">
        <is>
          <t>Server</t>
        </is>
      </c>
      <c r="D41" s="12" t="inlineStr">
        <is>
          <t>MIG_MAP_IMPORT_LAYOUT</t>
        </is>
      </c>
      <c r="E41" s="12" t="inlineStr">
        <is>
          <t>The file must have the columns source_system, legacy_code and action</t>
        </is>
      </c>
      <c r="F41" s="12" t="inlineStr">
        <is>
          <t>Error</t>
        </is>
      </c>
      <c r="G41" s="12" t="inlineStr">
        <is>
          <t>Use the columns of the exported version in the Excel file (source_system, legacy_code, action and the others).</t>
        </is>
      </c>
      <c r="H41" s="12" t="n"/>
      <c r="I41" s="12" t="n"/>
      <c r="J41" s="12" t="n"/>
      <c r="K41" s="25" t="n"/>
    </row>
    <row r="42">
      <c r="A42" s="12" t="inlineStr">
        <is>
          <t>MSG-DM-038</t>
        </is>
      </c>
      <c r="B42" s="12" t="inlineStr">
        <is>
          <t>Code Maps (SCR-DM-03)</t>
        </is>
      </c>
      <c r="C42" s="12" t="inlineStr">
        <is>
          <t>Server</t>
        </is>
      </c>
      <c r="D42" s="12" t="inlineStr">
        <is>
          <t>MIG_MAP_NOT_DRAFT</t>
        </is>
      </c>
      <c r="E42" s="12" t="inlineStr">
        <is>
          <t>Version &lt;version no&gt; of &lt;set code&gt; is no longer a draft</t>
        </is>
      </c>
      <c r="F42" s="12" t="inlineStr">
        <is>
          <t>Error</t>
        </is>
      </c>
      <c r="G42" s="12" t="inlineStr">
        <is>
          <t>Create a new version to change the entries; this one is no longer a draft.</t>
        </is>
      </c>
      <c r="H42" s="12" t="n"/>
      <c r="I42" s="12" t="n"/>
      <c r="J42" s="12" t="n"/>
      <c r="K42" s="25" t="n"/>
    </row>
    <row r="43">
      <c r="A43" s="12" t="inlineStr">
        <is>
          <t>MSG-DM-039</t>
        </is>
      </c>
      <c r="B43" s="12" t="inlineStr">
        <is>
          <t>Code Maps (SCR-DM-03)</t>
        </is>
      </c>
      <c r="C43" s="12" t="inlineStr">
        <is>
          <t>Server</t>
        </is>
      </c>
      <c r="D43" s="12" t="inlineStr">
        <is>
          <t>MIG_MAP_NOT_SUBMITTED</t>
        </is>
      </c>
      <c r="E43" s="12" t="inlineStr">
        <is>
          <t>Version &lt;version no&gt; of &lt;set code&gt; is not submitted</t>
        </is>
      </c>
      <c r="F43" s="12" t="inlineStr">
        <is>
          <t>Error</t>
        </is>
      </c>
      <c r="G43" s="12" t="inlineStr">
        <is>
          <t>Ask the Data Steward to submit the version first.</t>
        </is>
      </c>
      <c r="H43" s="12" t="n"/>
      <c r="I43" s="12" t="n"/>
      <c r="J43" s="12" t="n"/>
      <c r="K43" s="25" t="n"/>
    </row>
    <row r="44">
      <c r="A44" s="12" t="inlineStr">
        <is>
          <t>MSG-DM-040</t>
        </is>
      </c>
      <c r="B44" s="12" t="inlineStr">
        <is>
          <t>Code Maps (SCR-DM-03)</t>
        </is>
      </c>
      <c r="C44" s="12" t="inlineStr">
        <is>
          <t>Server</t>
        </is>
      </c>
      <c r="D44" s="12" t="inlineStr">
        <is>
          <t>MIG_MAP_TARGET_MISSING</t>
        </is>
      </c>
      <c r="E44" s="12" t="inlineStr">
        <is>
          <t>Target code &lt;missing&gt; does not exist in &lt;target domain&gt;</t>
        </is>
      </c>
      <c r="F44" s="12" t="inlineStr">
        <is>
          <t>Error</t>
        </is>
      </c>
      <c r="G44" s="12" t="inlineStr">
        <is>
          <t>Correct the BIBS value, or create it in its master and have it authorised first.</t>
        </is>
      </c>
      <c r="H44" s="12" t="n"/>
      <c r="I44" s="12" t="n"/>
      <c r="J44" s="12" t="n"/>
      <c r="K44" s="25" t="n"/>
    </row>
    <row r="45">
      <c r="A45" s="12" t="inlineStr">
        <is>
          <t>MSG-DM-041</t>
        </is>
      </c>
      <c r="B45" s="12" t="inlineStr">
        <is>
          <t>Code Maps (SCR-DM-03)</t>
        </is>
      </c>
      <c r="C45" s="12" t="inlineStr">
        <is>
          <t>Server</t>
        </is>
      </c>
      <c r="D45" s="12" t="inlineStr">
        <is>
          <t>MIG_MAP_TARGET_REQUIRED</t>
        </is>
      </c>
      <c r="E45" s="12" t="inlineStr">
        <is>
          <t>Enter the target code of legacy code &lt;legacy code&gt;</t>
        </is>
      </c>
      <c r="F45" s="12" t="inlineStr">
        <is>
          <t>Error</t>
        </is>
      </c>
      <c r="G45" s="12" t="inlineStr">
        <is>
          <t>Enter the BIBS value of an entry with the action Map to a BIBS value.</t>
        </is>
      </c>
      <c r="H45" s="12" t="n"/>
      <c r="I45" s="12" t="n"/>
      <c r="J45" s="12" t="n"/>
      <c r="K45" s="25" t="n"/>
    </row>
    <row r="46">
      <c r="A46" s="12" t="inlineStr">
        <is>
          <t>MSG-DM-042</t>
        </is>
      </c>
      <c r="B46" s="12" t="inlineStr">
        <is>
          <t>Code Maps (SCR-DM-03)</t>
        </is>
      </c>
      <c r="C46" s="12" t="inlineStr">
        <is>
          <t>Server</t>
        </is>
      </c>
      <c r="D46" s="12" t="inlineStr">
        <is>
          <t>MIG_REASON_REQUIRED</t>
        </is>
      </c>
      <c r="E46" s="12" t="inlineStr">
        <is>
          <t>Enter the reason for the return</t>
        </is>
      </c>
      <c r="F46" s="12" t="inlineStr">
        <is>
          <t>Error</t>
        </is>
      </c>
      <c r="G46" s="12" t="inlineStr">
        <is>
          <t>Enter the reason for the return.</t>
        </is>
      </c>
      <c r="H46" s="12" t="n"/>
      <c r="I46" s="12" t="n"/>
      <c r="J46" s="12" t="n"/>
      <c r="K46" s="25" t="n"/>
    </row>
    <row r="47">
      <c r="A47" s="12" t="inlineStr">
        <is>
          <t>MSG-DM-043</t>
        </is>
      </c>
      <c r="B47" s="12" t="inlineStr">
        <is>
          <t>Layouts and Rules (SCR-DM-04)</t>
        </is>
      </c>
      <c r="C47" s="12" t="inlineStr">
        <is>
          <t>Screen</t>
        </is>
      </c>
      <c r="D47" s="12" t="inlineStr">
        <is>
          <t>-</t>
        </is>
      </c>
      <c r="E47" s="12" t="inlineStr">
        <is>
          <t>Check</t>
        </is>
      </c>
      <c r="F47" s="12" t="inlineStr">
        <is>
          <t>Validation</t>
        </is>
      </c>
      <c r="G47" s="12" t="inlineStr">
        <is>
          <t>Check.</t>
        </is>
      </c>
      <c r="H47" s="12" t="n"/>
      <c r="I47" s="12" t="n"/>
      <c r="J47" s="12" t="n"/>
      <c r="K47" s="25" t="n"/>
    </row>
    <row r="48">
      <c r="A48" s="12" t="inlineStr">
        <is>
          <t>MSG-DM-044</t>
        </is>
      </c>
      <c r="B48" s="12" t="inlineStr">
        <is>
          <t>Layouts and Rules (SCR-DM-04)</t>
        </is>
      </c>
      <c r="C48" s="12" t="inlineStr">
        <is>
          <t>Screen</t>
        </is>
      </c>
      <c r="D48" s="12" t="inlineStr">
        <is>
          <t>-</t>
        </is>
      </c>
      <c r="E48" s="12" t="inlineStr">
        <is>
          <t>No column</t>
        </is>
      </c>
      <c r="F48" s="12" t="inlineStr">
        <is>
          <t>Information</t>
        </is>
      </c>
      <c r="G48" s="12" t="inlineStr">
        <is>
          <t>No action.</t>
        </is>
      </c>
      <c r="H48" s="12" t="n"/>
      <c r="I48" s="12" t="n"/>
      <c r="J48" s="12" t="n"/>
      <c r="K48" s="25" t="n"/>
    </row>
    <row r="49">
      <c r="A49" s="12" t="inlineStr">
        <is>
          <t>MSG-DM-045</t>
        </is>
      </c>
      <c r="B49" s="12" t="inlineStr">
        <is>
          <t>Layouts and Rules (SCR-DM-04)</t>
        </is>
      </c>
      <c r="C49" s="12" t="inlineStr">
        <is>
          <t>Screen</t>
        </is>
      </c>
      <c r="D49" s="12" t="inlineStr">
        <is>
          <t>-</t>
        </is>
      </c>
      <c r="E49" s="12" t="inlineStr">
        <is>
          <t>No layout</t>
        </is>
      </c>
      <c r="F49" s="12" t="inlineStr">
        <is>
          <t>Information</t>
        </is>
      </c>
      <c r="G49" s="12" t="inlineStr">
        <is>
          <t>No action.</t>
        </is>
      </c>
      <c r="H49" s="12" t="n"/>
      <c r="I49" s="12" t="n"/>
      <c r="J49" s="12" t="n"/>
      <c r="K49" s="25" t="n"/>
    </row>
    <row r="50">
      <c r="A50" s="12" t="inlineStr">
        <is>
          <t>MSG-DM-046</t>
        </is>
      </c>
      <c r="B50" s="12" t="inlineStr">
        <is>
          <t>Layouts and Rules (SCR-DM-04)</t>
        </is>
      </c>
      <c r="C50" s="12" t="inlineStr">
        <is>
          <t>Screen</t>
        </is>
      </c>
      <c r="D50" s="12" t="inlineStr">
        <is>
          <t>-</t>
        </is>
      </c>
      <c r="E50" s="12" t="inlineStr">
        <is>
          <t>No masking rule</t>
        </is>
      </c>
      <c r="F50" s="12" t="inlineStr">
        <is>
          <t>Information</t>
        </is>
      </c>
      <c r="G50" s="12" t="inlineStr">
        <is>
          <t>No action.</t>
        </is>
      </c>
      <c r="H50" s="12" t="n"/>
      <c r="I50" s="12" t="n"/>
      <c r="J50" s="12" t="n"/>
      <c r="K50" s="25" t="n"/>
    </row>
    <row r="51">
      <c r="A51" s="12" t="inlineStr">
        <is>
          <t>MSG-DM-047</t>
        </is>
      </c>
      <c r="B51" s="12" t="inlineStr">
        <is>
          <t>Layouts and Rules (SCR-DM-04)</t>
        </is>
      </c>
      <c r="C51" s="12" t="inlineStr">
        <is>
          <t>Screen</t>
        </is>
      </c>
      <c r="D51" s="12" t="inlineStr">
        <is>
          <t>-</t>
        </is>
      </c>
      <c r="E51" s="12" t="inlineStr">
        <is>
          <t>No rule</t>
        </is>
      </c>
      <c r="F51" s="12" t="inlineStr">
        <is>
          <t>Information</t>
        </is>
      </c>
      <c r="G51" s="12" t="inlineStr">
        <is>
          <t>No action.</t>
        </is>
      </c>
      <c r="H51" s="12" t="n"/>
      <c r="I51" s="12" t="n"/>
      <c r="J51" s="12" t="n"/>
      <c r="K51" s="25" t="n"/>
    </row>
    <row r="52">
      <c r="A52" s="12" t="inlineStr">
        <is>
          <t>MSG-DM-048</t>
        </is>
      </c>
      <c r="B52" s="12" t="inlineStr">
        <is>
          <t>Layouts and Rules (SCR-DM-04)</t>
        </is>
      </c>
      <c r="C52" s="12" t="inlineStr">
        <is>
          <t>Screen</t>
        </is>
      </c>
      <c r="D52" s="12" t="inlineStr">
        <is>
          <t>-</t>
        </is>
      </c>
      <c r="E52" s="12" t="inlineStr">
        <is>
          <t>The layout becomes the version in force: extracts and templates follow it and the previous version is retired.</t>
        </is>
      </c>
      <c r="F52" s="12" t="inlineStr">
        <is>
          <t>Validation</t>
        </is>
      </c>
      <c r="G52" s="12" t="inlineStr">
        <is>
          <t>Confirm to go ahead, or cancel to leave the record as it is.</t>
        </is>
      </c>
      <c r="H52" s="12" t="n"/>
      <c r="I52" s="12" t="n"/>
      <c r="J52" s="12" t="n"/>
      <c r="K52" s="25" t="n"/>
    </row>
    <row r="53">
      <c r="A53" s="12" t="inlineStr">
        <is>
          <t>MSG-DM-049</t>
        </is>
      </c>
      <c r="B53" s="12" t="inlineStr">
        <is>
          <t>Layouts and Rules (SCR-DM-04)</t>
        </is>
      </c>
      <c r="C53" s="12" t="inlineStr">
        <is>
          <t>Server</t>
        </is>
      </c>
      <c r="D53" s="12" t="inlineStr">
        <is>
          <t>MIG_LAYOUT_EMPTY</t>
        </is>
      </c>
      <c r="E53" s="12" t="inlineStr">
        <is>
          <t>The layout has no columns</t>
        </is>
      </c>
      <c r="F53" s="12" t="inlineStr">
        <is>
          <t>Error</t>
        </is>
      </c>
      <c r="G53" s="12" t="inlineStr">
        <is>
          <t>Add the columns of the layout before freezing it.</t>
        </is>
      </c>
      <c r="H53" s="12" t="n"/>
      <c r="I53" s="12" t="n"/>
      <c r="J53" s="12" t="n"/>
      <c r="K53" s="25" t="n"/>
    </row>
    <row r="54">
      <c r="A54" s="12" t="inlineStr">
        <is>
          <t>MSG-DM-050</t>
        </is>
      </c>
      <c r="B54" s="12" t="inlineStr">
        <is>
          <t>Layouts and Rules (SCR-DM-04)</t>
        </is>
      </c>
      <c r="C54" s="12" t="inlineStr">
        <is>
          <t>Server</t>
        </is>
      </c>
      <c r="D54" s="12" t="inlineStr">
        <is>
          <t>MIG_LAYOUT_FROZEN</t>
        </is>
      </c>
      <c r="E54" s="12" t="inlineStr">
        <is>
          <t>Layout &lt;code&gt; version &lt;version no&gt; is frozen</t>
        </is>
      </c>
      <c r="F54" s="12" t="inlineStr">
        <is>
          <t>Error</t>
        </is>
      </c>
      <c r="G54" s="12" t="inlineStr">
        <is>
          <t>Create a new layout version to change the columns.</t>
        </is>
      </c>
      <c r="H54" s="12" t="n"/>
      <c r="I54" s="12" t="n"/>
      <c r="J54" s="12" t="n"/>
      <c r="K54" s="25" t="n"/>
    </row>
    <row r="55">
      <c r="A55" s="12" t="inlineStr">
        <is>
          <t>MSG-DM-051</t>
        </is>
      </c>
      <c r="B55" s="12" t="inlineStr">
        <is>
          <t>Layouts and Rules (SCR-DM-04)</t>
        </is>
      </c>
      <c r="C55" s="12" t="inlineStr">
        <is>
          <t>Server</t>
        </is>
      </c>
      <c r="D55" s="12" t="inlineStr">
        <is>
          <t>MIG_LAYOUT_NOT_FROZEN</t>
        </is>
      </c>
      <c r="E55" s="12" t="inlineStr">
        <is>
          <t>Layout &lt;code&gt; has no version in force</t>
        </is>
      </c>
      <c r="F55" s="12" t="inlineStr">
        <is>
          <t>Error</t>
        </is>
      </c>
      <c r="G55" s="12" t="inlineStr">
        <is>
          <t>Ask the Data Steward to freeze the layouts of the object on Layouts and Rules first.</t>
        </is>
      </c>
      <c r="H55" s="12" t="n"/>
      <c r="I55" s="12" t="n"/>
      <c r="J55" s="12" t="n"/>
      <c r="K55" s="25" t="n"/>
    </row>
    <row r="56">
      <c r="A56" s="12" t="inlineStr">
        <is>
          <t>MSG-DM-052</t>
        </is>
      </c>
      <c r="B56" s="12" t="inlineStr">
        <is>
          <t>Layouts and Rules (SCR-DM-04)</t>
        </is>
      </c>
      <c r="C56" s="12" t="inlineStr">
        <is>
          <t>Server</t>
        </is>
      </c>
      <c r="D56" s="12" t="inlineStr">
        <is>
          <t>MIG_MASKING_EXISTS</t>
        </is>
      </c>
      <c r="E56" s="12" t="inlineStr">
        <is>
          <t>Column &lt;column&gt; of &lt;layout code&gt; is already masked</t>
        </is>
      </c>
      <c r="F56" s="12" t="inlineStr">
        <is>
          <t>Error</t>
        </is>
      </c>
      <c r="G56" s="12" t="inlineStr">
        <is>
          <t>Change the masking rule of the column already listed.</t>
        </is>
      </c>
      <c r="H56" s="12" t="n"/>
      <c r="I56" s="12" t="n"/>
      <c r="J56" s="12" t="n"/>
      <c r="K56" s="25" t="n"/>
    </row>
    <row r="57">
      <c r="A57" s="12" t="inlineStr">
        <is>
          <t>MSG-DM-053</t>
        </is>
      </c>
      <c r="B57" s="12" t="inlineStr">
        <is>
          <t>Layouts and Rules (SCR-DM-04)</t>
        </is>
      </c>
      <c r="C57" s="12" t="inlineStr">
        <is>
          <t>Server</t>
        </is>
      </c>
      <c r="D57" s="12" t="inlineStr">
        <is>
          <t>MIG_RULE_SEVERITY</t>
        </is>
      </c>
      <c r="E57" s="12" t="inlineStr">
        <is>
          <t>The severity is ERROR or WARNING</t>
        </is>
      </c>
      <c r="F57" s="12" t="inlineStr">
        <is>
          <t>Error</t>
        </is>
      </c>
      <c r="G57" s="12" t="inlineStr">
        <is>
          <t>Choose Error or Warning.</t>
        </is>
      </c>
      <c r="H57" s="12" t="n"/>
      <c r="I57" s="12" t="n"/>
      <c r="J57" s="12" t="n"/>
      <c r="K57" s="25" t="n"/>
    </row>
    <row r="58">
      <c r="A58" s="12" t="inlineStr">
        <is>
          <t>MSG-DM-054</t>
        </is>
      </c>
      <c r="B58" s="12" t="inlineStr">
        <is>
          <t>Extracts (SCR-DM-05)</t>
        </is>
      </c>
      <c r="C58" s="12" t="inlineStr">
        <is>
          <t>Screen</t>
        </is>
      </c>
      <c r="D58" s="12" t="inlineStr">
        <is>
          <t>-</t>
        </is>
      </c>
      <c r="E58" s="12" t="inlineStr">
        <is>
          <t>&lt;extract no&gt; rejected: &lt;length&gt; failed</t>
        </is>
      </c>
      <c r="F58" s="12" t="inlineStr">
        <is>
          <t>Error</t>
        </is>
      </c>
      <c r="G58" s="12" t="inlineStr">
        <is>
          <t>Read the failed checks listed on the Upload an extract card, correct the extract or its control file and upload both again.</t>
        </is>
      </c>
      <c r="H58" s="12" t="n"/>
      <c r="I58" s="12" t="n"/>
      <c r="J58" s="12" t="n"/>
      <c r="K58" s="25" t="n"/>
    </row>
    <row r="59">
      <c r="A59" s="12" t="inlineStr">
        <is>
          <t>MSG-DM-055</t>
        </is>
      </c>
      <c r="B59" s="12" t="inlineStr">
        <is>
          <t>Extracts (SCR-DM-05)</t>
        </is>
      </c>
      <c r="C59" s="12" t="inlineStr">
        <is>
          <t>Screen</t>
        </is>
      </c>
      <c r="D59" s="12" t="inlineStr">
        <is>
          <t>-</t>
        </is>
      </c>
      <c r="E59" s="12" t="inlineStr">
        <is>
          <t>&lt;extract no&gt; staged with &lt;staged rows&gt;</t>
        </is>
      </c>
      <c r="F59" s="12" t="inlineStr">
        <is>
          <t>Confirmation</t>
        </is>
      </c>
      <c r="G59" s="12" t="inlineStr">
        <is>
          <t>No action.</t>
        </is>
      </c>
      <c r="H59" s="12" t="n"/>
      <c r="I59" s="12" t="n"/>
      <c r="J59" s="12" t="n"/>
      <c r="K59" s="25" t="n"/>
    </row>
    <row r="60">
      <c r="A60" s="12" t="inlineStr">
        <is>
          <t>MSG-DM-056</t>
        </is>
      </c>
      <c r="B60" s="12" t="inlineStr">
        <is>
          <t>Extracts (SCR-DM-05)</t>
        </is>
      </c>
      <c r="C60" s="12" t="inlineStr">
        <is>
          <t>Screen</t>
        </is>
      </c>
      <c r="D60" s="12" t="inlineStr">
        <is>
          <t>-</t>
        </is>
      </c>
      <c r="E60" s="12" t="inlineStr">
        <is>
          <t>No extract received</t>
        </is>
      </c>
      <c r="F60" s="12" t="inlineStr">
        <is>
          <t>Information</t>
        </is>
      </c>
      <c r="G60" s="12" t="inlineStr">
        <is>
          <t>No action.</t>
        </is>
      </c>
      <c r="H60" s="12" t="n"/>
      <c r="I60" s="12" t="n"/>
      <c r="J60" s="12" t="n"/>
      <c r="K60" s="25" t="n"/>
    </row>
    <row r="61">
      <c r="A61" s="12" t="inlineStr">
        <is>
          <t>MSG-DM-057</t>
        </is>
      </c>
      <c r="B61" s="12" t="inlineStr">
        <is>
          <t>Extracts (SCR-DM-05)</t>
        </is>
      </c>
      <c r="C61" s="12" t="inlineStr">
        <is>
          <t>Server</t>
        </is>
      </c>
      <c r="D61" s="12" t="inlineStr">
        <is>
          <t>MIG_FILE_MISSING</t>
        </is>
      </c>
      <c r="E61" s="12" t="inlineStr">
        <is>
          <t>The file is no longer kept.</t>
        </is>
      </c>
      <c r="F61" s="12" t="inlineStr">
        <is>
          <t>Error</t>
        </is>
      </c>
      <c r="G61" s="12" t="inlineStr">
        <is>
          <t>No action; the file was purged after the retention days. Ask BDOI IT for the extract if it is needed again.</t>
        </is>
      </c>
      <c r="H61" s="12" t="n"/>
      <c r="I61" s="12" t="n"/>
      <c r="J61" s="12" t="n"/>
      <c r="K61" s="25" t="n"/>
    </row>
    <row r="62">
      <c r="A62" s="12" t="inlineStr">
        <is>
          <t>MSG-DM-058</t>
        </is>
      </c>
      <c r="B62" s="12" t="inlineStr">
        <is>
          <t>Extracts (SCR-DM-05)</t>
        </is>
      </c>
      <c r="C62" s="12" t="inlineStr">
        <is>
          <t>Server</t>
        </is>
      </c>
      <c r="D62" s="12" t="inlineStr">
        <is>
          <t>MIG_FILE_NAME</t>
        </is>
      </c>
      <c r="E62" s="12" t="inlineStr">
        <is>
          <t>Name the file &lt;LAYOUT&gt;_&lt;SOURCE&gt;_&lt;yyyyMMdd&gt;_&lt;nn&gt;.csv or .xlsx, for example F01C_EBIX_20271231_01.csv</t>
        </is>
      </c>
      <c r="F62" s="12" t="inlineStr">
        <is>
          <t>Error</t>
        </is>
      </c>
      <c r="G62" s="12" t="inlineStr">
        <is>
          <t>Rename the file as &lt;LAYOUT&gt;_&lt;SOURCE&gt;_&lt;yyyyMMdd&gt;_&lt;nn&gt;.csv or .xlsx and upload it again.</t>
        </is>
      </c>
      <c r="H62" s="12" t="n"/>
      <c r="I62" s="12" t="n"/>
      <c r="J62" s="12" t="n"/>
      <c r="K62" s="25" t="n"/>
    </row>
    <row r="63">
      <c r="A63" s="12" t="inlineStr">
        <is>
          <t>MSG-DM-059</t>
        </is>
      </c>
      <c r="B63" s="12" t="inlineStr">
        <is>
          <t>Extracts (SCR-DM-05)</t>
        </is>
      </c>
      <c r="C63" s="12" t="inlineStr">
        <is>
          <t>Server</t>
        </is>
      </c>
      <c r="D63" s="12" t="inlineStr">
        <is>
          <t>MIG_FILE_NAME</t>
        </is>
      </c>
      <c r="E63" s="12" t="inlineStr">
        <is>
          <t>The date in the file name is not a valid yyyyMMdd date</t>
        </is>
      </c>
      <c r="F63" s="12" t="inlineStr">
        <is>
          <t>Error</t>
        </is>
      </c>
      <c r="G63" s="12" t="inlineStr">
        <is>
          <t>Rename the file as &lt;LAYOUT&gt;_&lt;SOURCE&gt;_&lt;yyyyMMdd&gt;_&lt;nn&gt;.csv or .xlsx and upload it again.</t>
        </is>
      </c>
      <c r="H63" s="12" t="n"/>
      <c r="I63" s="12" t="n"/>
      <c r="J63" s="12" t="n"/>
      <c r="K63" s="25" t="n"/>
    </row>
    <row r="64">
      <c r="A64" s="12" t="inlineStr">
        <is>
          <t>MSG-DM-060</t>
        </is>
      </c>
      <c r="B64" s="12" t="inlineStr">
        <is>
          <t>Extracts (SCR-DM-05)</t>
        </is>
      </c>
      <c r="C64" s="12" t="inlineStr">
        <is>
          <t>Server</t>
        </is>
      </c>
      <c r="D64" s="12" t="inlineStr">
        <is>
          <t>MIG_FILE_OBJECT</t>
        </is>
      </c>
      <c r="E64" s="12" t="inlineStr">
        <is>
          <t>File layout &lt;layout&gt; belongs to object &lt;code&gt;, not &lt;expected object&gt;</t>
        </is>
      </c>
      <c r="F64" s="12" t="inlineStr">
        <is>
          <t>Error</t>
        </is>
      </c>
      <c r="G64" s="12" t="inlineStr">
        <is>
          <t>Use the layout code of the object in the file name.</t>
        </is>
      </c>
      <c r="H64" s="12" t="n"/>
      <c r="I64" s="12" t="n"/>
      <c r="J64" s="12" t="n"/>
      <c r="K64" s="25" t="n"/>
    </row>
    <row r="65">
      <c r="A65" s="12" t="inlineStr">
        <is>
          <t>MSG-DM-061</t>
        </is>
      </c>
      <c r="B65" s="12" t="inlineStr">
        <is>
          <t>Extracts (SCR-DM-05)</t>
        </is>
      </c>
      <c r="C65" s="12" t="inlineStr">
        <is>
          <t>Server</t>
        </is>
      </c>
      <c r="D65" s="12" t="inlineStr">
        <is>
          <t>MIG_FILE_SOURCE</t>
        </is>
      </c>
      <c r="E65" s="12" t="inlineStr">
        <is>
          <t>Source system &lt;source&gt; is not a source of object &lt;code&gt;</t>
        </is>
      </c>
      <c r="F65" s="12" t="inlineStr">
        <is>
          <t>Error</t>
        </is>
      </c>
      <c r="G65" s="12" t="inlineStr">
        <is>
          <t>Use a source system of the object in the file name, or ask the Data Migration Lead to add the source to the object.</t>
        </is>
      </c>
      <c r="H65" s="12" t="n"/>
      <c r="I65" s="12" t="n"/>
      <c r="J65" s="12" t="n"/>
      <c r="K65" s="25" t="n"/>
    </row>
    <row r="66">
      <c r="A66" s="12" t="inlineStr">
        <is>
          <t>MSG-DM-062</t>
        </is>
      </c>
      <c r="B66" s="12" t="inlineStr">
        <is>
          <t>Extracts (SCR-DM-05)</t>
        </is>
      </c>
      <c r="C66" s="12" t="inlineStr">
        <is>
          <t>Server</t>
        </is>
      </c>
      <c r="D66" s="12" t="inlineStr">
        <is>
          <t>MIG_MASKING_KEY</t>
        </is>
      </c>
      <c r="E66" s="12" t="inlineStr">
        <is>
          <t>The masking key of this environment is not configured; extracts cannot be staged</t>
        </is>
      </c>
      <c r="F66" s="12" t="inlineStr">
        <is>
          <t>Error</t>
        </is>
      </c>
      <c r="G66" s="12" t="inlineStr">
        <is>
          <t>Ask the infrastructure team to configure the masking key of the environment.</t>
        </is>
      </c>
      <c r="H66" s="12" t="n"/>
      <c r="I66" s="12" t="n"/>
      <c r="J66" s="12" t="n"/>
      <c r="K66" s="25" t="n"/>
    </row>
    <row r="67">
      <c r="A67" s="12" t="inlineStr">
        <is>
          <t>MSG-DM-063</t>
        </is>
      </c>
      <c r="B67" s="12" t="inlineStr">
        <is>
          <t>Extracts (SCR-DM-05)</t>
        </is>
      </c>
      <c r="C67" s="12" t="inlineStr">
        <is>
          <t>Server</t>
        </is>
      </c>
      <c r="D67" s="12" t="inlineStr">
        <is>
          <t>MIG_OBJECT_NOT_DECIDED</t>
        </is>
      </c>
      <c r="E67" s="12" t="inlineStr">
        <is>
          <t>Object &lt;code&gt; is not decided for migration; extracts cannot be received</t>
        </is>
      </c>
      <c r="F67" s="12" t="inlineStr">
        <is>
          <t>Error</t>
        </is>
      </c>
      <c r="G67" s="12" t="inlineStr">
        <is>
          <t>Ask the business owner to decide the object for migration first (gate G1).</t>
        </is>
      </c>
      <c r="H67" s="12" t="n"/>
      <c r="I67" s="12" t="n"/>
      <c r="J67" s="12" t="n"/>
      <c r="K67" s="25" t="n"/>
    </row>
    <row r="68">
      <c r="A68" s="12" t="inlineStr">
        <is>
          <t>MSG-DM-064</t>
        </is>
      </c>
      <c r="B68" s="12" t="inlineStr">
        <is>
          <t>Batches and resubmissions (SCR-DM-06)</t>
        </is>
      </c>
      <c r="C68" s="12" t="inlineStr">
        <is>
          <t>Screen</t>
        </is>
      </c>
      <c r="D68" s="12" t="inlineStr">
        <is>
          <t>-</t>
        </is>
      </c>
      <c r="E68" s="12" t="inlineStr">
        <is>
          <t>A rerun batch of the corrected rows is created for validation and load.</t>
        </is>
      </c>
      <c r="F68" s="12" t="inlineStr">
        <is>
          <t>Validation</t>
        </is>
      </c>
      <c r="G68" s="12" t="inlineStr">
        <is>
          <t>Confirm to go ahead, or cancel to leave the record as it is.</t>
        </is>
      </c>
      <c r="H68" s="12" t="n"/>
      <c r="I68" s="12" t="n"/>
      <c r="J68" s="12" t="n"/>
      <c r="K68" s="25" t="n"/>
    </row>
    <row r="69">
      <c r="A69" s="12" t="inlineStr">
        <is>
          <t>MSG-DM-065</t>
        </is>
      </c>
      <c r="B69" s="12" t="inlineStr">
        <is>
          <t>Batches and resubmissions (SCR-DM-06)</t>
        </is>
      </c>
      <c r="C69" s="12" t="inlineStr">
        <is>
          <t>Screen</t>
        </is>
      </c>
      <c r="D69" s="12" t="inlineStr">
        <is>
          <t>-</t>
        </is>
      </c>
      <c r="E69" s="12" t="inlineStr">
        <is>
          <t>Corrected rows</t>
        </is>
      </c>
      <c r="F69" s="12" t="inlineStr">
        <is>
          <t>Validation</t>
        </is>
      </c>
      <c r="G69" s="12" t="inlineStr">
        <is>
          <t>No action; the screen shows the change.</t>
        </is>
      </c>
      <c r="H69" s="12" t="n"/>
      <c r="I69" s="12" t="n"/>
      <c r="J69" s="12" t="n"/>
      <c r="K69" s="25" t="n"/>
    </row>
    <row r="70">
      <c r="A70" s="12" t="inlineStr">
        <is>
          <t>MSG-DM-066</t>
        </is>
      </c>
      <c r="B70" s="12" t="inlineStr">
        <is>
          <t>Batches and resubmissions (SCR-DM-06)</t>
        </is>
      </c>
      <c r="C70" s="12" t="inlineStr">
        <is>
          <t>Screen</t>
        </is>
      </c>
      <c r="D70" s="12" t="inlineStr">
        <is>
          <t>-</t>
        </is>
      </c>
      <c r="E70" s="12" t="inlineStr">
        <is>
          <t>No batch planned yet</t>
        </is>
      </c>
      <c r="F70" s="12" t="inlineStr">
        <is>
          <t>Information</t>
        </is>
      </c>
      <c r="G70" s="12" t="inlineStr">
        <is>
          <t>No action.</t>
        </is>
      </c>
      <c r="H70" s="12" t="n"/>
      <c r="I70" s="12" t="n"/>
      <c r="J70" s="12" t="n"/>
      <c r="K70" s="25" t="n"/>
    </row>
    <row r="71">
      <c r="A71" s="12" t="inlineStr">
        <is>
          <t>MSG-DM-067</t>
        </is>
      </c>
      <c r="B71" s="12" t="inlineStr">
        <is>
          <t>Batches and resubmissions (SCR-DM-06)</t>
        </is>
      </c>
      <c r="C71" s="12" t="inlineStr">
        <is>
          <t>Screen</t>
        </is>
      </c>
      <c r="D71" s="12" t="inlineStr">
        <is>
          <t>-</t>
        </is>
      </c>
      <c r="E71" s="12" t="inlineStr">
        <is>
          <t>No resubmission of corrected rows</t>
        </is>
      </c>
      <c r="F71" s="12" t="inlineStr">
        <is>
          <t>Information</t>
        </is>
      </c>
      <c r="G71" s="12" t="inlineStr">
        <is>
          <t>No action.</t>
        </is>
      </c>
      <c r="H71" s="12" t="n"/>
      <c r="I71" s="12" t="n"/>
      <c r="J71" s="12" t="n"/>
      <c r="K71" s="25" t="n"/>
    </row>
    <row r="72">
      <c r="A72" s="12" t="inlineStr">
        <is>
          <t>MSG-DM-068</t>
        </is>
      </c>
      <c r="B72" s="12" t="inlineStr">
        <is>
          <t>Batches and resubmissions (SCR-DM-06)</t>
        </is>
      </c>
      <c r="C72" s="12" t="inlineStr">
        <is>
          <t>Screen</t>
        </is>
      </c>
      <c r="D72" s="12" t="inlineStr">
        <is>
          <t>-</t>
        </is>
      </c>
      <c r="E72" s="12" t="inlineStr">
        <is>
          <t>The corrected rows go back to the maker.</t>
        </is>
      </c>
      <c r="F72" s="12" t="inlineStr">
        <is>
          <t>Validation</t>
        </is>
      </c>
      <c r="G72" s="12" t="inlineStr">
        <is>
          <t>Confirm to go ahead, or cancel to leave the record as it is.</t>
        </is>
      </c>
      <c r="H72" s="12" t="n"/>
      <c r="I72" s="12" t="n"/>
      <c r="J72" s="12" t="n"/>
      <c r="K72" s="25" t="n"/>
    </row>
    <row r="73">
      <c r="A73" s="12" t="inlineStr">
        <is>
          <t>MSG-DM-069</t>
        </is>
      </c>
      <c r="B73" s="12" t="inlineStr">
        <is>
          <t>Batches and resubmissions (SCR-DM-06)</t>
        </is>
      </c>
      <c r="C73" s="12" t="inlineStr">
        <is>
          <t>Server</t>
        </is>
      </c>
      <c r="D73" s="12" t="inlineStr">
        <is>
          <t>MAKER_CHECKER_VIOLATION</t>
        </is>
      </c>
      <c r="E73" s="12" t="inlineStr">
        <is>
          <t>A record cannot be authorized by the user who maintained it</t>
        </is>
      </c>
      <c r="F73" s="12" t="inlineStr">
        <is>
          <t>Error</t>
        </is>
      </c>
      <c r="G73" s="12" t="inlineStr">
        <is>
          <t>Ask another user with the approval right to approve; the maker, submitter or operator of the record cannot.</t>
        </is>
      </c>
      <c r="H73" s="12" t="n"/>
      <c r="I73" s="12" t="n"/>
      <c r="J73" s="12" t="n"/>
      <c r="K73" s="25" t="n"/>
    </row>
    <row r="74">
      <c r="A74" s="12" t="inlineStr">
        <is>
          <t>MSG-DM-070</t>
        </is>
      </c>
      <c r="B74" s="12" t="inlineStr">
        <is>
          <t>Batches and resubmissions (SCR-DM-06)</t>
        </is>
      </c>
      <c r="C74" s="12" t="inlineStr">
        <is>
          <t>Server</t>
        </is>
      </c>
      <c r="D74" s="12" t="inlineStr">
        <is>
          <t>MIG_ASOF_MISMATCH</t>
        </is>
      </c>
      <c r="E74" s="12" t="inlineStr">
        <is>
          <t>The extracts of a batch must have the same as-of date: &lt;days&gt;</t>
        </is>
      </c>
      <c r="F74" s="12" t="inlineStr">
        <is>
          <t>Error</t>
        </is>
      </c>
      <c r="G74" s="12" t="inlineStr">
        <is>
          <t>Plan the batch with extracts of the same as-of date.</t>
        </is>
      </c>
      <c r="H74" s="12" t="n"/>
      <c r="I74" s="12" t="n"/>
      <c r="J74" s="12" t="n"/>
      <c r="K74" s="25" t="n"/>
    </row>
    <row r="75">
      <c r="A75" s="12" t="inlineStr">
        <is>
          <t>MSG-DM-071</t>
        </is>
      </c>
      <c r="B75" s="12" t="inlineStr">
        <is>
          <t>Batches and resubmissions (SCR-DM-06)</t>
        </is>
      </c>
      <c r="C75" s="12" t="inlineStr">
        <is>
          <t>Server</t>
        </is>
      </c>
      <c r="D75" s="12" t="inlineStr">
        <is>
          <t>MIG_EXTRACT_NOT_STAGED</t>
        </is>
      </c>
      <c r="E75" s="12" t="inlineStr">
        <is>
          <t>Extract &lt;extract no&gt; is not a staged extract of object &lt;code&gt;</t>
        </is>
      </c>
      <c r="F75" s="12" t="inlineStr">
        <is>
          <t>Error</t>
        </is>
      </c>
      <c r="G75" s="12" t="inlineStr">
        <is>
          <t>Choose a staged extract of the object.</t>
        </is>
      </c>
      <c r="H75" s="12" t="n"/>
      <c r="I75" s="12" t="n"/>
      <c r="J75" s="12" t="n"/>
      <c r="K75" s="25" t="n"/>
    </row>
    <row r="76">
      <c r="A76" s="12" t="inlineStr">
        <is>
          <t>MSG-DM-072</t>
        </is>
      </c>
      <c r="B76" s="12" t="inlineStr">
        <is>
          <t>Batches and resubmissions (SCR-DM-06)</t>
        </is>
      </c>
      <c r="C76" s="12" t="inlineStr">
        <is>
          <t>Server</t>
        </is>
      </c>
      <c r="D76" s="12" t="inlineStr">
        <is>
          <t>MIG_EXTRACT_USED</t>
        </is>
      </c>
      <c r="E76" s="12" t="inlineStr">
        <is>
          <t>Extract &lt;extract no&gt; is already in a batch</t>
        </is>
      </c>
      <c r="F76" s="12" t="inlineStr">
        <is>
          <t>Error</t>
        </is>
      </c>
      <c r="G76" s="12" t="inlineStr">
        <is>
          <t>Choose an extract that is not in another batch.</t>
        </is>
      </c>
      <c r="H76" s="12" t="n"/>
      <c r="I76" s="12" t="n"/>
      <c r="J76" s="12" t="n"/>
      <c r="K76" s="25" t="n"/>
    </row>
    <row r="77">
      <c r="A77" s="12" t="inlineStr">
        <is>
          <t>MSG-DM-073</t>
        </is>
      </c>
      <c r="B77" s="12" t="inlineStr">
        <is>
          <t>Batches and resubmissions (SCR-DM-06)</t>
        </is>
      </c>
      <c r="C77" s="12" t="inlineStr">
        <is>
          <t>Server</t>
        </is>
      </c>
      <c r="D77" s="12" t="inlineStr">
        <is>
          <t>MIG_NOTHING_TO_RERUN</t>
        </is>
      </c>
      <c r="E77" s="12" t="inlineStr">
        <is>
          <t>Batch &lt;batch no&gt; has no rejected rows to load again</t>
        </is>
      </c>
      <c r="F77" s="12" t="inlineStr">
        <is>
          <t>Error</t>
        </is>
      </c>
      <c r="G77" s="12" t="inlineStr">
        <is>
          <t>No action; the batch has no rejected rows.</t>
        </is>
      </c>
      <c r="H77" s="12" t="n"/>
      <c r="I77" s="12" t="n"/>
      <c r="J77" s="12" t="n"/>
      <c r="K77" s="25" t="n"/>
    </row>
    <row r="78">
      <c r="A78" s="12" t="inlineStr">
        <is>
          <t>MSG-DM-074</t>
        </is>
      </c>
      <c r="B78" s="12" t="inlineStr">
        <is>
          <t>Batches and resubmissions (SCR-DM-06)</t>
        </is>
      </c>
      <c r="C78" s="12" t="inlineStr">
        <is>
          <t>Server</t>
        </is>
      </c>
      <c r="D78" s="12" t="inlineStr">
        <is>
          <t>MIG_NO_EXTRACT</t>
        </is>
      </c>
      <c r="E78" s="12" t="inlineStr">
        <is>
          <t>Object &lt;code&gt; has no staged extract to load</t>
        </is>
      </c>
      <c r="F78" s="12" t="inlineStr">
        <is>
          <t>Error</t>
        </is>
      </c>
      <c r="G78" s="12" t="inlineStr">
        <is>
          <t>Upload and stage an extract of the object first.</t>
        </is>
      </c>
      <c r="H78" s="12" t="n"/>
      <c r="I78" s="12" t="n"/>
      <c r="J78" s="12" t="n"/>
      <c r="K78" s="25" t="n"/>
    </row>
    <row r="79">
      <c r="A79" s="12" t="inlineStr">
        <is>
          <t>MSG-DM-075</t>
        </is>
      </c>
      <c r="B79" s="12" t="inlineStr">
        <is>
          <t>Batches and resubmissions (SCR-DM-06)</t>
        </is>
      </c>
      <c r="C79" s="12" t="inlineStr">
        <is>
          <t>Server</t>
        </is>
      </c>
      <c r="D79" s="12" t="inlineStr">
        <is>
          <t>MIG_OBJECT_NOT_LOADABLE</t>
        </is>
      </c>
      <c r="E79" s="12" t="inlineStr">
        <is>
          <t>Object &lt;object code&gt; is not decided as Migrate, Carry-forward or Archive</t>
        </is>
      </c>
      <c r="F79" s="12" t="inlineStr">
        <is>
          <t>Error</t>
        </is>
      </c>
      <c r="G79" s="12" t="inlineStr">
        <is>
          <t>Choose an object decided as Migrate, Carry forward or Archive.</t>
        </is>
      </c>
      <c r="H79" s="12" t="n"/>
      <c r="I79" s="12" t="n"/>
      <c r="J79" s="12" t="n"/>
      <c r="K79" s="25" t="n"/>
    </row>
    <row r="80">
      <c r="A80" s="12" t="inlineStr">
        <is>
          <t>MSG-DM-076</t>
        </is>
      </c>
      <c r="B80" s="12" t="inlineStr">
        <is>
          <t>Batches and resubmissions (SCR-DM-06)</t>
        </is>
      </c>
      <c r="C80" s="12" t="inlineStr">
        <is>
          <t>Server</t>
        </is>
      </c>
      <c r="D80" s="12" t="inlineStr">
        <is>
          <t>MIG_REASON_REQUIRED</t>
        </is>
      </c>
      <c r="E80" s="12" t="inlineStr">
        <is>
          <t>Enter the reason for the return</t>
        </is>
      </c>
      <c r="F80" s="12" t="inlineStr">
        <is>
          <t>Error</t>
        </is>
      </c>
      <c r="G80" s="12" t="inlineStr">
        <is>
          <t>Enter the reason for the return.</t>
        </is>
      </c>
      <c r="H80" s="12" t="n"/>
      <c r="I80" s="12" t="n"/>
      <c r="J80" s="12" t="n"/>
      <c r="K80" s="25" t="n"/>
    </row>
    <row r="81">
      <c r="A81" s="12" t="inlineStr">
        <is>
          <t>MSG-DM-077</t>
        </is>
      </c>
      <c r="B81" s="12" t="inlineStr">
        <is>
          <t>Batches and resubmissions (SCR-DM-06)</t>
        </is>
      </c>
      <c r="C81" s="12" t="inlineStr">
        <is>
          <t>Server</t>
        </is>
      </c>
      <c r="D81" s="12" t="inlineStr">
        <is>
          <t>MIG_RESUBMISSION_DECIDED</t>
        </is>
      </c>
      <c r="E81" s="12" t="inlineStr">
        <is>
          <t>Resubmission &lt;resubmission no&gt; is already decided</t>
        </is>
      </c>
      <c r="F81" s="12" t="inlineStr">
        <is>
          <t>Error</t>
        </is>
      </c>
      <c r="G81" s="12" t="inlineStr">
        <is>
          <t>No action; refresh the list.</t>
        </is>
      </c>
      <c r="H81" s="12" t="n"/>
      <c r="I81" s="12" t="n"/>
      <c r="J81" s="12" t="n"/>
      <c r="K81" s="25" t="n"/>
    </row>
    <row r="82">
      <c r="A82" s="12" t="inlineStr">
        <is>
          <t>MSG-DM-078</t>
        </is>
      </c>
      <c r="B82" s="12" t="inlineStr">
        <is>
          <t>Batches and resubmissions (SCR-DM-06)</t>
        </is>
      </c>
      <c r="C82" s="12" t="inlineStr">
        <is>
          <t>Server</t>
        </is>
      </c>
      <c r="D82" s="12" t="inlineStr">
        <is>
          <t>MIG_RESUBMISSION_EXTRACT</t>
        </is>
      </c>
      <c r="E82" s="12" t="inlineStr">
        <is>
          <t>Extract &lt;extract no&gt; is not a staged extract of object &lt;object code&gt;</t>
        </is>
      </c>
      <c r="F82" s="12" t="inlineStr">
        <is>
          <t>Error</t>
        </is>
      </c>
      <c r="G82" s="12" t="inlineStr">
        <is>
          <t>Upload the corrected rows as an extract of the same object, then prepare the resubmission.</t>
        </is>
      </c>
      <c r="H82" s="12" t="n"/>
      <c r="I82" s="12" t="n"/>
      <c r="J82" s="12" t="n"/>
      <c r="K82" s="25" t="n"/>
    </row>
    <row r="83">
      <c r="A83" s="12" t="inlineStr">
        <is>
          <t>MSG-DM-079</t>
        </is>
      </c>
      <c r="B83" s="12" t="inlineStr">
        <is>
          <t>Batches and resubmissions (SCR-DM-06)</t>
        </is>
      </c>
      <c r="C83" s="12" t="inlineStr">
        <is>
          <t>Server</t>
        </is>
      </c>
      <c r="D83" s="12" t="inlineStr">
        <is>
          <t>MIG_RESUBMIT_DEADLINE</t>
        </is>
      </c>
      <c r="E83" s="12" t="inlineStr">
        <is>
          <t>Resubmissions were accepted until &lt;resubmit deadline&gt;</t>
        </is>
      </c>
      <c r="F83" s="12" t="inlineStr">
        <is>
          <t>Error</t>
        </is>
      </c>
      <c r="G83" s="12" t="inlineStr">
        <is>
          <t>No action; rows still rejected are checked against the tracker before any renewal advice is sent.</t>
        </is>
      </c>
      <c r="H83" s="12" t="n"/>
      <c r="I83" s="12" t="n"/>
      <c r="J83" s="12" t="n"/>
      <c r="K83" s="25" t="n"/>
    </row>
    <row r="84">
      <c r="A84" s="12" t="inlineStr">
        <is>
          <t>MSG-DM-080</t>
        </is>
      </c>
      <c r="B84" s="12" t="inlineStr">
        <is>
          <t>Batch (SCR-DM-07)</t>
        </is>
      </c>
      <c r="C84" s="12" t="inlineStr">
        <is>
          <t>Screen</t>
        </is>
      </c>
      <c r="D84" s="12" t="inlineStr">
        <is>
          <t>-</t>
        </is>
      </c>
      <c r="E84" s="12" t="inlineStr">
        <is>
          <t>A new batch is planned with the rejected rows for validation and load.</t>
        </is>
      </c>
      <c r="F84" s="12" t="inlineStr">
        <is>
          <t>Validation</t>
        </is>
      </c>
      <c r="G84" s="12" t="inlineStr">
        <is>
          <t>Confirm to go ahead, or cancel to leave the record as it is.</t>
        </is>
      </c>
      <c r="H84" s="12" t="n"/>
      <c r="I84" s="12" t="n"/>
      <c r="J84" s="12" t="n"/>
      <c r="K84" s="25" t="n"/>
    </row>
    <row r="85">
      <c r="A85" s="12" t="inlineStr">
        <is>
          <t>MSG-DM-081</t>
        </is>
      </c>
      <c r="B85" s="12" t="inlineStr">
        <is>
          <t>Batch (SCR-DM-07)</t>
        </is>
      </c>
      <c r="C85" s="12" t="inlineStr">
        <is>
          <t>Screen</t>
        </is>
      </c>
      <c r="D85" s="12" t="inlineStr">
        <is>
          <t>-</t>
        </is>
      </c>
      <c r="E85" s="12" t="inlineStr">
        <is>
          <t>No data-quality issue</t>
        </is>
      </c>
      <c r="F85" s="12" t="inlineStr">
        <is>
          <t>Information</t>
        </is>
      </c>
      <c r="G85" s="12" t="inlineStr">
        <is>
          <t>No action.</t>
        </is>
      </c>
      <c r="H85" s="12" t="n"/>
      <c r="I85" s="12" t="n"/>
      <c r="J85" s="12" t="n"/>
      <c r="K85" s="25" t="n"/>
    </row>
    <row r="86">
      <c r="A86" s="12" t="inlineStr">
        <is>
          <t>MSG-DM-082</t>
        </is>
      </c>
      <c r="B86" s="12" t="inlineStr">
        <is>
          <t>Batch (SCR-DM-07)</t>
        </is>
      </c>
      <c r="C86" s="12" t="inlineStr">
        <is>
          <t>Screen</t>
        </is>
      </c>
      <c r="D86" s="12" t="inlineStr">
        <is>
          <t>-</t>
        </is>
      </c>
      <c r="E86" s="12" t="inlineStr">
        <is>
          <t>No gate signed on this batch</t>
        </is>
      </c>
      <c r="F86" s="12" t="inlineStr">
        <is>
          <t>Information</t>
        </is>
      </c>
      <c r="G86" s="12" t="inlineStr">
        <is>
          <t>No action.</t>
        </is>
      </c>
      <c r="H86" s="12" t="n"/>
      <c r="I86" s="12" t="n"/>
      <c r="J86" s="12" t="n"/>
      <c r="K86" s="25" t="n"/>
    </row>
    <row r="87">
      <c r="A87" s="12" t="inlineStr">
        <is>
          <t>MSG-DM-083</t>
        </is>
      </c>
      <c r="B87" s="12" t="inlineStr">
        <is>
          <t>Batch (SCR-DM-07)</t>
        </is>
      </c>
      <c r="C87" s="12" t="inlineStr">
        <is>
          <t>Screen</t>
        </is>
      </c>
      <c r="D87" s="12" t="inlineStr">
        <is>
          <t>-</t>
        </is>
      </c>
      <c r="E87" s="12" t="inlineStr">
        <is>
          <t>No log line</t>
        </is>
      </c>
      <c r="F87" s="12" t="inlineStr">
        <is>
          <t>Information</t>
        </is>
      </c>
      <c r="G87" s="12" t="inlineStr">
        <is>
          <t>No action.</t>
        </is>
      </c>
      <c r="H87" s="12" t="n"/>
      <c r="I87" s="12" t="n"/>
      <c r="J87" s="12" t="n"/>
      <c r="K87" s="25" t="n"/>
    </row>
    <row r="88">
      <c r="A88" s="12" t="inlineStr">
        <is>
          <t>MSG-DM-084</t>
        </is>
      </c>
      <c r="B88" s="12" t="inlineStr">
        <is>
          <t>Batch (SCR-DM-07)</t>
        </is>
      </c>
      <c r="C88" s="12" t="inlineStr">
        <is>
          <t>Screen</t>
        </is>
      </c>
      <c r="D88" s="12" t="inlineStr">
        <is>
          <t>-</t>
        </is>
      </c>
      <c r="E88" s="12" t="inlineStr">
        <is>
          <t>No row</t>
        </is>
      </c>
      <c r="F88" s="12" t="inlineStr">
        <is>
          <t>Information</t>
        </is>
      </c>
      <c r="G88" s="12" t="inlineStr">
        <is>
          <t>No action.</t>
        </is>
      </c>
      <c r="H88" s="12" t="n"/>
      <c r="I88" s="12" t="n"/>
      <c r="J88" s="12" t="n"/>
      <c r="K88" s="25" t="n"/>
    </row>
    <row r="89">
      <c r="A89" s="12" t="inlineStr">
        <is>
          <t>MSG-DM-085</t>
        </is>
      </c>
      <c r="B89" s="12" t="inlineStr">
        <is>
          <t>Batch (SCR-DM-07)</t>
        </is>
      </c>
      <c r="C89" s="12" t="inlineStr">
        <is>
          <t>Screen</t>
        </is>
      </c>
      <c r="D89" s="12" t="inlineStr">
        <is>
          <t>-</t>
        </is>
      </c>
      <c r="E89" s="12" t="inlineStr">
        <is>
          <t>Record the fix of issue &lt;rule code&gt;</t>
        </is>
      </c>
      <c r="F89" s="12" t="inlineStr">
        <is>
          <t>Validation</t>
        </is>
      </c>
      <c r="G89" s="12" t="inlineStr">
        <is>
          <t>Record the fix of issue &lt;rule code&gt;.</t>
        </is>
      </c>
      <c r="H89" s="12" t="n"/>
      <c r="I89" s="12" t="n"/>
      <c r="J89" s="12" t="n"/>
      <c r="K89" s="25" t="n"/>
    </row>
    <row r="90">
      <c r="A90" s="12" t="inlineStr">
        <is>
          <t>MSG-DM-086</t>
        </is>
      </c>
      <c r="B90" s="12" t="inlineStr">
        <is>
          <t>Batch (SCR-DM-07)</t>
        </is>
      </c>
      <c r="C90" s="12" t="inlineStr">
        <is>
          <t>Screen</t>
        </is>
      </c>
      <c r="D90" s="12" t="inlineStr">
        <is>
          <t>-</t>
        </is>
      </c>
      <c r="E90" s="12" t="inlineStr">
        <is>
          <t>The batch stays loaded.</t>
        </is>
      </c>
      <c r="F90" s="12" t="inlineStr">
        <is>
          <t>Validation</t>
        </is>
      </c>
      <c r="G90" s="12" t="inlineStr">
        <is>
          <t>Confirm to go ahead, or cancel to leave the record as it is.</t>
        </is>
      </c>
      <c r="H90" s="12" t="n"/>
      <c r="I90" s="12" t="n"/>
      <c r="J90" s="12" t="n"/>
      <c r="K90" s="25" t="n"/>
    </row>
    <row r="91">
      <c r="A91" s="12" t="inlineStr">
        <is>
          <t>MSG-DM-087</t>
        </is>
      </c>
      <c r="B91" s="12" t="inlineStr">
        <is>
          <t>Batch (SCR-DM-07)</t>
        </is>
      </c>
      <c r="C91" s="12" t="inlineStr">
        <is>
          <t>Screen</t>
        </is>
      </c>
      <c r="D91" s="12" t="inlineStr">
        <is>
          <t>-</t>
        </is>
      </c>
      <c r="E91" s="12" t="inlineStr">
        <is>
          <t>The legacy source is corrected; the next extract carries the fixed value.</t>
        </is>
      </c>
      <c r="F91" s="12" t="inlineStr">
        <is>
          <t>Validation</t>
        </is>
      </c>
      <c r="G91" s="12" t="inlineStr">
        <is>
          <t>Confirm to go ahead, or cancel to leave the record as it is.</t>
        </is>
      </c>
      <c r="H91" s="12" t="n"/>
      <c r="I91" s="12" t="n"/>
      <c r="J91" s="12" t="n"/>
      <c r="K91" s="25" t="n"/>
    </row>
    <row r="92">
      <c r="A92" s="12" t="inlineStr">
        <is>
          <t>MSG-DM-088</t>
        </is>
      </c>
      <c r="B92" s="12" t="inlineStr">
        <is>
          <t>Batch (SCR-DM-07)</t>
        </is>
      </c>
      <c r="C92" s="12" t="inlineStr">
        <is>
          <t>Screen</t>
        </is>
      </c>
      <c r="D92" s="12" t="inlineStr">
        <is>
          <t>-</t>
        </is>
      </c>
      <c r="E92" s="12" t="inlineStr">
        <is>
          <t>The records loaded by this batch are undone now.</t>
        </is>
      </c>
      <c r="F92" s="12" t="inlineStr">
        <is>
          <t>Validation</t>
        </is>
      </c>
      <c r="G92" s="12" t="inlineStr">
        <is>
          <t>Confirm to go ahead, or cancel to leave the record as it is.</t>
        </is>
      </c>
      <c r="H92" s="12" t="n"/>
      <c r="I92" s="12" t="n"/>
      <c r="J92" s="12" t="n"/>
      <c r="K92" s="25" t="n"/>
    </row>
    <row r="93">
      <c r="A93" s="12" t="inlineStr">
        <is>
          <t>MSG-DM-089</t>
        </is>
      </c>
      <c r="B93" s="12" t="inlineStr">
        <is>
          <t>Batch (SCR-DM-07)</t>
        </is>
      </c>
      <c r="C93" s="12" t="inlineStr">
        <is>
          <t>Screen</t>
        </is>
      </c>
      <c r="D93" s="12" t="inlineStr">
        <is>
          <t>-</t>
        </is>
      </c>
      <c r="E93" s="12" t="inlineStr">
        <is>
          <t>The rows are mapped with the approved code maps and checked against the data-quality rules.</t>
        </is>
      </c>
      <c r="F93" s="12" t="inlineStr">
        <is>
          <t>Validation</t>
        </is>
      </c>
      <c r="G93" s="12" t="inlineStr">
        <is>
          <t>Confirm to go ahead, or cancel to leave the record as it is.</t>
        </is>
      </c>
      <c r="H93" s="12" t="n"/>
      <c r="I93" s="12" t="n"/>
      <c r="J93" s="12" t="n"/>
      <c r="K93" s="25" t="n"/>
    </row>
    <row r="94">
      <c r="A94" s="12" t="inlineStr">
        <is>
          <t>MSG-DM-090</t>
        </is>
      </c>
      <c r="B94" s="12" t="inlineStr">
        <is>
          <t>Batch (SCR-DM-07)</t>
        </is>
      </c>
      <c r="C94" s="12" t="inlineStr">
        <is>
          <t>Screen</t>
        </is>
      </c>
      <c r="D94" s="12" t="inlineStr">
        <is>
          <t>-</t>
        </is>
      </c>
      <c r="E94" s="12" t="inlineStr">
        <is>
          <t>The valid rows are loaded through the BIBS services, without notifications or outbound events, and the batch is reconciled.</t>
        </is>
      </c>
      <c r="F94" s="12" t="inlineStr">
        <is>
          <t>Validation</t>
        </is>
      </c>
      <c r="G94" s="12" t="inlineStr">
        <is>
          <t>Confirm to go ahead, or cancel to leave the record as it is.</t>
        </is>
      </c>
      <c r="H94" s="12" t="n"/>
      <c r="I94" s="12" t="n"/>
      <c r="J94" s="12" t="n"/>
      <c r="K94" s="25" t="n"/>
    </row>
    <row r="95">
      <c r="A95" s="12" t="inlineStr">
        <is>
          <t>MSG-DM-091</t>
        </is>
      </c>
      <c r="B95" s="12" t="inlineStr">
        <is>
          <t>Batch (SCR-DM-07)</t>
        </is>
      </c>
      <c r="C95" s="12" t="inlineStr">
        <is>
          <t>Server</t>
        </is>
      </c>
      <c r="D95" s="12" t="inlineStr">
        <is>
          <t>MAKER_CHECKER_VIOLATION</t>
        </is>
      </c>
      <c r="E95" s="12" t="inlineStr">
        <is>
          <t>A record cannot be authorized by the user who maintained it</t>
        </is>
      </c>
      <c r="F95" s="12" t="inlineStr">
        <is>
          <t>Error</t>
        </is>
      </c>
      <c r="G95" s="12" t="inlineStr">
        <is>
          <t>Ask another user with the approval right to approve; the maker, submitter or operator of the record cannot.</t>
        </is>
      </c>
      <c r="H95" s="12" t="n"/>
      <c r="I95" s="12" t="n"/>
      <c r="J95" s="12" t="n"/>
      <c r="K95" s="25" t="n"/>
    </row>
    <row r="96">
      <c r="A96" s="12" t="inlineStr">
        <is>
          <t>MSG-DM-092</t>
        </is>
      </c>
      <c r="B96" s="12" t="inlineStr">
        <is>
          <t>Batch (SCR-DM-07)</t>
        </is>
      </c>
      <c r="C96" s="12" t="inlineStr">
        <is>
          <t>Server</t>
        </is>
      </c>
      <c r="D96" s="12" t="inlineStr">
        <is>
          <t>MIG_BATCH_STATUS</t>
        </is>
      </c>
      <c r="E96" s="12" t="inlineStr">
        <is>
          <t>Batch &lt;batch no&gt; is &lt;status&gt;; it cannot be &lt;action&gt;</t>
        </is>
      </c>
      <c r="F96" s="12" t="inlineStr">
        <is>
          <t>Error</t>
        </is>
      </c>
      <c r="G96" s="12" t="inlineStr">
        <is>
          <t>Refresh the batch; the action is not allowed in its current status.</t>
        </is>
      </c>
      <c r="H96" s="12" t="n"/>
      <c r="I96" s="12" t="n"/>
      <c r="J96" s="12" t="n"/>
      <c r="K96" s="25" t="n"/>
    </row>
    <row r="97">
      <c r="A97" s="12" t="inlineStr">
        <is>
          <t>MSG-DM-093</t>
        </is>
      </c>
      <c r="B97" s="12" t="inlineStr">
        <is>
          <t>Batch (SCR-DM-07)</t>
        </is>
      </c>
      <c r="C97" s="12" t="inlineStr">
        <is>
          <t>Server</t>
        </is>
      </c>
      <c r="D97" s="12" t="inlineStr">
        <is>
          <t>MIG_BATCH_STATUS</t>
        </is>
      </c>
      <c r="E97" s="12" t="inlineStr">
        <is>
          <t>Batch &lt;batch no&gt; is &lt;status&gt;; it cannot be rolled back</t>
        </is>
      </c>
      <c r="F97" s="12" t="inlineStr">
        <is>
          <t>Error</t>
        </is>
      </c>
      <c r="G97" s="12" t="inlineStr">
        <is>
          <t>Refresh the batch; the action is not allowed in its current status.</t>
        </is>
      </c>
      <c r="H97" s="12" t="n"/>
      <c r="I97" s="12" t="n"/>
      <c r="J97" s="12" t="n"/>
      <c r="K97" s="25" t="n"/>
    </row>
    <row r="98">
      <c r="A98" s="12" t="inlineStr">
        <is>
          <t>MSG-DM-094</t>
        </is>
      </c>
      <c r="B98" s="12" t="inlineStr">
        <is>
          <t>Batch (SCR-DM-07)</t>
        </is>
      </c>
      <c r="C98" s="12" t="inlineStr">
        <is>
          <t>Server</t>
        </is>
      </c>
      <c r="D98" s="12" t="inlineStr">
        <is>
          <t>MIG_DEPENDENCY_NOT_ACCEPTED</t>
        </is>
      </c>
      <c r="E98" s="12" t="inlineStr">
        <is>
          <t>Object &lt;dep&gt; must be accepted before this object can load</t>
        </is>
      </c>
      <c r="F98" s="12" t="inlineStr">
        <is>
          <t>Error</t>
        </is>
      </c>
      <c r="G98" s="12" t="inlineStr">
        <is>
          <t>Accept the objects this object depends on first.</t>
        </is>
      </c>
      <c r="H98" s="12" t="n"/>
      <c r="I98" s="12" t="n"/>
      <c r="J98" s="12" t="n"/>
      <c r="K98" s="25" t="n"/>
    </row>
    <row r="99">
      <c r="A99" s="12" t="inlineStr">
        <is>
          <t>MSG-DM-095</t>
        </is>
      </c>
      <c r="B99" s="12" t="inlineStr">
        <is>
          <t>Batch (SCR-DM-07)</t>
        </is>
      </c>
      <c r="C99" s="12" t="inlineStr">
        <is>
          <t>Server</t>
        </is>
      </c>
      <c r="D99" s="12" t="inlineStr">
        <is>
          <t>MIG_ERROR_RATE</t>
        </is>
      </c>
      <c r="E99" s="12" t="inlineStr">
        <is>
          <t>&lt;to plain string&gt; percent of rows have errors; the limit for this object is &lt;to plain string&gt; percent</t>
        </is>
      </c>
      <c r="F99" s="12" t="inlineStr">
        <is>
          <t>Error</t>
        </is>
      </c>
      <c r="G99" s="12" t="inlineStr">
        <is>
          <t>Fix the failing rows at source, map the codes, or ask the data owner to waive or exclude rows, then validate again.</t>
        </is>
      </c>
      <c r="H99" s="12" t="n"/>
      <c r="I99" s="12" t="n"/>
      <c r="J99" s="12" t="n"/>
      <c r="K99" s="25" t="n"/>
    </row>
    <row r="100">
      <c r="A100" s="12" t="inlineStr">
        <is>
          <t>MSG-DM-096</t>
        </is>
      </c>
      <c r="B100" s="12" t="inlineStr">
        <is>
          <t>Batch (SCR-DM-07)</t>
        </is>
      </c>
      <c r="C100" s="12" t="inlineStr">
        <is>
          <t>Server</t>
        </is>
      </c>
      <c r="D100" s="12" t="inlineStr">
        <is>
          <t>MIG_GATE_ORDER</t>
        </is>
      </c>
      <c r="E100" s="12" t="inlineStr">
        <is>
          <t>Sign gate &lt;gate&gt; (&lt;label&gt;) first</t>
        </is>
      </c>
      <c r="F100" s="12" t="inlineStr">
        <is>
          <t>Error</t>
        </is>
      </c>
      <c r="G100" s="12" t="inlineStr">
        <is>
          <t>Sign the gates in order.</t>
        </is>
      </c>
      <c r="H100" s="12" t="n"/>
      <c r="I100" s="12" t="n"/>
      <c r="J100" s="12" t="n"/>
      <c r="K100" s="25" t="n"/>
    </row>
    <row r="101">
      <c r="A101" s="12" t="inlineStr">
        <is>
          <t>MSG-DM-097</t>
        </is>
      </c>
      <c r="B101" s="12" t="inlineStr">
        <is>
          <t>Batch (SCR-DM-07)</t>
        </is>
      </c>
      <c r="C101" s="12" t="inlineStr">
        <is>
          <t>Server</t>
        </is>
      </c>
      <c r="D101" s="12" t="inlineStr">
        <is>
          <t>MIG_GATE_ROLE</t>
        </is>
      </c>
      <c r="E101" s="12" t="inlineStr">
        <is>
          <t>Accept the object as data owner or Data Migration Lead</t>
        </is>
      </c>
      <c r="F101" s="12" t="inlineStr">
        <is>
          <t>Error</t>
        </is>
      </c>
      <c r="G101" s="12" t="inlineStr">
        <is>
          <t>Ask a user who holds the role of the gate.</t>
        </is>
      </c>
      <c r="H101" s="12" t="n"/>
      <c r="I101" s="12" t="n"/>
      <c r="J101" s="12" t="n"/>
      <c r="K101" s="25" t="n"/>
    </row>
    <row r="102">
      <c r="A102" s="12" t="inlineStr">
        <is>
          <t>MSG-DM-098</t>
        </is>
      </c>
      <c r="B102" s="12" t="inlineStr">
        <is>
          <t>Batch (SCR-DM-07)</t>
        </is>
      </c>
      <c r="C102" s="12" t="inlineStr">
        <is>
          <t>Server</t>
        </is>
      </c>
      <c r="D102" s="12" t="inlineStr">
        <is>
          <t>MIG_GATE_ROLE</t>
        </is>
      </c>
      <c r="E102" s="12" t="inlineStr">
        <is>
          <t>This gate is signed in the role &lt;role&gt;, which you do not hold</t>
        </is>
      </c>
      <c r="F102" s="12" t="inlineStr">
        <is>
          <t>Error</t>
        </is>
      </c>
      <c r="G102" s="12" t="inlineStr">
        <is>
          <t>Ask a user who holds the role of the gate.</t>
        </is>
      </c>
      <c r="H102" s="12" t="n"/>
      <c r="I102" s="12" t="n"/>
      <c r="J102" s="12" t="n"/>
      <c r="K102" s="25" t="n"/>
    </row>
    <row r="103">
      <c r="A103" s="12" t="inlineStr">
        <is>
          <t>MSG-DM-099</t>
        </is>
      </c>
      <c r="B103" s="12" t="inlineStr">
        <is>
          <t>Batch (SCR-DM-07)</t>
        </is>
      </c>
      <c r="C103" s="12" t="inlineStr">
        <is>
          <t>Server</t>
        </is>
      </c>
      <c r="D103" s="12" t="inlineStr">
        <is>
          <t>MIG_GATE_SIGNED</t>
        </is>
      </c>
      <c r="E103" s="12" t="inlineStr">
        <is>
          <t>You have already signed gate &lt;gate&gt; of this batch</t>
        </is>
      </c>
      <c r="F103" s="12" t="inlineStr">
        <is>
          <t>Error</t>
        </is>
      </c>
      <c r="G103" s="12" t="inlineStr">
        <is>
          <t>Ask another signer; one person signs one gate of a batch.</t>
        </is>
      </c>
      <c r="H103" s="12" t="n"/>
      <c r="I103" s="12" t="n"/>
      <c r="J103" s="12" t="n"/>
      <c r="K103" s="25" t="n"/>
    </row>
    <row r="104">
      <c r="A104" s="12" t="inlineStr">
        <is>
          <t>MSG-DM-100</t>
        </is>
      </c>
      <c r="B104" s="12" t="inlineStr">
        <is>
          <t>Batch (SCR-DM-07)</t>
        </is>
      </c>
      <c r="C104" s="12" t="inlineStr">
        <is>
          <t>Server</t>
        </is>
      </c>
      <c r="D104" s="12" t="inlineStr">
        <is>
          <t>MIG_LAYOUT_NOT_FROZEN</t>
        </is>
      </c>
      <c r="E104" s="12" t="inlineStr">
        <is>
          <t>Freeze the layouts of object &lt;object code&gt; before signing the mapping</t>
        </is>
      </c>
      <c r="F104" s="12" t="inlineStr">
        <is>
          <t>Error</t>
        </is>
      </c>
      <c r="G104" s="12" t="inlineStr">
        <is>
          <t>Ask the Data Steward to freeze the layouts of the object on Layouts and Rules first.</t>
        </is>
      </c>
      <c r="H104" s="12" t="n"/>
      <c r="I104" s="12" t="n"/>
      <c r="J104" s="12" t="n"/>
      <c r="K104" s="25" t="n"/>
    </row>
    <row r="105">
      <c r="A105" s="12" t="inlineStr">
        <is>
          <t>MSG-DM-101</t>
        </is>
      </c>
      <c r="B105" s="12" t="inlineStr">
        <is>
          <t>Batch (SCR-DM-07)</t>
        </is>
      </c>
      <c r="C105" s="12" t="inlineStr">
        <is>
          <t>Server</t>
        </is>
      </c>
      <c r="D105" s="12" t="inlineStr">
        <is>
          <t>MIG_LOAD_RUNNING</t>
        </is>
      </c>
      <c r="E105" s="12" t="inlineStr">
        <is>
          <t>Another batch of object &lt;object code&gt; is loading</t>
        </is>
      </c>
      <c r="F105" s="12" t="inlineStr">
        <is>
          <t>Error</t>
        </is>
      </c>
      <c r="G105" s="12" t="inlineStr">
        <is>
          <t>Wait until the other batch of the object has loaded.</t>
        </is>
      </c>
      <c r="H105" s="12" t="n"/>
      <c r="I105" s="12" t="n"/>
      <c r="J105" s="12" t="n"/>
      <c r="K105" s="25" t="n"/>
    </row>
    <row r="106">
      <c r="A106" s="12" t="inlineStr">
        <is>
          <t>MSG-DM-102</t>
        </is>
      </c>
      <c r="B106" s="12" t="inlineStr">
        <is>
          <t>Batch (SCR-DM-07)</t>
        </is>
      </c>
      <c r="C106" s="12" t="inlineStr">
        <is>
          <t>Server</t>
        </is>
      </c>
      <c r="D106" s="12" t="inlineStr">
        <is>
          <t>MIG_MAP_NOT_APPROVED</t>
        </is>
      </c>
      <c r="E106" s="12" t="inlineStr">
        <is>
          <t>These code maps have no approved version: &lt;missing&gt;</t>
        </is>
      </c>
      <c r="F106" s="12" t="inlineStr">
        <is>
          <t>Error</t>
        </is>
      </c>
      <c r="G106" s="12" t="inlineStr">
        <is>
          <t>Have the listed code maps approved first.</t>
        </is>
      </c>
      <c r="H106" s="12" t="n"/>
      <c r="I106" s="12" t="n"/>
      <c r="J106" s="12" t="n"/>
      <c r="K106" s="25" t="n"/>
    </row>
    <row r="107">
      <c r="A107" s="12" t="inlineStr">
        <is>
          <t>MSG-DM-103</t>
        </is>
      </c>
      <c r="B107" s="12" t="inlineStr">
        <is>
          <t>Batch (SCR-DM-07)</t>
        </is>
      </c>
      <c r="C107" s="12" t="inlineStr">
        <is>
          <t>Server</t>
        </is>
      </c>
      <c r="D107" s="12" t="inlineStr">
        <is>
          <t>MIG_NOT_RECONCILED</t>
        </is>
      </c>
      <c r="E107" s="12" t="inlineStr">
        <is>
          <t>Reconcile the batch before signing it</t>
        </is>
      </c>
      <c r="F107" s="12" t="inlineStr">
        <is>
          <t>Error</t>
        </is>
      </c>
      <c r="G107" s="12" t="inlineStr">
        <is>
          <t>Reconcile the batch first.</t>
        </is>
      </c>
      <c r="H107" s="12" t="n"/>
      <c r="I107" s="12" t="n"/>
      <c r="J107" s="12" t="n"/>
      <c r="K107" s="25" t="n"/>
    </row>
    <row r="108">
      <c r="A108" s="12" t="inlineStr">
        <is>
          <t>MSG-DM-104</t>
        </is>
      </c>
      <c r="B108" s="12" t="inlineStr">
        <is>
          <t>Batch (SCR-DM-07)</t>
        </is>
      </c>
      <c r="C108" s="12" t="inlineStr">
        <is>
          <t>Server</t>
        </is>
      </c>
      <c r="D108" s="12" t="inlineStr">
        <is>
          <t>MIG_OPEN_BREAKS</t>
        </is>
      </c>
      <c r="E108" s="12" t="inlineStr">
        <is>
          <t>Explain and approve every break before signing the reconciliation</t>
        </is>
      </c>
      <c r="F108" s="12" t="inlineStr">
        <is>
          <t>Error</t>
        </is>
      </c>
      <c r="G108" s="12" t="inlineStr">
        <is>
          <t>Explain every break and have the explanation approved first.</t>
        </is>
      </c>
      <c r="H108" s="12" t="n"/>
      <c r="I108" s="12" t="n"/>
      <c r="J108" s="12" t="n"/>
      <c r="K108" s="25" t="n"/>
    </row>
    <row r="109">
      <c r="A109" s="12" t="inlineStr">
        <is>
          <t>MSG-DM-105</t>
        </is>
      </c>
      <c r="B109" s="12" t="inlineStr">
        <is>
          <t>Batch (SCR-DM-07)</t>
        </is>
      </c>
      <c r="C109" s="12" t="inlineStr">
        <is>
          <t>Server</t>
        </is>
      </c>
      <c r="D109" s="12" t="inlineStr">
        <is>
          <t>MIG_REASON_REQUIRED</t>
        </is>
      </c>
      <c r="E109" s="12" t="inlineStr">
        <is>
          <t>Enter the reason and the manual-entry plan of the excluded rows</t>
        </is>
      </c>
      <c r="F109" s="12" t="inlineStr">
        <is>
          <t>Error</t>
        </is>
      </c>
      <c r="G109" s="12" t="inlineStr">
        <is>
          <t>Enter the reason and the manual-entry plan of the excluded rows.</t>
        </is>
      </c>
      <c r="H109" s="12" t="n"/>
      <c r="I109" s="12" t="n"/>
      <c r="J109" s="12" t="n"/>
      <c r="K109" s="25" t="n"/>
    </row>
    <row r="110">
      <c r="A110" s="12" t="inlineStr">
        <is>
          <t>MSG-DM-106</t>
        </is>
      </c>
      <c r="B110" s="12" t="inlineStr">
        <is>
          <t>Batch (SCR-DM-07)</t>
        </is>
      </c>
      <c r="C110" s="12" t="inlineStr">
        <is>
          <t>Server</t>
        </is>
      </c>
      <c r="D110" s="12" t="inlineStr">
        <is>
          <t>MIG_REASON_REQUIRED</t>
        </is>
      </c>
      <c r="E110" s="12" t="inlineStr">
        <is>
          <t>Enter the reason and the remarks of the waiver</t>
        </is>
      </c>
      <c r="F110" s="12" t="inlineStr">
        <is>
          <t>Error</t>
        </is>
      </c>
      <c r="G110" s="12" t="inlineStr">
        <is>
          <t>Enter the reason and the remarks of the waiver.</t>
        </is>
      </c>
      <c r="H110" s="12" t="n"/>
      <c r="I110" s="12" t="n"/>
      <c r="J110" s="12" t="n"/>
      <c r="K110" s="25" t="n"/>
    </row>
    <row r="111">
      <c r="A111" s="12" t="inlineStr">
        <is>
          <t>MSG-DM-107</t>
        </is>
      </c>
      <c r="B111" s="12" t="inlineStr">
        <is>
          <t>Batch (SCR-DM-07)</t>
        </is>
      </c>
      <c r="C111" s="12" t="inlineStr">
        <is>
          <t>Server</t>
        </is>
      </c>
      <c r="D111" s="12" t="inlineStr">
        <is>
          <t>MIG_REASON_REQUIRED</t>
        </is>
      </c>
      <c r="E111" s="12" t="inlineStr">
        <is>
          <t>Enter the reason for the rejection</t>
        </is>
      </c>
      <c r="F111" s="12" t="inlineStr">
        <is>
          <t>Error</t>
        </is>
      </c>
      <c r="G111" s="12" t="inlineStr">
        <is>
          <t>Enter the reason for the rejection.</t>
        </is>
      </c>
      <c r="H111" s="12" t="n"/>
      <c r="I111" s="12" t="n"/>
      <c r="J111" s="12" t="n"/>
      <c r="K111" s="25" t="n"/>
    </row>
    <row r="112">
      <c r="A112" s="12" t="inlineStr">
        <is>
          <t>MSG-DM-108</t>
        </is>
      </c>
      <c r="B112" s="12" t="inlineStr">
        <is>
          <t>Batch (SCR-DM-07)</t>
        </is>
      </c>
      <c r="C112" s="12" t="inlineStr">
        <is>
          <t>Server</t>
        </is>
      </c>
      <c r="D112" s="12" t="inlineStr">
        <is>
          <t>MIG_REASON_REQUIRED</t>
        </is>
      </c>
      <c r="E112" s="12" t="inlineStr">
        <is>
          <t>Enter the reason for the rollback</t>
        </is>
      </c>
      <c r="F112" s="12" t="inlineStr">
        <is>
          <t>Error</t>
        </is>
      </c>
      <c r="G112" s="12" t="inlineStr">
        <is>
          <t>Enter the reason for the rollback.</t>
        </is>
      </c>
      <c r="H112" s="12" t="n"/>
      <c r="I112" s="12" t="n"/>
      <c r="J112" s="12" t="n"/>
      <c r="K112" s="25" t="n"/>
    </row>
    <row r="113">
      <c r="A113" s="12" t="inlineStr">
        <is>
          <t>MSG-DM-109</t>
        </is>
      </c>
      <c r="B113" s="12" t="inlineStr">
        <is>
          <t>Batch (SCR-DM-07)</t>
        </is>
      </c>
      <c r="C113" s="12" t="inlineStr">
        <is>
          <t>Server</t>
        </is>
      </c>
      <c r="D113" s="12" t="inlineStr">
        <is>
          <t>MIG_RESOLUTION</t>
        </is>
      </c>
      <c r="E113" s="12" t="inlineStr">
        <is>
          <t>The Data Steward resolves an issue as fixed at source or mapped</t>
        </is>
      </c>
      <c r="F113" s="12" t="inlineStr">
        <is>
          <t>Error</t>
        </is>
      </c>
      <c r="G113" s="12" t="inlineStr">
        <is>
          <t>Record the issue as fixed at source, or change the code map; a waiver is recorded on the Rows tab by the data owner.</t>
        </is>
      </c>
      <c r="H113" s="12" t="n"/>
      <c r="I113" s="12" t="n"/>
      <c r="J113" s="12" t="n"/>
      <c r="K113" s="25" t="n"/>
    </row>
    <row r="114">
      <c r="A114" s="12" t="inlineStr">
        <is>
          <t>MSG-DM-110</t>
        </is>
      </c>
      <c r="B114" s="12" t="inlineStr">
        <is>
          <t>Batch (SCR-DM-07)</t>
        </is>
      </c>
      <c r="C114" s="12" t="inlineStr">
        <is>
          <t>Server</t>
        </is>
      </c>
      <c r="D114" s="12" t="inlineStr">
        <is>
          <t>MIG_REVIEW_QUEUE</t>
        </is>
      </c>
      <c r="E114" s="12" t="inlineStr">
        <is>
          <t>&lt;review&gt; client pairs are waiting for review; decide them before approving the load</t>
        </is>
      </c>
      <c r="F114" s="12" t="inlineStr">
        <is>
          <t>Error</t>
        </is>
      </c>
      <c r="G114" s="12" t="inlineStr">
        <is>
          <t>Decide the client pairs on Client Matching first.</t>
        </is>
      </c>
      <c r="H114" s="12" t="n"/>
      <c r="I114" s="12" t="n"/>
      <c r="J114" s="12" t="n"/>
      <c r="K114" s="25" t="n"/>
    </row>
    <row r="115">
      <c r="A115" s="12" t="inlineStr">
        <is>
          <t>MSG-DM-111</t>
        </is>
      </c>
      <c r="B115" s="12" t="inlineStr">
        <is>
          <t>Batch (SCR-DM-07)</t>
        </is>
      </c>
      <c r="C115" s="12" t="inlineStr">
        <is>
          <t>Server</t>
        </is>
      </c>
      <c r="D115" s="12" t="inlineStr">
        <is>
          <t>MIG_ROLLBACK_CHANGED</t>
        </is>
      </c>
      <c r="E115" s="12" t="inlineStr">
        <is>
          <t>&lt;changed&gt; records were changed after the load and cannot be rolled back</t>
        </is>
      </c>
      <c r="F115" s="12" t="inlineStr">
        <is>
          <t>Error</t>
        </is>
      </c>
      <c r="G115" s="12" t="inlineStr">
        <is>
          <t>Correct the changed records in BIBS instead; the batch cannot be rolled back.</t>
        </is>
      </c>
      <c r="H115" s="12" t="n"/>
      <c r="I115" s="12" t="n"/>
      <c r="J115" s="12" t="n"/>
      <c r="K115" s="25" t="n"/>
    </row>
    <row r="116">
      <c r="A116" s="12" t="inlineStr">
        <is>
          <t>MSG-DM-112</t>
        </is>
      </c>
      <c r="B116" s="12" t="inlineStr">
        <is>
          <t>Batch (SCR-DM-07)</t>
        </is>
      </c>
      <c r="C116" s="12" t="inlineStr">
        <is>
          <t>Server</t>
        </is>
      </c>
      <c r="D116" s="12" t="inlineStr">
        <is>
          <t>MIG_ROLLBACK_NOT_SUPPORTED</t>
        </is>
      </c>
      <c r="E116" s="12" t="inlineStr">
        <is>
          <t>Object &lt;object code&gt; cannot be rolled back record by record; restore the environment snapshot</t>
        </is>
      </c>
      <c r="F116" s="12" t="inlineStr">
        <is>
          <t>Error</t>
        </is>
      </c>
      <c r="G116" s="12" t="inlineStr">
        <is>
          <t>Ask the infrastructure team to restore the environment snapshot taken before the load.</t>
        </is>
      </c>
      <c r="H116" s="12" t="n"/>
      <c r="I116" s="12" t="n"/>
      <c r="J116" s="12" t="n"/>
      <c r="K116" s="25" t="n"/>
    </row>
    <row r="117">
      <c r="A117" s="12" t="inlineStr">
        <is>
          <t>MSG-DM-113</t>
        </is>
      </c>
      <c r="B117" s="12" t="inlineStr">
        <is>
          <t>Batch (SCR-DM-07)</t>
        </is>
      </c>
      <c r="C117" s="12" t="inlineStr">
        <is>
          <t>Server</t>
        </is>
      </c>
      <c r="D117" s="12" t="inlineStr">
        <is>
          <t>MIG_UNMAPPED_CODES</t>
        </is>
      </c>
      <c r="E117" s="12" t="inlineStr">
        <is>
          <t>The batch has &lt;unmapped&gt; unmapped codes; map them before approving the load</t>
        </is>
      </c>
      <c r="F117" s="12" t="inlineStr">
        <is>
          <t>Error</t>
        </is>
      </c>
      <c r="G117" s="12" t="inlineStr">
        <is>
          <t>Add the missing entries to a new version of the code maps, have it approved and validate again.</t>
        </is>
      </c>
      <c r="H117" s="12" t="n"/>
      <c r="I117" s="12" t="n"/>
      <c r="J117" s="12" t="n"/>
      <c r="K117" s="25" t="n"/>
    </row>
    <row r="118">
      <c r="A118" s="12" t="inlineStr">
        <is>
          <t>MSG-DM-114</t>
        </is>
      </c>
      <c r="B118" s="12" t="inlineStr">
        <is>
          <t>Batch (SCR-DM-07): rows refused at load</t>
        </is>
      </c>
      <c r="C118" s="12" t="inlineStr">
        <is>
          <t>Server</t>
        </is>
      </c>
      <c r="D118" s="12" t="inlineStr">
        <is>
          <t>MIG_ARCHIVE_DETAIL</t>
        </is>
      </c>
      <c r="E118" s="12" t="inlineStr">
        <is>
          <t>The other legacy fields must be label and value pairs separated by ;, for example Insurer: MAL; Remitted on: 01-Jul-2022</t>
        </is>
      </c>
      <c r="F118" s="12" t="inlineStr">
        <is>
          <t>Error</t>
        </is>
      </c>
      <c r="G118" s="12" t="inlineStr">
        <is>
          <t>Correct the other legacy fields of the record in the extract (label and value pairs separated by ;).</t>
        </is>
      </c>
      <c r="H118" s="12" t="n"/>
      <c r="I118" s="12" t="n"/>
      <c r="J118" s="12" t="n"/>
      <c r="K118" s="25" t="n"/>
    </row>
    <row r="119">
      <c r="A119" s="12" t="inlineStr">
        <is>
          <t>MSG-DM-115</t>
        </is>
      </c>
      <c r="B119" s="12" t="inlineStr">
        <is>
          <t>Batch (SCR-DM-07): rows refused at load</t>
        </is>
      </c>
      <c r="C119" s="12" t="inlineStr">
        <is>
          <t>Server</t>
        </is>
      </c>
      <c r="D119" s="12" t="inlineStr">
        <is>
          <t>MIG_BRANCH_UNKNOWN</t>
        </is>
      </c>
      <c r="E119" s="12" t="inlineStr">
        <is>
          <t>Branch &lt;branch code&gt; not found</t>
        </is>
      </c>
      <c r="F119" s="12" t="inlineStr">
        <is>
          <t>Error</t>
        </is>
      </c>
      <c r="G119" s="12" t="inlineStr">
        <is>
          <t>Map the legacy branch in the branch code map, or correct the extract.</t>
        </is>
      </c>
      <c r="H119" s="12" t="n"/>
      <c r="I119" s="12" t="n"/>
      <c r="J119" s="12" t="n"/>
      <c r="K119" s="25" t="n"/>
    </row>
    <row r="120">
      <c r="A120" s="12" t="inlineStr">
        <is>
          <t>MSG-DM-116</t>
        </is>
      </c>
      <c r="B120" s="12" t="inlineStr">
        <is>
          <t>Batch (SCR-DM-07): rows refused at load</t>
        </is>
      </c>
      <c r="C120" s="12" t="inlineStr">
        <is>
          <t>Server</t>
        </is>
      </c>
      <c r="D120" s="12" t="inlineStr">
        <is>
          <t>MIG_BRANCH_UNKNOWN</t>
        </is>
      </c>
      <c r="E120" s="12" t="inlineStr">
        <is>
          <t>Branch &lt;branch&gt; not found</t>
        </is>
      </c>
      <c r="F120" s="12" t="inlineStr">
        <is>
          <t>Error</t>
        </is>
      </c>
      <c r="G120" s="12" t="inlineStr">
        <is>
          <t>Map the legacy branch in the branch code map, or correct the extract.</t>
        </is>
      </c>
      <c r="H120" s="12" t="n"/>
      <c r="I120" s="12" t="n"/>
      <c r="J120" s="12" t="n"/>
      <c r="K120" s="25" t="n"/>
    </row>
    <row r="121">
      <c r="A121" s="12" t="inlineStr">
        <is>
          <t>MSG-DM-117</t>
        </is>
      </c>
      <c r="B121" s="12" t="inlineStr">
        <is>
          <t>Batch (SCR-DM-07): rows refused at load</t>
        </is>
      </c>
      <c r="C121" s="12" t="inlineStr">
        <is>
          <t>Server</t>
        </is>
      </c>
      <c r="D121" s="12" t="inlineStr">
        <is>
          <t>MIG_BRANCH_UNKNOWN</t>
        </is>
      </c>
      <c r="E121" s="12" t="inlineStr">
        <is>
          <t>Branch &lt;code&gt; does not exist in BIBS</t>
        </is>
      </c>
      <c r="F121" s="12" t="inlineStr">
        <is>
          <t>Error</t>
        </is>
      </c>
      <c r="G121" s="12" t="inlineStr">
        <is>
          <t>Map the legacy branch in the branch code map, or correct the extract.</t>
        </is>
      </c>
      <c r="H121" s="12" t="n"/>
      <c r="I121" s="12" t="n"/>
      <c r="J121" s="12" t="n"/>
      <c r="K121" s="25" t="n"/>
    </row>
    <row r="122">
      <c r="A122" s="12" t="inlineStr">
        <is>
          <t>MSG-DM-118</t>
        </is>
      </c>
      <c r="B122" s="12" t="inlineStr">
        <is>
          <t>Batch (SCR-DM-07): rows refused at load</t>
        </is>
      </c>
      <c r="C122" s="12" t="inlineStr">
        <is>
          <t>Server</t>
        </is>
      </c>
      <c r="D122" s="12" t="inlineStr">
        <is>
          <t>MIG_BRANCH_UNKNOWN</t>
        </is>
      </c>
      <c r="E122" s="12" t="inlineStr">
        <is>
          <t>Branch &lt;code&gt; not found</t>
        </is>
      </c>
      <c r="F122" s="12" t="inlineStr">
        <is>
          <t>Error</t>
        </is>
      </c>
      <c r="G122" s="12" t="inlineStr">
        <is>
          <t>Map the legacy branch in the branch code map, or correct the extract.</t>
        </is>
      </c>
      <c r="H122" s="12" t="n"/>
      <c r="I122" s="12" t="n"/>
      <c r="J122" s="12" t="n"/>
      <c r="K122" s="25" t="n"/>
    </row>
    <row r="123">
      <c r="A123" s="12" t="inlineStr">
        <is>
          <t>MSG-DM-119</t>
        </is>
      </c>
      <c r="B123" s="12" t="inlineStr">
        <is>
          <t>Batch (SCR-DM-07): rows refused at load</t>
        </is>
      </c>
      <c r="C123" s="12" t="inlineStr">
        <is>
          <t>Server</t>
        </is>
      </c>
      <c r="D123" s="12" t="inlineStr">
        <is>
          <t>MIG_C01_NOT_LOADED</t>
        </is>
      </c>
      <c r="E123" s="12" t="inlineStr">
        <is>
          <t>Client &lt;legacy client&gt; is not migrated</t>
        </is>
      </c>
      <c r="F123" s="12" t="inlineStr">
        <is>
          <t>Error</t>
        </is>
      </c>
      <c r="G123" s="12" t="inlineStr">
        <is>
          <t>Load the client first, or correct the legacy client number.</t>
        </is>
      </c>
      <c r="H123" s="12" t="n"/>
      <c r="I123" s="12" t="n"/>
      <c r="J123" s="12" t="n"/>
      <c r="K123" s="25" t="n"/>
    </row>
    <row r="124">
      <c r="A124" s="12" t="inlineStr">
        <is>
          <t>MSG-DM-120</t>
        </is>
      </c>
      <c r="B124" s="12" t="inlineStr">
        <is>
          <t>Batch (SCR-DM-07): rows refused at load</t>
        </is>
      </c>
      <c r="C124" s="12" t="inlineStr">
        <is>
          <t>Server</t>
        </is>
      </c>
      <c r="D124" s="12" t="inlineStr">
        <is>
          <t>MIG_CLIENT_NOT_LOADED</t>
        </is>
      </c>
      <c r="E124" s="12" t="inlineStr">
        <is>
          <t>Client &lt;legacy client&gt; is not migrated</t>
        </is>
      </c>
      <c r="F124" s="12" t="inlineStr">
        <is>
          <t>Error</t>
        </is>
      </c>
      <c r="G124" s="12" t="inlineStr">
        <is>
          <t>Load the client first, or correct the legacy client number.</t>
        </is>
      </c>
      <c r="H124" s="12" t="n"/>
      <c r="I124" s="12" t="n"/>
      <c r="J124" s="12" t="n"/>
      <c r="K124" s="25" t="n"/>
    </row>
    <row r="125">
      <c r="A125" s="12" t="inlineStr">
        <is>
          <t>MSG-DM-121</t>
        </is>
      </c>
      <c r="B125" s="12" t="inlineStr">
        <is>
          <t>Batch (SCR-DM-07): rows refused at load</t>
        </is>
      </c>
      <c r="C125" s="12" t="inlineStr">
        <is>
          <t>Server</t>
        </is>
      </c>
      <c r="D125" s="12" t="inlineStr">
        <is>
          <t>MIG_CODE_NOT_MAPPED</t>
        </is>
      </c>
      <c r="E125" s="12" t="inlineStr">
        <is>
          <t>Legacy code &lt;legacy&gt; is not in the approved &lt;set&gt; map</t>
        </is>
      </c>
      <c r="F125" s="12" t="inlineStr">
        <is>
          <t>Error</t>
        </is>
      </c>
      <c r="G125" s="12" t="inlineStr">
        <is>
          <t>Add the legacy code to the code map named and have it approved.</t>
        </is>
      </c>
      <c r="H125" s="12" t="n"/>
      <c r="I125" s="12" t="n"/>
      <c r="J125" s="12" t="n"/>
      <c r="K125" s="25" t="n"/>
    </row>
    <row r="126">
      <c r="A126" s="12" t="inlineStr">
        <is>
          <t>MSG-DM-122</t>
        </is>
      </c>
      <c r="B126" s="12" t="inlineStr">
        <is>
          <t>Batch (SCR-DM-07): rows refused at load</t>
        </is>
      </c>
      <c r="C126" s="12" t="inlineStr">
        <is>
          <t>Server</t>
        </is>
      </c>
      <c r="D126" s="12" t="inlineStr">
        <is>
          <t>MIG_CODE_REQUIRED</t>
        </is>
      </c>
      <c r="E126" s="12" t="inlineStr">
        <is>
          <t>The legacy code is missing</t>
        </is>
      </c>
      <c r="F126" s="12" t="inlineStr">
        <is>
          <t>Error</t>
        </is>
      </c>
      <c r="G126" s="12" t="inlineStr">
        <is>
          <t>Correct the extract; the legacy code is mandatory.</t>
        </is>
      </c>
      <c r="H126" s="12" t="n"/>
      <c r="I126" s="12" t="n"/>
      <c r="J126" s="12" t="n"/>
      <c r="K126" s="25" t="n"/>
    </row>
    <row r="127">
      <c r="A127" s="12" t="inlineStr">
        <is>
          <t>MSG-DM-123</t>
        </is>
      </c>
      <c r="B127" s="12" t="inlineStr">
        <is>
          <t>Batch (SCR-DM-07): rows refused at load</t>
        </is>
      </c>
      <c r="C127" s="12" t="inlineStr">
        <is>
          <t>Server</t>
        </is>
      </c>
      <c r="D127" s="12" t="inlineStr">
        <is>
          <t>MIG_DATE_REQUIRED</t>
        </is>
      </c>
      <c r="E127" s="12" t="inlineStr">
        <is>
          <t>The rate has no effective date</t>
        </is>
      </c>
      <c r="F127" s="12" t="inlineStr">
        <is>
          <t>Error</t>
        </is>
      </c>
      <c r="G127" s="12" t="inlineStr">
        <is>
          <t>Correct the extract; the date is mandatory.</t>
        </is>
      </c>
      <c r="H127" s="12" t="n"/>
      <c r="I127" s="12" t="n"/>
      <c r="J127" s="12" t="n"/>
      <c r="K127" s="25" t="n"/>
    </row>
    <row r="128">
      <c r="A128" s="12" t="inlineStr">
        <is>
          <t>MSG-DM-124</t>
        </is>
      </c>
      <c r="B128" s="12" t="inlineStr">
        <is>
          <t>Batch (SCR-DM-07): rows refused at load</t>
        </is>
      </c>
      <c r="C128" s="12" t="inlineStr">
        <is>
          <t>Server</t>
        </is>
      </c>
      <c r="D128" s="12" t="inlineStr">
        <is>
          <t>MIG_DATE_REQUIRED</t>
        </is>
      </c>
      <c r="E128" s="12" t="inlineStr">
        <is>
          <t>The record has no document date</t>
        </is>
      </c>
      <c r="F128" s="12" t="inlineStr">
        <is>
          <t>Error</t>
        </is>
      </c>
      <c r="G128" s="12" t="inlineStr">
        <is>
          <t>Correct the extract; the date is mandatory.</t>
        </is>
      </c>
      <c r="H128" s="12" t="n"/>
      <c r="I128" s="12" t="n"/>
      <c r="J128" s="12" t="n"/>
      <c r="K128" s="25" t="n"/>
    </row>
    <row r="129">
      <c r="A129" s="12" t="inlineStr">
        <is>
          <t>MSG-DM-125</t>
        </is>
      </c>
      <c r="B129" s="12" t="inlineStr">
        <is>
          <t>Batch (SCR-DM-07): rows refused at load</t>
        </is>
      </c>
      <c r="C129" s="12" t="inlineStr">
        <is>
          <t>Server</t>
        </is>
      </c>
      <c r="D129" s="12" t="inlineStr">
        <is>
          <t>MIG_DOCUMENT_SIZE</t>
        </is>
      </c>
      <c r="E129" s="12" t="inlineStr">
        <is>
          <t>The file size is missing</t>
        </is>
      </c>
      <c r="F129" s="12" t="inlineStr">
        <is>
          <t>Error</t>
        </is>
      </c>
      <c r="G129" s="12" t="inlineStr">
        <is>
          <t>Ask BDOI IT to copy the file again; its size differs from the index.</t>
        </is>
      </c>
      <c r="H129" s="12" t="n"/>
      <c r="I129" s="12" t="n"/>
      <c r="J129" s="12" t="n"/>
      <c r="K129" s="25" t="n"/>
    </row>
    <row r="130">
      <c r="A130" s="12" t="inlineStr">
        <is>
          <t>MSG-DM-126</t>
        </is>
      </c>
      <c r="B130" s="12" t="inlineStr">
        <is>
          <t>Batch (SCR-DM-07): rows refused at load</t>
        </is>
      </c>
      <c r="C130" s="12" t="inlineStr">
        <is>
          <t>Server</t>
        </is>
      </c>
      <c r="D130" s="12" t="inlineStr">
        <is>
          <t>MIG_F01_NOT_LOADED</t>
        </is>
      </c>
      <c r="E130" s="12" t="inlineStr">
        <is>
          <t>Legacy invoice &lt;legacy no&gt; is not loaded</t>
        </is>
      </c>
      <c r="F130" s="12" t="inlineStr">
        <is>
          <t>Error</t>
        </is>
      </c>
      <c r="G130" s="12" t="inlineStr">
        <is>
          <t>Load the invoice (F01) first, or remove the row.</t>
        </is>
      </c>
      <c r="H130" s="12" t="n"/>
      <c r="I130" s="12" t="n"/>
      <c r="J130" s="12" t="n"/>
      <c r="K130" s="25" t="n"/>
    </row>
    <row r="131">
      <c r="A131" s="12" t="inlineStr">
        <is>
          <t>MSG-DM-127</t>
        </is>
      </c>
      <c r="B131" s="12" t="inlineStr">
        <is>
          <t>Batch (SCR-DM-07): rows refused at load</t>
        </is>
      </c>
      <c r="C131" s="12" t="inlineStr">
        <is>
          <t>Server</t>
        </is>
      </c>
      <c r="D131" s="12" t="inlineStr">
        <is>
          <t>MIG_HEADER_NOT_LOADED</t>
        </is>
      </c>
      <c r="E131" s="12" t="inlineStr">
        <is>
          <t>Policy &lt;legacy key&gt; is not among the migrated headers</t>
        </is>
      </c>
      <c r="F131" s="12" t="inlineStr">
        <is>
          <t>Error</t>
        </is>
      </c>
      <c r="G131" s="12" t="inlineStr">
        <is>
          <t>Correct the policy reference, or load its policy header first.</t>
        </is>
      </c>
      <c r="H131" s="12" t="n"/>
      <c r="I131" s="12" t="n"/>
      <c r="J131" s="12" t="n"/>
      <c r="K131" s="25" t="n"/>
    </row>
    <row r="132">
      <c r="A132" s="12" t="inlineStr">
        <is>
          <t>MSG-DM-128</t>
        </is>
      </c>
      <c r="B132" s="12" t="inlineStr">
        <is>
          <t>Batch (SCR-DM-07): rows refused at load</t>
        </is>
      </c>
      <c r="C132" s="12" t="inlineStr">
        <is>
          <t>Server</t>
        </is>
      </c>
      <c r="D132" s="12" t="inlineStr">
        <is>
          <t>MIG_INSURER_NOT_MAPPED</t>
        </is>
      </c>
      <c r="E132" s="12" t="inlineStr">
        <is>
          <t>Insurer &lt;legacy&gt; is not in the approved INSURER map</t>
        </is>
      </c>
      <c r="F132" s="12" t="inlineStr">
        <is>
          <t>Error</t>
        </is>
      </c>
      <c r="G132" s="12" t="inlineStr">
        <is>
          <t>Add the insurer to the insurer code map and have it approved.</t>
        </is>
      </c>
      <c r="H132" s="12" t="n"/>
      <c r="I132" s="12" t="n"/>
      <c r="J132" s="12" t="n"/>
      <c r="K132" s="25" t="n"/>
    </row>
    <row r="133">
      <c r="A133" s="12" t="inlineStr">
        <is>
          <t>MSG-DM-129</t>
        </is>
      </c>
      <c r="B133" s="12" t="inlineStr">
        <is>
          <t>Batch (SCR-DM-07): rows refused at load</t>
        </is>
      </c>
      <c r="C133" s="12" t="inlineStr">
        <is>
          <t>Server</t>
        </is>
      </c>
      <c r="D133" s="12" t="inlineStr">
        <is>
          <t>MIG_INVOICE_MISSING</t>
        </is>
      </c>
      <c r="E133" s="12" t="inlineStr">
        <is>
          <t>Invoice &lt;target code&gt; not found</t>
        </is>
      </c>
      <c r="F133" s="12" t="inlineStr">
        <is>
          <t>Error</t>
        </is>
      </c>
      <c r="G133" s="12" t="inlineStr">
        <is>
          <t>Rerun the batch; the invoice of the row was not created.</t>
        </is>
      </c>
      <c r="H133" s="12" t="n"/>
      <c r="I133" s="12" t="n"/>
      <c r="J133" s="12" t="n"/>
      <c r="K133" s="25" t="n"/>
    </row>
    <row r="134">
      <c r="A134" s="12" t="inlineStr">
        <is>
          <t>MSG-DM-130</t>
        </is>
      </c>
      <c r="B134" s="12" t="inlineStr">
        <is>
          <t>Batch (SCR-DM-07): rows refused at load</t>
        </is>
      </c>
      <c r="C134" s="12" t="inlineStr">
        <is>
          <t>Server</t>
        </is>
      </c>
      <c r="D134" s="12" t="inlineStr">
        <is>
          <t>MIG_MAP_TARGET</t>
        </is>
      </c>
      <c r="E134" s="12" t="inlineStr">
        <is>
          <t>Code map &lt;set code&gt; names no BIBS list</t>
        </is>
      </c>
      <c r="F134" s="12" t="inlineStr">
        <is>
          <t>Error</t>
        </is>
      </c>
      <c r="G134" s="12" t="inlineStr">
        <is>
          <t>Ask the Data Steward to name the BIBS list of the code map.</t>
        </is>
      </c>
      <c r="H134" s="12" t="n"/>
      <c r="I134" s="12" t="n"/>
      <c r="J134" s="12" t="n"/>
      <c r="K134" s="25" t="n"/>
    </row>
    <row r="135">
      <c r="A135" s="12" t="inlineStr">
        <is>
          <t>MSG-DM-131</t>
        </is>
      </c>
      <c r="B135" s="12" t="inlineStr">
        <is>
          <t>Batch (SCR-DM-07): rows refused at load</t>
        </is>
      </c>
      <c r="C135" s="12" t="inlineStr">
        <is>
          <t>Server</t>
        </is>
      </c>
      <c r="D135" s="12" t="inlineStr">
        <is>
          <t>MIG_NO_INSURER</t>
        </is>
      </c>
      <c r="E135" s="12" t="inlineStr">
        <is>
          <t>Invoice &lt;legacy key&gt; has no insurer share</t>
        </is>
      </c>
      <c r="F135" s="12" t="inlineStr">
        <is>
          <t>Error</t>
        </is>
      </c>
      <c r="G135" s="12" t="inlineStr">
        <is>
          <t>Send the insurer share of the invoice (F01S).</t>
        </is>
      </c>
      <c r="H135" s="12" t="n"/>
      <c r="I135" s="12" t="n"/>
      <c r="J135" s="12" t="n"/>
      <c r="K135" s="25" t="n"/>
    </row>
    <row r="136">
      <c r="A136" s="12" t="inlineStr">
        <is>
          <t>MSG-DM-132</t>
        </is>
      </c>
      <c r="B136" s="12" t="inlineStr">
        <is>
          <t>Batch (SCR-DM-07): rows refused at load</t>
        </is>
      </c>
      <c r="C136" s="12" t="inlineStr">
        <is>
          <t>Server</t>
        </is>
      </c>
      <c r="D136" s="12" t="inlineStr">
        <is>
          <t>MIG_NUMBER_REQUIRED</t>
        </is>
      </c>
      <c r="E136" s="12" t="inlineStr">
        <is>
          <t>The &lt;column&gt; is missing</t>
        </is>
      </c>
      <c r="F136" s="12" t="inlineStr">
        <is>
          <t>Error</t>
        </is>
      </c>
      <c r="G136" s="12" t="inlineStr">
        <is>
          <t>Correct the extract; the number is mandatory.</t>
        </is>
      </c>
      <c r="H136" s="12" t="n"/>
      <c r="I136" s="12" t="n"/>
      <c r="J136" s="12" t="n"/>
      <c r="K136" s="25" t="n"/>
    </row>
    <row r="137">
      <c r="A137" s="12" t="inlineStr">
        <is>
          <t>MSG-DM-133</t>
        </is>
      </c>
      <c r="B137" s="12" t="inlineStr">
        <is>
          <t>Batch (SCR-DM-07): rows refused at load</t>
        </is>
      </c>
      <c r="C137" s="12" t="inlineStr">
        <is>
          <t>Server</t>
        </is>
      </c>
      <c r="D137" s="12" t="inlineStr">
        <is>
          <t>MIG_OFFICER_UNKNOWN</t>
        </is>
      </c>
      <c r="E137" s="12" t="inlineStr">
        <is>
          <t>Account officer &lt;user&gt; is not in the sales organisation</t>
        </is>
      </c>
      <c r="F137" s="12" t="inlineStr">
        <is>
          <t>Error</t>
        </is>
      </c>
      <c r="G137" s="12" t="inlineStr">
        <is>
          <t>Map the account officer in the user code map, or add the officer to the sales organisation.</t>
        </is>
      </c>
      <c r="H137" s="12" t="n"/>
      <c r="I137" s="12" t="n"/>
      <c r="J137" s="12" t="n"/>
      <c r="K137" s="25" t="n"/>
    </row>
    <row r="138">
      <c r="A138" s="12" t="inlineStr">
        <is>
          <t>MSG-DM-134</t>
        </is>
      </c>
      <c r="B138" s="12" t="inlineStr">
        <is>
          <t>Batch (SCR-DM-07): rows refused at load</t>
        </is>
      </c>
      <c r="C138" s="12" t="inlineStr">
        <is>
          <t>Server</t>
        </is>
      </c>
      <c r="D138" s="12" t="inlineStr">
        <is>
          <t>MIG_PARENT_NOT_LOADED</t>
        </is>
      </c>
      <c r="E138" s="12" t="inlineStr">
        <is>
          <t>Original invoice &lt;legacy parent&gt; is not loaded</t>
        </is>
      </c>
      <c r="F138" s="12" t="inlineStr">
        <is>
          <t>Error</t>
        </is>
      </c>
      <c r="G138" s="12" t="inlineStr">
        <is>
          <t>Load the original invoice first, or correct the parent invoice number.</t>
        </is>
      </c>
      <c r="H138" s="12" t="n"/>
      <c r="I138" s="12" t="n"/>
      <c r="J138" s="12" t="n"/>
      <c r="K138" s="25" t="n"/>
    </row>
    <row r="139">
      <c r="A139" s="12" t="inlineStr">
        <is>
          <t>MSG-DM-135</t>
        </is>
      </c>
      <c r="B139" s="12" t="inlineStr">
        <is>
          <t>Batch (SCR-DM-07): rows refused at load</t>
        </is>
      </c>
      <c r="C139" s="12" t="inlineStr">
        <is>
          <t>Server</t>
        </is>
      </c>
      <c r="D139" s="12" t="inlineStr">
        <is>
          <t>MIG_PRODUCT_NOT_MAPPED</t>
        </is>
      </c>
      <c r="E139" s="12" t="inlineStr">
        <is>
          <t>Risk code &lt;legacy code&gt; is not in the approved PRODUCT map</t>
        </is>
      </c>
      <c r="F139" s="12" t="inlineStr">
        <is>
          <t>Error</t>
        </is>
      </c>
      <c r="G139" s="12" t="inlineStr">
        <is>
          <t>Add the risk code to the product code map and have it approved.</t>
        </is>
      </c>
      <c r="H139" s="12" t="n"/>
      <c r="I139" s="12" t="n"/>
      <c r="J139" s="12" t="n"/>
      <c r="K139" s="25" t="n"/>
    </row>
    <row r="140">
      <c r="A140" s="12" t="inlineStr">
        <is>
          <t>MSG-DM-136</t>
        </is>
      </c>
      <c r="B140" s="12" t="inlineStr">
        <is>
          <t>Batch (SCR-DM-07): rows refused at load</t>
        </is>
      </c>
      <c r="C140" s="12" t="inlineStr">
        <is>
          <t>Server</t>
        </is>
      </c>
      <c r="D140" s="12" t="inlineStr">
        <is>
          <t>MIG_RA_DUPLICATE</t>
        </is>
      </c>
      <c r="E140" s="12" t="inlineStr">
        <is>
          <t>An advice of &lt;ref&gt; is already loaded</t>
        </is>
      </c>
      <c r="F140" s="12" t="inlineStr">
        <is>
          <t>Error</t>
        </is>
      </c>
      <c r="G140" s="12" t="inlineStr">
        <is>
          <t>Keep one renewal advice per expiring policy term.</t>
        </is>
      </c>
      <c r="H140" s="12" t="n"/>
      <c r="I140" s="12" t="n"/>
      <c r="J140" s="12" t="n"/>
      <c r="K140" s="25" t="n"/>
    </row>
    <row r="141">
      <c r="A141" s="12" t="inlineStr">
        <is>
          <t>MSG-DM-137</t>
        </is>
      </c>
      <c r="B141" s="12" t="inlineStr">
        <is>
          <t>Batch (SCR-DM-07): rows refused at load</t>
        </is>
      </c>
      <c r="C141" s="12" t="inlineStr">
        <is>
          <t>Server</t>
        </is>
      </c>
      <c r="D141" s="12" t="inlineStr">
        <is>
          <t>MIG_SI_BAND</t>
        </is>
      </c>
      <c r="E141" s="12" t="inlineStr">
        <is>
          <t>The sum-insured band &lt;value&gt; is not from-to amounts</t>
        </is>
      </c>
      <c r="F141" s="12" t="inlineStr">
        <is>
          <t>Error</t>
        </is>
      </c>
      <c r="G141" s="12" t="inlineStr">
        <is>
          <t>Write the sum-insured band as from-to amounts.</t>
        </is>
      </c>
      <c r="H141" s="12" t="n"/>
      <c r="I141" s="12" t="n"/>
      <c r="J141" s="12" t="n"/>
      <c r="K141" s="25" t="n"/>
    </row>
    <row r="142">
      <c r="A142" s="12" t="inlineStr">
        <is>
          <t>MSG-DM-138</t>
        </is>
      </c>
      <c r="B142" s="12" t="inlineStr">
        <is>
          <t>Batch (SCR-DM-07): rows refused at load</t>
        </is>
      </c>
      <c r="C142" s="12" t="inlineStr">
        <is>
          <t>Server</t>
        </is>
      </c>
      <c r="D142" s="12" t="inlineStr">
        <is>
          <t>MIG_SNAPSHOT_MISSING</t>
        </is>
      </c>
      <c r="E142" s="12" t="inlineStr">
        <is>
          <t>Invoice &lt;invoice no&gt; has no snapshot</t>
        </is>
      </c>
      <c r="F142" s="12" t="inlineStr">
        <is>
          <t>Error</t>
        </is>
      </c>
      <c r="G142" s="12" t="inlineStr">
        <is>
          <t>Rerun the batch; the values at cut-over of the invoice were not kept.</t>
        </is>
      </c>
      <c r="H142" s="12" t="n"/>
      <c r="I142" s="12" t="n"/>
      <c r="J142" s="12" t="n"/>
      <c r="K142" s="25" t="n"/>
    </row>
    <row r="143">
      <c r="A143" s="12" t="inlineStr">
        <is>
          <t>MSG-DM-139</t>
        </is>
      </c>
      <c r="B143" s="12" t="inlineStr">
        <is>
          <t>Batch (SCR-DM-07): rows refused at load</t>
        </is>
      </c>
      <c r="C143" s="12" t="inlineStr">
        <is>
          <t>Server</t>
        </is>
      </c>
      <c r="D143" s="12" t="inlineStr">
        <is>
          <t>MIG_TARGET_MISSING</t>
        </is>
      </c>
      <c r="E143" s="12" t="inlineStr">
        <is>
          <t>Value &lt;code&gt; of list &lt;type&gt; does not exist in BIBS</t>
        </is>
      </c>
      <c r="F143" s="12" t="inlineStr">
        <is>
          <t>Error</t>
        </is>
      </c>
      <c r="G143" s="12" t="inlineStr">
        <is>
          <t>Create the value in its list first, or map the legacy value to an existing value.</t>
        </is>
      </c>
      <c r="H143" s="12" t="n"/>
      <c r="I143" s="12" t="n"/>
      <c r="J143" s="12" t="n"/>
      <c r="K143" s="25" t="n"/>
    </row>
    <row r="144">
      <c r="A144" s="12" t="inlineStr">
        <is>
          <t>MSG-DM-140</t>
        </is>
      </c>
      <c r="B144" s="12" t="inlineStr">
        <is>
          <t>Batch (SCR-DM-07): rows refused at load</t>
        </is>
      </c>
      <c r="C144" s="12" t="inlineStr">
        <is>
          <t>Server</t>
        </is>
      </c>
      <c r="D144" s="12" t="inlineStr">
        <is>
          <t>MIG_TRUEUP_ITEM_KIND</t>
        </is>
      </c>
      <c r="E144" s="12" t="inlineStr">
        <is>
          <t>Unapplied payment &lt;ref&gt; is adjusted with the unapplied payments object</t>
        </is>
      </c>
      <c r="F144" s="12" t="inlineStr">
        <is>
          <t>Error</t>
        </is>
      </c>
      <c r="G144" s="12" t="inlineStr">
        <is>
          <t>Send the adjustment of an unapplied payment with the unapplied payments.</t>
        </is>
      </c>
      <c r="H144" s="12" t="n"/>
      <c r="I144" s="12" t="n"/>
      <c r="J144" s="12" t="n"/>
      <c r="K144" s="25" t="n"/>
    </row>
    <row r="145">
      <c r="A145" s="12" t="inlineStr">
        <is>
          <t>MSG-DM-141</t>
        </is>
      </c>
      <c r="B145" s="12" t="inlineStr">
        <is>
          <t>Batch (SCR-DM-07): rows refused at load</t>
        </is>
      </c>
      <c r="C145" s="12" t="inlineStr">
        <is>
          <t>Server</t>
        </is>
      </c>
      <c r="D145" s="12" t="inlineStr">
        <is>
          <t>MIG_TRUEUP_ITEM_MISSING</t>
        </is>
      </c>
      <c r="E145" s="12" t="inlineStr">
        <is>
          <t>Legacy invoice &lt;ref&gt; is not loaded</t>
        </is>
      </c>
      <c r="F145" s="12" t="inlineStr">
        <is>
          <t>Error</t>
        </is>
      </c>
      <c r="G145" s="12" t="inlineStr">
        <is>
          <t>Correct the invoice reference of the detail line; the invoice must be migrated.</t>
        </is>
      </c>
      <c r="H145" s="12" t="n"/>
      <c r="I145" s="12" t="n"/>
      <c r="J145" s="12" t="n"/>
      <c r="K145" s="25" t="n"/>
    </row>
    <row r="146">
      <c r="A146" s="12" t="inlineStr">
        <is>
          <t>MSG-DM-142</t>
        </is>
      </c>
      <c r="B146" s="12" t="inlineStr">
        <is>
          <t>Batch (SCR-DM-07): rows refused at load</t>
        </is>
      </c>
      <c r="C146" s="12" t="inlineStr">
        <is>
          <t>Server</t>
        </is>
      </c>
      <c r="D146" s="12" t="inlineStr">
        <is>
          <t>MIG_TRUEUP_NOT_APPROVED</t>
        </is>
      </c>
      <c r="E146" s="12" t="inlineStr">
        <is>
          <t>The opening-balance adjustment of batch &lt;batch no&gt; is not approved by the Head of Comptrollership</t>
        </is>
      </c>
      <c r="F146" s="12" t="inlineStr">
        <is>
          <t>Error</t>
        </is>
      </c>
      <c r="G146" s="12" t="inlineStr">
        <is>
          <t>Ask the Head of Comptrollership to approve the adjustment first.</t>
        </is>
      </c>
      <c r="H146" s="12" t="n"/>
      <c r="I146" s="12" t="n"/>
      <c r="J146" s="12" t="n"/>
      <c r="K146" s="25" t="n"/>
    </row>
    <row r="147">
      <c r="A147" s="12" t="inlineStr">
        <is>
          <t>MSG-DM-143</t>
        </is>
      </c>
      <c r="B147" s="12" t="inlineStr">
        <is>
          <t>Batch (SCR-DM-07): rows refused at load</t>
        </is>
      </c>
      <c r="C147" s="12" t="inlineStr">
        <is>
          <t>Server</t>
        </is>
      </c>
      <c r="D147" s="12" t="inlineStr">
        <is>
          <t>MIG_TRUEUP_OUT_OF_RANGE</t>
        </is>
      </c>
      <c r="E147" s="12" t="inlineStr">
        <is>
          <t>The adjustment would take &lt;c&gt; of invoice &lt;ref&gt; below zero; it moved in BIBS since go-live - settle it with Comptrollership</t>
        </is>
      </c>
      <c r="F147" s="12" t="inlineStr">
        <is>
          <t>Error</t>
        </is>
      </c>
      <c r="G147" s="12" t="inlineStr">
        <is>
          <t>Settle the difference with Comptrollership; the invoice moved in BIBS since go-live.</t>
        </is>
      </c>
      <c r="H147" s="12" t="n"/>
      <c r="I147" s="12" t="n"/>
      <c r="J147" s="12" t="n"/>
      <c r="K147" s="25" t="n"/>
    </row>
    <row r="148">
      <c r="A148" s="12" t="inlineStr">
        <is>
          <t>MSG-DM-144</t>
        </is>
      </c>
      <c r="B148" s="12" t="inlineStr">
        <is>
          <t>Batch (SCR-DM-07): rows refused at load</t>
        </is>
      </c>
      <c r="C148" s="12" t="inlineStr">
        <is>
          <t>Server</t>
        </is>
      </c>
      <c r="D148" s="12" t="inlineStr">
        <is>
          <t>MIG_UNIT_UNKNOWN</t>
        </is>
      </c>
      <c r="E148" s="12" t="inlineStr">
        <is>
          <t>Sales unit &lt;code&gt; does not exist in BIBS</t>
        </is>
      </c>
      <c r="F148" s="12" t="inlineStr">
        <is>
          <t>Error</t>
        </is>
      </c>
      <c r="G148" s="12" t="inlineStr">
        <is>
          <t>Map the legacy unit in the sales unit code map.</t>
        </is>
      </c>
      <c r="H148" s="12" t="n"/>
      <c r="I148" s="12" t="n"/>
      <c r="J148" s="12" t="n"/>
      <c r="K148" s="25" t="n"/>
    </row>
    <row r="149">
      <c r="A149" s="12" t="inlineStr">
        <is>
          <t>MSG-DM-145</t>
        </is>
      </c>
      <c r="B149" s="12" t="inlineStr">
        <is>
          <t>Batch (SCR-DM-07): rows refused at load</t>
        </is>
      </c>
      <c r="C149" s="12" t="inlineStr">
        <is>
          <t>Server</t>
        </is>
      </c>
      <c r="D149" s="12" t="inlineStr">
        <is>
          <t>MIG_UPP_MISSING</t>
        </is>
      </c>
      <c r="E149" s="12" t="inlineStr">
        <is>
          <t>Unapplied item &lt;target code&gt; not found</t>
        </is>
      </c>
      <c r="F149" s="12" t="inlineStr">
        <is>
          <t>Error</t>
        </is>
      </c>
      <c r="G149" s="12" t="inlineStr">
        <is>
          <t>Rerun the batch; the unapplied payment of the row was not created.</t>
        </is>
      </c>
      <c r="H149" s="12" t="n"/>
      <c r="I149" s="12" t="n"/>
      <c r="J149" s="12" t="n"/>
      <c r="K149" s="25" t="n"/>
    </row>
    <row r="150">
      <c r="A150" s="12" t="inlineStr">
        <is>
          <t>MSG-DM-146</t>
        </is>
      </c>
      <c r="B150" s="12" t="inlineStr">
        <is>
          <t>Client Matching (SCR-DM-08)</t>
        </is>
      </c>
      <c r="C150" s="12" t="inlineStr">
        <is>
          <t>Screen</t>
        </is>
      </c>
      <c r="D150" s="12" t="inlineStr">
        <is>
          <t>-</t>
        </is>
      </c>
      <c r="E150" s="12" t="inlineStr">
        <is>
          <t>No client pair waiting for review</t>
        </is>
      </c>
      <c r="F150" s="12" t="inlineStr">
        <is>
          <t>Information</t>
        </is>
      </c>
      <c r="G150" s="12" t="inlineStr">
        <is>
          <t>No action.</t>
        </is>
      </c>
      <c r="H150" s="12" t="n"/>
      <c r="I150" s="12" t="n"/>
      <c r="J150" s="12" t="n"/>
      <c r="K150" s="25" t="n"/>
    </row>
    <row r="151">
      <c r="A151" s="12" t="inlineStr">
        <is>
          <t>MSG-DM-147</t>
        </is>
      </c>
      <c r="B151" s="12" t="inlineStr">
        <is>
          <t>Client Matching (SCR-DM-08)</t>
        </is>
      </c>
      <c r="C151" s="12" t="inlineStr">
        <is>
          <t>Screen</t>
        </is>
      </c>
      <c r="D151" s="12" t="inlineStr">
        <is>
          <t>-</t>
        </is>
      </c>
      <c r="E151" s="12" t="inlineStr">
        <is>
          <t>No values</t>
        </is>
      </c>
      <c r="F151" s="12" t="inlineStr">
        <is>
          <t>Information</t>
        </is>
      </c>
      <c r="G151" s="12" t="inlineStr">
        <is>
          <t>No action.</t>
        </is>
      </c>
      <c r="H151" s="12" t="n"/>
      <c r="I151" s="12" t="n"/>
      <c r="J151" s="12" t="n"/>
      <c r="K151" s="25" t="n"/>
    </row>
    <row r="152">
      <c r="A152" s="12" t="inlineStr">
        <is>
          <t>MSG-DM-148</t>
        </is>
      </c>
      <c r="B152" s="12" t="inlineStr">
        <is>
          <t>Client Matching (SCR-DM-08)</t>
        </is>
      </c>
      <c r="C152" s="12" t="inlineStr">
        <is>
          <t>Server</t>
        </is>
      </c>
      <c r="D152" s="12" t="inlineStr">
        <is>
          <t>MIG_PAIR_DECIDED</t>
        </is>
      </c>
      <c r="E152" s="12" t="inlineStr">
        <is>
          <t>This pair is already decided</t>
        </is>
      </c>
      <c r="F152" s="12" t="inlineStr">
        <is>
          <t>Error</t>
        </is>
      </c>
      <c r="G152" s="12" t="inlineStr">
        <is>
          <t>No action; refresh the queue.</t>
        </is>
      </c>
      <c r="H152" s="12" t="n"/>
      <c r="I152" s="12" t="n"/>
      <c r="J152" s="12" t="n"/>
      <c r="K152" s="25" t="n"/>
    </row>
    <row r="153">
      <c r="A153" s="12" t="inlineStr">
        <is>
          <t>MSG-DM-149</t>
        </is>
      </c>
      <c r="B153" s="12" t="inlineStr">
        <is>
          <t>Reconciliation (SCR-DM-09)</t>
        </is>
      </c>
      <c r="C153" s="12" t="inlineStr">
        <is>
          <t>Screen</t>
        </is>
      </c>
      <c r="D153" s="12" t="inlineStr">
        <is>
          <t>-</t>
        </is>
      </c>
      <c r="E153" s="12" t="inlineStr">
        <is>
          <t>No loaded batch to reconcile</t>
        </is>
      </c>
      <c r="F153" s="12" t="inlineStr">
        <is>
          <t>Information</t>
        </is>
      </c>
      <c r="G153" s="12" t="inlineStr">
        <is>
          <t>No action.</t>
        </is>
      </c>
      <c r="H153" s="12" t="n"/>
      <c r="I153" s="12" t="n"/>
      <c r="J153" s="12" t="n"/>
      <c r="K153" s="25" t="n"/>
    </row>
    <row r="154">
      <c r="A154" s="12" t="inlineStr">
        <is>
          <t>MSG-DM-150</t>
        </is>
      </c>
      <c r="B154" s="12" t="inlineStr">
        <is>
          <t>Reconciliation (SCR-DM-09)</t>
        </is>
      </c>
      <c r="C154" s="12" t="inlineStr">
        <is>
          <t>Screen</t>
        </is>
      </c>
      <c r="D154" s="12" t="inlineStr">
        <is>
          <t>-</t>
        </is>
      </c>
      <c r="E154" s="12" t="inlineStr">
        <is>
          <t>The batch is not reconciled yet</t>
        </is>
      </c>
      <c r="F154" s="12" t="inlineStr">
        <is>
          <t>Information</t>
        </is>
      </c>
      <c r="G154" s="12" t="inlineStr">
        <is>
          <t>No action.</t>
        </is>
      </c>
      <c r="H154" s="12" t="n"/>
      <c r="I154" s="12" t="n"/>
      <c r="J154" s="12" t="n"/>
      <c r="K154" s="25" t="n"/>
    </row>
    <row r="155">
      <c r="A155" s="12" t="inlineStr">
        <is>
          <t>MSG-DM-151</t>
        </is>
      </c>
      <c r="B155" s="12" t="inlineStr">
        <is>
          <t>Reconciliation (SCR-DM-09)</t>
        </is>
      </c>
      <c r="C155" s="12" t="inlineStr">
        <is>
          <t>Server</t>
        </is>
      </c>
      <c r="D155" s="12" t="inlineStr">
        <is>
          <t>MAKER_CHECKER_VIOLATION</t>
        </is>
      </c>
      <c r="E155" s="12" t="inlineStr">
        <is>
          <t>A record cannot be authorized by the user who maintained it</t>
        </is>
      </c>
      <c r="F155" s="12" t="inlineStr">
        <is>
          <t>Error</t>
        </is>
      </c>
      <c r="G155" s="12" t="inlineStr">
        <is>
          <t>Ask another user with the approval right to approve; the maker, submitter or operator of the record cannot.</t>
        </is>
      </c>
      <c r="H155" s="12" t="n"/>
      <c r="I155" s="12" t="n"/>
      <c r="J155" s="12" t="n"/>
      <c r="K155" s="25" t="n"/>
    </row>
    <row r="156">
      <c r="A156" s="12" t="inlineStr">
        <is>
          <t>MSG-DM-152</t>
        </is>
      </c>
      <c r="B156" s="12" t="inlineStr">
        <is>
          <t>Reconciliation (SCR-DM-09)</t>
        </is>
      </c>
      <c r="C156" s="12" t="inlineStr">
        <is>
          <t>Server</t>
        </is>
      </c>
      <c r="D156" s="12" t="inlineStr">
        <is>
          <t>MIG_BATCH_STATUS</t>
        </is>
      </c>
      <c r="E156" s="12" t="inlineStr">
        <is>
          <t>Batch &lt;batch no&gt; is &lt;status&gt;; it has no load to reconcile</t>
        </is>
      </c>
      <c r="F156" s="12" t="inlineStr">
        <is>
          <t>Error</t>
        </is>
      </c>
      <c r="G156" s="12" t="inlineStr">
        <is>
          <t>Refresh the batch; the action is not allowed in its current status.</t>
        </is>
      </c>
      <c r="H156" s="12" t="n"/>
      <c r="I156" s="12" t="n"/>
      <c r="J156" s="12" t="n"/>
      <c r="K156" s="25" t="n"/>
    </row>
    <row r="157">
      <c r="A157" s="12" t="inlineStr">
        <is>
          <t>MSG-DM-153</t>
        </is>
      </c>
      <c r="B157" s="12" t="inlineStr">
        <is>
          <t>Reconciliation (SCR-DM-09)</t>
        </is>
      </c>
      <c r="C157" s="12" t="inlineStr">
        <is>
          <t>Server</t>
        </is>
      </c>
      <c r="D157" s="12" t="inlineStr">
        <is>
          <t>MIG_LINE_MATCHED</t>
        </is>
      </c>
      <c r="E157" s="12" t="inlineStr">
        <is>
          <t>This line has no difference to explain</t>
        </is>
      </c>
      <c r="F157" s="12" t="inlineStr">
        <is>
          <t>Error</t>
        </is>
      </c>
      <c r="G157" s="12" t="inlineStr">
        <is>
          <t>No action; the line has no difference.</t>
        </is>
      </c>
      <c r="H157" s="12" t="n"/>
      <c r="I157" s="12" t="n"/>
      <c r="J157" s="12" t="n"/>
      <c r="K157" s="25" t="n"/>
    </row>
    <row r="158">
      <c r="A158" s="12" t="inlineStr">
        <is>
          <t>MSG-DM-154</t>
        </is>
      </c>
      <c r="B158" s="12" t="inlineStr">
        <is>
          <t>Reconciliation (SCR-DM-09)</t>
        </is>
      </c>
      <c r="C158" s="12" t="inlineStr">
        <is>
          <t>Server</t>
        </is>
      </c>
      <c r="D158" s="12" t="inlineStr">
        <is>
          <t>MIG_NOT_EXPLAINED</t>
        </is>
      </c>
      <c r="E158" s="12" t="inlineStr">
        <is>
          <t>Explain the break before approving it</t>
        </is>
      </c>
      <c r="F158" s="12" t="inlineStr">
        <is>
          <t>Error</t>
        </is>
      </c>
      <c r="G158" s="12" t="inlineStr">
        <is>
          <t>Explain the break first.</t>
        </is>
      </c>
      <c r="H158" s="12" t="n"/>
      <c r="I158" s="12" t="n"/>
      <c r="J158" s="12" t="n"/>
      <c r="K158" s="25" t="n"/>
    </row>
    <row r="159">
      <c r="A159" s="12" t="inlineStr">
        <is>
          <t>MSG-DM-155</t>
        </is>
      </c>
      <c r="B159" s="12" t="inlineStr">
        <is>
          <t>Reconciliation (SCR-DM-09)</t>
        </is>
      </c>
      <c r="C159" s="12" t="inlineStr">
        <is>
          <t>Server</t>
        </is>
      </c>
      <c r="D159" s="12" t="inlineStr">
        <is>
          <t>MIG_REASON_REQUIRED</t>
        </is>
      </c>
      <c r="E159" s="12" t="inlineStr">
        <is>
          <t>Enter the explanation of the break</t>
        </is>
      </c>
      <c r="F159" s="12" t="inlineStr">
        <is>
          <t>Error</t>
        </is>
      </c>
      <c r="G159" s="12" t="inlineStr">
        <is>
          <t>Enter the explanation of the break.</t>
        </is>
      </c>
      <c r="H159" s="12" t="n"/>
      <c r="I159" s="12" t="n"/>
      <c r="J159" s="12" t="n"/>
      <c r="K159" s="25" t="n"/>
    </row>
    <row r="160">
      <c r="A160" s="12" t="inlineStr">
        <is>
          <t>MSG-DM-156</t>
        </is>
      </c>
      <c r="B160" s="12" t="inlineStr">
        <is>
          <t>Sign-off (SCR-DM-10)</t>
        </is>
      </c>
      <c r="C160" s="12" t="inlineStr">
        <is>
          <t>Screen</t>
        </is>
      </c>
      <c r="D160" s="12" t="inlineStr">
        <is>
          <t>-</t>
        </is>
      </c>
      <c r="E160" s="12" t="inlineStr">
        <is>
          <t>No data object</t>
        </is>
      </c>
      <c r="F160" s="12" t="inlineStr">
        <is>
          <t>Information</t>
        </is>
      </c>
      <c r="G160" s="12" t="inlineStr">
        <is>
          <t>No action.</t>
        </is>
      </c>
      <c r="H160" s="12" t="n"/>
      <c r="I160" s="12" t="n"/>
      <c r="J160" s="12" t="n"/>
      <c r="K160" s="25" t="n"/>
    </row>
    <row r="161">
      <c r="A161" s="12" t="inlineStr">
        <is>
          <t>MSG-DM-157</t>
        </is>
      </c>
      <c r="B161" s="12" t="inlineStr">
        <is>
          <t>Opening-Balance Adjustments (SCR-DM-11)</t>
        </is>
      </c>
      <c r="C161" s="12" t="inlineStr">
        <is>
          <t>Screen</t>
        </is>
      </c>
      <c r="D161" s="12" t="inlineStr">
        <is>
          <t>-</t>
        </is>
      </c>
      <c r="E161" s="12" t="inlineStr">
        <is>
          <t>No opening-balance adjustment yet</t>
        </is>
      </c>
      <c r="F161" s="12" t="inlineStr">
        <is>
          <t>Information</t>
        </is>
      </c>
      <c r="G161" s="12" t="inlineStr">
        <is>
          <t>No action.</t>
        </is>
      </c>
      <c r="H161" s="12" t="n"/>
      <c r="I161" s="12" t="n"/>
      <c r="J161" s="12" t="n"/>
      <c r="K161" s="25" t="n"/>
    </row>
    <row r="162">
      <c r="A162" s="12" t="inlineStr">
        <is>
          <t>MSG-DM-158</t>
        </is>
      </c>
      <c r="B162" s="12" t="inlineStr">
        <is>
          <t>Opening-Balance Adjustments (SCR-DM-11)</t>
        </is>
      </c>
      <c r="C162" s="12" t="inlineStr">
        <is>
          <t>Screen</t>
        </is>
      </c>
      <c r="D162" s="12" t="inlineStr">
        <is>
          <t>-</t>
        </is>
      </c>
      <c r="E162" s="12" t="inlineStr">
        <is>
          <t>The Head of Comptrollership approves or returns the adjustment.</t>
        </is>
      </c>
      <c r="F162" s="12" t="inlineStr">
        <is>
          <t>Validation</t>
        </is>
      </c>
      <c r="G162" s="12" t="inlineStr">
        <is>
          <t>Confirm to go ahead, or cancel to leave the record as it is.</t>
        </is>
      </c>
      <c r="H162" s="12" t="n"/>
      <c r="I162" s="12" t="n"/>
      <c r="J162" s="12" t="n"/>
      <c r="K162" s="25" t="n"/>
    </row>
    <row r="163">
      <c r="A163" s="12" t="inlineStr">
        <is>
          <t>MSG-DM-159</t>
        </is>
      </c>
      <c r="B163" s="12" t="inlineStr">
        <is>
          <t>Opening-Balance Adjustments (SCR-DM-11)</t>
        </is>
      </c>
      <c r="C163" s="12" t="inlineStr">
        <is>
          <t>Screen</t>
        </is>
      </c>
      <c r="D163" s="12" t="inlineStr">
        <is>
          <t>-</t>
        </is>
      </c>
      <c r="E163" s="12" t="inlineStr">
        <is>
          <t>The adjustment batch may then be loaded; its journals post into the opening period.</t>
        </is>
      </c>
      <c r="F163" s="12" t="inlineStr">
        <is>
          <t>Validation</t>
        </is>
      </c>
      <c r="G163" s="12" t="inlineStr">
        <is>
          <t>Confirm to go ahead, or cancel to leave the record as it is.</t>
        </is>
      </c>
      <c r="H163" s="12" t="n"/>
      <c r="I163" s="12" t="n"/>
      <c r="J163" s="12" t="n"/>
      <c r="K163" s="25" t="n"/>
    </row>
    <row r="164">
      <c r="A164" s="12" t="inlineStr">
        <is>
          <t>MSG-DM-160</t>
        </is>
      </c>
      <c r="B164" s="12" t="inlineStr">
        <is>
          <t>Opening-Balance Adjustments (SCR-DM-11)</t>
        </is>
      </c>
      <c r="C164" s="12" t="inlineStr">
        <is>
          <t>Screen</t>
        </is>
      </c>
      <c r="D164" s="12" t="inlineStr">
        <is>
          <t>-</t>
        </is>
      </c>
      <c r="E164" s="12" t="inlineStr">
        <is>
          <t>The adjustment goes back to the preparer.</t>
        </is>
      </c>
      <c r="F164" s="12" t="inlineStr">
        <is>
          <t>Validation</t>
        </is>
      </c>
      <c r="G164" s="12" t="inlineStr">
        <is>
          <t>Confirm to go ahead, or cancel to leave the record as it is.</t>
        </is>
      </c>
      <c r="H164" s="12" t="n"/>
      <c r="I164" s="12" t="n"/>
      <c r="J164" s="12" t="n"/>
      <c r="K164" s="25" t="n"/>
    </row>
    <row r="165">
      <c r="A165" s="12" t="inlineStr">
        <is>
          <t>MSG-DM-161</t>
        </is>
      </c>
      <c r="B165" s="12" t="inlineStr">
        <is>
          <t>Opening-Balance Adjustments (SCR-DM-11)</t>
        </is>
      </c>
      <c r="C165" s="12" t="inlineStr">
        <is>
          <t>Server</t>
        </is>
      </c>
      <c r="D165" s="12" t="inlineStr">
        <is>
          <t>MAKER_CHECKER_VIOLATION</t>
        </is>
      </c>
      <c r="E165" s="12" t="inlineStr">
        <is>
          <t>A record cannot be authorized by the user who maintained it</t>
        </is>
      </c>
      <c r="F165" s="12" t="inlineStr">
        <is>
          <t>Error</t>
        </is>
      </c>
      <c r="G165" s="12" t="inlineStr">
        <is>
          <t>Ask another user with the approval right to approve; the maker, submitter or operator of the record cannot.</t>
        </is>
      </c>
      <c r="H165" s="12" t="n"/>
      <c r="I165" s="12" t="n"/>
      <c r="J165" s="12" t="n"/>
      <c r="K165" s="25" t="n"/>
    </row>
    <row r="166">
      <c r="A166" s="12" t="inlineStr">
        <is>
          <t>MSG-DM-162</t>
        </is>
      </c>
      <c r="B166" s="12" t="inlineStr">
        <is>
          <t>Opening-Balance Adjustments (SCR-DM-11)</t>
        </is>
      </c>
      <c r="C166" s="12" t="inlineStr">
        <is>
          <t>Server</t>
        </is>
      </c>
      <c r="D166" s="12" t="inlineStr">
        <is>
          <t>MIG_REASON_REQUIRED</t>
        </is>
      </c>
      <c r="E166" s="12" t="inlineStr">
        <is>
          <t>Enter the reason for the return</t>
        </is>
      </c>
      <c r="F166" s="12" t="inlineStr">
        <is>
          <t>Error</t>
        </is>
      </c>
      <c r="G166" s="12" t="inlineStr">
        <is>
          <t>Enter the reason for the return.</t>
        </is>
      </c>
      <c r="H166" s="12" t="n"/>
      <c r="I166" s="12" t="n"/>
      <c r="J166" s="12" t="n"/>
      <c r="K166" s="25" t="n"/>
    </row>
    <row r="167">
      <c r="A167" s="12" t="inlineStr">
        <is>
          <t>MSG-DM-163</t>
        </is>
      </c>
      <c r="B167" s="12" t="inlineStr">
        <is>
          <t>Opening-Balance Adjustments (SCR-DM-11)</t>
        </is>
      </c>
      <c r="C167" s="12" t="inlineStr">
        <is>
          <t>Server</t>
        </is>
      </c>
      <c r="D167" s="12" t="inlineStr">
        <is>
          <t>MIG_TRUEUP_BATCH</t>
        </is>
      </c>
      <c r="E167" s="12" t="inlineStr">
        <is>
          <t>Batch &lt;batch no&gt; is not a batch of object &lt;object&gt;</t>
        </is>
      </c>
      <c r="F167" s="12" t="inlineStr">
        <is>
          <t>Error</t>
        </is>
      </c>
      <c r="G167" s="12" t="inlineStr">
        <is>
          <t>Choose a batch of the adjustment journals (G03), and a trial balance batch (G01).</t>
        </is>
      </c>
      <c r="H167" s="12" t="n"/>
      <c r="I167" s="12" t="n"/>
      <c r="J167" s="12" t="n"/>
      <c r="K167" s="25" t="n"/>
    </row>
    <row r="168">
      <c r="A168" s="12" t="inlineStr">
        <is>
          <t>MSG-DM-164</t>
        </is>
      </c>
      <c r="B168" s="12" t="inlineStr">
        <is>
          <t>Opening-Balance Adjustments (SCR-DM-11)</t>
        </is>
      </c>
      <c r="C168" s="12" t="inlineStr">
        <is>
          <t>Server</t>
        </is>
      </c>
      <c r="D168" s="12" t="inlineStr">
        <is>
          <t>MIG_TRUEUP_EXISTS</t>
        </is>
      </c>
      <c r="E168" s="12" t="inlineStr">
        <is>
          <t>Opening-balance adjustment &lt;no&gt; already exists</t>
        </is>
      </c>
      <c r="F168" s="12" t="inlineStr">
        <is>
          <t>Error</t>
        </is>
      </c>
      <c r="G168" s="12" t="inlineStr">
        <is>
          <t>Open the adjustment already prepared.</t>
        </is>
      </c>
      <c r="H168" s="12" t="n"/>
      <c r="I168" s="12" t="n"/>
      <c r="J168" s="12" t="n"/>
      <c r="K168" s="25" t="n"/>
    </row>
    <row r="169">
      <c r="A169" s="12" t="inlineStr">
        <is>
          <t>MSG-DM-165</t>
        </is>
      </c>
      <c r="B169" s="12" t="inlineStr">
        <is>
          <t>Opening-Balance Adjustments (SCR-DM-11)</t>
        </is>
      </c>
      <c r="C169" s="12" t="inlineStr">
        <is>
          <t>Server</t>
        </is>
      </c>
      <c r="D169" s="12" t="inlineStr">
        <is>
          <t>MIG_TRUEUP_NO</t>
        </is>
      </c>
      <c r="E169" s="12" t="inlineStr">
        <is>
          <t>The adjustment number is 1, 2, 3 or F</t>
        </is>
      </c>
      <c r="F169" s="12" t="inlineStr">
        <is>
          <t>Error</t>
        </is>
      </c>
      <c r="G169" s="12" t="inlineStr">
        <is>
          <t>Choose 1, 2, 3 or F.</t>
        </is>
      </c>
      <c r="H169" s="12" t="n"/>
      <c r="I169" s="12" t="n"/>
      <c r="J169" s="12" t="n"/>
      <c r="K169" s="25" t="n"/>
    </row>
    <row r="170">
      <c r="A170" s="12" t="inlineStr">
        <is>
          <t>MSG-DM-166</t>
        </is>
      </c>
      <c r="B170" s="12" t="inlineStr">
        <is>
          <t>Opening-Balance Adjustments (SCR-DM-11)</t>
        </is>
      </c>
      <c r="C170" s="12" t="inlineStr">
        <is>
          <t>Server</t>
        </is>
      </c>
      <c r="D170" s="12" t="inlineStr">
        <is>
          <t>MIG_TRUEUP_OPTION</t>
        </is>
      </c>
      <c r="E170" s="12" t="inlineStr">
        <is>
          <t>Opening-balance adjustments apply to the year-end go-live; the cut-over option is B</t>
        </is>
      </c>
      <c r="F170" s="12" t="inlineStr">
        <is>
          <t>Error</t>
        </is>
      </c>
      <c r="G170" s="12" t="inlineStr">
        <is>
          <t>No action; opening-balance adjustments apply only to the year-end go-live (option A).</t>
        </is>
      </c>
      <c r="H170" s="12" t="n"/>
      <c r="I170" s="12" t="n"/>
      <c r="J170" s="12" t="n"/>
      <c r="K170" s="25" t="n"/>
    </row>
    <row r="171">
      <c r="A171" s="12" t="inlineStr">
        <is>
          <t>MSG-DM-167</t>
        </is>
      </c>
      <c r="B171" s="12" t="inlineStr">
        <is>
          <t>Opening-Balance Adjustments (SCR-DM-11)</t>
        </is>
      </c>
      <c r="C171" s="12" t="inlineStr">
        <is>
          <t>Server</t>
        </is>
      </c>
      <c r="D171" s="12" t="inlineStr">
        <is>
          <t>MIG_TRUEUP_STATUS</t>
        </is>
      </c>
      <c r="E171" s="12" t="inlineStr">
        <is>
          <t>True-up &lt;trueup no&gt; is &lt;status&gt;; it cannot be &lt;action&gt;</t>
        </is>
      </c>
      <c r="F171" s="12" t="inlineStr">
        <is>
          <t>Error</t>
        </is>
      </c>
      <c r="G171" s="12" t="inlineStr">
        <is>
          <t>Refresh the adjustment; the action is not allowed in its current status.</t>
        </is>
      </c>
      <c r="H171" s="12" t="n"/>
      <c r="I171" s="12" t="n"/>
      <c r="J171" s="12" t="n"/>
      <c r="K171" s="25" t="n"/>
    </row>
    <row r="172">
      <c r="A172" s="12" t="inlineStr">
        <is>
          <t>MSG-DM-168</t>
        </is>
      </c>
      <c r="B172" s="12" t="inlineStr">
        <is>
          <t>Cutover (SCR-DM-12)</t>
        </is>
      </c>
      <c r="C172" s="12" t="inlineStr">
        <is>
          <t>Screen</t>
        </is>
      </c>
      <c r="D172" s="12" t="inlineStr">
        <is>
          <t>-</t>
        </is>
      </c>
      <c r="E172" s="12" t="inlineStr">
        <is>
          <t>Checklist updated</t>
        </is>
      </c>
      <c r="F172" s="12" t="inlineStr">
        <is>
          <t>Validation</t>
        </is>
      </c>
      <c r="G172" s="12" t="inlineStr">
        <is>
          <t>No action; the screen shows the change.</t>
        </is>
      </c>
      <c r="H172" s="12" t="n"/>
      <c r="I172" s="12" t="n"/>
      <c r="J172" s="12" t="n"/>
      <c r="K172" s="25" t="n"/>
    </row>
    <row r="173">
      <c r="A173" s="12" t="inlineStr">
        <is>
          <t>MSG-DM-169</t>
        </is>
      </c>
      <c r="B173" s="12" t="inlineStr">
        <is>
          <t>Cutover (SCR-DM-12)</t>
        </is>
      </c>
      <c r="C173" s="12" t="inlineStr">
        <is>
          <t>Screen</t>
        </is>
      </c>
      <c r="D173" s="12" t="inlineStr">
        <is>
          <t>-</t>
        </is>
      </c>
      <c r="E173" s="12" t="inlineStr">
        <is>
          <t>No cutover plan yet</t>
        </is>
      </c>
      <c r="F173" s="12" t="inlineStr">
        <is>
          <t>Information</t>
        </is>
      </c>
      <c r="G173" s="12" t="inlineStr">
        <is>
          <t>No action.</t>
        </is>
      </c>
      <c r="H173" s="12" t="n"/>
      <c r="I173" s="12" t="n"/>
      <c r="J173" s="12" t="n"/>
      <c r="K173" s="25" t="n"/>
    </row>
    <row r="174">
      <c r="A174" s="12" t="inlineStr">
        <is>
          <t>MSG-DM-170</t>
        </is>
      </c>
      <c r="B174" s="12" t="inlineStr">
        <is>
          <t>Cutover (SCR-DM-12)</t>
        </is>
      </c>
      <c r="C174" s="12" t="inlineStr">
        <is>
          <t>Screen</t>
        </is>
      </c>
      <c r="D174" s="12" t="inlineStr">
        <is>
          <t>-</t>
        </is>
      </c>
      <c r="E174" s="12" t="inlineStr">
        <is>
          <t>No decision yet</t>
        </is>
      </c>
      <c r="F174" s="12" t="inlineStr">
        <is>
          <t>Information</t>
        </is>
      </c>
      <c r="G174" s="12" t="inlineStr">
        <is>
          <t>No action.</t>
        </is>
      </c>
      <c r="H174" s="12" t="n"/>
      <c r="I174" s="12" t="n"/>
      <c r="J174" s="12" t="n"/>
      <c r="K174" s="25" t="n"/>
    </row>
    <row r="175">
      <c r="A175" s="12" t="inlineStr">
        <is>
          <t>MSG-DM-171</t>
        </is>
      </c>
      <c r="B175" s="12" t="inlineStr">
        <is>
          <t>Cutover (SCR-DM-12)</t>
        </is>
      </c>
      <c r="C175" s="12" t="inlineStr">
        <is>
          <t>Screen</t>
        </is>
      </c>
      <c r="D175" s="12" t="inlineStr">
        <is>
          <t>-</t>
        </is>
      </c>
      <c r="E175" s="12" t="inlineStr">
        <is>
          <t>Recorded</t>
        </is>
      </c>
      <c r="F175" s="12" t="inlineStr">
        <is>
          <t>Validation</t>
        </is>
      </c>
      <c r="G175" s="12" t="inlineStr">
        <is>
          <t>No action; the screen shows the change.</t>
        </is>
      </c>
      <c r="H175" s="12" t="n"/>
      <c r="I175" s="12" t="n"/>
      <c r="J175" s="12" t="n"/>
      <c r="K175" s="25" t="n"/>
    </row>
    <row r="176">
      <c r="A176" s="12" t="inlineStr">
        <is>
          <t>MSG-DM-172</t>
        </is>
      </c>
      <c r="B176" s="12" t="inlineStr">
        <is>
          <t>Cutover (SCR-DM-12)</t>
        </is>
      </c>
      <c r="C176" s="12" t="inlineStr">
        <is>
          <t>Screen</t>
        </is>
      </c>
      <c r="D176" s="12" t="inlineStr">
        <is>
          <t>-</t>
        </is>
      </c>
      <c r="E176" s="12" t="inlineStr">
        <is>
          <t>The actual end is recorded and the tasks after it may start.</t>
        </is>
      </c>
      <c r="F176" s="12" t="inlineStr">
        <is>
          <t>Validation</t>
        </is>
      </c>
      <c r="G176" s="12" t="inlineStr">
        <is>
          <t>Confirm to go ahead, or cancel to leave the record as it is.</t>
        </is>
      </c>
      <c r="H176" s="12" t="n"/>
      <c r="I176" s="12" t="n"/>
      <c r="J176" s="12" t="n"/>
      <c r="K176" s="25" t="n"/>
    </row>
    <row r="177">
      <c r="A177" s="12" t="inlineStr">
        <is>
          <t>MSG-DM-173</t>
        </is>
      </c>
      <c r="B177" s="12" t="inlineStr">
        <is>
          <t>Cutover (SCR-DM-12)</t>
        </is>
      </c>
      <c r="C177" s="12" t="inlineStr">
        <is>
          <t>Screen</t>
        </is>
      </c>
      <c r="D177" s="12" t="inlineStr">
        <is>
          <t>-</t>
        </is>
      </c>
      <c r="E177" s="12" t="inlineStr">
        <is>
          <t>The actual start is recorded; the tasks it depends on must be finished.</t>
        </is>
      </c>
      <c r="F177" s="12" t="inlineStr">
        <is>
          <t>Validation</t>
        </is>
      </c>
      <c r="G177" s="12" t="inlineStr">
        <is>
          <t>Confirm to go ahead, or cancel to leave the record as it is.</t>
        </is>
      </c>
      <c r="H177" s="12" t="n"/>
      <c r="I177" s="12" t="n"/>
      <c r="J177" s="12" t="n"/>
      <c r="K177" s="25" t="n"/>
    </row>
    <row r="178">
      <c r="A178" s="12" t="inlineStr">
        <is>
          <t>MSG-DM-174</t>
        </is>
      </c>
      <c r="B178" s="12" t="inlineStr">
        <is>
          <t>Cutover (SCR-DM-12)</t>
        </is>
      </c>
      <c r="C178" s="12" t="inlineStr">
        <is>
          <t>Screen</t>
        </is>
      </c>
      <c r="D178" s="12" t="inlineStr">
        <is>
          <t>-</t>
        </is>
      </c>
      <c r="E178" s="12" t="inlineStr">
        <is>
          <t>The cut-over stops and rolls back to the snapshot.&lt;gate&gt;</t>
        </is>
      </c>
      <c r="F178" s="12" t="inlineStr">
        <is>
          <t>Validation</t>
        </is>
      </c>
      <c r="G178" s="12" t="inlineStr">
        <is>
          <t>Confirm to go ahead, or cancel to leave the record as it is.</t>
        </is>
      </c>
      <c r="H178" s="12" t="n"/>
      <c r="I178" s="12" t="n"/>
      <c r="J178" s="12" t="n"/>
      <c r="K178" s="25" t="n"/>
    </row>
    <row r="179">
      <c r="A179" s="12" t="inlineStr">
        <is>
          <t>MSG-DM-175</t>
        </is>
      </c>
      <c r="B179" s="12" t="inlineStr">
        <is>
          <t>Cutover (SCR-DM-12)</t>
        </is>
      </c>
      <c r="C179" s="12" t="inlineStr">
        <is>
          <t>Screen</t>
        </is>
      </c>
      <c r="D179" s="12" t="inlineStr">
        <is>
          <t>-</t>
        </is>
      </c>
      <c r="E179" s="12" t="inlineStr">
        <is>
          <t>The task is marked blocked with its reason for the cut-over call.</t>
        </is>
      </c>
      <c r="F179" s="12" t="inlineStr">
        <is>
          <t>Validation</t>
        </is>
      </c>
      <c r="G179" s="12" t="inlineStr">
        <is>
          <t>Confirm to go ahead, or cancel to leave the record as it is.</t>
        </is>
      </c>
      <c r="H179" s="12" t="n"/>
      <c r="I179" s="12" t="n"/>
      <c r="J179" s="12" t="n"/>
      <c r="K179" s="25" t="n"/>
    </row>
    <row r="180">
      <c r="A180" s="12" t="inlineStr">
        <is>
          <t>MSG-DM-176</t>
        </is>
      </c>
      <c r="B180" s="12" t="inlineStr">
        <is>
          <t>Cutover (SCR-DM-12)</t>
        </is>
      </c>
      <c r="C180" s="12" t="inlineStr">
        <is>
          <t>Server</t>
        </is>
      </c>
      <c r="D180" s="12" t="inlineStr">
        <is>
          <t>MIG_CRITERION_MEASURED</t>
        </is>
      </c>
      <c r="E180" s="12" t="inlineStr">
        <is>
          <t>Criterion &lt;criterion no&gt; is measured by the system</t>
        </is>
      </c>
      <c r="F180" s="12" t="inlineStr">
        <is>
          <t>Error</t>
        </is>
      </c>
      <c r="G180" s="12" t="inlineStr">
        <is>
          <t>No action; the criterion is measured by BIBS (Measure Criteria).</t>
        </is>
      </c>
      <c r="H180" s="12" t="n"/>
      <c r="I180" s="12" t="n"/>
      <c r="J180" s="12" t="n"/>
      <c r="K180" s="25" t="n"/>
    </row>
    <row r="181">
      <c r="A181" s="12" t="inlineStr">
        <is>
          <t>MSG-DM-177</t>
        </is>
      </c>
      <c r="B181" s="12" t="inlineStr">
        <is>
          <t>Cutover (SCR-DM-12)</t>
        </is>
      </c>
      <c r="C181" s="12" t="inlineStr">
        <is>
          <t>Server</t>
        </is>
      </c>
      <c r="D181" s="12" t="inlineStr">
        <is>
          <t>MIG_EVIDENCE_REQUIRED</t>
        </is>
      </c>
      <c r="E181" s="12" t="inlineStr">
        <is>
          <t>Give the evidence of the criterion</t>
        </is>
      </c>
      <c r="F181" s="12" t="inlineStr">
        <is>
          <t>Error</t>
        </is>
      </c>
      <c r="G181" s="12" t="inlineStr">
        <is>
          <t>Give the evidence of the criterion.</t>
        </is>
      </c>
      <c r="H181" s="12" t="n"/>
      <c r="I181" s="12" t="n"/>
      <c r="J181" s="12" t="n"/>
      <c r="K181" s="25" t="n"/>
    </row>
    <row r="182">
      <c r="A182" s="12" t="inlineStr">
        <is>
          <t>MSG-DM-178</t>
        </is>
      </c>
      <c r="B182" s="12" t="inlineStr">
        <is>
          <t>Cutover (SCR-DM-12)</t>
        </is>
      </c>
      <c r="C182" s="12" t="inlineStr">
        <is>
          <t>Server</t>
        </is>
      </c>
      <c r="D182" s="12" t="inlineStr">
        <is>
          <t>MIG_GOLIVE_REQUIRED</t>
        </is>
      </c>
      <c r="E182" s="12" t="inlineStr">
        <is>
          <t>Give the go-live date of the plan</t>
        </is>
      </c>
      <c r="F182" s="12" t="inlineStr">
        <is>
          <t>Error</t>
        </is>
      </c>
      <c r="G182" s="12" t="inlineStr">
        <is>
          <t>Give the go-live date of the plan.</t>
        </is>
      </c>
      <c r="H182" s="12" t="n"/>
      <c r="I182" s="12" t="n"/>
      <c r="J182" s="12" t="n"/>
      <c r="K182" s="25" t="n"/>
    </row>
    <row r="183">
      <c r="A183" s="12" t="inlineStr">
        <is>
          <t>MSG-DM-179</t>
        </is>
      </c>
      <c r="B183" s="12" t="inlineStr">
        <is>
          <t>Cutover (SCR-DM-12)</t>
        </is>
      </c>
      <c r="C183" s="12" t="inlineStr">
        <is>
          <t>Server</t>
        </is>
      </c>
      <c r="D183" s="12" t="inlineStr">
        <is>
          <t>MIG_GONOGO_JUSTIFY</t>
        </is>
      </c>
      <c r="E183" s="12" t="inlineStr">
        <is>
          <t>&lt;unmet&gt; criteria are not met; give the justification of the GO</t>
        </is>
      </c>
      <c r="F183" s="12" t="inlineStr">
        <is>
          <t>Error</t>
        </is>
      </c>
      <c r="G183" s="12" t="inlineStr">
        <is>
          <t>Give the justification of the GO, or wait until the criteria are met.</t>
        </is>
      </c>
      <c r="H183" s="12" t="n"/>
      <c r="I183" s="12" t="n"/>
      <c r="J183" s="12" t="n"/>
      <c r="K183" s="25" t="n"/>
    </row>
    <row r="184">
      <c r="A184" s="12" t="inlineStr">
        <is>
          <t>MSG-DM-180</t>
        </is>
      </c>
      <c r="B184" s="12" t="inlineStr">
        <is>
          <t>Cutover (SCR-DM-12)</t>
        </is>
      </c>
      <c r="C184" s="12" t="inlineStr">
        <is>
          <t>Server</t>
        </is>
      </c>
      <c r="D184" s="12" t="inlineStr">
        <is>
          <t>MIG_REASON_REQUIRED</t>
        </is>
      </c>
      <c r="E184" s="12" t="inlineStr">
        <is>
          <t>Give the reason of the NO-GO</t>
        </is>
      </c>
      <c r="F184" s="12" t="inlineStr">
        <is>
          <t>Error</t>
        </is>
      </c>
      <c r="G184" s="12" t="inlineStr">
        <is>
          <t>Give the reason of the NO-GO.</t>
        </is>
      </c>
      <c r="H184" s="12" t="n"/>
      <c r="I184" s="12" t="n"/>
      <c r="J184" s="12" t="n"/>
      <c r="K184" s="25" t="n"/>
    </row>
    <row r="185">
      <c r="A185" s="12" t="inlineStr">
        <is>
          <t>MSG-DM-181</t>
        </is>
      </c>
      <c r="B185" s="12" t="inlineStr">
        <is>
          <t>Cutover (SCR-DM-12)</t>
        </is>
      </c>
      <c r="C185" s="12" t="inlineStr">
        <is>
          <t>Server</t>
        </is>
      </c>
      <c r="D185" s="12" t="inlineStr">
        <is>
          <t>MIG_REASON_REQUIRED</t>
        </is>
      </c>
      <c r="E185" s="12" t="inlineStr">
        <is>
          <t>Give the reason of the block</t>
        </is>
      </c>
      <c r="F185" s="12" t="inlineStr">
        <is>
          <t>Error</t>
        </is>
      </c>
      <c r="G185" s="12" t="inlineStr">
        <is>
          <t>Give the reason of the block.</t>
        </is>
      </c>
      <c r="H185" s="12" t="n"/>
      <c r="I185" s="12" t="n"/>
      <c r="J185" s="12" t="n"/>
      <c r="K185" s="25" t="n"/>
    </row>
    <row r="186">
      <c r="A186" s="12" t="inlineStr">
        <is>
          <t>MSG-DM-182</t>
        </is>
      </c>
      <c r="B186" s="12" t="inlineStr">
        <is>
          <t>Cutover (SCR-DM-12)</t>
        </is>
      </c>
      <c r="C186" s="12" t="inlineStr">
        <is>
          <t>Server</t>
        </is>
      </c>
      <c r="D186" s="12" t="inlineStr">
        <is>
          <t>MIG_TASK_DEPENDENCY</t>
        </is>
      </c>
      <c r="E186" s="12" t="inlineStr">
        <is>
          <t>Task &lt;dep&gt; must be finished before task &lt;seq&gt;</t>
        </is>
      </c>
      <c r="F186" s="12" t="inlineStr">
        <is>
          <t>Error</t>
        </is>
      </c>
      <c r="G186" s="12" t="inlineStr">
        <is>
          <t>Complete the tasks it depends on first.</t>
        </is>
      </c>
      <c r="H186" s="12" t="n"/>
      <c r="I186" s="12" t="n"/>
      <c r="J186" s="12" t="n"/>
      <c r="K186" s="25" t="n"/>
    </row>
    <row r="187">
      <c r="A187" s="12" t="inlineStr">
        <is>
          <t>MSG-DM-183</t>
        </is>
      </c>
      <c r="B187" s="12" t="inlineStr">
        <is>
          <t>Run-off and Decommissioning (SCR-DM-13)</t>
        </is>
      </c>
      <c r="C187" s="12" t="inlineStr">
        <is>
          <t>Screen</t>
        </is>
      </c>
      <c r="D187" s="12" t="inlineStr">
        <is>
          <t>-</t>
        </is>
      </c>
      <c r="E187" s="12" t="inlineStr">
        <is>
          <t>No run-off snapshot yet; the snapshot is taken on the first of each month</t>
        </is>
      </c>
      <c r="F187" s="12" t="inlineStr">
        <is>
          <t>Information</t>
        </is>
      </c>
      <c r="G187" s="12" t="inlineStr">
        <is>
          <t>No action.</t>
        </is>
      </c>
      <c r="H187" s="12" t="n"/>
      <c r="I187" s="12" t="n"/>
      <c r="J187" s="12" t="n"/>
      <c r="K187" s="25" t="n"/>
    </row>
    <row r="188">
      <c r="A188" s="12" t="inlineStr">
        <is>
          <t>MSG-DM-184</t>
        </is>
      </c>
      <c r="B188" s="12" t="inlineStr">
        <is>
          <t>Run-off and Decommissioning (SCR-DM-13)</t>
        </is>
      </c>
      <c r="C188" s="12" t="inlineStr">
        <is>
          <t>Server</t>
        </is>
      </c>
      <c r="D188" s="12" t="inlineStr">
        <is>
          <t>MIG_DECOMMISSION_EXISTS</t>
        </is>
      </c>
      <c r="E188" s="12" t="inlineStr">
        <is>
          <t>The checklist of &lt;system&gt; is already open</t>
        </is>
      </c>
      <c r="F188" s="12" t="inlineStr">
        <is>
          <t>Error</t>
        </is>
      </c>
      <c r="G188" s="12" t="inlineStr">
        <is>
          <t>Open the checklist already listed.</t>
        </is>
      </c>
      <c r="H188" s="12" t="n"/>
      <c r="I188" s="12" t="n"/>
      <c r="J188" s="12" t="n"/>
      <c r="K188" s="25" t="n"/>
    </row>
    <row r="189">
      <c r="A189" s="12" t="inlineStr">
        <is>
          <t>MSG-DM-185</t>
        </is>
      </c>
      <c r="B189" s="12" t="inlineStr">
        <is>
          <t>Run-off and Decommissioning (SCR-DM-13)</t>
        </is>
      </c>
      <c r="C189" s="12" t="inlineStr">
        <is>
          <t>Server</t>
        </is>
      </c>
      <c r="D189" s="12" t="inlineStr">
        <is>
          <t>MIG_EVIDENCE_REQUIRED</t>
        </is>
      </c>
      <c r="E189" s="12" t="inlineStr">
        <is>
          <t>Give the evidence of the criterion</t>
        </is>
      </c>
      <c r="F189" s="12" t="inlineStr">
        <is>
          <t>Error</t>
        </is>
      </c>
      <c r="G189" s="12" t="inlineStr">
        <is>
          <t>Give the evidence of the criterion.</t>
        </is>
      </c>
      <c r="H189" s="12" t="n"/>
      <c r="I189" s="12" t="n"/>
      <c r="J189" s="12" t="n"/>
      <c r="K189" s="25" t="n"/>
    </row>
    <row r="190">
      <c r="A190" s="12" t="inlineStr">
        <is>
          <t>MSG-DM-186</t>
        </is>
      </c>
      <c r="B190" s="12" t="inlineStr">
        <is>
          <t>Legacy Inquiry (SCR-DM-14)</t>
        </is>
      </c>
      <c r="C190" s="12" t="inlineStr">
        <is>
          <t>Screen</t>
        </is>
      </c>
      <c r="D190" s="12" t="inlineStr">
        <is>
          <t>-</t>
        </is>
      </c>
      <c r="E190" s="12" t="inlineStr">
        <is>
          <t>No document archived with this record</t>
        </is>
      </c>
      <c r="F190" s="12" t="inlineStr">
        <is>
          <t>Information</t>
        </is>
      </c>
      <c r="G190" s="12" t="inlineStr">
        <is>
          <t>No action.</t>
        </is>
      </c>
      <c r="H190" s="12" t="n"/>
      <c r="I190" s="12" t="n"/>
      <c r="J190" s="12" t="n"/>
      <c r="K190" s="25" t="n"/>
    </row>
    <row r="191">
      <c r="A191" s="12" t="inlineStr">
        <is>
          <t>MSG-DM-187</t>
        </is>
      </c>
      <c r="B191" s="12" t="inlineStr">
        <is>
          <t>Legacy Inquiry (SCR-DM-14)</t>
        </is>
      </c>
      <c r="C191" s="12" t="inlineStr">
        <is>
          <t>Screen</t>
        </is>
      </c>
      <c r="D191" s="12" t="inlineStr">
        <is>
          <t>-</t>
        </is>
      </c>
      <c r="E191" s="12" t="inlineStr">
        <is>
          <t>No legacy record matches the search</t>
        </is>
      </c>
      <c r="F191" s="12" t="inlineStr">
        <is>
          <t>Information</t>
        </is>
      </c>
      <c r="G191" s="12" t="inlineStr">
        <is>
          <t>No action.</t>
        </is>
      </c>
      <c r="H191" s="12" t="n"/>
      <c r="I191" s="12" t="n"/>
      <c r="J191" s="12" t="n"/>
      <c r="K191" s="25" t="n"/>
    </row>
    <row r="192">
      <c r="A192" s="12" t="inlineStr">
        <is>
          <t>MSG-DM-188</t>
        </is>
      </c>
      <c r="B192" s="12" t="inlineStr">
        <is>
          <t>Legacy Inquiry (SCR-DM-14)</t>
        </is>
      </c>
      <c r="C192" s="12" t="inlineStr">
        <is>
          <t>Server</t>
        </is>
      </c>
      <c r="D192" s="12" t="inlineStr">
        <is>
          <t>MIG_ACCESS_REASON_REQUIRED</t>
        </is>
      </c>
      <c r="E192" s="12" t="inlineStr">
        <is>
          <t>Give the reason for opening the legacy archive</t>
        </is>
      </c>
      <c r="F192" s="12" t="inlineStr">
        <is>
          <t>Error</t>
        </is>
      </c>
      <c r="G192" s="12" t="inlineStr">
        <is>
          <t>Give the reason for opening the legacy archive.</t>
        </is>
      </c>
      <c r="H192" s="12" t="n"/>
      <c r="I192" s="12" t="n"/>
      <c r="J192" s="12" t="n"/>
      <c r="K192" s="25" t="n"/>
    </row>
    <row r="193">
      <c r="A193" s="12" t="inlineStr">
        <is>
          <t>MSG-DM-189</t>
        </is>
      </c>
      <c r="B193" s="12" t="inlineStr">
        <is>
          <t>Legacy Inquiry (SCR-DM-14)</t>
        </is>
      </c>
      <c r="C193" s="12" t="inlineStr">
        <is>
          <t>Server</t>
        </is>
      </c>
      <c r="D193" s="12" t="inlineStr">
        <is>
          <t>MIG_ARCHIVE_EXISTS</t>
        </is>
      </c>
      <c r="E193" s="12" t="inlineStr">
        <is>
          <t>Archive record &lt;record type&gt; &lt;legacy key&gt; is already loaded</t>
        </is>
      </c>
      <c r="F193" s="12" t="inlineStr">
        <is>
          <t>Error</t>
        </is>
      </c>
      <c r="G193" s="12" t="inlineStr">
        <is>
          <t>No action; the record is already archived.</t>
        </is>
      </c>
      <c r="H193" s="12" t="n"/>
      <c r="I193" s="12" t="n"/>
      <c r="J193" s="12" t="n"/>
      <c r="K193" s="25" t="n"/>
    </row>
    <row r="194">
      <c r="A194" s="12" t="inlineStr">
        <is>
          <t>MSG-DM-190</t>
        </is>
      </c>
      <c r="B194" s="12" t="inlineStr">
        <is>
          <t>Legacy Inquiry (SCR-DM-14)</t>
        </is>
      </c>
      <c r="C194" s="12" t="inlineStr">
        <is>
          <t>Server</t>
        </is>
      </c>
      <c r="D194" s="12" t="inlineStr">
        <is>
          <t>MIG_ARCHIVE_RECORD_MISSING</t>
        </is>
      </c>
      <c r="E194" s="12" t="inlineStr">
        <is>
          <t>Archive record &lt;record type&gt; &lt;legacy key&gt; is not loaded</t>
        </is>
      </c>
      <c r="F194" s="12" t="inlineStr">
        <is>
          <t>Error</t>
        </is>
      </c>
      <c r="G194" s="12" t="inlineStr">
        <is>
          <t>Load the archive record before its documents.</t>
        </is>
      </c>
      <c r="H194" s="12" t="n"/>
      <c r="I194" s="12" t="n"/>
      <c r="J194" s="12" t="n"/>
      <c r="K194" s="25" t="n"/>
    </row>
    <row r="195">
      <c r="A195" s="12" t="inlineStr">
        <is>
          <t>MSG-DM-191</t>
        </is>
      </c>
      <c r="B195" s="12" t="inlineStr">
        <is>
          <t>Legacy Inquiry (SCR-DM-14)</t>
        </is>
      </c>
      <c r="C195" s="12" t="inlineStr">
        <is>
          <t>Server</t>
        </is>
      </c>
      <c r="D195" s="12" t="inlineStr">
        <is>
          <t>MIG_CRITERIA_REQUIRED</t>
        </is>
      </c>
      <c r="E195" s="12" t="inlineStr">
        <is>
          <t>Give a client, policy, invoice, receipt or claim, a record type or a date range</t>
        </is>
      </c>
      <c r="F195" s="12" t="inlineStr">
        <is>
          <t>Error</t>
        </is>
      </c>
      <c r="G195" s="12" t="inlineStr">
        <is>
          <t>Give a client, policy, invoice, receipt or claim, a record type or a date range.</t>
        </is>
      </c>
      <c r="H195" s="12" t="n"/>
      <c r="I195" s="12" t="n"/>
      <c r="J195" s="12" t="n"/>
      <c r="K195" s="25" t="n"/>
    </row>
    <row r="196">
      <c r="A196" s="12" t="inlineStr">
        <is>
          <t>MSG-DM-192</t>
        </is>
      </c>
      <c r="B196" s="12" t="inlineStr">
        <is>
          <t>Legacy Inquiry (SCR-DM-14)</t>
        </is>
      </c>
      <c r="C196" s="12" t="inlineStr">
        <is>
          <t>Server</t>
        </is>
      </c>
      <c r="D196" s="12" t="inlineStr">
        <is>
          <t>MIG_DATE_INVALID</t>
        </is>
      </c>
      <c r="E196" s="12" t="inlineStr">
        <is>
          <t>Give the date as yyyy-MM-dd: &lt;value&gt;</t>
        </is>
      </c>
      <c r="F196" s="12" t="inlineStr">
        <is>
          <t>Error</t>
        </is>
      </c>
      <c r="G196" s="12" t="inlineStr">
        <is>
          <t>Give the date as yyyy-MM-dd.</t>
        </is>
      </c>
      <c r="H196" s="12" t="n"/>
      <c r="I196" s="12" t="n"/>
      <c r="J196" s="12" t="n"/>
      <c r="K196" s="25" t="n"/>
    </row>
    <row r="197">
      <c r="A197" s="12" t="inlineStr">
        <is>
          <t>MSG-DM-193</t>
        </is>
      </c>
      <c r="B197" s="12" t="inlineStr">
        <is>
          <t>Legacy Inquiry (SCR-DM-14)</t>
        </is>
      </c>
      <c r="C197" s="12" t="inlineStr">
        <is>
          <t>Server</t>
        </is>
      </c>
      <c r="D197" s="12" t="inlineStr">
        <is>
          <t>MIG_DOCUMENT_CHECKSUM</t>
        </is>
      </c>
      <c r="E197" s="12" t="inlineStr">
        <is>
          <t>The SHA-256 of file &lt;file name&gt; does not match the index</t>
        </is>
      </c>
      <c r="F197" s="12" t="inlineStr">
        <is>
          <t>Error</t>
        </is>
      </c>
      <c r="G197" s="12" t="inlineStr">
        <is>
          <t>Ask BDOI IT to copy the file again; it differs from the index.</t>
        </is>
      </c>
      <c r="H197" s="12" t="n"/>
      <c r="I197" s="12" t="n"/>
      <c r="J197" s="12" t="n"/>
      <c r="K197" s="25" t="n"/>
    </row>
    <row r="198">
      <c r="A198" s="12" t="inlineStr">
        <is>
          <t>MSG-DM-194</t>
        </is>
      </c>
      <c r="B198" s="12" t="inlineStr">
        <is>
          <t>Legacy Inquiry (SCR-DM-14)</t>
        </is>
      </c>
      <c r="C198" s="12" t="inlineStr">
        <is>
          <t>Server</t>
        </is>
      </c>
      <c r="D198" s="12" t="inlineStr">
        <is>
          <t>MIG_DOCUMENT_MISSING</t>
        </is>
      </c>
      <c r="E198" s="12" t="inlineStr">
        <is>
          <t>File &lt;file name&gt; is not in the transfer folder</t>
        </is>
      </c>
      <c r="F198" s="12" t="inlineStr">
        <is>
          <t>Error</t>
        </is>
      </c>
      <c r="G198" s="12" t="inlineStr">
        <is>
          <t>Ask BDOI IT to copy the file into the transfer folder.</t>
        </is>
      </c>
      <c r="H198" s="12" t="n"/>
      <c r="I198" s="12" t="n"/>
      <c r="J198" s="12" t="n"/>
      <c r="K198" s="25" t="n"/>
    </row>
    <row r="199">
      <c r="A199" s="12" t="inlineStr">
        <is>
          <t>MSG-DM-195</t>
        </is>
      </c>
      <c r="B199" s="12" t="inlineStr">
        <is>
          <t>Legacy Inquiry (SCR-DM-14)</t>
        </is>
      </c>
      <c r="C199" s="12" t="inlineStr">
        <is>
          <t>Server</t>
        </is>
      </c>
      <c r="D199" s="12" t="inlineStr">
        <is>
          <t>MIG_DOCUMENT_SIZE</t>
        </is>
      </c>
      <c r="E199" s="12" t="inlineStr">
        <is>
          <t>File &lt;file name&gt; has &lt;length&gt; bytes; the index says &lt;size bytes&gt;</t>
        </is>
      </c>
      <c r="F199" s="12" t="inlineStr">
        <is>
          <t>Error</t>
        </is>
      </c>
      <c r="G199" s="12" t="inlineStr">
        <is>
          <t>Ask BDOI IT to copy the file again; its size differs from the index.</t>
        </is>
      </c>
      <c r="H199" s="12" t="n"/>
      <c r="I199" s="12" t="n"/>
      <c r="J199" s="12" t="n"/>
      <c r="K199" s="25" t="n"/>
    </row>
    <row r="200">
      <c r="A200" s="12" t="inlineStr">
        <is>
          <t>MSG-DM-196</t>
        </is>
      </c>
      <c r="B200" s="12" t="inlineStr">
        <is>
          <t>Legacy Inquiry (SCR-DM-14)</t>
        </is>
      </c>
      <c r="C200" s="12" t="inlineStr">
        <is>
          <t>Server</t>
        </is>
      </c>
      <c r="D200" s="12" t="inlineStr">
        <is>
          <t>MIG_EXPORT_TOO_LARGE</t>
        </is>
      </c>
      <c r="E200" s="12" t="inlineStr">
        <is>
          <t>&lt;total elements&gt; records match; narrow the search to at most &lt;max&gt; records to export</t>
        </is>
      </c>
      <c r="F200" s="12" t="inlineStr">
        <is>
          <t>Error</t>
        </is>
      </c>
      <c r="G200" s="12" t="inlineStr">
        <is>
          <t>Narrow the search (dates, record type, client) to export at most the number shown.</t>
        </is>
      </c>
      <c r="H200" s="12" t="n"/>
      <c r="I200" s="12" t="n"/>
      <c r="J200" s="12" t="n"/>
      <c r="K200" s="25" t="n"/>
    </row>
    <row r="201">
      <c r="A201" s="12" t="inlineStr">
        <is>
          <t>MSG-DM-197</t>
        </is>
      </c>
      <c r="B201" s="12" t="inlineStr">
        <is>
          <t>Legacy Inquiry (SCR-DM-14)</t>
        </is>
      </c>
      <c r="C201" s="12" t="inlineStr">
        <is>
          <t>Server</t>
        </is>
      </c>
      <c r="D201" s="12" t="inlineStr">
        <is>
          <t>MIG_SOURCE_REQUIRED</t>
        </is>
      </c>
      <c r="E201" s="12" t="inlineStr">
        <is>
          <t>Give the legacy system</t>
        </is>
      </c>
      <c r="F201" s="12" t="inlineStr">
        <is>
          <t>Error</t>
        </is>
      </c>
      <c r="G201" s="12" t="inlineStr">
        <is>
          <t>Give the legacy system of the documents.</t>
        </is>
      </c>
      <c r="H201" s="12" t="n"/>
      <c r="I201" s="12" t="n"/>
      <c r="J201" s="12" t="n"/>
      <c r="K201" s="25" t="n"/>
    </row>
    <row r="202">
      <c r="A202" s="12" t="inlineStr">
        <is>
          <t>MSG-DM-198</t>
        </is>
      </c>
      <c r="B202" s="12" t="inlineStr">
        <is>
          <t>Access Log (SCR-DM-15)</t>
        </is>
      </c>
      <c r="C202" s="12" t="inlineStr">
        <is>
          <t>Screen</t>
        </is>
      </c>
      <c r="D202" s="12" t="inlineStr">
        <is>
          <t>-</t>
        </is>
      </c>
      <c r="E202" s="12" t="inlineStr">
        <is>
          <t>No access in the period</t>
        </is>
      </c>
      <c r="F202" s="12" t="inlineStr">
        <is>
          <t>Information</t>
        </is>
      </c>
      <c r="G202" s="12" t="inlineStr">
        <is>
          <t>No action.</t>
        </is>
      </c>
      <c r="H202" s="12" t="n"/>
      <c r="I202" s="12" t="n"/>
      <c r="J202" s="12" t="n"/>
      <c r="K202" s="25" t="n"/>
    </row>
    <row r="203">
      <c r="A203" s="12" t="inlineStr">
        <is>
          <t>MSG-DM-199</t>
        </is>
      </c>
      <c r="B203" s="12" t="inlineStr">
        <is>
          <t>Unapplied to Income and Legacy PR 2307 Reversal (SCR-DM-18, SCR-DM-19)</t>
        </is>
      </c>
      <c r="C203" s="12" t="inlineStr">
        <is>
          <t>Screen</t>
        </is>
      </c>
      <c r="D203" s="12" t="inlineStr">
        <is>
          <t>-</t>
        </is>
      </c>
      <c r="E203" s="12" t="inlineStr">
        <is>
          <t>A line is being removed</t>
        </is>
      </c>
      <c r="F203" s="12" t="inlineStr">
        <is>
          <t>Validation</t>
        </is>
      </c>
      <c r="G203" s="12" t="inlineStr">
        <is>
          <t>No action; wait until the line being removed is gone, then choose the next action.</t>
        </is>
      </c>
      <c r="H203" s="12" t="n"/>
      <c r="I203" s="12" t="n"/>
      <c r="J203" s="12" t="n"/>
      <c r="K203" s="25" t="n"/>
    </row>
    <row r="204">
      <c r="A204" s="12" t="inlineStr">
        <is>
          <t>MSG-DM-200</t>
        </is>
      </c>
      <c r="B204" s="12" t="inlineStr">
        <is>
          <t>Unapplied to Income and Legacy PR 2307 Reversal (SCR-DM-18, SCR-DM-19)</t>
        </is>
      </c>
      <c r="C204" s="12" t="inlineStr">
        <is>
          <t>Screen</t>
        </is>
      </c>
      <c r="D204" s="12" t="inlineStr">
        <is>
          <t>-</t>
        </is>
      </c>
      <c r="E204" s="12" t="inlineStr">
        <is>
          <t>No batch yet</t>
        </is>
      </c>
      <c r="F204" s="12" t="inlineStr">
        <is>
          <t>Information</t>
        </is>
      </c>
      <c r="G204" s="12" t="inlineStr">
        <is>
          <t>No action.</t>
        </is>
      </c>
      <c r="H204" s="12" t="n"/>
      <c r="I204" s="12" t="n"/>
      <c r="J204" s="12" t="n"/>
      <c r="K204" s="25" t="n"/>
    </row>
    <row r="205">
      <c r="A205" s="12" t="inlineStr">
        <is>
          <t>MSG-DM-201</t>
        </is>
      </c>
      <c r="B205" s="12" t="inlineStr">
        <is>
          <t>Unapplied to Income and Legacy PR 2307 Reversal (SCR-DM-18, SCR-DM-19)</t>
        </is>
      </c>
      <c r="C205" s="12" t="inlineStr">
        <is>
          <t>Screen</t>
        </is>
      </c>
      <c r="D205" s="12" t="inlineStr">
        <is>
          <t>-</t>
        </is>
      </c>
      <c r="E205" s="12" t="inlineStr">
        <is>
          <t>No legacy invoice fits</t>
        </is>
      </c>
      <c r="F205" s="12" t="inlineStr">
        <is>
          <t>Information</t>
        </is>
      </c>
      <c r="G205" s="12" t="inlineStr">
        <is>
          <t>No action.</t>
        </is>
      </c>
      <c r="H205" s="12" t="n"/>
      <c r="I205" s="12" t="n"/>
      <c r="J205" s="12" t="n"/>
      <c r="K205" s="25" t="n"/>
    </row>
    <row r="206">
      <c r="A206" s="12" t="inlineStr">
        <is>
          <t>MSG-DM-202</t>
        </is>
      </c>
      <c r="B206" s="12" t="inlineStr">
        <is>
          <t>Unapplied to Income and Legacy PR 2307 Reversal (SCR-DM-18, SCR-DM-19)</t>
        </is>
      </c>
      <c r="C206" s="12" t="inlineStr">
        <is>
          <t>Screen</t>
        </is>
      </c>
      <c r="D206" s="12" t="inlineStr">
        <is>
          <t>-</t>
        </is>
      </c>
      <c r="E206" s="12" t="inlineStr">
        <is>
          <t>No line yet</t>
        </is>
      </c>
      <c r="F206" s="12" t="inlineStr">
        <is>
          <t>Information</t>
        </is>
      </c>
      <c r="G206" s="12" t="inlineStr">
        <is>
          <t>No action.</t>
        </is>
      </c>
      <c r="H206" s="12" t="n"/>
      <c r="I206" s="12" t="n"/>
      <c r="J206" s="12" t="n"/>
      <c r="K206" s="25" t="n"/>
    </row>
    <row r="207">
      <c r="A207" s="12" t="inlineStr">
        <is>
          <t>MSG-DM-203</t>
        </is>
      </c>
      <c r="B207" s="12" t="inlineStr">
        <is>
          <t>Unapplied to Income and Legacy PR 2307 Reversal (SCR-DM-18, SCR-DM-19)</t>
        </is>
      </c>
      <c r="C207" s="12" t="inlineStr">
        <is>
          <t>Screen</t>
        </is>
      </c>
      <c r="D207" s="12" t="inlineStr">
        <is>
          <t>-</t>
        </is>
      </c>
      <c r="E207" s="12" t="inlineStr">
        <is>
          <t>No unapplied payment fits</t>
        </is>
      </c>
      <c r="F207" s="12" t="inlineStr">
        <is>
          <t>Information</t>
        </is>
      </c>
      <c r="G207" s="12" t="inlineStr">
        <is>
          <t>No action.</t>
        </is>
      </c>
      <c r="H207" s="12" t="n"/>
      <c r="I207" s="12" t="n"/>
      <c r="J207" s="12" t="n"/>
      <c r="K207" s="25" t="n"/>
    </row>
    <row r="208">
      <c r="A208" s="12" t="inlineStr">
        <is>
          <t>MSG-DM-204</t>
        </is>
      </c>
      <c r="B208" s="12" t="inlineStr">
        <is>
          <t>Unapplied to Income and Legacy PR 2307 Reversal (SCR-DM-18, SCR-DM-19)</t>
        </is>
      </c>
      <c r="C208" s="12" t="inlineStr">
        <is>
          <t>Screen</t>
        </is>
      </c>
      <c r="D208" s="12" t="inlineStr">
        <is>
          <t>-</t>
        </is>
      </c>
      <c r="E208" s="12" t="inlineStr">
        <is>
          <t>The Cashiering team lead approves first, then top management; the lines post after the second approval.</t>
        </is>
      </c>
      <c r="F208" s="12" t="inlineStr">
        <is>
          <t>Validation</t>
        </is>
      </c>
      <c r="G208" s="12" t="inlineStr">
        <is>
          <t>Confirm to go ahead, or cancel to leave the record as it is.</t>
        </is>
      </c>
      <c r="H208" s="12" t="n"/>
      <c r="I208" s="12" t="n"/>
      <c r="J208" s="12" t="n"/>
      <c r="K208" s="25" t="n"/>
    </row>
    <row r="209">
      <c r="A209" s="12" t="inlineStr">
        <is>
          <t>MSG-DM-205</t>
        </is>
      </c>
      <c r="B209" s="12" t="inlineStr">
        <is>
          <t>Unapplied to Income and Legacy PR 2307 Reversal (SCR-DM-18, SCR-DM-19)</t>
        </is>
      </c>
      <c r="C209" s="12" t="inlineStr">
        <is>
          <t>Screen</t>
        </is>
      </c>
      <c r="D209" s="12" t="inlineStr">
        <is>
          <t>-</t>
        </is>
      </c>
      <c r="E209" s="12" t="inlineStr">
        <is>
          <t>The Cashiering team lead approves; any premium receivable needed is first moved to PR 2307.</t>
        </is>
      </c>
      <c r="F209" s="12" t="inlineStr">
        <is>
          <t>Validation</t>
        </is>
      </c>
      <c r="G209" s="12" t="inlineStr">
        <is>
          <t>Confirm to go ahead, or cancel to leave the record as it is.</t>
        </is>
      </c>
      <c r="H209" s="12" t="n"/>
      <c r="I209" s="12" t="n"/>
      <c r="J209" s="12" t="n"/>
      <c r="K209" s="25" t="n"/>
    </row>
    <row r="210">
      <c r="A210" s="12" t="inlineStr">
        <is>
          <t>MSG-DM-206</t>
        </is>
      </c>
      <c r="B210" s="12" t="inlineStr">
        <is>
          <t>Unapplied to Income and Legacy PR 2307 Reversal (SCR-DM-18, SCR-DM-19)</t>
        </is>
      </c>
      <c r="C210" s="12" t="inlineStr">
        <is>
          <t>Screen</t>
        </is>
      </c>
      <c r="D210" s="12" t="inlineStr">
        <is>
          <t>-</t>
        </is>
      </c>
      <c r="E210" s="12" t="inlineStr">
        <is>
          <t>The Commission team lead approves; each invoice then posts on its own.</t>
        </is>
      </c>
      <c r="F210" s="12" t="inlineStr">
        <is>
          <t>Validation</t>
        </is>
      </c>
      <c r="G210" s="12" t="inlineStr">
        <is>
          <t>Confirm to go ahead, or cancel to leave the record as it is.</t>
        </is>
      </c>
      <c r="H210" s="12" t="n"/>
      <c r="I210" s="12" t="n"/>
      <c r="J210" s="12" t="n"/>
      <c r="K210" s="25" t="n"/>
    </row>
    <row r="211">
      <c r="A211" s="12" t="inlineStr">
        <is>
          <t>MSG-DM-207</t>
        </is>
      </c>
      <c r="B211" s="12" t="inlineStr">
        <is>
          <t>Unapplied to Income and Legacy PR 2307 Reversal (SCR-DM-18, SCR-DM-19)</t>
        </is>
      </c>
      <c r="C211" s="12" t="inlineStr">
        <is>
          <t>Screen</t>
        </is>
      </c>
      <c r="D211" s="12" t="inlineStr">
        <is>
          <t>-</t>
        </is>
      </c>
      <c r="E211" s="12" t="inlineStr">
        <is>
          <t>The batch goes back to its requester as a draft.</t>
        </is>
      </c>
      <c r="F211" s="12" t="inlineStr">
        <is>
          <t>Validation</t>
        </is>
      </c>
      <c r="G211" s="12" t="inlineStr">
        <is>
          <t>Confirm to go ahead, or cancel to leave the record as it is.</t>
        </is>
      </c>
      <c r="H211" s="12" t="n"/>
      <c r="I211" s="12" t="n"/>
      <c r="J211" s="12" t="n"/>
      <c r="K211" s="25" t="n"/>
    </row>
    <row r="212">
      <c r="A212" s="12" t="inlineStr">
        <is>
          <t>MSG-DM-208</t>
        </is>
      </c>
      <c r="B212" s="12" t="inlineStr">
        <is>
          <t>Unapplied to Income and Legacy PR 2307 Reversal (SCR-DM-18, SCR-DM-19)</t>
        </is>
      </c>
      <c r="C212" s="12" t="inlineStr">
        <is>
          <t>Screen</t>
        </is>
      </c>
      <c r="D212" s="12" t="inlineStr">
        <is>
          <t>-</t>
        </is>
      </c>
      <c r="E212" s="12" t="inlineStr">
        <is>
          <t>The batch is closed without posting; its lines may be taken again.</t>
        </is>
      </c>
      <c r="F212" s="12" t="inlineStr">
        <is>
          <t>Validation</t>
        </is>
      </c>
      <c r="G212" s="12" t="inlineStr">
        <is>
          <t>Confirm to go ahead, or cancel to leave the record as it is.</t>
        </is>
      </c>
      <c r="H212" s="12" t="n"/>
      <c r="I212" s="12" t="n"/>
      <c r="J212" s="12" t="n"/>
      <c r="K212" s="25" t="n"/>
    </row>
    <row r="213">
      <c r="A213" s="12" t="inlineStr">
        <is>
          <t>MSG-DM-209</t>
        </is>
      </c>
      <c r="B213" s="12" t="inlineStr">
        <is>
          <t>Every migration screen (Common screen elements)</t>
        </is>
      </c>
      <c r="C213" s="12" t="inlineStr">
        <is>
          <t>Screen</t>
        </is>
      </c>
      <c r="D213" s="12" t="inlineStr">
        <is>
          <t>-</t>
        </is>
      </c>
      <c r="E213" s="12" t="inlineStr">
        <is>
          <t>Checked</t>
        </is>
      </c>
      <c r="F213" s="12" t="inlineStr">
        <is>
          <t>Validation</t>
        </is>
      </c>
      <c r="G213" s="12" t="inlineStr">
        <is>
          <t>No action; the screen shows the change.</t>
        </is>
      </c>
      <c r="H213" s="12" t="n"/>
      <c r="I213" s="12" t="n"/>
      <c r="J213" s="12" t="n"/>
      <c r="K213" s="25" t="n"/>
    </row>
    <row r="214">
      <c r="A214" s="12" t="inlineStr">
        <is>
          <t>MSG-DM-210</t>
        </is>
      </c>
      <c r="B214" s="12" t="inlineStr">
        <is>
          <t>Every screen (Common screen elements)</t>
        </is>
      </c>
      <c r="C214" s="12" t="inlineStr">
        <is>
          <t>Server</t>
        </is>
      </c>
      <c r="D214" s="12" t="inlineStr">
        <is>
          <t>ACCESS_DENIED</t>
        </is>
      </c>
      <c r="E214" s="12" t="inlineStr">
        <is>
          <t>You are not permitted to perform this action</t>
        </is>
      </c>
      <c r="F214" s="12" t="inlineStr">
        <is>
          <t>Error</t>
        </is>
      </c>
      <c r="G214" s="12" t="inlineStr">
        <is>
          <t>Ask for the permission; the menu shows only the screens of your role.</t>
        </is>
      </c>
      <c r="H214" s="12" t="n"/>
      <c r="I214" s="12" t="n"/>
      <c r="J214" s="12" t="n"/>
      <c r="K214" s="25" t="n"/>
    </row>
    <row r="215">
      <c r="A215" s="12" t="inlineStr">
        <is>
          <t>MSG-DM-211</t>
        </is>
      </c>
      <c r="B215" s="12" t="inlineStr">
        <is>
          <t>Every screen (Common screen elements)</t>
        </is>
      </c>
      <c r="C215" s="12" t="inlineStr">
        <is>
          <t>Server</t>
        </is>
      </c>
      <c r="D215" s="12" t="inlineStr">
        <is>
          <t>CONCURRENT_MODIFICATION</t>
        </is>
      </c>
      <c r="E215" s="12" t="inlineStr">
        <is>
          <t>The record was changed by another user. Please reload and try again.</t>
        </is>
      </c>
      <c r="F215" s="12" t="inlineStr">
        <is>
          <t>Error</t>
        </is>
      </c>
      <c r="G215" s="12" t="inlineStr">
        <is>
          <t>Reload the record; another user changed it. Enter the change again.</t>
        </is>
      </c>
      <c r="H215" s="12" t="n"/>
      <c r="I215" s="12" t="n"/>
      <c r="J215" s="12" t="n"/>
      <c r="K215" s="25" t="n"/>
    </row>
    <row r="216">
      <c r="A216" s="12" t="inlineStr">
        <is>
          <t>MSG-DM-212</t>
        </is>
      </c>
      <c r="B216" s="12" t="inlineStr">
        <is>
          <t>Every screen (Common screen elements)</t>
        </is>
      </c>
      <c r="C216" s="12" t="inlineStr">
        <is>
          <t>Server</t>
        </is>
      </c>
      <c r="D216" s="12" t="inlineStr">
        <is>
          <t>INTERNAL_ERROR</t>
        </is>
      </c>
      <c r="E216" s="12" t="inlineStr">
        <is>
          <t>The system could not complete the request. Try again; if it continues, contact support with the reference.</t>
        </is>
      </c>
      <c r="F216" s="12" t="inlineStr">
        <is>
          <t>Error</t>
        </is>
      </c>
      <c r="G216" s="12" t="inlineStr">
        <is>
          <t>Report the message with its reference to the System Administrator.</t>
        </is>
      </c>
      <c r="H216" s="12" t="n"/>
      <c r="I216" s="12" t="n"/>
      <c r="J216" s="12" t="n"/>
      <c r="K216" s="25" t="n"/>
    </row>
    <row r="217">
      <c r="A217" s="12" t="inlineStr">
        <is>
          <t>MSG-DM-213</t>
        </is>
      </c>
      <c r="B217" s="12" t="inlineStr">
        <is>
          <t>Every screen (Common screen elements)</t>
        </is>
      </c>
      <c r="C217" s="12" t="inlineStr">
        <is>
          <t>Server</t>
        </is>
      </c>
      <c r="D217" s="12" t="inlineStr">
        <is>
          <t>MALFORMED_REQUEST</t>
        </is>
      </c>
      <c r="E217" s="12" t="inlineStr">
        <is>
          <t>Parameter '&lt;name&gt;' has an invalid value</t>
        </is>
      </c>
      <c r="F217" s="12" t="inlineStr">
        <is>
          <t>Error</t>
        </is>
      </c>
      <c r="G217" s="12" t="inlineStr">
        <is>
          <t>Reload the screen and try again; if it persists, report it with the time to the System Administrator.</t>
        </is>
      </c>
      <c r="H217" s="12" t="n"/>
      <c r="I217" s="12" t="n"/>
      <c r="J217" s="12" t="n"/>
      <c r="K217" s="25" t="n"/>
    </row>
    <row r="218">
      <c r="A218" s="12" t="inlineStr">
        <is>
          <t>MSG-DM-214</t>
        </is>
      </c>
      <c r="B218" s="12" t="inlineStr">
        <is>
          <t>Every screen (Common screen elements)</t>
        </is>
      </c>
      <c r="C218" s="12" t="inlineStr">
        <is>
          <t>Server</t>
        </is>
      </c>
      <c r="D218" s="12" t="inlineStr">
        <is>
          <t>MALFORMED_REQUEST</t>
        </is>
      </c>
      <c r="E218" s="12" t="inlineStr">
        <is>
          <t>Required parameter '&lt;parameter name&gt;' is missing</t>
        </is>
      </c>
      <c r="F218" s="12" t="inlineStr">
        <is>
          <t>Error</t>
        </is>
      </c>
      <c r="G218" s="12" t="inlineStr">
        <is>
          <t>Reload the screen and try again; if it persists, report it with the time to the System Administrator.</t>
        </is>
      </c>
      <c r="H218" s="12" t="n"/>
      <c r="I218" s="12" t="n"/>
      <c r="J218" s="12" t="n"/>
      <c r="K218" s="25" t="n"/>
    </row>
    <row r="219">
      <c r="A219" s="12" t="inlineStr">
        <is>
          <t>MSG-DM-215</t>
        </is>
      </c>
      <c r="B219" s="12" t="inlineStr">
        <is>
          <t>Several screens</t>
        </is>
      </c>
      <c r="C219" s="12" t="inlineStr">
        <is>
          <t>Server</t>
        </is>
      </c>
      <c r="D219" s="12" t="inlineStr">
        <is>
          <t>MIG_NO_LAYOUT</t>
        </is>
      </c>
      <c r="E219" s="12" t="inlineStr">
        <is>
          <t>There is no layout in force to export</t>
        </is>
      </c>
      <c r="F219" s="12" t="inlineStr">
        <is>
          <t>Error</t>
        </is>
      </c>
      <c r="G219" s="12" t="inlineStr">
        <is>
          <t>Freeze a layout of the object first; only the layouts in force have load templates.</t>
        </is>
      </c>
      <c r="H219" s="12" t="n"/>
      <c r="I219" s="12" t="n"/>
      <c r="J219" s="12" t="n"/>
      <c r="K219" s="25" t="n"/>
    </row>
    <row r="220">
      <c r="A220" s="12" t="inlineStr">
        <is>
          <t>MSG-DM-216</t>
        </is>
      </c>
      <c r="B220" s="12" t="inlineStr">
        <is>
          <t>Every screen (Common screen elements)</t>
        </is>
      </c>
      <c r="C220" s="12" t="inlineStr">
        <is>
          <t>Server</t>
        </is>
      </c>
      <c r="D220" s="12" t="inlineStr">
        <is>
          <t>UPLOAD_TOO_LARGE</t>
        </is>
      </c>
      <c r="E220" s="12" t="inlineStr">
        <is>
          <t>The uploaded file is too large</t>
        </is>
      </c>
      <c r="F220" s="12" t="inlineStr">
        <is>
          <t>Error</t>
        </is>
      </c>
      <c r="G220" s="12" t="inlineStr">
        <is>
          <t>Split the file (for example by branch) and upload the parts, or use the secure file drop when it is named.</t>
        </is>
      </c>
      <c r="H220" s="12" t="n"/>
      <c r="I220" s="12" t="n"/>
      <c r="J220" s="12" t="n"/>
      <c r="K220" s="25" t="n"/>
    </row>
    <row r="221">
      <c r="A221" s="12" t="inlineStr">
        <is>
          <t>MSG-DM-217</t>
        </is>
      </c>
      <c r="B221" s="12" t="inlineStr">
        <is>
          <t>Every screen (Common screen elements)</t>
        </is>
      </c>
      <c r="C221" s="12" t="inlineStr">
        <is>
          <t>Server</t>
        </is>
      </c>
      <c r="D221" s="12" t="inlineStr">
        <is>
          <t>VALIDATION_FAILED</t>
        </is>
      </c>
      <c r="E221" s="12" t="inlineStr">
        <is>
          <t>Invalid request</t>
        </is>
      </c>
      <c r="F221" s="12" t="inlineStr">
        <is>
          <t>Error</t>
        </is>
      </c>
      <c r="G221" s="12" t="inlineStr">
        <is>
          <t>Correct the fields listed under the message.</t>
        </is>
      </c>
      <c r="H221" s="12" t="n"/>
      <c r="I221" s="12" t="n"/>
      <c r="J221" s="12" t="n"/>
      <c r="K221" s="25" t="n"/>
    </row>
  </sheetData>
  <autoFilter ref="A4:K221"/>
  <mergeCells count="1">
    <mergeCell ref="A2:K2"/>
  </mergeCells>
  <conditionalFormatting sqref="A5:K721">
    <cfRule type="expression" priority="1" dxfId="0">
      <formula>AND(MOD(ROW(),2)=0,$A5&lt;&gt;"")</formula>
    </cfRule>
  </conditionalFormatting>
  <dataValidations count="3">
    <dataValidation sqref="F5:F721" showDropDown="0" showInputMessage="0" showErrorMessage="1" allowBlank="1" errorTitle="Type" error="Choose a value from the list (Type)." type="list">
      <formula1>'_lists'!$AD$1:$AD$5</formula1>
    </dataValidation>
    <dataValidation sqref="H5:H721" showDropDown="0" showInputMessage="0" showErrorMessage="1" allowBlank="1" errorTitle="BU review" error="Choose a value from the list (BU review)." type="list">
      <formula1>'_lists'!$AE$1:$AE$3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5.xml><?xml version="1.0" encoding="utf-8"?>
<worksheet xmlns="http://schemas.openxmlformats.org/spreadsheetml/2006/main">
  <sheetPr>
    <outlinePr summaryBelow="1" summaryRight="1"/>
    <pageSetUpPr fitToPage="1"/>
  </sheetPr>
  <dimension ref="A1:H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Alert</t>
        </is>
      </c>
      <c r="C5" s="12" t="inlineStr">
        <is>
          <t>An extract does not agree with its control file (checksum, header, row count, amount totals or hash total) and is rejected</t>
        </is>
      </c>
      <c r="D5" s="12" t="inlineStr">
        <is>
          <t>Data Migration Lead and the Migration Operators</t>
        </is>
      </c>
      <c r="E5" s="12" t="inlineStr">
        <is>
          <t>Migration extract rejected (severity Medium). Text: Extract &lt;file name&gt; rejected: &lt;reason&gt;</t>
        </is>
      </c>
      <c r="F5" s="12" t="inlineStr">
        <is>
          <t>The extract number and the reason; the alert opens Extracts</t>
        </is>
      </c>
      <c r="G5" s="12" t="inlineStr">
        <is>
          <t>Extracts (SCR-DM-05)</t>
        </is>
      </c>
      <c r="H5" s="12" t="inlineStr">
        <is>
          <t>FR-DM-010</t>
        </is>
      </c>
    </row>
    <row r="6">
      <c r="A6" s="12" t="inlineStr">
        <is>
          <t>NT-02</t>
        </is>
      </c>
      <c r="B6" s="12" t="inlineStr">
        <is>
          <t>Alert</t>
        </is>
      </c>
      <c r="C6" s="12" t="inlineStr">
        <is>
          <t>A batch stops, or loads with rejected rows</t>
        </is>
      </c>
      <c r="D6" s="12" t="inlineStr">
        <is>
          <t>Data Migration Lead and the Migration Operators</t>
        </is>
      </c>
      <c r="E6" s="12" t="inlineStr">
        <is>
          <t>Migration load failed (severity High). Text: Batch &lt;batch no&gt; stopped. / Batch &lt;batch no&gt; loaded with rejects. &lt;counts&gt;</t>
        </is>
      </c>
      <c r="F6" s="12" t="inlineStr">
        <is>
          <t>The batch and its counts; the alert opens the batch</t>
        </is>
      </c>
      <c r="G6" s="12" t="inlineStr">
        <is>
          <t>Batch (SCR-DM-07)</t>
        </is>
      </c>
      <c r="H6" s="12" t="inlineStr">
        <is>
          <t>FR-DM-014</t>
        </is>
      </c>
    </row>
    <row r="7">
      <c r="A7" s="12" t="inlineStr">
        <is>
          <t>NT-03</t>
        </is>
      </c>
      <c r="B7" s="12" t="inlineStr">
        <is>
          <t>Alert</t>
        </is>
      </c>
      <c r="C7" s="12" t="inlineStr">
        <is>
          <t>Validation finds legacy codes without an approved code map entry</t>
        </is>
      </c>
      <c r="D7" s="12" t="inlineStr">
        <is>
          <t>Data Steward and the Data Migration Lead</t>
        </is>
      </c>
      <c r="E7" s="12" t="inlineStr">
        <is>
          <t>Unmapped legacy codes (severity Medium). Text: Batch &lt;batch no&gt; has &lt;n&gt; unmapped legacy codes</t>
        </is>
      </c>
      <c r="F7" s="12" t="inlineStr">
        <is>
          <t>The batch; the codes are on the Unmapped Codes tab of Code Maps</t>
        </is>
      </c>
      <c r="G7" s="12" t="inlineStr">
        <is>
          <t>Code Maps (SCR-DM-03)</t>
        </is>
      </c>
      <c r="H7" s="12" t="inlineStr">
        <is>
          <t>FR-DM-012</t>
        </is>
      </c>
    </row>
    <row r="8">
      <c r="A8" s="12" t="inlineStr">
        <is>
          <t>NT-04</t>
        </is>
      </c>
      <c r="B8" s="12" t="inlineStr">
        <is>
          <t>Alert</t>
        </is>
      </c>
      <c r="C8" s="12" t="inlineStr">
        <is>
          <t>A reconciliation run has lines that do not match</t>
        </is>
      </c>
      <c r="D8" s="12" t="inlineStr">
        <is>
          <t>Reconciliation approver and the Data Migration Lead</t>
        </is>
      </c>
      <c r="E8" s="12" t="inlineStr">
        <is>
          <t>Migration reconciliation break (severity High). Text: Reconciliation &lt;run no&gt; of batch &lt;batch no&gt; has &lt;n&gt; open breaks</t>
        </is>
      </c>
      <c r="F8" s="12" t="inlineStr">
        <is>
          <t>The run and the batch; the alert opens Reconciliation</t>
        </is>
      </c>
      <c r="G8" s="12" t="inlineStr">
        <is>
          <t>Reconciliation (SCR-DM-09)</t>
        </is>
      </c>
      <c r="H8" s="12" t="inlineStr">
        <is>
          <t>FR-DM-020</t>
        </is>
      </c>
    </row>
    <row r="9">
      <c r="A9" s="12" t="inlineStr">
        <is>
          <t>NT-05</t>
        </is>
      </c>
      <c r="B9" s="12" t="inlineStr">
        <is>
          <t>Alert</t>
        </is>
      </c>
      <c r="C9" s="12" t="inlineStr">
        <is>
          <t>Migration Clearing is not 0.00 for a branch and currency after an opening load</t>
        </is>
      </c>
      <c r="D9" s="12" t="inlineStr">
        <is>
          <t>Head of Comptrollership (reconciliation approver) and the Data Migration Lead</t>
        </is>
      </c>
      <c r="E9" s="12" t="inlineStr">
        <is>
          <t>Migration clearing not zero (severity Critical). Text: Migration Clearing of &lt;branch&gt; &lt;currency&gt; is &lt;amount&gt;</t>
        </is>
      </c>
      <c r="F9" s="12" t="inlineStr">
        <is>
          <t>The branch, currency and balance; the Migration Clearing report analyses it per legacy control account</t>
        </is>
      </c>
      <c r="G9" s="12" t="inlineStr">
        <is>
          <t>Reconciliation (SCR-DM-09), GL level</t>
        </is>
      </c>
      <c r="H9" s="12" t="inlineStr">
        <is>
          <t>FR-DM-021</t>
        </is>
      </c>
    </row>
    <row r="10">
      <c r="A10" s="12" t="inlineStr">
        <is>
          <t>NT-06</t>
        </is>
      </c>
      <c r="B10" s="12" t="inlineStr">
        <is>
          <t>Alert</t>
        </is>
      </c>
      <c r="C10" s="12" t="inlineStr">
        <is>
          <t>An accepted or rolled-back batch still holds staging data after its purge date (daily check)</t>
        </is>
      </c>
      <c r="D10" s="12" t="inlineStr">
        <is>
          <t>Data Migration Lead and Compliance</t>
        </is>
      </c>
      <c r="E10" s="12" t="inlineStr">
        <is>
          <t>Migration staging not purged (severity High). Text: Staging data of batch &lt;batch no&gt; is kept past its purge date &lt;date&gt;</t>
        </is>
      </c>
      <c r="F10" s="12" t="inlineStr">
        <is>
          <t>The batch and the purge date</t>
        </is>
      </c>
      <c r="G10" s="12" t="inlineStr">
        <is>
          <t>Batch (SCR-DM-07)</t>
        </is>
      </c>
      <c r="H10" s="12" t="inlineStr">
        <is>
          <t>FR-DM-010</t>
        </is>
      </c>
    </row>
    <row r="11">
      <c r="A11" s="12" t="inlineStr">
        <is>
          <t>NT-07</t>
        </is>
      </c>
      <c r="B11" s="12" t="inlineStr">
        <is>
          <t>Alert</t>
        </is>
      </c>
      <c r="C11" s="12" t="inlineStr">
        <is>
          <t>A user exports more legacy archive records in a day than the alert limit (5,000)</t>
        </is>
      </c>
      <c r="D11" s="12" t="inlineStr">
        <is>
          <t>Compliance reviewers of the access log</t>
        </is>
      </c>
      <c r="E11" s="12" t="inlineStr">
        <is>
          <t>Unusual legacy archive access (severity High). Text: User &lt;user&gt; exported &lt;n&gt; legacy archive records today (limit &lt;limit&gt;)</t>
        </is>
      </c>
      <c r="F11" s="12" t="inlineStr">
        <is>
          <t>The user and the count; the Access Log shows the exports</t>
        </is>
      </c>
      <c r="G11" s="12" t="inlineStr">
        <is>
          <t>Legacy Inquiry (SCR-DM-14); Access Log (SCR-DM-15)</t>
        </is>
      </c>
      <c r="H11" s="12" t="inlineStr">
        <is>
          <t>FR-DM-111</t>
        </is>
      </c>
    </row>
    <row r="12">
      <c r="A12" s="12" t="inlineStr">
        <is>
          <t>NT-08</t>
        </is>
      </c>
      <c r="B12" s="12" t="inlineStr">
        <is>
          <t>Alert</t>
        </is>
      </c>
      <c r="C12" s="12" t="inlineStr">
        <is>
          <t>A check of the reconciliation of an opening-balance adjustment fails</t>
        </is>
      </c>
      <c r="D12" s="12" t="inlineStr">
        <is>
          <t>Head of Comptrollership and the Comptrollership GL lead</t>
        </is>
      </c>
      <c r="E12" s="12" t="inlineStr">
        <is>
          <t>Opening-balance adjustment break (severity Critical). Text: Opening-balance adjustment &lt;reference&gt; has &lt;n&gt; reconciliation break(s)</t>
        </is>
      </c>
      <c r="F12" s="12" t="inlineStr">
        <is>
          <t>The adjustment; it cannot be signed until the break is resolved</t>
        </is>
      </c>
      <c r="G12" s="12" t="inlineStr">
        <is>
          <t>Opening-Balance Adjustments (SCR-DM-11)</t>
        </is>
      </c>
      <c r="H12" s="12" t="inlineStr">
        <is>
          <t>FR-DM-024</t>
        </is>
      </c>
    </row>
    <row r="13">
      <c r="A13" s="12" t="inlineStr">
        <is>
          <t>NT-09</t>
        </is>
      </c>
      <c r="B13" s="12" t="inlineStr">
        <is>
          <t>E-mail</t>
        </is>
      </c>
      <c r="C13" s="12" t="inlineStr">
        <is>
          <t>First day of each month</t>
        </is>
      </c>
      <c r="D13" s="12" t="inlineStr">
        <is>
          <t>Compliance reviewers of the access log</t>
        </is>
      </c>
      <c r="E13" s="12" t="inlineStr">
        <is>
          <t>Monthly digest of the legacy archive access log: searches, views, downloads and exports of the previous month per user, with the reasons given</t>
        </is>
      </c>
      <c r="F13" s="12" t="inlineStr">
        <is>
          <t>The digest of the access log of the month</t>
        </is>
      </c>
      <c r="G13" s="12" t="inlineStr">
        <is>
          <t>Access Log (SCR-DM-15)</t>
        </is>
      </c>
      <c r="H13" s="12" t="inlineStr">
        <is>
          <t>FR-DM-111</t>
        </is>
      </c>
    </row>
    <row r="14">
      <c r="A14" s="12" t="inlineStr">
        <is>
          <t>NT-10</t>
        </is>
      </c>
      <c r="B14" s="12" t="inlineStr">
        <is>
          <t>None</t>
        </is>
      </c>
      <c r="C14" s="12" t="inlineStr">
        <is>
          <t>Any record created by a migration load (client, account, invoice, unapplied payment, insurer, product, payee)</t>
        </is>
      </c>
      <c r="D14" s="12" t="inlineStr">
        <is>
          <t>-</t>
        </is>
      </c>
      <c r="E14" s="12" t="inlineStr">
        <is>
          <t>No notification to clients, insurers or users and no outbound integration message is sent for a migrated record</t>
        </is>
      </c>
      <c r="F14" s="12" t="inlineStr">
        <is>
          <t>-</t>
        </is>
      </c>
      <c r="G14" s="12" t="inlineStr">
        <is>
          <t>Every business screen</t>
        </is>
      </c>
      <c r="H14" s="12" t="inlineStr">
        <is>
          <t>FR-DM-014</t>
        </is>
      </c>
    </row>
  </sheetData>
  <autoFilter ref="A4:H14"/>
  <mergeCells count="1">
    <mergeCell ref="A2:H2"/>
  </mergeCells>
  <conditionalFormatting sqref="A5:H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6.xml><?xml version="1.0" encoding="utf-8"?>
<worksheet xmlns="http://schemas.openxmlformats.org/spreadsheetml/2006/main">
  <sheetPr>
    <outlinePr summaryBelow="1" summaryRight="1"/>
    <pageSetUpPr fitToPage="1"/>
  </sheetPr>
  <dimension ref="A1:F44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24" customWidth="1" min="3" max="3"/>
    <col width="26" customWidth="1" min="4" max="4"/>
    <col width="12" customWidth="1" min="5" max="5"/>
    <col width="12" customWidth="1" min="6" max="6"/>
  </cols>
  <sheetData>
    <row r="1" ht="24" customHeight="1">
      <c r="A1" s="19" t="inlineStr">
        <is>
          <t>Menu by persona</t>
        </is>
      </c>
    </row>
    <row r="2">
      <c r="A2" s="22" t="inlineStr">
        <is>
          <t>What each Data Migration persona sees in the sidebar (from the role grants)</t>
        </is>
      </c>
    </row>
    <row r="3" ht="6" customHeight="1">
      <c r="A3" s="23" t="n"/>
      <c r="B3" s="23" t="n"/>
      <c r="C3" s="23" t="n"/>
      <c r="D3" s="23" t="n"/>
      <c r="E3" s="23" t="n"/>
      <c r="F3" s="23" t="n"/>
    </row>
    <row r="4" ht="30" customHeight="1">
      <c r="A4" s="24" t="inlineStr">
        <is>
          <t>Persona</t>
        </is>
      </c>
      <c r="B4" s="24" t="inlineStr">
        <is>
          <t>Group</t>
        </is>
      </c>
      <c r="C4" s="24" t="inlineStr">
        <is>
          <t>Section</t>
        </is>
      </c>
      <c r="D4" s="24" t="inlineStr">
        <is>
          <t>Screen</t>
        </is>
      </c>
      <c r="E4" s="24" t="inlineStr">
        <is>
          <t>BRD</t>
        </is>
      </c>
      <c r="F4" s="24" t="inlineStr">
        <is>
          <t>Data Migration</t>
        </is>
      </c>
    </row>
    <row r="5">
      <c r="A5" s="12" t="inlineStr">
        <is>
          <t>Data Migration Lead</t>
        </is>
      </c>
      <c r="B5" s="12" t="inlineStr">
        <is>
          <t>Home</t>
        </is>
      </c>
      <c r="C5" s="12" t="inlineStr">
        <is>
          <t>Overview</t>
        </is>
      </c>
      <c r="D5" s="12" t="inlineStr">
        <is>
          <t>My Approvals</t>
        </is>
      </c>
      <c r="E5" s="12" t="inlineStr">
        <is>
          <t>Platform</t>
        </is>
      </c>
      <c r="F5" s="12" t="inlineStr"/>
    </row>
    <row r="6">
      <c r="A6" s="12" t="inlineStr">
        <is>
          <t>Data Migration Lead</t>
        </is>
      </c>
      <c r="B6" s="12" t="inlineStr">
        <is>
          <t>Data Migration</t>
        </is>
      </c>
      <c r="C6" s="12" t="inlineStr">
        <is>
          <t>Data Migration</t>
        </is>
      </c>
      <c r="D6" s="12" t="inlineStr">
        <is>
          <t>Migration Home</t>
        </is>
      </c>
      <c r="E6" s="12" t="inlineStr">
        <is>
          <t>BRD-13</t>
        </is>
      </c>
      <c r="F6" s="12" t="inlineStr">
        <is>
          <t>Yes</t>
        </is>
      </c>
    </row>
    <row r="7">
      <c r="A7" s="12" t="inlineStr">
        <is>
          <t>Data Migration Lead</t>
        </is>
      </c>
      <c r="B7" s="12" t="inlineStr">
        <is>
          <t>Data Migration</t>
        </is>
      </c>
      <c r="C7" s="12" t="inlineStr">
        <is>
          <t>Data Migration</t>
        </is>
      </c>
      <c r="D7" s="12" t="inlineStr">
        <is>
          <t>Data Objects</t>
        </is>
      </c>
      <c r="E7" s="12" t="inlineStr">
        <is>
          <t>BRD-13</t>
        </is>
      </c>
      <c r="F7" s="12" t="inlineStr">
        <is>
          <t>Yes</t>
        </is>
      </c>
    </row>
    <row r="8">
      <c r="A8" s="12" t="inlineStr">
        <is>
          <t>Data Migration Lead</t>
        </is>
      </c>
      <c r="B8" s="12" t="inlineStr">
        <is>
          <t>Data Migration</t>
        </is>
      </c>
      <c r="C8" s="12" t="inlineStr">
        <is>
          <t>Data Migration</t>
        </is>
      </c>
      <c r="D8" s="12" t="inlineStr">
        <is>
          <t>Code Maps</t>
        </is>
      </c>
      <c r="E8" s="12" t="inlineStr">
        <is>
          <t>BRD-13</t>
        </is>
      </c>
      <c r="F8" s="12" t="inlineStr">
        <is>
          <t>Yes</t>
        </is>
      </c>
    </row>
    <row r="9">
      <c r="A9" s="12" t="inlineStr">
        <is>
          <t>Data Migration Lead</t>
        </is>
      </c>
      <c r="B9" s="12" t="inlineStr">
        <is>
          <t>Data Migration</t>
        </is>
      </c>
      <c r="C9" s="12" t="inlineStr">
        <is>
          <t>Data Migration</t>
        </is>
      </c>
      <c r="D9" s="12" t="inlineStr">
        <is>
          <t>Layouts and Rules</t>
        </is>
      </c>
      <c r="E9" s="12" t="inlineStr">
        <is>
          <t>BRD-13</t>
        </is>
      </c>
      <c r="F9" s="12" t="inlineStr">
        <is>
          <t>Yes</t>
        </is>
      </c>
    </row>
    <row r="10">
      <c r="A10" s="12" t="inlineStr">
        <is>
          <t>Data Migration Lead</t>
        </is>
      </c>
      <c r="B10" s="12" t="inlineStr">
        <is>
          <t>Data Migration</t>
        </is>
      </c>
      <c r="C10" s="12" t="inlineStr">
        <is>
          <t>Data Migration</t>
        </is>
      </c>
      <c r="D10" s="12" t="inlineStr">
        <is>
          <t>Batches</t>
        </is>
      </c>
      <c r="E10" s="12" t="inlineStr">
        <is>
          <t>BRD-13</t>
        </is>
      </c>
      <c r="F10" s="12" t="inlineStr">
        <is>
          <t>Yes</t>
        </is>
      </c>
    </row>
    <row r="11">
      <c r="A11" s="12" t="inlineStr">
        <is>
          <t>Data Migration Lead</t>
        </is>
      </c>
      <c r="B11" s="12" t="inlineStr">
        <is>
          <t>Data Migration</t>
        </is>
      </c>
      <c r="C11" s="12" t="inlineStr">
        <is>
          <t>Data Migration</t>
        </is>
      </c>
      <c r="D11" s="12" t="inlineStr">
        <is>
          <t>Reconciliation</t>
        </is>
      </c>
      <c r="E11" s="12" t="inlineStr">
        <is>
          <t>BRD-13</t>
        </is>
      </c>
      <c r="F11" s="12" t="inlineStr">
        <is>
          <t>Yes</t>
        </is>
      </c>
    </row>
    <row r="12">
      <c r="A12" s="12" t="inlineStr">
        <is>
          <t>Data Migration Lead</t>
        </is>
      </c>
      <c r="B12" s="12" t="inlineStr">
        <is>
          <t>Data Migration</t>
        </is>
      </c>
      <c r="C12" s="12" t="inlineStr">
        <is>
          <t>Data Migration</t>
        </is>
      </c>
      <c r="D12" s="12" t="inlineStr">
        <is>
          <t>Opening Adjustments</t>
        </is>
      </c>
      <c r="E12" s="12" t="inlineStr">
        <is>
          <t>BRD-13</t>
        </is>
      </c>
      <c r="F12" s="12" t="inlineStr">
        <is>
          <t>Yes</t>
        </is>
      </c>
    </row>
    <row r="13">
      <c r="A13" s="12" t="inlineStr">
        <is>
          <t>Data Migration Lead</t>
        </is>
      </c>
      <c r="B13" s="12" t="inlineStr">
        <is>
          <t>Data Migration</t>
        </is>
      </c>
      <c r="C13" s="12" t="inlineStr">
        <is>
          <t>Data Migration</t>
        </is>
      </c>
      <c r="D13" s="12" t="inlineStr">
        <is>
          <t>Cutover</t>
        </is>
      </c>
      <c r="E13" s="12" t="inlineStr">
        <is>
          <t>BRD-13</t>
        </is>
      </c>
      <c r="F13" s="12" t="inlineStr">
        <is>
          <t>Yes</t>
        </is>
      </c>
    </row>
    <row r="14">
      <c r="A14" s="12" t="inlineStr">
        <is>
          <t>Data Migration Lead</t>
        </is>
      </c>
      <c r="B14" s="12" t="inlineStr">
        <is>
          <t>Data Migration</t>
        </is>
      </c>
      <c r="C14" s="12" t="inlineStr">
        <is>
          <t>Data Migration</t>
        </is>
      </c>
      <c r="D14" s="12" t="inlineStr">
        <is>
          <t>Run-off and Decommissioning</t>
        </is>
      </c>
      <c r="E14" s="12" t="inlineStr">
        <is>
          <t>BRD-13</t>
        </is>
      </c>
      <c r="F14" s="12" t="inlineStr">
        <is>
          <t>Yes</t>
        </is>
      </c>
    </row>
    <row r="15">
      <c r="A15" s="12" t="inlineStr">
        <is>
          <t>Data Migration Lead</t>
        </is>
      </c>
      <c r="B15" s="12" t="inlineStr">
        <is>
          <t>Data Migration</t>
        </is>
      </c>
      <c r="C15" s="12" t="inlineStr">
        <is>
          <t>Data Migration</t>
        </is>
      </c>
      <c r="D15" s="12" t="inlineStr">
        <is>
          <t>Sign-off</t>
        </is>
      </c>
      <c r="E15" s="12" t="inlineStr">
        <is>
          <t>BRD-13</t>
        </is>
      </c>
      <c r="F15" s="12" t="inlineStr">
        <is>
          <t>Yes</t>
        </is>
      </c>
    </row>
    <row r="16">
      <c r="A16" s="12" t="inlineStr">
        <is>
          <t>Data Migration Lead</t>
        </is>
      </c>
      <c r="B16" s="12" t="inlineStr">
        <is>
          <t>Reports</t>
        </is>
      </c>
      <c r="C16" s="12" t="inlineStr">
        <is>
          <t>New Business Reports</t>
        </is>
      </c>
      <c r="D16" s="12" t="inlineStr">
        <is>
          <t>New Business Reports</t>
        </is>
      </c>
      <c r="E16" s="12" t="inlineStr">
        <is>
          <t>BRD-1</t>
        </is>
      </c>
      <c r="F16" s="12" t="inlineStr"/>
    </row>
    <row r="17">
      <c r="A17" s="12" t="inlineStr">
        <is>
          <t>Data Migration Lead</t>
        </is>
      </c>
      <c r="B17" s="12" t="inlineStr">
        <is>
          <t>Reports</t>
        </is>
      </c>
      <c r="C17" s="12" t="inlineStr">
        <is>
          <t>Reports</t>
        </is>
      </c>
      <c r="D17" s="12" t="inlineStr">
        <is>
          <t>Report Centre</t>
        </is>
      </c>
      <c r="E17" s="12" t="inlineStr">
        <is>
          <t>Platform</t>
        </is>
      </c>
      <c r="F17" s="12" t="inlineStr"/>
    </row>
    <row r="18">
      <c r="A18" s="12" t="inlineStr">
        <is>
          <t>Data Migration Lead</t>
        </is>
      </c>
      <c r="B18" s="12" t="inlineStr">
        <is>
          <t>Setup &amp; Administration</t>
        </is>
      </c>
      <c r="C18" s="12" t="inlineStr">
        <is>
          <t>Help</t>
        </is>
      </c>
      <c r="D18" s="12" t="inlineStr">
        <is>
          <t>Help Center</t>
        </is>
      </c>
      <c r="E18" s="12" t="inlineStr">
        <is>
          <t>Platform</t>
        </is>
      </c>
      <c r="F18" s="12" t="inlineStr"/>
    </row>
    <row r="19">
      <c r="A19" s="12" t="inlineStr">
        <is>
          <t>Data Migration Lead</t>
        </is>
      </c>
      <c r="B19" s="12" t="inlineStr">
        <is>
          <t>Setup &amp; Administration</t>
        </is>
      </c>
      <c r="C19" s="12" t="inlineStr">
        <is>
          <t>Help</t>
        </is>
      </c>
      <c r="D19" s="12" t="inlineStr">
        <is>
          <t>My Profile</t>
        </is>
      </c>
      <c r="E19" s="12" t="inlineStr">
        <is>
          <t>Platform</t>
        </is>
      </c>
      <c r="F19" s="12" t="inlineStr"/>
    </row>
    <row r="20">
      <c r="A20" s="12" t="inlineStr">
        <is>
          <t>Data Steward</t>
        </is>
      </c>
      <c r="B20" s="12" t="inlineStr">
        <is>
          <t>Home</t>
        </is>
      </c>
      <c r="C20" s="12" t="inlineStr">
        <is>
          <t>Overview</t>
        </is>
      </c>
      <c r="D20" s="12" t="inlineStr">
        <is>
          <t>My Approvals</t>
        </is>
      </c>
      <c r="E20" s="12" t="inlineStr">
        <is>
          <t>Platform</t>
        </is>
      </c>
      <c r="F20" s="12" t="inlineStr"/>
    </row>
    <row r="21">
      <c r="A21" s="12" t="inlineStr">
        <is>
          <t>Data Steward</t>
        </is>
      </c>
      <c r="B21" s="12" t="inlineStr">
        <is>
          <t>Data Migration</t>
        </is>
      </c>
      <c r="C21" s="12" t="inlineStr">
        <is>
          <t>Data Migration</t>
        </is>
      </c>
      <c r="D21" s="12" t="inlineStr">
        <is>
          <t>Migration Home</t>
        </is>
      </c>
      <c r="E21" s="12" t="inlineStr">
        <is>
          <t>BRD-13</t>
        </is>
      </c>
      <c r="F21" s="12" t="inlineStr">
        <is>
          <t>Yes</t>
        </is>
      </c>
    </row>
    <row r="22">
      <c r="A22" s="12" t="inlineStr">
        <is>
          <t>Data Steward</t>
        </is>
      </c>
      <c r="B22" s="12" t="inlineStr">
        <is>
          <t>Data Migration</t>
        </is>
      </c>
      <c r="C22" s="12" t="inlineStr">
        <is>
          <t>Data Migration</t>
        </is>
      </c>
      <c r="D22" s="12" t="inlineStr">
        <is>
          <t>Data Objects</t>
        </is>
      </c>
      <c r="E22" s="12" t="inlineStr">
        <is>
          <t>BRD-13</t>
        </is>
      </c>
      <c r="F22" s="12" t="inlineStr">
        <is>
          <t>Yes</t>
        </is>
      </c>
    </row>
    <row r="23">
      <c r="A23" s="12" t="inlineStr">
        <is>
          <t>Data Steward</t>
        </is>
      </c>
      <c r="B23" s="12" t="inlineStr">
        <is>
          <t>Data Migration</t>
        </is>
      </c>
      <c r="C23" s="12" t="inlineStr">
        <is>
          <t>Data Migration</t>
        </is>
      </c>
      <c r="D23" s="12" t="inlineStr">
        <is>
          <t>Code Maps</t>
        </is>
      </c>
      <c r="E23" s="12" t="inlineStr">
        <is>
          <t>BRD-13</t>
        </is>
      </c>
      <c r="F23" s="12" t="inlineStr">
        <is>
          <t>Yes</t>
        </is>
      </c>
    </row>
    <row r="24">
      <c r="A24" s="12" t="inlineStr">
        <is>
          <t>Data Steward</t>
        </is>
      </c>
      <c r="B24" s="12" t="inlineStr">
        <is>
          <t>Data Migration</t>
        </is>
      </c>
      <c r="C24" s="12" t="inlineStr">
        <is>
          <t>Data Migration</t>
        </is>
      </c>
      <c r="D24" s="12" t="inlineStr">
        <is>
          <t>Layouts and Rules</t>
        </is>
      </c>
      <c r="E24" s="12" t="inlineStr">
        <is>
          <t>BRD-13</t>
        </is>
      </c>
      <c r="F24" s="12" t="inlineStr">
        <is>
          <t>Yes</t>
        </is>
      </c>
    </row>
    <row r="25">
      <c r="A25" s="12" t="inlineStr">
        <is>
          <t>Data Steward</t>
        </is>
      </c>
      <c r="B25" s="12" t="inlineStr">
        <is>
          <t>Data Migration</t>
        </is>
      </c>
      <c r="C25" s="12" t="inlineStr">
        <is>
          <t>Data Migration</t>
        </is>
      </c>
      <c r="D25" s="12" t="inlineStr">
        <is>
          <t>Batches</t>
        </is>
      </c>
      <c r="E25" s="12" t="inlineStr">
        <is>
          <t>BRD-13</t>
        </is>
      </c>
      <c r="F25" s="12" t="inlineStr">
        <is>
          <t>Yes</t>
        </is>
      </c>
    </row>
    <row r="26">
      <c r="A26" s="12" t="inlineStr">
        <is>
          <t>Data Steward</t>
        </is>
      </c>
      <c r="B26" s="12" t="inlineStr">
        <is>
          <t>Data Migration</t>
        </is>
      </c>
      <c r="C26" s="12" t="inlineStr">
        <is>
          <t>Data Migration</t>
        </is>
      </c>
      <c r="D26" s="12" t="inlineStr">
        <is>
          <t>Client Matching</t>
        </is>
      </c>
      <c r="E26" s="12" t="inlineStr">
        <is>
          <t>BRD-13</t>
        </is>
      </c>
      <c r="F26" s="12" t="inlineStr">
        <is>
          <t>Yes</t>
        </is>
      </c>
    </row>
    <row r="27">
      <c r="A27" s="12" t="inlineStr">
        <is>
          <t>Data Steward</t>
        </is>
      </c>
      <c r="B27" s="12" t="inlineStr">
        <is>
          <t>Data Migration</t>
        </is>
      </c>
      <c r="C27" s="12" t="inlineStr">
        <is>
          <t>Data Migration</t>
        </is>
      </c>
      <c r="D27" s="12" t="inlineStr">
        <is>
          <t>Reconciliation</t>
        </is>
      </c>
      <c r="E27" s="12" t="inlineStr">
        <is>
          <t>BRD-13</t>
        </is>
      </c>
      <c r="F27" s="12" t="inlineStr">
        <is>
          <t>Yes</t>
        </is>
      </c>
    </row>
    <row r="28">
      <c r="A28" s="12" t="inlineStr">
        <is>
          <t>Data Steward</t>
        </is>
      </c>
      <c r="B28" s="12" t="inlineStr">
        <is>
          <t>Data Migration</t>
        </is>
      </c>
      <c r="C28" s="12" t="inlineStr">
        <is>
          <t>Data Migration</t>
        </is>
      </c>
      <c r="D28" s="12" t="inlineStr">
        <is>
          <t>Opening Adjustments</t>
        </is>
      </c>
      <c r="E28" s="12" t="inlineStr">
        <is>
          <t>BRD-13</t>
        </is>
      </c>
      <c r="F28" s="12" t="inlineStr">
        <is>
          <t>Yes</t>
        </is>
      </c>
    </row>
    <row r="29">
      <c r="A29" s="12" t="inlineStr">
        <is>
          <t>Data Steward</t>
        </is>
      </c>
      <c r="B29" s="12" t="inlineStr">
        <is>
          <t>Data Migration</t>
        </is>
      </c>
      <c r="C29" s="12" t="inlineStr">
        <is>
          <t>Data Migration</t>
        </is>
      </c>
      <c r="D29" s="12" t="inlineStr">
        <is>
          <t>Cutover</t>
        </is>
      </c>
      <c r="E29" s="12" t="inlineStr">
        <is>
          <t>BRD-13</t>
        </is>
      </c>
      <c r="F29" s="12" t="inlineStr">
        <is>
          <t>Yes</t>
        </is>
      </c>
    </row>
    <row r="30">
      <c r="A30" s="12" t="inlineStr">
        <is>
          <t>Data Steward</t>
        </is>
      </c>
      <c r="B30" s="12" t="inlineStr">
        <is>
          <t>Data Migration</t>
        </is>
      </c>
      <c r="C30" s="12" t="inlineStr">
        <is>
          <t>Data Migration</t>
        </is>
      </c>
      <c r="D30" s="12" t="inlineStr">
        <is>
          <t>Run-off and Decommissioning</t>
        </is>
      </c>
      <c r="E30" s="12" t="inlineStr">
        <is>
          <t>BRD-13</t>
        </is>
      </c>
      <c r="F30" s="12" t="inlineStr">
        <is>
          <t>Yes</t>
        </is>
      </c>
    </row>
    <row r="31">
      <c r="A31" s="12" t="inlineStr">
        <is>
          <t>Data Steward</t>
        </is>
      </c>
      <c r="B31" s="12" t="inlineStr">
        <is>
          <t>Data Migration</t>
        </is>
      </c>
      <c r="C31" s="12" t="inlineStr">
        <is>
          <t>Data Migration</t>
        </is>
      </c>
      <c r="D31" s="12" t="inlineStr">
        <is>
          <t>Sign-off</t>
        </is>
      </c>
      <c r="E31" s="12" t="inlineStr">
        <is>
          <t>BRD-13</t>
        </is>
      </c>
      <c r="F31" s="12" t="inlineStr">
        <is>
          <t>Yes</t>
        </is>
      </c>
    </row>
    <row r="32">
      <c r="A32" s="12" t="inlineStr">
        <is>
          <t>Data Steward</t>
        </is>
      </c>
      <c r="B32" s="12" t="inlineStr">
        <is>
          <t>Reports</t>
        </is>
      </c>
      <c r="C32" s="12" t="inlineStr">
        <is>
          <t>New Business Reports</t>
        </is>
      </c>
      <c r="D32" s="12" t="inlineStr">
        <is>
          <t>New Business Reports</t>
        </is>
      </c>
      <c r="E32" s="12" t="inlineStr">
        <is>
          <t>BRD-1</t>
        </is>
      </c>
      <c r="F32" s="12" t="inlineStr"/>
    </row>
    <row r="33">
      <c r="A33" s="12" t="inlineStr">
        <is>
          <t>Data Steward</t>
        </is>
      </c>
      <c r="B33" s="12" t="inlineStr">
        <is>
          <t>Reports</t>
        </is>
      </c>
      <c r="C33" s="12" t="inlineStr">
        <is>
          <t>Reports</t>
        </is>
      </c>
      <c r="D33" s="12" t="inlineStr">
        <is>
          <t>Report Centre</t>
        </is>
      </c>
      <c r="E33" s="12" t="inlineStr">
        <is>
          <t>Platform</t>
        </is>
      </c>
      <c r="F33" s="12" t="inlineStr"/>
    </row>
    <row r="34">
      <c r="A34" s="12" t="inlineStr">
        <is>
          <t>Data Steward</t>
        </is>
      </c>
      <c r="B34" s="12" t="inlineStr">
        <is>
          <t>Setup &amp; Administration</t>
        </is>
      </c>
      <c r="C34" s="12" t="inlineStr">
        <is>
          <t>Help</t>
        </is>
      </c>
      <c r="D34" s="12" t="inlineStr">
        <is>
          <t>Help Center</t>
        </is>
      </c>
      <c r="E34" s="12" t="inlineStr">
        <is>
          <t>Platform</t>
        </is>
      </c>
      <c r="F34" s="12" t="inlineStr"/>
    </row>
    <row r="35">
      <c r="A35" s="12" t="inlineStr">
        <is>
          <t>Data Steward</t>
        </is>
      </c>
      <c r="B35" s="12" t="inlineStr">
        <is>
          <t>Setup &amp; Administration</t>
        </is>
      </c>
      <c r="C35" s="12" t="inlineStr">
        <is>
          <t>Help</t>
        </is>
      </c>
      <c r="D35" s="12" t="inlineStr">
        <is>
          <t>My Profile</t>
        </is>
      </c>
      <c r="E35" s="12" t="inlineStr">
        <is>
          <t>Platform</t>
        </is>
      </c>
      <c r="F35" s="12" t="inlineStr"/>
    </row>
    <row r="36">
      <c r="A36" s="12" t="inlineStr">
        <is>
          <t>Data owner (business owner of an object)</t>
        </is>
      </c>
      <c r="B36" s="12" t="inlineStr">
        <is>
          <t>Home</t>
        </is>
      </c>
      <c r="C36" s="12" t="inlineStr">
        <is>
          <t>Overview</t>
        </is>
      </c>
      <c r="D36" s="12" t="inlineStr">
        <is>
          <t>My Approvals</t>
        </is>
      </c>
      <c r="E36" s="12" t="inlineStr">
        <is>
          <t>Platform</t>
        </is>
      </c>
      <c r="F36" s="12" t="inlineStr"/>
    </row>
    <row r="37">
      <c r="A37" s="12" t="inlineStr">
        <is>
          <t>Data owner (business owner of an object)</t>
        </is>
      </c>
      <c r="B37" s="12" t="inlineStr">
        <is>
          <t>Data Migration</t>
        </is>
      </c>
      <c r="C37" s="12" t="inlineStr">
        <is>
          <t>Data Migration</t>
        </is>
      </c>
      <c r="D37" s="12" t="inlineStr">
        <is>
          <t>Migration Home</t>
        </is>
      </c>
      <c r="E37" s="12" t="inlineStr">
        <is>
          <t>BRD-13</t>
        </is>
      </c>
      <c r="F37" s="12" t="inlineStr">
        <is>
          <t>Yes</t>
        </is>
      </c>
    </row>
    <row r="38">
      <c r="A38" s="12" t="inlineStr">
        <is>
          <t>Data owner (business owner of an object)</t>
        </is>
      </c>
      <c r="B38" s="12" t="inlineStr">
        <is>
          <t>Data Migration</t>
        </is>
      </c>
      <c r="C38" s="12" t="inlineStr">
        <is>
          <t>Data Migration</t>
        </is>
      </c>
      <c r="D38" s="12" t="inlineStr">
        <is>
          <t>Data Objects</t>
        </is>
      </c>
      <c r="E38" s="12" t="inlineStr">
        <is>
          <t>BRD-13</t>
        </is>
      </c>
      <c r="F38" s="12" t="inlineStr">
        <is>
          <t>Yes</t>
        </is>
      </c>
    </row>
    <row r="39">
      <c r="A39" s="12" t="inlineStr">
        <is>
          <t>Data owner (business owner of an object)</t>
        </is>
      </c>
      <c r="B39" s="12" t="inlineStr">
        <is>
          <t>Data Migration</t>
        </is>
      </c>
      <c r="C39" s="12" t="inlineStr">
        <is>
          <t>Data Migration</t>
        </is>
      </c>
      <c r="D39" s="12" t="inlineStr">
        <is>
          <t>Code Maps</t>
        </is>
      </c>
      <c r="E39" s="12" t="inlineStr">
        <is>
          <t>BRD-13</t>
        </is>
      </c>
      <c r="F39" s="12" t="inlineStr">
        <is>
          <t>Yes</t>
        </is>
      </c>
    </row>
    <row r="40">
      <c r="A40" s="12" t="inlineStr">
        <is>
          <t>Data owner (business owner of an object)</t>
        </is>
      </c>
      <c r="B40" s="12" t="inlineStr">
        <is>
          <t>Data Migration</t>
        </is>
      </c>
      <c r="C40" s="12" t="inlineStr">
        <is>
          <t>Data Migration</t>
        </is>
      </c>
      <c r="D40" s="12" t="inlineStr">
        <is>
          <t>Layouts and Rules</t>
        </is>
      </c>
      <c r="E40" s="12" t="inlineStr">
        <is>
          <t>BRD-13</t>
        </is>
      </c>
      <c r="F40" s="12" t="inlineStr">
        <is>
          <t>Yes</t>
        </is>
      </c>
    </row>
    <row r="41">
      <c r="A41" s="12" t="inlineStr">
        <is>
          <t>Data owner (business owner of an object)</t>
        </is>
      </c>
      <c r="B41" s="12" t="inlineStr">
        <is>
          <t>Data Migration</t>
        </is>
      </c>
      <c r="C41" s="12" t="inlineStr">
        <is>
          <t>Data Migration</t>
        </is>
      </c>
      <c r="D41" s="12" t="inlineStr">
        <is>
          <t>Batches</t>
        </is>
      </c>
      <c r="E41" s="12" t="inlineStr">
        <is>
          <t>BRD-13</t>
        </is>
      </c>
      <c r="F41" s="12" t="inlineStr">
        <is>
          <t>Yes</t>
        </is>
      </c>
    </row>
    <row r="42">
      <c r="A42" s="12" t="inlineStr">
        <is>
          <t>Data owner (business owner of an object)</t>
        </is>
      </c>
      <c r="B42" s="12" t="inlineStr">
        <is>
          <t>Data Migration</t>
        </is>
      </c>
      <c r="C42" s="12" t="inlineStr">
        <is>
          <t>Data Migration</t>
        </is>
      </c>
      <c r="D42" s="12" t="inlineStr">
        <is>
          <t>Reconciliation</t>
        </is>
      </c>
      <c r="E42" s="12" t="inlineStr">
        <is>
          <t>BRD-13</t>
        </is>
      </c>
      <c r="F42" s="12" t="inlineStr">
        <is>
          <t>Yes</t>
        </is>
      </c>
    </row>
    <row r="43">
      <c r="A43" s="12" t="inlineStr">
        <is>
          <t>Data owner (business owner of an object)</t>
        </is>
      </c>
      <c r="B43" s="12" t="inlineStr">
        <is>
          <t>Data Migration</t>
        </is>
      </c>
      <c r="C43" s="12" t="inlineStr">
        <is>
          <t>Data Migration</t>
        </is>
      </c>
      <c r="D43" s="12" t="inlineStr">
        <is>
          <t>Opening Adjustments</t>
        </is>
      </c>
      <c r="E43" s="12" t="inlineStr">
        <is>
          <t>BRD-13</t>
        </is>
      </c>
      <c r="F43" s="12" t="inlineStr">
        <is>
          <t>Yes</t>
        </is>
      </c>
    </row>
    <row r="44">
      <c r="A44" s="12" t="inlineStr">
        <is>
          <t>Data owner (business owner of an object)</t>
        </is>
      </c>
      <c r="B44" s="12" t="inlineStr">
        <is>
          <t>Data Migration</t>
        </is>
      </c>
      <c r="C44" s="12" t="inlineStr">
        <is>
          <t>Data Migration</t>
        </is>
      </c>
      <c r="D44" s="12" t="inlineStr">
        <is>
          <t>Cutover</t>
        </is>
      </c>
      <c r="E44" s="12" t="inlineStr">
        <is>
          <t>BRD-13</t>
        </is>
      </c>
      <c r="F44" s="12" t="inlineStr">
        <is>
          <t>Yes</t>
        </is>
      </c>
    </row>
    <row r="45">
      <c r="A45" s="12" t="inlineStr">
        <is>
          <t>Data owner (business owner of an object)</t>
        </is>
      </c>
      <c r="B45" s="12" t="inlineStr">
        <is>
          <t>Data Migration</t>
        </is>
      </c>
      <c r="C45" s="12" t="inlineStr">
        <is>
          <t>Data Migration</t>
        </is>
      </c>
      <c r="D45" s="12" t="inlineStr">
        <is>
          <t>Run-off and Decommissioning</t>
        </is>
      </c>
      <c r="E45" s="12" t="inlineStr">
        <is>
          <t>BRD-13</t>
        </is>
      </c>
      <c r="F45" s="12" t="inlineStr">
        <is>
          <t>Yes</t>
        </is>
      </c>
    </row>
    <row r="46">
      <c r="A46" s="12" t="inlineStr">
        <is>
          <t>Data owner (business owner of an object)</t>
        </is>
      </c>
      <c r="B46" s="12" t="inlineStr">
        <is>
          <t>Data Migration</t>
        </is>
      </c>
      <c r="C46" s="12" t="inlineStr">
        <is>
          <t>Data Migration</t>
        </is>
      </c>
      <c r="D46" s="12" t="inlineStr">
        <is>
          <t>Sign-off</t>
        </is>
      </c>
      <c r="E46" s="12" t="inlineStr">
        <is>
          <t>BRD-13</t>
        </is>
      </c>
      <c r="F46" s="12" t="inlineStr">
        <is>
          <t>Yes</t>
        </is>
      </c>
    </row>
    <row r="47">
      <c r="A47" s="12" t="inlineStr">
        <is>
          <t>Data owner (business owner of an object)</t>
        </is>
      </c>
      <c r="B47" s="12" t="inlineStr">
        <is>
          <t>Reports</t>
        </is>
      </c>
      <c r="C47" s="12" t="inlineStr">
        <is>
          <t>New Business Reports</t>
        </is>
      </c>
      <c r="D47" s="12" t="inlineStr">
        <is>
          <t>New Business Reports</t>
        </is>
      </c>
      <c r="E47" s="12" t="inlineStr">
        <is>
          <t>BRD-1</t>
        </is>
      </c>
      <c r="F47" s="12" t="inlineStr"/>
    </row>
    <row r="48">
      <c r="A48" s="12" t="inlineStr">
        <is>
          <t>Data owner (business owner of an object)</t>
        </is>
      </c>
      <c r="B48" s="12" t="inlineStr">
        <is>
          <t>Reports</t>
        </is>
      </c>
      <c r="C48" s="12" t="inlineStr">
        <is>
          <t>Reports</t>
        </is>
      </c>
      <c r="D48" s="12" t="inlineStr">
        <is>
          <t>Report Centre</t>
        </is>
      </c>
      <c r="E48" s="12" t="inlineStr">
        <is>
          <t>Platform</t>
        </is>
      </c>
      <c r="F48" s="12" t="inlineStr"/>
    </row>
    <row r="49">
      <c r="A49" s="12" t="inlineStr">
        <is>
          <t>Data owner (business owner of an object)</t>
        </is>
      </c>
      <c r="B49" s="12" t="inlineStr">
        <is>
          <t>Setup &amp; Administration</t>
        </is>
      </c>
      <c r="C49" s="12" t="inlineStr">
        <is>
          <t>Help</t>
        </is>
      </c>
      <c r="D49" s="12" t="inlineStr">
        <is>
          <t>Help Center</t>
        </is>
      </c>
      <c r="E49" s="12" t="inlineStr">
        <is>
          <t>Platform</t>
        </is>
      </c>
      <c r="F49" s="12" t="inlineStr"/>
    </row>
    <row r="50">
      <c r="A50" s="12" t="inlineStr">
        <is>
          <t>Data owner (business owner of an object)</t>
        </is>
      </c>
      <c r="B50" s="12" t="inlineStr">
        <is>
          <t>Setup &amp; Administration</t>
        </is>
      </c>
      <c r="C50" s="12" t="inlineStr">
        <is>
          <t>Help</t>
        </is>
      </c>
      <c r="D50" s="12" t="inlineStr">
        <is>
          <t>My Profile</t>
        </is>
      </c>
      <c r="E50" s="12" t="inlineStr">
        <is>
          <t>Platform</t>
        </is>
      </c>
      <c r="F50" s="12" t="inlineStr"/>
    </row>
    <row r="51">
      <c r="A51" s="12" t="inlineStr">
        <is>
          <t>Migration Operator</t>
        </is>
      </c>
      <c r="B51" s="12" t="inlineStr">
        <is>
          <t>Home</t>
        </is>
      </c>
      <c r="C51" s="12" t="inlineStr">
        <is>
          <t>Overview</t>
        </is>
      </c>
      <c r="D51" s="12" t="inlineStr">
        <is>
          <t>My Approvals</t>
        </is>
      </c>
      <c r="E51" s="12" t="inlineStr">
        <is>
          <t>Platform</t>
        </is>
      </c>
      <c r="F51" s="12" t="inlineStr"/>
    </row>
    <row r="52">
      <c r="A52" s="12" t="inlineStr">
        <is>
          <t>Migration Operator</t>
        </is>
      </c>
      <c r="B52" s="12" t="inlineStr">
        <is>
          <t>Data Migration</t>
        </is>
      </c>
      <c r="C52" s="12" t="inlineStr">
        <is>
          <t>Data Migration</t>
        </is>
      </c>
      <c r="D52" s="12" t="inlineStr">
        <is>
          <t>Migration Home</t>
        </is>
      </c>
      <c r="E52" s="12" t="inlineStr">
        <is>
          <t>BRD-13</t>
        </is>
      </c>
      <c r="F52" s="12" t="inlineStr">
        <is>
          <t>Yes</t>
        </is>
      </c>
    </row>
    <row r="53">
      <c r="A53" s="12" t="inlineStr">
        <is>
          <t>Migration Operator</t>
        </is>
      </c>
      <c r="B53" s="12" t="inlineStr">
        <is>
          <t>Data Migration</t>
        </is>
      </c>
      <c r="C53" s="12" t="inlineStr">
        <is>
          <t>Data Migration</t>
        </is>
      </c>
      <c r="D53" s="12" t="inlineStr">
        <is>
          <t>Data Objects</t>
        </is>
      </c>
      <c r="E53" s="12" t="inlineStr">
        <is>
          <t>BRD-13</t>
        </is>
      </c>
      <c r="F53" s="12" t="inlineStr">
        <is>
          <t>Yes</t>
        </is>
      </c>
    </row>
    <row r="54">
      <c r="A54" s="12" t="inlineStr">
        <is>
          <t>Migration Operator</t>
        </is>
      </c>
      <c r="B54" s="12" t="inlineStr">
        <is>
          <t>Data Migration</t>
        </is>
      </c>
      <c r="C54" s="12" t="inlineStr">
        <is>
          <t>Data Migration</t>
        </is>
      </c>
      <c r="D54" s="12" t="inlineStr">
        <is>
          <t>Code Maps</t>
        </is>
      </c>
      <c r="E54" s="12" t="inlineStr">
        <is>
          <t>BRD-13</t>
        </is>
      </c>
      <c r="F54" s="12" t="inlineStr">
        <is>
          <t>Yes</t>
        </is>
      </c>
    </row>
    <row r="55">
      <c r="A55" s="12" t="inlineStr">
        <is>
          <t>Migration Operator</t>
        </is>
      </c>
      <c r="B55" s="12" t="inlineStr">
        <is>
          <t>Data Migration</t>
        </is>
      </c>
      <c r="C55" s="12" t="inlineStr">
        <is>
          <t>Data Migration</t>
        </is>
      </c>
      <c r="D55" s="12" t="inlineStr">
        <is>
          <t>Layouts and Rules</t>
        </is>
      </c>
      <c r="E55" s="12" t="inlineStr">
        <is>
          <t>BRD-13</t>
        </is>
      </c>
      <c r="F55" s="12" t="inlineStr">
        <is>
          <t>Yes</t>
        </is>
      </c>
    </row>
    <row r="56">
      <c r="A56" s="12" t="inlineStr">
        <is>
          <t>Migration Operator</t>
        </is>
      </c>
      <c r="B56" s="12" t="inlineStr">
        <is>
          <t>Data Migration</t>
        </is>
      </c>
      <c r="C56" s="12" t="inlineStr">
        <is>
          <t>Data Migration</t>
        </is>
      </c>
      <c r="D56" s="12" t="inlineStr">
        <is>
          <t>Extracts</t>
        </is>
      </c>
      <c r="E56" s="12" t="inlineStr">
        <is>
          <t>BRD-13</t>
        </is>
      </c>
      <c r="F56" s="12" t="inlineStr">
        <is>
          <t>Yes</t>
        </is>
      </c>
    </row>
    <row r="57">
      <c r="A57" s="12" t="inlineStr">
        <is>
          <t>Migration Operator</t>
        </is>
      </c>
      <c r="B57" s="12" t="inlineStr">
        <is>
          <t>Data Migration</t>
        </is>
      </c>
      <c r="C57" s="12" t="inlineStr">
        <is>
          <t>Data Migration</t>
        </is>
      </c>
      <c r="D57" s="12" t="inlineStr">
        <is>
          <t>Batches</t>
        </is>
      </c>
      <c r="E57" s="12" t="inlineStr">
        <is>
          <t>BRD-13</t>
        </is>
      </c>
      <c r="F57" s="12" t="inlineStr">
        <is>
          <t>Yes</t>
        </is>
      </c>
    </row>
    <row r="58">
      <c r="A58" s="12" t="inlineStr">
        <is>
          <t>Migration Operator</t>
        </is>
      </c>
      <c r="B58" s="12" t="inlineStr">
        <is>
          <t>Data Migration</t>
        </is>
      </c>
      <c r="C58" s="12" t="inlineStr">
        <is>
          <t>Data Migration</t>
        </is>
      </c>
      <c r="D58" s="12" t="inlineStr">
        <is>
          <t>Reconciliation</t>
        </is>
      </c>
      <c r="E58" s="12" t="inlineStr">
        <is>
          <t>BRD-13</t>
        </is>
      </c>
      <c r="F58" s="12" t="inlineStr">
        <is>
          <t>Yes</t>
        </is>
      </c>
    </row>
    <row r="59">
      <c r="A59" s="12" t="inlineStr">
        <is>
          <t>Migration Operator</t>
        </is>
      </c>
      <c r="B59" s="12" t="inlineStr">
        <is>
          <t>Data Migration</t>
        </is>
      </c>
      <c r="C59" s="12" t="inlineStr">
        <is>
          <t>Data Migration</t>
        </is>
      </c>
      <c r="D59" s="12" t="inlineStr">
        <is>
          <t>Opening Adjustments</t>
        </is>
      </c>
      <c r="E59" s="12" t="inlineStr">
        <is>
          <t>BRD-13</t>
        </is>
      </c>
      <c r="F59" s="12" t="inlineStr">
        <is>
          <t>Yes</t>
        </is>
      </c>
    </row>
    <row r="60">
      <c r="A60" s="12" t="inlineStr">
        <is>
          <t>Migration Operator</t>
        </is>
      </c>
      <c r="B60" s="12" t="inlineStr">
        <is>
          <t>Data Migration</t>
        </is>
      </c>
      <c r="C60" s="12" t="inlineStr">
        <is>
          <t>Data Migration</t>
        </is>
      </c>
      <c r="D60" s="12" t="inlineStr">
        <is>
          <t>Cutover</t>
        </is>
      </c>
      <c r="E60" s="12" t="inlineStr">
        <is>
          <t>BRD-13</t>
        </is>
      </c>
      <c r="F60" s="12" t="inlineStr">
        <is>
          <t>Yes</t>
        </is>
      </c>
    </row>
    <row r="61">
      <c r="A61" s="12" t="inlineStr">
        <is>
          <t>Migration Operator</t>
        </is>
      </c>
      <c r="B61" s="12" t="inlineStr">
        <is>
          <t>Data Migration</t>
        </is>
      </c>
      <c r="C61" s="12" t="inlineStr">
        <is>
          <t>Data Migration</t>
        </is>
      </c>
      <c r="D61" s="12" t="inlineStr">
        <is>
          <t>Run-off and Decommissioning</t>
        </is>
      </c>
      <c r="E61" s="12" t="inlineStr">
        <is>
          <t>BRD-13</t>
        </is>
      </c>
      <c r="F61" s="12" t="inlineStr">
        <is>
          <t>Yes</t>
        </is>
      </c>
    </row>
    <row r="62">
      <c r="A62" s="12" t="inlineStr">
        <is>
          <t>Migration Operator</t>
        </is>
      </c>
      <c r="B62" s="12" t="inlineStr">
        <is>
          <t>Data Migration</t>
        </is>
      </c>
      <c r="C62" s="12" t="inlineStr">
        <is>
          <t>Data Migration</t>
        </is>
      </c>
      <c r="D62" s="12" t="inlineStr">
        <is>
          <t>Sign-off</t>
        </is>
      </c>
      <c r="E62" s="12" t="inlineStr">
        <is>
          <t>BRD-13</t>
        </is>
      </c>
      <c r="F62" s="12" t="inlineStr">
        <is>
          <t>Yes</t>
        </is>
      </c>
    </row>
    <row r="63">
      <c r="A63" s="12" t="inlineStr">
        <is>
          <t>Migration Operator</t>
        </is>
      </c>
      <c r="B63" s="12" t="inlineStr">
        <is>
          <t>Reports</t>
        </is>
      </c>
      <c r="C63" s="12" t="inlineStr">
        <is>
          <t>New Business Reports</t>
        </is>
      </c>
      <c r="D63" s="12" t="inlineStr">
        <is>
          <t>New Business Reports</t>
        </is>
      </c>
      <c r="E63" s="12" t="inlineStr">
        <is>
          <t>BRD-1</t>
        </is>
      </c>
      <c r="F63" s="12" t="inlineStr"/>
    </row>
    <row r="64">
      <c r="A64" s="12" t="inlineStr">
        <is>
          <t>Migration Operator</t>
        </is>
      </c>
      <c r="B64" s="12" t="inlineStr">
        <is>
          <t>Reports</t>
        </is>
      </c>
      <c r="C64" s="12" t="inlineStr">
        <is>
          <t>Reports</t>
        </is>
      </c>
      <c r="D64" s="12" t="inlineStr">
        <is>
          <t>Report Centre</t>
        </is>
      </c>
      <c r="E64" s="12" t="inlineStr">
        <is>
          <t>Platform</t>
        </is>
      </c>
      <c r="F64" s="12" t="inlineStr"/>
    </row>
    <row r="65">
      <c r="A65" s="12" t="inlineStr">
        <is>
          <t>Migration Operator</t>
        </is>
      </c>
      <c r="B65" s="12" t="inlineStr">
        <is>
          <t>Setup &amp; Administration</t>
        </is>
      </c>
      <c r="C65" s="12" t="inlineStr">
        <is>
          <t>Help</t>
        </is>
      </c>
      <c r="D65" s="12" t="inlineStr">
        <is>
          <t>Help Center</t>
        </is>
      </c>
      <c r="E65" s="12" t="inlineStr">
        <is>
          <t>Platform</t>
        </is>
      </c>
      <c r="F65" s="12" t="inlineStr"/>
    </row>
    <row r="66">
      <c r="A66" s="12" t="inlineStr">
        <is>
          <t>Migration Operator</t>
        </is>
      </c>
      <c r="B66" s="12" t="inlineStr">
        <is>
          <t>Setup &amp; Administration</t>
        </is>
      </c>
      <c r="C66" s="12" t="inlineStr">
        <is>
          <t>Help</t>
        </is>
      </c>
      <c r="D66" s="12" t="inlineStr">
        <is>
          <t>My Profile</t>
        </is>
      </c>
      <c r="E66" s="12" t="inlineStr">
        <is>
          <t>Platform</t>
        </is>
      </c>
      <c r="F66" s="12" t="inlineStr"/>
    </row>
    <row r="67">
      <c r="A67" s="12" t="inlineStr">
        <is>
          <t>Reconciliation approver (Head of Comptrollership)</t>
        </is>
      </c>
      <c r="B67" s="12" t="inlineStr">
        <is>
          <t>Home</t>
        </is>
      </c>
      <c r="C67" s="12" t="inlineStr">
        <is>
          <t>Overview</t>
        </is>
      </c>
      <c r="D67" s="12" t="inlineStr">
        <is>
          <t>My Approvals</t>
        </is>
      </c>
      <c r="E67" s="12" t="inlineStr">
        <is>
          <t>Platform</t>
        </is>
      </c>
      <c r="F67" s="12" t="inlineStr"/>
    </row>
    <row r="68">
      <c r="A68" s="12" t="inlineStr">
        <is>
          <t>Reconciliation approver (Head of Comptrollership)</t>
        </is>
      </c>
      <c r="B68" s="12" t="inlineStr">
        <is>
          <t>Data Migration</t>
        </is>
      </c>
      <c r="C68" s="12" t="inlineStr">
        <is>
          <t>Data Migration</t>
        </is>
      </c>
      <c r="D68" s="12" t="inlineStr">
        <is>
          <t>Migration Home</t>
        </is>
      </c>
      <c r="E68" s="12" t="inlineStr">
        <is>
          <t>BRD-13</t>
        </is>
      </c>
      <c r="F68" s="12" t="inlineStr">
        <is>
          <t>Yes</t>
        </is>
      </c>
    </row>
    <row r="69">
      <c r="A69" s="12" t="inlineStr">
        <is>
          <t>Reconciliation approver (Head of Comptrollership)</t>
        </is>
      </c>
      <c r="B69" s="12" t="inlineStr">
        <is>
          <t>Data Migration</t>
        </is>
      </c>
      <c r="C69" s="12" t="inlineStr">
        <is>
          <t>Data Migration</t>
        </is>
      </c>
      <c r="D69" s="12" t="inlineStr">
        <is>
          <t>Data Objects</t>
        </is>
      </c>
      <c r="E69" s="12" t="inlineStr">
        <is>
          <t>BRD-13</t>
        </is>
      </c>
      <c r="F69" s="12" t="inlineStr">
        <is>
          <t>Yes</t>
        </is>
      </c>
    </row>
    <row r="70">
      <c r="A70" s="12" t="inlineStr">
        <is>
          <t>Reconciliation approver (Head of Comptrollership)</t>
        </is>
      </c>
      <c r="B70" s="12" t="inlineStr">
        <is>
          <t>Data Migration</t>
        </is>
      </c>
      <c r="C70" s="12" t="inlineStr">
        <is>
          <t>Data Migration</t>
        </is>
      </c>
      <c r="D70" s="12" t="inlineStr">
        <is>
          <t>Code Maps</t>
        </is>
      </c>
      <c r="E70" s="12" t="inlineStr">
        <is>
          <t>BRD-13</t>
        </is>
      </c>
      <c r="F70" s="12" t="inlineStr">
        <is>
          <t>Yes</t>
        </is>
      </c>
    </row>
    <row r="71">
      <c r="A71" s="12" t="inlineStr">
        <is>
          <t>Reconciliation approver (Head of Comptrollership)</t>
        </is>
      </c>
      <c r="B71" s="12" t="inlineStr">
        <is>
          <t>Data Migration</t>
        </is>
      </c>
      <c r="C71" s="12" t="inlineStr">
        <is>
          <t>Data Migration</t>
        </is>
      </c>
      <c r="D71" s="12" t="inlineStr">
        <is>
          <t>Layouts and Rules</t>
        </is>
      </c>
      <c r="E71" s="12" t="inlineStr">
        <is>
          <t>BRD-13</t>
        </is>
      </c>
      <c r="F71" s="12" t="inlineStr">
        <is>
          <t>Yes</t>
        </is>
      </c>
    </row>
    <row r="72">
      <c r="A72" s="12" t="inlineStr">
        <is>
          <t>Reconciliation approver (Head of Comptrollership)</t>
        </is>
      </c>
      <c r="B72" s="12" t="inlineStr">
        <is>
          <t>Data Migration</t>
        </is>
      </c>
      <c r="C72" s="12" t="inlineStr">
        <is>
          <t>Data Migration</t>
        </is>
      </c>
      <c r="D72" s="12" t="inlineStr">
        <is>
          <t>Batches</t>
        </is>
      </c>
      <c r="E72" s="12" t="inlineStr">
        <is>
          <t>BRD-13</t>
        </is>
      </c>
      <c r="F72" s="12" t="inlineStr">
        <is>
          <t>Yes</t>
        </is>
      </c>
    </row>
    <row r="73">
      <c r="A73" s="12" t="inlineStr">
        <is>
          <t>Reconciliation approver (Head of Comptrollership)</t>
        </is>
      </c>
      <c r="B73" s="12" t="inlineStr">
        <is>
          <t>Data Migration</t>
        </is>
      </c>
      <c r="C73" s="12" t="inlineStr">
        <is>
          <t>Data Migration</t>
        </is>
      </c>
      <c r="D73" s="12" t="inlineStr">
        <is>
          <t>Reconciliation</t>
        </is>
      </c>
      <c r="E73" s="12" t="inlineStr">
        <is>
          <t>BRD-13</t>
        </is>
      </c>
      <c r="F73" s="12" t="inlineStr">
        <is>
          <t>Yes</t>
        </is>
      </c>
    </row>
    <row r="74">
      <c r="A74" s="12" t="inlineStr">
        <is>
          <t>Reconciliation approver (Head of Comptrollership)</t>
        </is>
      </c>
      <c r="B74" s="12" t="inlineStr">
        <is>
          <t>Data Migration</t>
        </is>
      </c>
      <c r="C74" s="12" t="inlineStr">
        <is>
          <t>Data Migration</t>
        </is>
      </c>
      <c r="D74" s="12" t="inlineStr">
        <is>
          <t>Opening Adjustments</t>
        </is>
      </c>
      <c r="E74" s="12" t="inlineStr">
        <is>
          <t>BRD-13</t>
        </is>
      </c>
      <c r="F74" s="12" t="inlineStr">
        <is>
          <t>Yes</t>
        </is>
      </c>
    </row>
    <row r="75">
      <c r="A75" s="12" t="inlineStr">
        <is>
          <t>Reconciliation approver (Head of Comptrollership)</t>
        </is>
      </c>
      <c r="B75" s="12" t="inlineStr">
        <is>
          <t>Data Migration</t>
        </is>
      </c>
      <c r="C75" s="12" t="inlineStr">
        <is>
          <t>Data Migration</t>
        </is>
      </c>
      <c r="D75" s="12" t="inlineStr">
        <is>
          <t>Cutover</t>
        </is>
      </c>
      <c r="E75" s="12" t="inlineStr">
        <is>
          <t>BRD-13</t>
        </is>
      </c>
      <c r="F75" s="12" t="inlineStr">
        <is>
          <t>Yes</t>
        </is>
      </c>
    </row>
    <row r="76">
      <c r="A76" s="12" t="inlineStr">
        <is>
          <t>Reconciliation approver (Head of Comptrollership)</t>
        </is>
      </c>
      <c r="B76" s="12" t="inlineStr">
        <is>
          <t>Data Migration</t>
        </is>
      </c>
      <c r="C76" s="12" t="inlineStr">
        <is>
          <t>Data Migration</t>
        </is>
      </c>
      <c r="D76" s="12" t="inlineStr">
        <is>
          <t>Run-off and Decommissioning</t>
        </is>
      </c>
      <c r="E76" s="12" t="inlineStr">
        <is>
          <t>BRD-13</t>
        </is>
      </c>
      <c r="F76" s="12" t="inlineStr">
        <is>
          <t>Yes</t>
        </is>
      </c>
    </row>
    <row r="77">
      <c r="A77" s="12" t="inlineStr">
        <is>
          <t>Reconciliation approver (Head of Comptrollership)</t>
        </is>
      </c>
      <c r="B77" s="12" t="inlineStr">
        <is>
          <t>Data Migration</t>
        </is>
      </c>
      <c r="C77" s="12" t="inlineStr">
        <is>
          <t>Data Migration</t>
        </is>
      </c>
      <c r="D77" s="12" t="inlineStr">
        <is>
          <t>Sign-off</t>
        </is>
      </c>
      <c r="E77" s="12" t="inlineStr">
        <is>
          <t>BRD-13</t>
        </is>
      </c>
      <c r="F77" s="12" t="inlineStr">
        <is>
          <t>Yes</t>
        </is>
      </c>
    </row>
    <row r="78">
      <c r="A78" s="12" t="inlineStr">
        <is>
          <t>Reconciliation approver (Head of Comptrollership)</t>
        </is>
      </c>
      <c r="B78" s="12" t="inlineStr">
        <is>
          <t>Reports</t>
        </is>
      </c>
      <c r="C78" s="12" t="inlineStr">
        <is>
          <t>New Business Reports</t>
        </is>
      </c>
      <c r="D78" s="12" t="inlineStr">
        <is>
          <t>New Business Reports</t>
        </is>
      </c>
      <c r="E78" s="12" t="inlineStr">
        <is>
          <t>BRD-1</t>
        </is>
      </c>
      <c r="F78" s="12" t="inlineStr"/>
    </row>
    <row r="79">
      <c r="A79" s="12" t="inlineStr">
        <is>
          <t>Reconciliation approver (Head of Comptrollership)</t>
        </is>
      </c>
      <c r="B79" s="12" t="inlineStr">
        <is>
          <t>Reports</t>
        </is>
      </c>
      <c r="C79" s="12" t="inlineStr">
        <is>
          <t>Reports</t>
        </is>
      </c>
      <c r="D79" s="12" t="inlineStr">
        <is>
          <t>Report Centre</t>
        </is>
      </c>
      <c r="E79" s="12" t="inlineStr">
        <is>
          <t>Platform</t>
        </is>
      </c>
      <c r="F79" s="12" t="inlineStr"/>
    </row>
    <row r="80">
      <c r="A80" s="12" t="inlineStr">
        <is>
          <t>Reconciliation approver (Head of Comptrollership)</t>
        </is>
      </c>
      <c r="B80" s="12" t="inlineStr">
        <is>
          <t>Setup &amp; Administration</t>
        </is>
      </c>
      <c r="C80" s="12" t="inlineStr">
        <is>
          <t>Help</t>
        </is>
      </c>
      <c r="D80" s="12" t="inlineStr">
        <is>
          <t>Help Center</t>
        </is>
      </c>
      <c r="E80" s="12" t="inlineStr">
        <is>
          <t>Platform</t>
        </is>
      </c>
      <c r="F80" s="12" t="inlineStr"/>
    </row>
    <row r="81">
      <c r="A81" s="12" t="inlineStr">
        <is>
          <t>Reconciliation approver (Head of Comptrollership)</t>
        </is>
      </c>
      <c r="B81" s="12" t="inlineStr">
        <is>
          <t>Setup &amp; Administration</t>
        </is>
      </c>
      <c r="C81" s="12" t="inlineStr">
        <is>
          <t>Help</t>
        </is>
      </c>
      <c r="D81" s="12" t="inlineStr">
        <is>
          <t>My Profile</t>
        </is>
      </c>
      <c r="E81" s="12" t="inlineStr">
        <is>
          <t>Platform</t>
        </is>
      </c>
      <c r="F81" s="12" t="inlineStr"/>
    </row>
    <row r="82">
      <c r="A82" s="12" t="inlineStr">
        <is>
          <t>Go / no-go board</t>
        </is>
      </c>
      <c r="B82" s="12" t="inlineStr">
        <is>
          <t>Home</t>
        </is>
      </c>
      <c r="C82" s="12" t="inlineStr">
        <is>
          <t>Overview</t>
        </is>
      </c>
      <c r="D82" s="12" t="inlineStr">
        <is>
          <t>My Approvals</t>
        </is>
      </c>
      <c r="E82" s="12" t="inlineStr">
        <is>
          <t>Platform</t>
        </is>
      </c>
      <c r="F82" s="12" t="inlineStr"/>
    </row>
    <row r="83">
      <c r="A83" s="12" t="inlineStr">
        <is>
          <t>Go / no-go board</t>
        </is>
      </c>
      <c r="B83" s="12" t="inlineStr">
        <is>
          <t>Data Migration</t>
        </is>
      </c>
      <c r="C83" s="12" t="inlineStr">
        <is>
          <t>Data Migration</t>
        </is>
      </c>
      <c r="D83" s="12" t="inlineStr">
        <is>
          <t>Migration Home</t>
        </is>
      </c>
      <c r="E83" s="12" t="inlineStr">
        <is>
          <t>BRD-13</t>
        </is>
      </c>
      <c r="F83" s="12" t="inlineStr">
        <is>
          <t>Yes</t>
        </is>
      </c>
    </row>
    <row r="84">
      <c r="A84" s="12" t="inlineStr">
        <is>
          <t>Go / no-go board</t>
        </is>
      </c>
      <c r="B84" s="12" t="inlineStr">
        <is>
          <t>Data Migration</t>
        </is>
      </c>
      <c r="C84" s="12" t="inlineStr">
        <is>
          <t>Data Migration</t>
        </is>
      </c>
      <c r="D84" s="12" t="inlineStr">
        <is>
          <t>Data Objects</t>
        </is>
      </c>
      <c r="E84" s="12" t="inlineStr">
        <is>
          <t>BRD-13</t>
        </is>
      </c>
      <c r="F84" s="12" t="inlineStr">
        <is>
          <t>Yes</t>
        </is>
      </c>
    </row>
    <row r="85">
      <c r="A85" s="12" t="inlineStr">
        <is>
          <t>Go / no-go board</t>
        </is>
      </c>
      <c r="B85" s="12" t="inlineStr">
        <is>
          <t>Data Migration</t>
        </is>
      </c>
      <c r="C85" s="12" t="inlineStr">
        <is>
          <t>Data Migration</t>
        </is>
      </c>
      <c r="D85" s="12" t="inlineStr">
        <is>
          <t>Code Maps</t>
        </is>
      </c>
      <c r="E85" s="12" t="inlineStr">
        <is>
          <t>BRD-13</t>
        </is>
      </c>
      <c r="F85" s="12" t="inlineStr">
        <is>
          <t>Yes</t>
        </is>
      </c>
    </row>
    <row r="86">
      <c r="A86" s="12" t="inlineStr">
        <is>
          <t>Go / no-go board</t>
        </is>
      </c>
      <c r="B86" s="12" t="inlineStr">
        <is>
          <t>Data Migration</t>
        </is>
      </c>
      <c r="C86" s="12" t="inlineStr">
        <is>
          <t>Data Migration</t>
        </is>
      </c>
      <c r="D86" s="12" t="inlineStr">
        <is>
          <t>Layouts and Rules</t>
        </is>
      </c>
      <c r="E86" s="12" t="inlineStr">
        <is>
          <t>BRD-13</t>
        </is>
      </c>
      <c r="F86" s="12" t="inlineStr">
        <is>
          <t>Yes</t>
        </is>
      </c>
    </row>
    <row r="87">
      <c r="A87" s="12" t="inlineStr">
        <is>
          <t>Go / no-go board</t>
        </is>
      </c>
      <c r="B87" s="12" t="inlineStr">
        <is>
          <t>Data Migration</t>
        </is>
      </c>
      <c r="C87" s="12" t="inlineStr">
        <is>
          <t>Data Migration</t>
        </is>
      </c>
      <c r="D87" s="12" t="inlineStr">
        <is>
          <t>Batches</t>
        </is>
      </c>
      <c r="E87" s="12" t="inlineStr">
        <is>
          <t>BRD-13</t>
        </is>
      </c>
      <c r="F87" s="12" t="inlineStr">
        <is>
          <t>Yes</t>
        </is>
      </c>
    </row>
    <row r="88">
      <c r="A88" s="12" t="inlineStr">
        <is>
          <t>Go / no-go board</t>
        </is>
      </c>
      <c r="B88" s="12" t="inlineStr">
        <is>
          <t>Data Migration</t>
        </is>
      </c>
      <c r="C88" s="12" t="inlineStr">
        <is>
          <t>Data Migration</t>
        </is>
      </c>
      <c r="D88" s="12" t="inlineStr">
        <is>
          <t>Reconciliation</t>
        </is>
      </c>
      <c r="E88" s="12" t="inlineStr">
        <is>
          <t>BRD-13</t>
        </is>
      </c>
      <c r="F88" s="12" t="inlineStr">
        <is>
          <t>Yes</t>
        </is>
      </c>
    </row>
    <row r="89">
      <c r="A89" s="12" t="inlineStr">
        <is>
          <t>Go / no-go board</t>
        </is>
      </c>
      <c r="B89" s="12" t="inlineStr">
        <is>
          <t>Data Migration</t>
        </is>
      </c>
      <c r="C89" s="12" t="inlineStr">
        <is>
          <t>Data Migration</t>
        </is>
      </c>
      <c r="D89" s="12" t="inlineStr">
        <is>
          <t>Opening Adjustments</t>
        </is>
      </c>
      <c r="E89" s="12" t="inlineStr">
        <is>
          <t>BRD-13</t>
        </is>
      </c>
      <c r="F89" s="12" t="inlineStr">
        <is>
          <t>Yes</t>
        </is>
      </c>
    </row>
    <row r="90">
      <c r="A90" s="12" t="inlineStr">
        <is>
          <t>Go / no-go board</t>
        </is>
      </c>
      <c r="B90" s="12" t="inlineStr">
        <is>
          <t>Data Migration</t>
        </is>
      </c>
      <c r="C90" s="12" t="inlineStr">
        <is>
          <t>Data Migration</t>
        </is>
      </c>
      <c r="D90" s="12" t="inlineStr">
        <is>
          <t>Cutover</t>
        </is>
      </c>
      <c r="E90" s="12" t="inlineStr">
        <is>
          <t>BRD-13</t>
        </is>
      </c>
      <c r="F90" s="12" t="inlineStr">
        <is>
          <t>Yes</t>
        </is>
      </c>
    </row>
    <row r="91">
      <c r="A91" s="12" t="inlineStr">
        <is>
          <t>Go / no-go board</t>
        </is>
      </c>
      <c r="B91" s="12" t="inlineStr">
        <is>
          <t>Data Migration</t>
        </is>
      </c>
      <c r="C91" s="12" t="inlineStr">
        <is>
          <t>Data Migration</t>
        </is>
      </c>
      <c r="D91" s="12" t="inlineStr">
        <is>
          <t>Run-off and Decommissioning</t>
        </is>
      </c>
      <c r="E91" s="12" t="inlineStr">
        <is>
          <t>BRD-13</t>
        </is>
      </c>
      <c r="F91" s="12" t="inlineStr">
        <is>
          <t>Yes</t>
        </is>
      </c>
    </row>
    <row r="92">
      <c r="A92" s="12" t="inlineStr">
        <is>
          <t>Go / no-go board</t>
        </is>
      </c>
      <c r="B92" s="12" t="inlineStr">
        <is>
          <t>Data Migration</t>
        </is>
      </c>
      <c r="C92" s="12" t="inlineStr">
        <is>
          <t>Data Migration</t>
        </is>
      </c>
      <c r="D92" s="12" t="inlineStr">
        <is>
          <t>Sign-off</t>
        </is>
      </c>
      <c r="E92" s="12" t="inlineStr">
        <is>
          <t>BRD-13</t>
        </is>
      </c>
      <c r="F92" s="12" t="inlineStr">
        <is>
          <t>Yes</t>
        </is>
      </c>
    </row>
    <row r="93">
      <c r="A93" s="12" t="inlineStr">
        <is>
          <t>Go / no-go board</t>
        </is>
      </c>
      <c r="B93" s="12" t="inlineStr">
        <is>
          <t>Reports</t>
        </is>
      </c>
      <c r="C93" s="12" t="inlineStr">
        <is>
          <t>New Business Reports</t>
        </is>
      </c>
      <c r="D93" s="12" t="inlineStr">
        <is>
          <t>New Business Reports</t>
        </is>
      </c>
      <c r="E93" s="12" t="inlineStr">
        <is>
          <t>BRD-1</t>
        </is>
      </c>
      <c r="F93" s="12" t="inlineStr"/>
    </row>
    <row r="94">
      <c r="A94" s="12" t="inlineStr">
        <is>
          <t>Go / no-go board</t>
        </is>
      </c>
      <c r="B94" s="12" t="inlineStr">
        <is>
          <t>Reports</t>
        </is>
      </c>
      <c r="C94" s="12" t="inlineStr">
        <is>
          <t>Reports</t>
        </is>
      </c>
      <c r="D94" s="12" t="inlineStr">
        <is>
          <t>Report Centre</t>
        </is>
      </c>
      <c r="E94" s="12" t="inlineStr">
        <is>
          <t>Platform</t>
        </is>
      </c>
      <c r="F94" s="12" t="inlineStr"/>
    </row>
    <row r="95">
      <c r="A95" s="12" t="inlineStr">
        <is>
          <t>Go / no-go board</t>
        </is>
      </c>
      <c r="B95" s="12" t="inlineStr">
        <is>
          <t>Setup &amp; Administration</t>
        </is>
      </c>
      <c r="C95" s="12" t="inlineStr">
        <is>
          <t>Help</t>
        </is>
      </c>
      <c r="D95" s="12" t="inlineStr">
        <is>
          <t>Help Center</t>
        </is>
      </c>
      <c r="E95" s="12" t="inlineStr">
        <is>
          <t>Platform</t>
        </is>
      </c>
      <c r="F95" s="12" t="inlineStr"/>
    </row>
    <row r="96">
      <c r="A96" s="12" t="inlineStr">
        <is>
          <t>Go / no-go board</t>
        </is>
      </c>
      <c r="B96" s="12" t="inlineStr">
        <is>
          <t>Setup &amp; Administration</t>
        </is>
      </c>
      <c r="C96" s="12" t="inlineStr">
        <is>
          <t>Help</t>
        </is>
      </c>
      <c r="D96" s="12" t="inlineStr">
        <is>
          <t>My Profile</t>
        </is>
      </c>
      <c r="E96" s="12" t="inlineStr">
        <is>
          <t>Platform</t>
        </is>
      </c>
      <c r="F96" s="12" t="inlineStr"/>
    </row>
    <row r="97">
      <c r="A97" s="12" t="inlineStr">
        <is>
          <t>Comptrollership GL lead</t>
        </is>
      </c>
      <c r="B97" s="12" t="inlineStr">
        <is>
          <t>Home</t>
        </is>
      </c>
      <c r="C97" s="12" t="inlineStr">
        <is>
          <t>Overview</t>
        </is>
      </c>
      <c r="D97" s="12" t="inlineStr">
        <is>
          <t>My Approvals</t>
        </is>
      </c>
      <c r="E97" s="12" t="inlineStr">
        <is>
          <t>Platform</t>
        </is>
      </c>
      <c r="F97" s="12" t="inlineStr"/>
    </row>
    <row r="98">
      <c r="A98" s="12" t="inlineStr">
        <is>
          <t>Comptrollership GL lead</t>
        </is>
      </c>
      <c r="B98" s="12" t="inlineStr">
        <is>
          <t>Home</t>
        </is>
      </c>
      <c r="C98" s="12" t="inlineStr">
        <is>
          <t>New Business Dashboard</t>
        </is>
      </c>
      <c r="D98" s="12" t="inlineStr">
        <is>
          <t>NB Dashboard</t>
        </is>
      </c>
      <c r="E98" s="12" t="inlineStr">
        <is>
          <t>BRD-1</t>
        </is>
      </c>
      <c r="F98" s="12" t="inlineStr"/>
    </row>
    <row r="99">
      <c r="A99" s="12" t="inlineStr">
        <is>
          <t>Comptrollership GL lead</t>
        </is>
      </c>
      <c r="B99" s="12" t="inlineStr">
        <is>
          <t>Home</t>
        </is>
      </c>
      <c r="C99" s="12" t="inlineStr">
        <is>
          <t>My Work</t>
        </is>
      </c>
      <c r="D99" s="12" t="inlineStr">
        <is>
          <t>My Work</t>
        </is>
      </c>
      <c r="E99" s="12" t="inlineStr">
        <is>
          <t>BRD-1</t>
        </is>
      </c>
      <c r="F99" s="12" t="inlineStr"/>
    </row>
    <row r="100">
      <c r="A100" s="12" t="inlineStr">
        <is>
          <t>Comptrollership GL lead</t>
        </is>
      </c>
      <c r="B100" s="12" t="inlineStr">
        <is>
          <t>Client &amp; Policy</t>
        </is>
      </c>
      <c r="C100" s="12" t="inlineStr">
        <is>
          <t>Clients</t>
        </is>
      </c>
      <c r="D100" s="12" t="inlineStr">
        <is>
          <t>Clients</t>
        </is>
      </c>
      <c r="E100" s="12" t="inlineStr">
        <is>
          <t>BRD-1</t>
        </is>
      </c>
      <c r="F100" s="12" t="inlineStr"/>
    </row>
    <row r="101">
      <c r="A101" s="12" t="inlineStr">
        <is>
          <t>Comptrollership GL lead</t>
        </is>
      </c>
      <c r="B101" s="12" t="inlineStr">
        <is>
          <t>Client &amp; Policy</t>
        </is>
      </c>
      <c r="C101" s="12" t="inlineStr">
        <is>
          <t>Clients</t>
        </is>
      </c>
      <c r="D101" s="12" t="inlineStr">
        <is>
          <t>KYC Reviews Due</t>
        </is>
      </c>
      <c r="E101" s="12" t="inlineStr">
        <is>
          <t>BRD-1</t>
        </is>
      </c>
      <c r="F101" s="12" t="inlineStr"/>
    </row>
    <row r="102">
      <c r="A102" s="12" t="inlineStr">
        <is>
          <t>Comptrollership GL lead</t>
        </is>
      </c>
      <c r="B102" s="12" t="inlineStr">
        <is>
          <t>Client &amp; Policy</t>
        </is>
      </c>
      <c r="C102" s="12" t="inlineStr">
        <is>
          <t>Accounts &amp; Placement</t>
        </is>
      </c>
      <c r="D102" s="12" t="inlineStr">
        <is>
          <t>Accounts</t>
        </is>
      </c>
      <c r="E102" s="12" t="inlineStr">
        <is>
          <t>BRD-1</t>
        </is>
      </c>
      <c r="F102" s="12" t="inlineStr"/>
    </row>
    <row r="103">
      <c r="A103" s="12" t="inlineStr">
        <is>
          <t>Comptrollership GL lead</t>
        </is>
      </c>
      <c r="B103" s="12" t="inlineStr">
        <is>
          <t>Client &amp; Policy</t>
        </is>
      </c>
      <c r="C103" s="12" t="inlineStr">
        <is>
          <t>Accounts &amp; Placement</t>
        </is>
      </c>
      <c r="D103" s="12" t="inlineStr">
        <is>
          <t>FFY Register</t>
        </is>
      </c>
      <c r="E103" s="12" t="inlineStr">
        <is>
          <t>BRD-1</t>
        </is>
      </c>
      <c r="F103" s="12" t="inlineStr"/>
    </row>
    <row r="104">
      <c r="A104" s="12" t="inlineStr">
        <is>
          <t>Comptrollership GL lead</t>
        </is>
      </c>
      <c r="B104" s="12" t="inlineStr">
        <is>
          <t>Client &amp; Policy</t>
        </is>
      </c>
      <c r="C104" s="12" t="inlineStr">
        <is>
          <t>Accounts &amp; Placement</t>
        </is>
      </c>
      <c r="D104" s="12" t="inlineStr">
        <is>
          <t>Direct Payment</t>
        </is>
      </c>
      <c r="E104" s="12" t="inlineStr">
        <is>
          <t>BRD-1</t>
        </is>
      </c>
      <c r="F104" s="12" t="inlineStr"/>
    </row>
    <row r="105">
      <c r="A105" s="12" t="inlineStr">
        <is>
          <t>Comptrollership GL lead</t>
        </is>
      </c>
      <c r="B105" s="12" t="inlineStr">
        <is>
          <t>Client &amp; Policy</t>
        </is>
      </c>
      <c r="C105" s="12" t="inlineStr">
        <is>
          <t>Placement &amp; Booking</t>
        </is>
      </c>
      <c r="D105" s="12" t="inlineStr">
        <is>
          <t>Placement Workbench</t>
        </is>
      </c>
      <c r="E105" s="12" t="inlineStr">
        <is>
          <t>BRD-1</t>
        </is>
      </c>
      <c r="F105" s="12" t="inlineStr"/>
    </row>
    <row r="106">
      <c r="A106" s="12" t="inlineStr">
        <is>
          <t>Comptrollership GL lead</t>
        </is>
      </c>
      <c r="B106" s="12" t="inlineStr">
        <is>
          <t>Client &amp; Policy</t>
        </is>
      </c>
      <c r="C106" s="12" t="inlineStr">
        <is>
          <t>Placement &amp; Booking</t>
        </is>
      </c>
      <c r="D106" s="12" t="inlineStr">
        <is>
          <t>Placement Slips</t>
        </is>
      </c>
      <c r="E106" s="12" t="inlineStr">
        <is>
          <t>BRD-1</t>
        </is>
      </c>
      <c r="F106" s="12" t="inlineStr"/>
    </row>
    <row r="107">
      <c r="A107" s="12" t="inlineStr">
        <is>
          <t>Comptrollership GL lead</t>
        </is>
      </c>
      <c r="B107" s="12" t="inlineStr">
        <is>
          <t>Client &amp; Policy</t>
        </is>
      </c>
      <c r="C107" s="12" t="inlineStr">
        <is>
          <t>Policy Issuance</t>
        </is>
      </c>
      <c r="D107" s="12" t="inlineStr">
        <is>
          <t>Issuance Workbench</t>
        </is>
      </c>
      <c r="E107" s="12" t="inlineStr">
        <is>
          <t>BRD-1</t>
        </is>
      </c>
      <c r="F107" s="12" t="inlineStr"/>
    </row>
    <row r="108">
      <c r="A108" s="12" t="inlineStr">
        <is>
          <t>Comptrollership GL lead</t>
        </is>
      </c>
      <c r="B108" s="12" t="inlineStr">
        <is>
          <t>Client &amp; Policy</t>
        </is>
      </c>
      <c r="C108" s="12" t="inlineStr">
        <is>
          <t>Policy Issuance</t>
        </is>
      </c>
      <c r="D108" s="12" t="inlineStr">
        <is>
          <t>Insurance Advice</t>
        </is>
      </c>
      <c r="E108" s="12" t="inlineStr">
        <is>
          <t>BRD-1</t>
        </is>
      </c>
      <c r="F108" s="12" t="inlineStr"/>
    </row>
    <row r="109">
      <c r="A109" s="12" t="inlineStr">
        <is>
          <t>Comptrollership GL lead</t>
        </is>
      </c>
      <c r="B109" s="12" t="inlineStr">
        <is>
          <t>Client &amp; Policy</t>
        </is>
      </c>
      <c r="C109" s="12" t="inlineStr">
        <is>
          <t>Product Maintenance</t>
        </is>
      </c>
      <c r="D109" s="12" t="inlineStr">
        <is>
          <t>Premium Calculator</t>
        </is>
      </c>
      <c r="E109" s="12" t="inlineStr">
        <is>
          <t>BRD-3</t>
        </is>
      </c>
      <c r="F109" s="12" t="inlineStr"/>
    </row>
    <row r="110">
      <c r="A110" s="12" t="inlineStr">
        <is>
          <t>Comptrollership GL lead</t>
        </is>
      </c>
      <c r="B110" s="12" t="inlineStr">
        <is>
          <t>Operations</t>
        </is>
      </c>
      <c r="C110" s="12" t="inlineStr">
        <is>
          <t>Operations</t>
        </is>
      </c>
      <c r="D110" s="12" t="inlineStr">
        <is>
          <t>Operations Home</t>
        </is>
      </c>
      <c r="E110" s="12" t="inlineStr">
        <is>
          <t>BRD-2</t>
        </is>
      </c>
      <c r="F110" s="12" t="inlineStr"/>
    </row>
    <row r="111">
      <c r="A111" s="12" t="inlineStr">
        <is>
          <t>Comptrollership GL lead</t>
        </is>
      </c>
      <c r="B111" s="12" t="inlineStr">
        <is>
          <t>Operations</t>
        </is>
      </c>
      <c r="C111" s="12" t="inlineStr">
        <is>
          <t>Operations</t>
        </is>
      </c>
      <c r="D111" s="12" t="inlineStr">
        <is>
          <t>Invoice Search</t>
        </is>
      </c>
      <c r="E111" s="12" t="inlineStr">
        <is>
          <t>BRD-2</t>
        </is>
      </c>
      <c r="F111" s="12" t="inlineStr"/>
    </row>
    <row r="112">
      <c r="A112" s="12" t="inlineStr">
        <is>
          <t>Comptrollership GL lead</t>
        </is>
      </c>
      <c r="B112" s="12" t="inlineStr">
        <is>
          <t>Operations</t>
        </is>
      </c>
      <c r="C112" s="12" t="inlineStr">
        <is>
          <t>Operations</t>
        </is>
      </c>
      <c r="D112" s="12" t="inlineStr">
        <is>
          <t>Hand-offs and Extracts</t>
        </is>
      </c>
      <c r="E112" s="12" t="inlineStr">
        <is>
          <t>BRD-2</t>
        </is>
      </c>
      <c r="F112" s="12" t="inlineStr"/>
    </row>
    <row r="113">
      <c r="A113" s="12" t="inlineStr">
        <is>
          <t>Comptrollership GL lead</t>
        </is>
      </c>
      <c r="B113" s="12" t="inlineStr">
        <is>
          <t>Operations</t>
        </is>
      </c>
      <c r="C113" s="12" t="inlineStr">
        <is>
          <t>Operations</t>
        </is>
      </c>
      <c r="D113" s="12" t="inlineStr">
        <is>
          <t>Report Archive</t>
        </is>
      </c>
      <c r="E113" s="12" t="inlineStr">
        <is>
          <t>BRD-2</t>
        </is>
      </c>
      <c r="F113" s="12" t="inlineStr"/>
    </row>
    <row r="114">
      <c r="A114" s="12" t="inlineStr">
        <is>
          <t>Comptrollership GL lead</t>
        </is>
      </c>
      <c r="B114" s="12" t="inlineStr">
        <is>
          <t>Operations</t>
        </is>
      </c>
      <c r="C114" s="12" t="inlineStr">
        <is>
          <t>Operations</t>
        </is>
      </c>
      <c r="D114" s="12" t="inlineStr">
        <is>
          <t>Notification Settings</t>
        </is>
      </c>
      <c r="E114" s="12" t="inlineStr">
        <is>
          <t>BRD-2</t>
        </is>
      </c>
      <c r="F114" s="12" t="inlineStr"/>
    </row>
    <row r="115">
      <c r="A115" s="12" t="inlineStr">
        <is>
          <t>Comptrollership GL lead</t>
        </is>
      </c>
      <c r="B115" s="12" t="inlineStr">
        <is>
          <t>Finance</t>
        </is>
      </c>
      <c r="C115" s="12" t="inlineStr">
        <is>
          <t>Collections</t>
        </is>
      </c>
      <c r="D115" s="12" t="inlineStr">
        <is>
          <t>Collections Home</t>
        </is>
      </c>
      <c r="E115" s="12" t="inlineStr">
        <is>
          <t>BRD-4</t>
        </is>
      </c>
      <c r="F115" s="12" t="inlineStr"/>
    </row>
    <row r="116">
      <c r="A116" s="12" t="inlineStr">
        <is>
          <t>Comptrollership GL lead</t>
        </is>
      </c>
      <c r="B116" s="12" t="inlineStr">
        <is>
          <t>Finance</t>
        </is>
      </c>
      <c r="C116" s="12" t="inlineStr">
        <is>
          <t>Collections</t>
        </is>
      </c>
      <c r="D116" s="12" t="inlineStr">
        <is>
          <t>PR Worklist</t>
        </is>
      </c>
      <c r="E116" s="12" t="inlineStr">
        <is>
          <t>BRD-4</t>
        </is>
      </c>
      <c r="F116" s="12" t="inlineStr"/>
    </row>
    <row r="117">
      <c r="A117" s="12" t="inlineStr">
        <is>
          <t>Comptrollership GL lead</t>
        </is>
      </c>
      <c r="B117" s="12" t="inlineStr">
        <is>
          <t>Finance</t>
        </is>
      </c>
      <c r="C117" s="12" t="inlineStr">
        <is>
          <t>Collections</t>
        </is>
      </c>
      <c r="D117" s="12" t="inlineStr">
        <is>
          <t>Installment Plans</t>
        </is>
      </c>
      <c r="E117" s="12" t="inlineStr">
        <is>
          <t>BRD-4</t>
        </is>
      </c>
      <c r="F117" s="12" t="inlineStr"/>
    </row>
    <row r="118">
      <c r="A118" s="12" t="inlineStr">
        <is>
          <t>Comptrollership GL lead</t>
        </is>
      </c>
      <c r="B118" s="12" t="inlineStr">
        <is>
          <t>Finance</t>
        </is>
      </c>
      <c r="C118" s="12" t="inlineStr">
        <is>
          <t>Collections</t>
        </is>
      </c>
      <c r="D118" s="12" t="inlineStr">
        <is>
          <t>Installments Due</t>
        </is>
      </c>
      <c r="E118" s="12" t="inlineStr">
        <is>
          <t>BRD-4</t>
        </is>
      </c>
      <c r="F118" s="12" t="inlineStr"/>
    </row>
    <row r="119">
      <c r="A119" s="12" t="inlineStr">
        <is>
          <t>Comptrollership GL lead</t>
        </is>
      </c>
      <c r="B119" s="12" t="inlineStr">
        <is>
          <t>Finance</t>
        </is>
      </c>
      <c r="C119" s="12" t="inlineStr">
        <is>
          <t>Collections</t>
        </is>
      </c>
      <c r="D119" s="12" t="inlineStr">
        <is>
          <t>Promises to Pay</t>
        </is>
      </c>
      <c r="E119" s="12" t="inlineStr">
        <is>
          <t>BRD-4</t>
        </is>
      </c>
      <c r="F119" s="12" t="inlineStr"/>
    </row>
    <row r="120">
      <c r="A120" s="12" t="inlineStr">
        <is>
          <t>Comptrollership GL lead</t>
        </is>
      </c>
      <c r="B120" s="12" t="inlineStr">
        <is>
          <t>Finance</t>
        </is>
      </c>
      <c r="C120" s="12" t="inlineStr">
        <is>
          <t>Collections</t>
        </is>
      </c>
      <c r="D120" s="12" t="inlineStr">
        <is>
          <t>Escalations</t>
        </is>
      </c>
      <c r="E120" s="12" t="inlineStr">
        <is>
          <t>BRD-4</t>
        </is>
      </c>
      <c r="F120" s="12" t="inlineStr"/>
    </row>
    <row r="121">
      <c r="A121" s="12" t="inlineStr">
        <is>
          <t>Comptrollership GL lead</t>
        </is>
      </c>
      <c r="B121" s="12" t="inlineStr">
        <is>
          <t>Finance</t>
        </is>
      </c>
      <c r="C121" s="12" t="inlineStr">
        <is>
          <t>Collections</t>
        </is>
      </c>
      <c r="D121" s="12" t="inlineStr">
        <is>
          <t>Billing Statements</t>
        </is>
      </c>
      <c r="E121" s="12" t="inlineStr">
        <is>
          <t>BRD-4</t>
        </is>
      </c>
      <c r="F121" s="12" t="inlineStr"/>
    </row>
    <row r="122">
      <c r="A122" s="12" t="inlineStr">
        <is>
          <t>Comptrollership GL lead</t>
        </is>
      </c>
      <c r="B122" s="12" t="inlineStr">
        <is>
          <t>Finance</t>
        </is>
      </c>
      <c r="C122" s="12" t="inlineStr">
        <is>
          <t>Collections</t>
        </is>
      </c>
      <c r="D122" s="12" t="inlineStr">
        <is>
          <t>Unapplied Payments</t>
        </is>
      </c>
      <c r="E122" s="12" t="inlineStr">
        <is>
          <t>BRD-4</t>
        </is>
      </c>
      <c r="F122" s="12" t="inlineStr"/>
    </row>
    <row r="123">
      <c r="A123" s="12" t="inlineStr">
        <is>
          <t>Comptrollership GL lead</t>
        </is>
      </c>
      <c r="B123" s="12" t="inlineStr">
        <is>
          <t>Finance</t>
        </is>
      </c>
      <c r="C123" s="12" t="inlineStr">
        <is>
          <t>Collections</t>
        </is>
      </c>
      <c r="D123" s="12" t="inlineStr">
        <is>
          <t>Requests to Cashiering</t>
        </is>
      </c>
      <c r="E123" s="12" t="inlineStr">
        <is>
          <t>BRD-4</t>
        </is>
      </c>
      <c r="F123" s="12" t="inlineStr"/>
    </row>
    <row r="124">
      <c r="A124" s="12" t="inlineStr">
        <is>
          <t>Comptrollership GL lead</t>
        </is>
      </c>
      <c r="B124" s="12" t="inlineStr">
        <is>
          <t>Finance</t>
        </is>
      </c>
      <c r="C124" s="12" t="inlineStr">
        <is>
          <t>Collections</t>
        </is>
      </c>
      <c r="D124" s="12" t="inlineStr">
        <is>
          <t>Collections Files</t>
        </is>
      </c>
      <c r="E124" s="12" t="inlineStr">
        <is>
          <t>BRD-4</t>
        </is>
      </c>
      <c r="F124" s="12" t="inlineStr"/>
    </row>
    <row r="125">
      <c r="A125" s="12" t="inlineStr">
        <is>
          <t>Comptrollership GL lead</t>
        </is>
      </c>
      <c r="B125" s="12" t="inlineStr">
        <is>
          <t>Finance</t>
        </is>
      </c>
      <c r="C125" s="12" t="inlineStr">
        <is>
          <t>Remittance</t>
        </is>
      </c>
      <c r="D125" s="12" t="inlineStr">
        <is>
          <t>Remittance Deductions</t>
        </is>
      </c>
      <c r="E125" s="12" t="inlineStr">
        <is>
          <t>BRD-2</t>
        </is>
      </c>
      <c r="F125" s="12" t="inlineStr"/>
    </row>
    <row r="126">
      <c r="A126" s="12" t="inlineStr">
        <is>
          <t>Comptrollership GL lead</t>
        </is>
      </c>
      <c r="B126" s="12" t="inlineStr">
        <is>
          <t>Finance</t>
        </is>
      </c>
      <c r="C126" s="12" t="inlineStr">
        <is>
          <t>Commission Receivables</t>
        </is>
      </c>
      <c r="D126" s="12" t="inlineStr">
        <is>
          <t>Commission Workbench</t>
        </is>
      </c>
      <c r="E126" s="12" t="inlineStr">
        <is>
          <t>BRD-2 / BRD-4</t>
        </is>
      </c>
      <c r="F126" s="12" t="inlineStr"/>
    </row>
    <row r="127">
      <c r="A127" s="12" t="inlineStr">
        <is>
          <t>Comptrollership GL lead</t>
        </is>
      </c>
      <c r="B127" s="12" t="inlineStr">
        <is>
          <t>Finance</t>
        </is>
      </c>
      <c r="C127" s="12" t="inlineStr">
        <is>
          <t>Commission Receivables</t>
        </is>
      </c>
      <c r="D127" s="12" t="inlineStr">
        <is>
          <t>BIR Certificates</t>
        </is>
      </c>
      <c r="E127" s="12" t="inlineStr">
        <is>
          <t>BRD-2 / BRD-4</t>
        </is>
      </c>
      <c r="F127" s="12" t="inlineStr"/>
    </row>
    <row r="128">
      <c r="A128" s="12" t="inlineStr">
        <is>
          <t>Comptrollership GL lead</t>
        </is>
      </c>
      <c r="B128" s="12" t="inlineStr">
        <is>
          <t>Finance</t>
        </is>
      </c>
      <c r="C128" s="12" t="inlineStr">
        <is>
          <t>Disbursement</t>
        </is>
      </c>
      <c r="D128" s="12" t="inlineStr">
        <is>
          <t>Disbursement Workbench</t>
        </is>
      </c>
      <c r="E128" s="12" t="inlineStr">
        <is>
          <t>BRD-5</t>
        </is>
      </c>
      <c r="F128" s="12" t="inlineStr"/>
    </row>
    <row r="129">
      <c r="A129" s="12" t="inlineStr">
        <is>
          <t>Comptrollership GL lead</t>
        </is>
      </c>
      <c r="B129" s="12" t="inlineStr">
        <is>
          <t>Finance</t>
        </is>
      </c>
      <c r="C129" s="12" t="inlineStr">
        <is>
          <t>Disbursement</t>
        </is>
      </c>
      <c r="D129" s="12" t="inlineStr">
        <is>
          <t>Payees</t>
        </is>
      </c>
      <c r="E129" s="12" t="inlineStr">
        <is>
          <t>BRD-5</t>
        </is>
      </c>
      <c r="F129" s="12" t="inlineStr"/>
    </row>
    <row r="130">
      <c r="A130" s="12" t="inlineStr">
        <is>
          <t>Comptrollership GL lead</t>
        </is>
      </c>
      <c r="B130" s="12" t="inlineStr">
        <is>
          <t>Finance</t>
        </is>
      </c>
      <c r="C130" s="12" t="inlineStr">
        <is>
          <t>Disbursement</t>
        </is>
      </c>
      <c r="D130" s="12" t="inlineStr">
        <is>
          <t>Disbursement End of Day</t>
        </is>
      </c>
      <c r="E130" s="12" t="inlineStr">
        <is>
          <t>BRD-5</t>
        </is>
      </c>
      <c r="F130" s="12" t="inlineStr"/>
    </row>
    <row r="131">
      <c r="A131" s="12" t="inlineStr">
        <is>
          <t>Comptrollership GL lead</t>
        </is>
      </c>
      <c r="B131" s="12" t="inlineStr">
        <is>
          <t>Finance</t>
        </is>
      </c>
      <c r="C131" s="12" t="inlineStr">
        <is>
          <t>Disbursement</t>
        </is>
      </c>
      <c r="D131" s="12" t="inlineStr">
        <is>
          <t>Account Funding</t>
        </is>
      </c>
      <c r="E131" s="12" t="inlineStr">
        <is>
          <t>BRD-5</t>
        </is>
      </c>
      <c r="F131" s="12" t="inlineStr"/>
    </row>
    <row r="132">
      <c r="A132" s="12" t="inlineStr">
        <is>
          <t>Comptrollership GL lead</t>
        </is>
      </c>
      <c r="B132" s="12" t="inlineStr">
        <is>
          <t>Finance</t>
        </is>
      </c>
      <c r="C132" s="12" t="inlineStr">
        <is>
          <t>Disbursement</t>
        </is>
      </c>
      <c r="D132" s="12" t="inlineStr">
        <is>
          <t>Bank Accounts and Checks</t>
        </is>
      </c>
      <c r="E132" s="12" t="inlineStr">
        <is>
          <t>BRD-5</t>
        </is>
      </c>
      <c r="F132" s="12" t="inlineStr"/>
    </row>
    <row r="133">
      <c r="A133" s="12" t="inlineStr">
        <is>
          <t>Comptrollership GL lead</t>
        </is>
      </c>
      <c r="B133" s="12" t="inlineStr">
        <is>
          <t>Finance</t>
        </is>
      </c>
      <c r="C133" s="12" t="inlineStr">
        <is>
          <t>Disbursement</t>
        </is>
      </c>
      <c r="D133" s="12" t="inlineStr">
        <is>
          <t>Disbursement Reports</t>
        </is>
      </c>
      <c r="E133" s="12" t="inlineStr">
        <is>
          <t>BRD-5</t>
        </is>
      </c>
      <c r="F133" s="12" t="inlineStr"/>
    </row>
    <row r="134">
      <c r="A134" s="12" t="inlineStr">
        <is>
          <t>Comptrollership GL lead</t>
        </is>
      </c>
      <c r="B134" s="12" t="inlineStr">
        <is>
          <t>Finance</t>
        </is>
      </c>
      <c r="C134" s="12" t="inlineStr">
        <is>
          <t>ACSL</t>
        </is>
      </c>
      <c r="D134" s="12" t="inlineStr">
        <is>
          <t>ACSL Cases</t>
        </is>
      </c>
      <c r="E134" s="12" t="inlineStr">
        <is>
          <t>BRD-5</t>
        </is>
      </c>
      <c r="F134" s="12" t="inlineStr"/>
    </row>
    <row r="135">
      <c r="A135" s="12" t="inlineStr">
        <is>
          <t>Comptrollership GL lead</t>
        </is>
      </c>
      <c r="B135" s="12" t="inlineStr">
        <is>
          <t>Finance</t>
        </is>
      </c>
      <c r="C135" s="12" t="inlineStr">
        <is>
          <t>ACSL</t>
        </is>
      </c>
      <c r="D135" s="12" t="inlineStr">
        <is>
          <t>Correction Entries</t>
        </is>
      </c>
      <c r="E135" s="12" t="inlineStr">
        <is>
          <t>BRD-5</t>
        </is>
      </c>
      <c r="F135" s="12" t="inlineStr"/>
    </row>
    <row r="136">
      <c r="A136" s="12" t="inlineStr">
        <is>
          <t>Comptrollership GL lead</t>
        </is>
      </c>
      <c r="B136" s="12" t="inlineStr">
        <is>
          <t>Finance</t>
        </is>
      </c>
      <c r="C136" s="12" t="inlineStr">
        <is>
          <t>ACSL</t>
        </is>
      </c>
      <c r="D136" s="12" t="inlineStr">
        <is>
          <t>Insurer SOA Reconciliation</t>
        </is>
      </c>
      <c r="E136" s="12" t="inlineStr">
        <is>
          <t>BRD-5</t>
        </is>
      </c>
      <c r="F136" s="12" t="inlineStr"/>
    </row>
    <row r="137">
      <c r="A137" s="12" t="inlineStr">
        <is>
          <t>Comptrollership GL lead</t>
        </is>
      </c>
      <c r="B137" s="12" t="inlineStr">
        <is>
          <t>Finance</t>
        </is>
      </c>
      <c r="C137" s="12" t="inlineStr">
        <is>
          <t>ACSL</t>
        </is>
      </c>
      <c r="D137" s="12" t="inlineStr">
        <is>
          <t>GL-SL Reconciliation</t>
        </is>
      </c>
      <c r="E137" s="12" t="inlineStr">
        <is>
          <t>BRD-5</t>
        </is>
      </c>
      <c r="F137" s="12" t="inlineStr"/>
    </row>
    <row r="138">
      <c r="A138" s="12" t="inlineStr">
        <is>
          <t>Comptrollership GL lead</t>
        </is>
      </c>
      <c r="B138" s="12" t="inlineStr">
        <is>
          <t>Finance</t>
        </is>
      </c>
      <c r="C138" s="12" t="inlineStr">
        <is>
          <t>Accounting Reports</t>
        </is>
      </c>
      <c r="D138" s="12" t="inlineStr">
        <is>
          <t>Report Pack</t>
        </is>
      </c>
      <c r="E138" s="12" t="inlineStr">
        <is>
          <t>BRD-5</t>
        </is>
      </c>
      <c r="F138" s="12" t="inlineStr"/>
    </row>
    <row r="139">
      <c r="A139" s="12" t="inlineStr">
        <is>
          <t>Comptrollership GL lead</t>
        </is>
      </c>
      <c r="B139" s="12" t="inlineStr">
        <is>
          <t>Finance</t>
        </is>
      </c>
      <c r="C139" s="12" t="inlineStr">
        <is>
          <t>Accounting Reports</t>
        </is>
      </c>
      <c r="D139" s="12" t="inlineStr">
        <is>
          <t>Account Schedules</t>
        </is>
      </c>
      <c r="E139" s="12" t="inlineStr">
        <is>
          <t>BRD-5</t>
        </is>
      </c>
      <c r="F139" s="12" t="inlineStr"/>
    </row>
    <row r="140">
      <c r="A140" s="12" t="inlineStr">
        <is>
          <t>Comptrollership GL lead</t>
        </is>
      </c>
      <c r="B140" s="12" t="inlineStr">
        <is>
          <t>Finance</t>
        </is>
      </c>
      <c r="C140" s="12" t="inlineStr">
        <is>
          <t>Accounting Reports</t>
        </is>
      </c>
      <c r="D140" s="12" t="inlineStr">
        <is>
          <t>Service Fee Runs</t>
        </is>
      </c>
      <c r="E140" s="12" t="inlineStr">
        <is>
          <t>BRD-5</t>
        </is>
      </c>
      <c r="F140" s="12" t="inlineStr"/>
    </row>
    <row r="141">
      <c r="A141" s="12" t="inlineStr">
        <is>
          <t>Comptrollership GL lead</t>
        </is>
      </c>
      <c r="B141" s="12" t="inlineStr">
        <is>
          <t>Finance</t>
        </is>
      </c>
      <c r="C141" s="12" t="inlineStr">
        <is>
          <t>Accounting Reports</t>
        </is>
      </c>
      <c r="D141" s="12" t="inlineStr">
        <is>
          <t>Service Fee Rates</t>
        </is>
      </c>
      <c r="E141" s="12" t="inlineStr">
        <is>
          <t>BRD-5</t>
        </is>
      </c>
      <c r="F141" s="12" t="inlineStr"/>
    </row>
    <row r="142">
      <c r="A142" s="12" t="inlineStr">
        <is>
          <t>Comptrollership GL lead</t>
        </is>
      </c>
      <c r="B142" s="12" t="inlineStr">
        <is>
          <t>Finance</t>
        </is>
      </c>
      <c r="C142" s="12" t="inlineStr">
        <is>
          <t>General Ledger</t>
        </is>
      </c>
      <c r="D142" s="12" t="inlineStr">
        <is>
          <t>Journals</t>
        </is>
      </c>
      <c r="E142" s="12" t="inlineStr">
        <is>
          <t>BRD-5</t>
        </is>
      </c>
      <c r="F142" s="12" t="inlineStr"/>
    </row>
    <row r="143">
      <c r="A143" s="12" t="inlineStr">
        <is>
          <t>Comptrollership GL lead</t>
        </is>
      </c>
      <c r="B143" s="12" t="inlineStr">
        <is>
          <t>Finance</t>
        </is>
      </c>
      <c r="C143" s="12" t="inlineStr">
        <is>
          <t>General Ledger</t>
        </is>
      </c>
      <c r="D143" s="12" t="inlineStr">
        <is>
          <t>Recurring Journals</t>
        </is>
      </c>
      <c r="E143" s="12" t="inlineStr">
        <is>
          <t>BRD-5</t>
        </is>
      </c>
      <c r="F143" s="12" t="inlineStr"/>
    </row>
    <row r="144">
      <c r="A144" s="12" t="inlineStr">
        <is>
          <t>Comptrollership GL lead</t>
        </is>
      </c>
      <c r="B144" s="12" t="inlineStr">
        <is>
          <t>Finance</t>
        </is>
      </c>
      <c r="C144" s="12" t="inlineStr">
        <is>
          <t>General Ledger</t>
        </is>
      </c>
      <c r="D144" s="12" t="inlineStr">
        <is>
          <t>Account Inquiry</t>
        </is>
      </c>
      <c r="E144" s="12" t="inlineStr">
        <is>
          <t>BRD-5</t>
        </is>
      </c>
      <c r="F144" s="12" t="inlineStr"/>
    </row>
    <row r="145">
      <c r="A145" s="12" t="inlineStr">
        <is>
          <t>Comptrollership GL lead</t>
        </is>
      </c>
      <c r="B145" s="12" t="inlineStr">
        <is>
          <t>Finance</t>
        </is>
      </c>
      <c r="C145" s="12" t="inlineStr">
        <is>
          <t>General Ledger</t>
        </is>
      </c>
      <c r="D145" s="12" t="inlineStr">
        <is>
          <t>Party Statement</t>
        </is>
      </c>
      <c r="E145" s="12" t="inlineStr">
        <is>
          <t>BRD-5</t>
        </is>
      </c>
      <c r="F145" s="12" t="inlineStr"/>
    </row>
    <row r="146">
      <c r="A146" s="12" t="inlineStr">
        <is>
          <t>Comptrollership GL lead</t>
        </is>
      </c>
      <c r="B146" s="12" t="inlineStr">
        <is>
          <t>Finance</t>
        </is>
      </c>
      <c r="C146" s="12" t="inlineStr">
        <is>
          <t>Receivables &amp; Banking</t>
        </is>
      </c>
      <c r="D146" s="12" t="inlineStr">
        <is>
          <t>Receipts</t>
        </is>
      </c>
      <c r="E146" s="12" t="inlineStr">
        <is>
          <t>BRD-5</t>
        </is>
      </c>
      <c r="F146" s="12" t="inlineStr"/>
    </row>
    <row r="147">
      <c r="A147" s="12" t="inlineStr">
        <is>
          <t>Comptrollership GL lead</t>
        </is>
      </c>
      <c r="B147" s="12" t="inlineStr">
        <is>
          <t>Finance</t>
        </is>
      </c>
      <c r="C147" s="12" t="inlineStr">
        <is>
          <t>Receivables &amp; Banking</t>
        </is>
      </c>
      <c r="D147" s="12" t="inlineStr">
        <is>
          <t>Cheques &amp; Deposits</t>
        </is>
      </c>
      <c r="E147" s="12" t="inlineStr">
        <is>
          <t>BRD-5</t>
        </is>
      </c>
      <c r="F147" s="12" t="inlineStr"/>
    </row>
    <row r="148">
      <c r="A148" s="12" t="inlineStr">
        <is>
          <t>Comptrollership GL lead</t>
        </is>
      </c>
      <c r="B148" s="12" t="inlineStr">
        <is>
          <t>Finance</t>
        </is>
      </c>
      <c r="C148" s="12" t="inlineStr">
        <is>
          <t>Receivables &amp; Banking</t>
        </is>
      </c>
      <c r="D148" s="12" t="inlineStr">
        <is>
          <t>PDC Received</t>
        </is>
      </c>
      <c r="E148" s="12" t="inlineStr">
        <is>
          <t>BRD-5</t>
        </is>
      </c>
      <c r="F148" s="12" t="inlineStr"/>
    </row>
    <row r="149">
      <c r="A149" s="12" t="inlineStr">
        <is>
          <t>Comptrollership GL lead</t>
        </is>
      </c>
      <c r="B149" s="12" t="inlineStr">
        <is>
          <t>Finance</t>
        </is>
      </c>
      <c r="C149" s="12" t="inlineStr">
        <is>
          <t>Payables &amp; Cash</t>
        </is>
      </c>
      <c r="D149" s="12" t="inlineStr">
        <is>
          <t>Supplier Invoices</t>
        </is>
      </c>
      <c r="E149" s="12" t="inlineStr">
        <is>
          <t>BRD-5</t>
        </is>
      </c>
      <c r="F149" s="12" t="inlineStr"/>
    </row>
    <row r="150">
      <c r="A150" s="12" t="inlineStr">
        <is>
          <t>Comptrollership GL lead</t>
        </is>
      </c>
      <c r="B150" s="12" t="inlineStr">
        <is>
          <t>Finance</t>
        </is>
      </c>
      <c r="C150" s="12" t="inlineStr">
        <is>
          <t>Payables &amp; Cash</t>
        </is>
      </c>
      <c r="D150" s="12" t="inlineStr">
        <is>
          <t>Payment Vouchers</t>
        </is>
      </c>
      <c r="E150" s="12" t="inlineStr">
        <is>
          <t>BRD-5</t>
        </is>
      </c>
      <c r="F150" s="12" t="inlineStr"/>
    </row>
    <row r="151">
      <c r="A151" s="12" t="inlineStr">
        <is>
          <t>Comptrollership GL lead</t>
        </is>
      </c>
      <c r="B151" s="12" t="inlineStr">
        <is>
          <t>Finance</t>
        </is>
      </c>
      <c r="C151" s="12" t="inlineStr">
        <is>
          <t>Payables &amp; Cash</t>
        </is>
      </c>
      <c r="D151" s="12" t="inlineStr">
        <is>
          <t>PDC Issued</t>
        </is>
      </c>
      <c r="E151" s="12" t="inlineStr">
        <is>
          <t>BRD-5</t>
        </is>
      </c>
      <c r="F151" s="12" t="inlineStr"/>
    </row>
    <row r="152">
      <c r="A152" s="12" t="inlineStr">
        <is>
          <t>Comptrollership GL lead</t>
        </is>
      </c>
      <c r="B152" s="12" t="inlineStr">
        <is>
          <t>Finance</t>
        </is>
      </c>
      <c r="C152" s="12" t="inlineStr">
        <is>
          <t>Payables &amp; Cash</t>
        </is>
      </c>
      <c r="D152" s="12" t="inlineStr">
        <is>
          <t>Petty Cash</t>
        </is>
      </c>
      <c r="E152" s="12" t="inlineStr">
        <is>
          <t>BRD-5</t>
        </is>
      </c>
      <c r="F152" s="12" t="inlineStr"/>
    </row>
    <row r="153">
      <c r="A153" s="12" t="inlineStr">
        <is>
          <t>Comptrollership GL lead</t>
        </is>
      </c>
      <c r="B153" s="12" t="inlineStr">
        <is>
          <t>Finance</t>
        </is>
      </c>
      <c r="C153" s="12" t="inlineStr">
        <is>
          <t>Accounting Engine</t>
        </is>
      </c>
      <c r="D153" s="12" t="inlineStr">
        <is>
          <t>Event Register</t>
        </is>
      </c>
      <c r="E153" s="12" t="inlineStr">
        <is>
          <t>BRD-5</t>
        </is>
      </c>
      <c r="F153" s="12" t="inlineStr"/>
    </row>
    <row r="154">
      <c r="A154" s="12" t="inlineStr">
        <is>
          <t>Comptrollership GL lead</t>
        </is>
      </c>
      <c r="B154" s="12" t="inlineStr">
        <is>
          <t>Data Migration</t>
        </is>
      </c>
      <c r="C154" s="12" t="inlineStr">
        <is>
          <t>Data Migration</t>
        </is>
      </c>
      <c r="D154" s="12" t="inlineStr">
        <is>
          <t>Migration Home</t>
        </is>
      </c>
      <c r="E154" s="12" t="inlineStr">
        <is>
          <t>BRD-13</t>
        </is>
      </c>
      <c r="F154" s="12" t="inlineStr">
        <is>
          <t>Yes</t>
        </is>
      </c>
    </row>
    <row r="155">
      <c r="A155" s="12" t="inlineStr">
        <is>
          <t>Comptrollership GL lead</t>
        </is>
      </c>
      <c r="B155" s="12" t="inlineStr">
        <is>
          <t>Data Migration</t>
        </is>
      </c>
      <c r="C155" s="12" t="inlineStr">
        <is>
          <t>Data Migration</t>
        </is>
      </c>
      <c r="D155" s="12" t="inlineStr">
        <is>
          <t>Data Objects</t>
        </is>
      </c>
      <c r="E155" s="12" t="inlineStr">
        <is>
          <t>BRD-13</t>
        </is>
      </c>
      <c r="F155" s="12" t="inlineStr">
        <is>
          <t>Yes</t>
        </is>
      </c>
    </row>
    <row r="156">
      <c r="A156" s="12" t="inlineStr">
        <is>
          <t>Comptrollership GL lead</t>
        </is>
      </c>
      <c r="B156" s="12" t="inlineStr">
        <is>
          <t>Data Migration</t>
        </is>
      </c>
      <c r="C156" s="12" t="inlineStr">
        <is>
          <t>Data Migration</t>
        </is>
      </c>
      <c r="D156" s="12" t="inlineStr">
        <is>
          <t>Code Maps</t>
        </is>
      </c>
      <c r="E156" s="12" t="inlineStr">
        <is>
          <t>BRD-13</t>
        </is>
      </c>
      <c r="F156" s="12" t="inlineStr">
        <is>
          <t>Yes</t>
        </is>
      </c>
    </row>
    <row r="157">
      <c r="A157" s="12" t="inlineStr">
        <is>
          <t>Comptrollership GL lead</t>
        </is>
      </c>
      <c r="B157" s="12" t="inlineStr">
        <is>
          <t>Data Migration</t>
        </is>
      </c>
      <c r="C157" s="12" t="inlineStr">
        <is>
          <t>Data Migration</t>
        </is>
      </c>
      <c r="D157" s="12" t="inlineStr">
        <is>
          <t>Layouts and Rules</t>
        </is>
      </c>
      <c r="E157" s="12" t="inlineStr">
        <is>
          <t>BRD-13</t>
        </is>
      </c>
      <c r="F157" s="12" t="inlineStr">
        <is>
          <t>Yes</t>
        </is>
      </c>
    </row>
    <row r="158">
      <c r="A158" s="12" t="inlineStr">
        <is>
          <t>Comptrollership GL lead</t>
        </is>
      </c>
      <c r="B158" s="12" t="inlineStr">
        <is>
          <t>Data Migration</t>
        </is>
      </c>
      <c r="C158" s="12" t="inlineStr">
        <is>
          <t>Data Migration</t>
        </is>
      </c>
      <c r="D158" s="12" t="inlineStr">
        <is>
          <t>Batches</t>
        </is>
      </c>
      <c r="E158" s="12" t="inlineStr">
        <is>
          <t>BRD-13</t>
        </is>
      </c>
      <c r="F158" s="12" t="inlineStr">
        <is>
          <t>Yes</t>
        </is>
      </c>
    </row>
    <row r="159">
      <c r="A159" s="12" t="inlineStr">
        <is>
          <t>Comptrollership GL lead</t>
        </is>
      </c>
      <c r="B159" s="12" t="inlineStr">
        <is>
          <t>Data Migration</t>
        </is>
      </c>
      <c r="C159" s="12" t="inlineStr">
        <is>
          <t>Data Migration</t>
        </is>
      </c>
      <c r="D159" s="12" t="inlineStr">
        <is>
          <t>Reconciliation</t>
        </is>
      </c>
      <c r="E159" s="12" t="inlineStr">
        <is>
          <t>BRD-13</t>
        </is>
      </c>
      <c r="F159" s="12" t="inlineStr">
        <is>
          <t>Yes</t>
        </is>
      </c>
    </row>
    <row r="160">
      <c r="A160" s="12" t="inlineStr">
        <is>
          <t>Comptrollership GL lead</t>
        </is>
      </c>
      <c r="B160" s="12" t="inlineStr">
        <is>
          <t>Data Migration</t>
        </is>
      </c>
      <c r="C160" s="12" t="inlineStr">
        <is>
          <t>Data Migration</t>
        </is>
      </c>
      <c r="D160" s="12" t="inlineStr">
        <is>
          <t>Opening Adjustments</t>
        </is>
      </c>
      <c r="E160" s="12" t="inlineStr">
        <is>
          <t>BRD-13</t>
        </is>
      </c>
      <c r="F160" s="12" t="inlineStr">
        <is>
          <t>Yes</t>
        </is>
      </c>
    </row>
    <row r="161">
      <c r="A161" s="12" t="inlineStr">
        <is>
          <t>Comptrollership GL lead</t>
        </is>
      </c>
      <c r="B161" s="12" t="inlineStr">
        <is>
          <t>Data Migration</t>
        </is>
      </c>
      <c r="C161" s="12" t="inlineStr">
        <is>
          <t>Data Migration</t>
        </is>
      </c>
      <c r="D161" s="12" t="inlineStr">
        <is>
          <t>Cutover</t>
        </is>
      </c>
      <c r="E161" s="12" t="inlineStr">
        <is>
          <t>BRD-13</t>
        </is>
      </c>
      <c r="F161" s="12" t="inlineStr">
        <is>
          <t>Yes</t>
        </is>
      </c>
    </row>
    <row r="162">
      <c r="A162" s="12" t="inlineStr">
        <is>
          <t>Comptrollership GL lead</t>
        </is>
      </c>
      <c r="B162" s="12" t="inlineStr">
        <is>
          <t>Data Migration</t>
        </is>
      </c>
      <c r="C162" s="12" t="inlineStr">
        <is>
          <t>Data Migration</t>
        </is>
      </c>
      <c r="D162" s="12" t="inlineStr">
        <is>
          <t>Run-off and Decommissioning</t>
        </is>
      </c>
      <c r="E162" s="12" t="inlineStr">
        <is>
          <t>BRD-13</t>
        </is>
      </c>
      <c r="F162" s="12" t="inlineStr">
        <is>
          <t>Yes</t>
        </is>
      </c>
    </row>
    <row r="163">
      <c r="A163" s="12" t="inlineStr">
        <is>
          <t>Comptrollership GL lead</t>
        </is>
      </c>
      <c r="B163" s="12" t="inlineStr">
        <is>
          <t>Data Migration</t>
        </is>
      </c>
      <c r="C163" s="12" t="inlineStr">
        <is>
          <t>Data Migration</t>
        </is>
      </c>
      <c r="D163" s="12" t="inlineStr">
        <is>
          <t>Sign-off</t>
        </is>
      </c>
      <c r="E163" s="12" t="inlineStr">
        <is>
          <t>BRD-13</t>
        </is>
      </c>
      <c r="F163" s="12" t="inlineStr">
        <is>
          <t>Yes</t>
        </is>
      </c>
    </row>
    <row r="164">
      <c r="A164" s="12" t="inlineStr">
        <is>
          <t>Comptrollership GL lead</t>
        </is>
      </c>
      <c r="B164" s="12" t="inlineStr">
        <is>
          <t>Reports</t>
        </is>
      </c>
      <c r="C164" s="12" t="inlineStr">
        <is>
          <t>New Business Reports</t>
        </is>
      </c>
      <c r="D164" s="12" t="inlineStr">
        <is>
          <t>New Business Reports</t>
        </is>
      </c>
      <c r="E164" s="12" t="inlineStr">
        <is>
          <t>BRD-1</t>
        </is>
      </c>
      <c r="F164" s="12" t="inlineStr"/>
    </row>
    <row r="165">
      <c r="A165" s="12" t="inlineStr">
        <is>
          <t>Comptrollership GL lead</t>
        </is>
      </c>
      <c r="B165" s="12" t="inlineStr">
        <is>
          <t>Reports</t>
        </is>
      </c>
      <c r="C165" s="12" t="inlineStr">
        <is>
          <t>Reports</t>
        </is>
      </c>
      <c r="D165" s="12" t="inlineStr">
        <is>
          <t>Report Centre</t>
        </is>
      </c>
      <c r="E165" s="12" t="inlineStr">
        <is>
          <t>Platform</t>
        </is>
      </c>
      <c r="F165" s="12" t="inlineStr"/>
    </row>
    <row r="166">
      <c r="A166" s="12" t="inlineStr">
        <is>
          <t>Comptrollership GL lead</t>
        </is>
      </c>
      <c r="B166" s="12" t="inlineStr">
        <is>
          <t>Setup &amp; Administration</t>
        </is>
      </c>
      <c r="C166" s="12" t="inlineStr">
        <is>
          <t>Help</t>
        </is>
      </c>
      <c r="D166" s="12" t="inlineStr">
        <is>
          <t>Help Center</t>
        </is>
      </c>
      <c r="E166" s="12" t="inlineStr">
        <is>
          <t>Platform</t>
        </is>
      </c>
      <c r="F166" s="12" t="inlineStr"/>
    </row>
    <row r="167">
      <c r="A167" s="12" t="inlineStr">
        <is>
          <t>Comptrollership GL lead</t>
        </is>
      </c>
      <c r="B167" s="12" t="inlineStr">
        <is>
          <t>Setup &amp; Administration</t>
        </is>
      </c>
      <c r="C167" s="12" t="inlineStr">
        <is>
          <t>Help</t>
        </is>
      </c>
      <c r="D167" s="12" t="inlineStr">
        <is>
          <t>My Profile</t>
        </is>
      </c>
      <c r="E167" s="12" t="inlineStr">
        <is>
          <t>Platform</t>
        </is>
      </c>
      <c r="F167" s="12" t="inlineStr"/>
    </row>
    <row r="168">
      <c r="A168" s="12" t="inlineStr">
        <is>
          <t>Audit / Compliance user</t>
        </is>
      </c>
      <c r="B168" s="12" t="inlineStr">
        <is>
          <t>Home</t>
        </is>
      </c>
      <c r="C168" s="12" t="inlineStr">
        <is>
          <t>Overview</t>
        </is>
      </c>
      <c r="D168" s="12" t="inlineStr">
        <is>
          <t>My Approvals</t>
        </is>
      </c>
      <c r="E168" s="12" t="inlineStr">
        <is>
          <t>Platform</t>
        </is>
      </c>
      <c r="F168" s="12" t="inlineStr"/>
    </row>
    <row r="169">
      <c r="A169" s="12" t="inlineStr">
        <is>
          <t>Audit / Compliance user</t>
        </is>
      </c>
      <c r="B169" s="12" t="inlineStr">
        <is>
          <t>Data Migration</t>
        </is>
      </c>
      <c r="C169" s="12" t="inlineStr">
        <is>
          <t>Legacy Inquiry</t>
        </is>
      </c>
      <c r="D169" s="12" t="inlineStr">
        <is>
          <t>Legacy Inquiry</t>
        </is>
      </c>
      <c r="E169" s="12" t="inlineStr">
        <is>
          <t>BRD-13</t>
        </is>
      </c>
      <c r="F169" s="12" t="inlineStr">
        <is>
          <t>Yes</t>
        </is>
      </c>
    </row>
    <row r="170">
      <c r="A170" s="12" t="inlineStr">
        <is>
          <t>Audit / Compliance user</t>
        </is>
      </c>
      <c r="B170" s="12" t="inlineStr">
        <is>
          <t>Setup &amp; Administration</t>
        </is>
      </c>
      <c r="C170" s="12" t="inlineStr">
        <is>
          <t>Help</t>
        </is>
      </c>
      <c r="D170" s="12" t="inlineStr">
        <is>
          <t>Help Center</t>
        </is>
      </c>
      <c r="E170" s="12" t="inlineStr">
        <is>
          <t>Platform</t>
        </is>
      </c>
      <c r="F170" s="12" t="inlineStr"/>
    </row>
    <row r="171">
      <c r="A171" s="12" t="inlineStr">
        <is>
          <t>Audit / Compliance user</t>
        </is>
      </c>
      <c r="B171" s="12" t="inlineStr">
        <is>
          <t>Setup &amp; Administration</t>
        </is>
      </c>
      <c r="C171" s="12" t="inlineStr">
        <is>
          <t>Help</t>
        </is>
      </c>
      <c r="D171" s="12" t="inlineStr">
        <is>
          <t>My Profile</t>
        </is>
      </c>
      <c r="E171" s="12" t="inlineStr">
        <is>
          <t>Platform</t>
        </is>
      </c>
      <c r="F171" s="12" t="inlineStr"/>
    </row>
    <row r="172">
      <c r="A172" s="12" t="inlineStr">
        <is>
          <t>Compliance reviewer of the access log</t>
        </is>
      </c>
      <c r="B172" s="12" t="inlineStr">
        <is>
          <t>Home</t>
        </is>
      </c>
      <c r="C172" s="12" t="inlineStr">
        <is>
          <t>Overview</t>
        </is>
      </c>
      <c r="D172" s="12" t="inlineStr">
        <is>
          <t>My Approvals</t>
        </is>
      </c>
      <c r="E172" s="12" t="inlineStr">
        <is>
          <t>Platform</t>
        </is>
      </c>
      <c r="F172" s="12" t="inlineStr"/>
    </row>
    <row r="173">
      <c r="A173" s="12" t="inlineStr">
        <is>
          <t>Compliance reviewer of the access log</t>
        </is>
      </c>
      <c r="B173" s="12" t="inlineStr">
        <is>
          <t>Data Migration</t>
        </is>
      </c>
      <c r="C173" s="12" t="inlineStr">
        <is>
          <t>Legacy Inquiry</t>
        </is>
      </c>
      <c r="D173" s="12" t="inlineStr">
        <is>
          <t>Access Log</t>
        </is>
      </c>
      <c r="E173" s="12" t="inlineStr">
        <is>
          <t>BRD-13</t>
        </is>
      </c>
      <c r="F173" s="12" t="inlineStr">
        <is>
          <t>Yes</t>
        </is>
      </c>
    </row>
    <row r="174">
      <c r="A174" s="12" t="inlineStr">
        <is>
          <t>Compliance reviewer of the access log</t>
        </is>
      </c>
      <c r="B174" s="12" t="inlineStr">
        <is>
          <t>Reports</t>
        </is>
      </c>
      <c r="C174" s="12" t="inlineStr">
        <is>
          <t>New Business Reports</t>
        </is>
      </c>
      <c r="D174" s="12" t="inlineStr">
        <is>
          <t>New Business Reports</t>
        </is>
      </c>
      <c r="E174" s="12" t="inlineStr">
        <is>
          <t>BRD-1</t>
        </is>
      </c>
      <c r="F174" s="12" t="inlineStr"/>
    </row>
    <row r="175">
      <c r="A175" s="12" t="inlineStr">
        <is>
          <t>Compliance reviewer of the access log</t>
        </is>
      </c>
      <c r="B175" s="12" t="inlineStr">
        <is>
          <t>Reports</t>
        </is>
      </c>
      <c r="C175" s="12" t="inlineStr">
        <is>
          <t>Reports</t>
        </is>
      </c>
      <c r="D175" s="12" t="inlineStr">
        <is>
          <t>Report Centre</t>
        </is>
      </c>
      <c r="E175" s="12" t="inlineStr">
        <is>
          <t>Platform</t>
        </is>
      </c>
      <c r="F175" s="12" t="inlineStr"/>
    </row>
    <row r="176">
      <c r="A176" s="12" t="inlineStr">
        <is>
          <t>Compliance reviewer of the access log</t>
        </is>
      </c>
      <c r="B176" s="12" t="inlineStr">
        <is>
          <t>Setup &amp; Administration</t>
        </is>
      </c>
      <c r="C176" s="12" t="inlineStr">
        <is>
          <t>Help</t>
        </is>
      </c>
      <c r="D176" s="12" t="inlineStr">
        <is>
          <t>Help Center</t>
        </is>
      </c>
      <c r="E176" s="12" t="inlineStr">
        <is>
          <t>Platform</t>
        </is>
      </c>
      <c r="F176" s="12" t="inlineStr"/>
    </row>
    <row r="177">
      <c r="A177" s="12" t="inlineStr">
        <is>
          <t>Compliance reviewer of the access log</t>
        </is>
      </c>
      <c r="B177" s="12" t="inlineStr">
        <is>
          <t>Setup &amp; Administration</t>
        </is>
      </c>
      <c r="C177" s="12" t="inlineStr">
        <is>
          <t>Help</t>
        </is>
      </c>
      <c r="D177" s="12" t="inlineStr">
        <is>
          <t>My Profile</t>
        </is>
      </c>
      <c r="E177" s="12" t="inlineStr">
        <is>
          <t>Platform</t>
        </is>
      </c>
      <c r="F177" s="12" t="inlineStr"/>
    </row>
    <row r="178">
      <c r="A178" s="12" t="inlineStr">
        <is>
          <t>Cashiering user</t>
        </is>
      </c>
      <c r="B178" s="12" t="inlineStr">
        <is>
          <t>Home</t>
        </is>
      </c>
      <c r="C178" s="12" t="inlineStr">
        <is>
          <t>Overview</t>
        </is>
      </c>
      <c r="D178" s="12" t="inlineStr">
        <is>
          <t>My Approvals</t>
        </is>
      </c>
      <c r="E178" s="12" t="inlineStr">
        <is>
          <t>Platform</t>
        </is>
      </c>
      <c r="F178" s="12" t="inlineStr"/>
    </row>
    <row r="179">
      <c r="A179" s="12" t="inlineStr">
        <is>
          <t>Cashiering user</t>
        </is>
      </c>
      <c r="B179" s="12" t="inlineStr">
        <is>
          <t>Home</t>
        </is>
      </c>
      <c r="C179" s="12" t="inlineStr">
        <is>
          <t>New Business Dashboard</t>
        </is>
      </c>
      <c r="D179" s="12" t="inlineStr">
        <is>
          <t>NB Dashboard</t>
        </is>
      </c>
      <c r="E179" s="12" t="inlineStr">
        <is>
          <t>BRD-1</t>
        </is>
      </c>
      <c r="F179" s="12" t="inlineStr"/>
    </row>
    <row r="180">
      <c r="A180" s="12" t="inlineStr">
        <is>
          <t>Cashiering user</t>
        </is>
      </c>
      <c r="B180" s="12" t="inlineStr">
        <is>
          <t>Home</t>
        </is>
      </c>
      <c r="C180" s="12" t="inlineStr">
        <is>
          <t>My Work</t>
        </is>
      </c>
      <c r="D180" s="12" t="inlineStr">
        <is>
          <t>My Work</t>
        </is>
      </c>
      <c r="E180" s="12" t="inlineStr">
        <is>
          <t>BRD-1</t>
        </is>
      </c>
      <c r="F180" s="12" t="inlineStr"/>
    </row>
    <row r="181">
      <c r="A181" s="12" t="inlineStr">
        <is>
          <t>Cashiering user</t>
        </is>
      </c>
      <c r="B181" s="12" t="inlineStr">
        <is>
          <t>Client &amp; Policy</t>
        </is>
      </c>
      <c r="C181" s="12" t="inlineStr">
        <is>
          <t>Clients</t>
        </is>
      </c>
      <c r="D181" s="12" t="inlineStr">
        <is>
          <t>Clients</t>
        </is>
      </c>
      <c r="E181" s="12" t="inlineStr">
        <is>
          <t>BRD-1</t>
        </is>
      </c>
      <c r="F181" s="12" t="inlineStr"/>
    </row>
    <row r="182">
      <c r="A182" s="12" t="inlineStr">
        <is>
          <t>Cashiering user</t>
        </is>
      </c>
      <c r="B182" s="12" t="inlineStr">
        <is>
          <t>Client &amp; Policy</t>
        </is>
      </c>
      <c r="C182" s="12" t="inlineStr">
        <is>
          <t>Clients</t>
        </is>
      </c>
      <c r="D182" s="12" t="inlineStr">
        <is>
          <t>KYC Reviews Due</t>
        </is>
      </c>
      <c r="E182" s="12" t="inlineStr">
        <is>
          <t>BRD-1</t>
        </is>
      </c>
      <c r="F182" s="12" t="inlineStr"/>
    </row>
    <row r="183">
      <c r="A183" s="12" t="inlineStr">
        <is>
          <t>Cashiering user</t>
        </is>
      </c>
      <c r="B183" s="12" t="inlineStr">
        <is>
          <t>Client &amp; Policy</t>
        </is>
      </c>
      <c r="C183" s="12" t="inlineStr">
        <is>
          <t>Accounts &amp; Placement</t>
        </is>
      </c>
      <c r="D183" s="12" t="inlineStr">
        <is>
          <t>Accounts</t>
        </is>
      </c>
      <c r="E183" s="12" t="inlineStr">
        <is>
          <t>BRD-1</t>
        </is>
      </c>
      <c r="F183" s="12" t="inlineStr"/>
    </row>
    <row r="184">
      <c r="A184" s="12" t="inlineStr">
        <is>
          <t>Cashiering user</t>
        </is>
      </c>
      <c r="B184" s="12" t="inlineStr">
        <is>
          <t>Client &amp; Policy</t>
        </is>
      </c>
      <c r="C184" s="12" t="inlineStr">
        <is>
          <t>Accounts &amp; Placement</t>
        </is>
      </c>
      <c r="D184" s="12" t="inlineStr">
        <is>
          <t>FFY Register</t>
        </is>
      </c>
      <c r="E184" s="12" t="inlineStr">
        <is>
          <t>BRD-1</t>
        </is>
      </c>
      <c r="F184" s="12" t="inlineStr"/>
    </row>
    <row r="185">
      <c r="A185" s="12" t="inlineStr">
        <is>
          <t>Cashiering user</t>
        </is>
      </c>
      <c r="B185" s="12" t="inlineStr">
        <is>
          <t>Client &amp; Policy</t>
        </is>
      </c>
      <c r="C185" s="12" t="inlineStr">
        <is>
          <t>Accounts &amp; Placement</t>
        </is>
      </c>
      <c r="D185" s="12" t="inlineStr">
        <is>
          <t>Direct Payment</t>
        </is>
      </c>
      <c r="E185" s="12" t="inlineStr">
        <is>
          <t>BRD-1</t>
        </is>
      </c>
      <c r="F185" s="12" t="inlineStr"/>
    </row>
    <row r="186">
      <c r="A186" s="12" t="inlineStr">
        <is>
          <t>Cashiering user</t>
        </is>
      </c>
      <c r="B186" s="12" t="inlineStr">
        <is>
          <t>Client &amp; Policy</t>
        </is>
      </c>
      <c r="C186" s="12" t="inlineStr">
        <is>
          <t>Placement &amp; Booking</t>
        </is>
      </c>
      <c r="D186" s="12" t="inlineStr">
        <is>
          <t>Placement Workbench</t>
        </is>
      </c>
      <c r="E186" s="12" t="inlineStr">
        <is>
          <t>BRD-1</t>
        </is>
      </c>
      <c r="F186" s="12" t="inlineStr"/>
    </row>
    <row r="187">
      <c r="A187" s="12" t="inlineStr">
        <is>
          <t>Cashiering user</t>
        </is>
      </c>
      <c r="B187" s="12" t="inlineStr">
        <is>
          <t>Client &amp; Policy</t>
        </is>
      </c>
      <c r="C187" s="12" t="inlineStr">
        <is>
          <t>Placement &amp; Booking</t>
        </is>
      </c>
      <c r="D187" s="12" t="inlineStr">
        <is>
          <t>Placement Slips</t>
        </is>
      </c>
      <c r="E187" s="12" t="inlineStr">
        <is>
          <t>BRD-1</t>
        </is>
      </c>
      <c r="F187" s="12" t="inlineStr"/>
    </row>
    <row r="188">
      <c r="A188" s="12" t="inlineStr">
        <is>
          <t>Cashiering user</t>
        </is>
      </c>
      <c r="B188" s="12" t="inlineStr">
        <is>
          <t>Client &amp; Policy</t>
        </is>
      </c>
      <c r="C188" s="12" t="inlineStr">
        <is>
          <t>Policy Issuance</t>
        </is>
      </c>
      <c r="D188" s="12" t="inlineStr">
        <is>
          <t>Issuance Workbench</t>
        </is>
      </c>
      <c r="E188" s="12" t="inlineStr">
        <is>
          <t>BRD-1</t>
        </is>
      </c>
      <c r="F188" s="12" t="inlineStr"/>
    </row>
    <row r="189">
      <c r="A189" s="12" t="inlineStr">
        <is>
          <t>Cashiering user</t>
        </is>
      </c>
      <c r="B189" s="12" t="inlineStr">
        <is>
          <t>Client &amp; Policy</t>
        </is>
      </c>
      <c r="C189" s="12" t="inlineStr">
        <is>
          <t>Policy Issuance</t>
        </is>
      </c>
      <c r="D189" s="12" t="inlineStr">
        <is>
          <t>Insurance Advice</t>
        </is>
      </c>
      <c r="E189" s="12" t="inlineStr">
        <is>
          <t>BRD-1</t>
        </is>
      </c>
      <c r="F189" s="12" t="inlineStr"/>
    </row>
    <row r="190">
      <c r="A190" s="12" t="inlineStr">
        <is>
          <t>Cashiering user</t>
        </is>
      </c>
      <c r="B190" s="12" t="inlineStr">
        <is>
          <t>Client &amp; Policy</t>
        </is>
      </c>
      <c r="C190" s="12" t="inlineStr">
        <is>
          <t>Product Maintenance</t>
        </is>
      </c>
      <c r="D190" s="12" t="inlineStr">
        <is>
          <t>Premium Calculator</t>
        </is>
      </c>
      <c r="E190" s="12" t="inlineStr">
        <is>
          <t>BRD-3</t>
        </is>
      </c>
      <c r="F190" s="12" t="inlineStr"/>
    </row>
    <row r="191">
      <c r="A191" s="12" t="inlineStr">
        <is>
          <t>Cashiering user</t>
        </is>
      </c>
      <c r="B191" s="12" t="inlineStr">
        <is>
          <t>Client &amp; Policy</t>
        </is>
      </c>
      <c r="C191" s="12" t="inlineStr">
        <is>
          <t>Bulk Processing</t>
        </is>
      </c>
      <c r="D191" s="12" t="inlineStr">
        <is>
          <t>Bulk Uploads</t>
        </is>
      </c>
      <c r="E191" s="12" t="inlineStr">
        <is>
          <t>BRD-1</t>
        </is>
      </c>
      <c r="F191" s="12" t="inlineStr"/>
    </row>
    <row r="192">
      <c r="A192" s="12" t="inlineStr">
        <is>
          <t>Cashiering user</t>
        </is>
      </c>
      <c r="B192" s="12" t="inlineStr">
        <is>
          <t>Operations</t>
        </is>
      </c>
      <c r="C192" s="12" t="inlineStr">
        <is>
          <t>Operations</t>
        </is>
      </c>
      <c r="D192" s="12" t="inlineStr">
        <is>
          <t>Operations Home</t>
        </is>
      </c>
      <c r="E192" s="12" t="inlineStr">
        <is>
          <t>BRD-2</t>
        </is>
      </c>
      <c r="F192" s="12" t="inlineStr"/>
    </row>
    <row r="193">
      <c r="A193" s="12" t="inlineStr">
        <is>
          <t>Cashiering user</t>
        </is>
      </c>
      <c r="B193" s="12" t="inlineStr">
        <is>
          <t>Operations</t>
        </is>
      </c>
      <c r="C193" s="12" t="inlineStr">
        <is>
          <t>Operations</t>
        </is>
      </c>
      <c r="D193" s="12" t="inlineStr">
        <is>
          <t>Invoice Search</t>
        </is>
      </c>
      <c r="E193" s="12" t="inlineStr">
        <is>
          <t>BRD-2</t>
        </is>
      </c>
      <c r="F193" s="12" t="inlineStr"/>
    </row>
    <row r="194">
      <c r="A194" s="12" t="inlineStr">
        <is>
          <t>Cashiering user</t>
        </is>
      </c>
      <c r="B194" s="12" t="inlineStr">
        <is>
          <t>Operations</t>
        </is>
      </c>
      <c r="C194" s="12" t="inlineStr">
        <is>
          <t>Operations</t>
        </is>
      </c>
      <c r="D194" s="12" t="inlineStr">
        <is>
          <t>Hand-offs and Extracts</t>
        </is>
      </c>
      <c r="E194" s="12" t="inlineStr">
        <is>
          <t>BRD-2</t>
        </is>
      </c>
      <c r="F194" s="12" t="inlineStr"/>
    </row>
    <row r="195">
      <c r="A195" s="12" t="inlineStr">
        <is>
          <t>Cashiering user</t>
        </is>
      </c>
      <c r="B195" s="12" t="inlineStr">
        <is>
          <t>Operations</t>
        </is>
      </c>
      <c r="C195" s="12" t="inlineStr">
        <is>
          <t>Operations</t>
        </is>
      </c>
      <c r="D195" s="12" t="inlineStr">
        <is>
          <t>Report Archive</t>
        </is>
      </c>
      <c r="E195" s="12" t="inlineStr">
        <is>
          <t>BRD-2</t>
        </is>
      </c>
      <c r="F195" s="12" t="inlineStr"/>
    </row>
    <row r="196">
      <c r="A196" s="12" t="inlineStr">
        <is>
          <t>Cashiering user</t>
        </is>
      </c>
      <c r="B196" s="12" t="inlineStr">
        <is>
          <t>Operations</t>
        </is>
      </c>
      <c r="C196" s="12" t="inlineStr">
        <is>
          <t>Operations</t>
        </is>
      </c>
      <c r="D196" s="12" t="inlineStr">
        <is>
          <t>Notification Settings</t>
        </is>
      </c>
      <c r="E196" s="12" t="inlineStr">
        <is>
          <t>BRD-2</t>
        </is>
      </c>
      <c r="F196" s="12" t="inlineStr"/>
    </row>
    <row r="197">
      <c r="A197" s="12" t="inlineStr">
        <is>
          <t>Cashiering user</t>
        </is>
      </c>
      <c r="B197" s="12" t="inlineStr">
        <is>
          <t>Finance</t>
        </is>
      </c>
      <c r="C197" s="12" t="inlineStr">
        <is>
          <t>Collections</t>
        </is>
      </c>
      <c r="D197" s="12" t="inlineStr">
        <is>
          <t>Collections Home</t>
        </is>
      </c>
      <c r="E197" s="12" t="inlineStr">
        <is>
          <t>BRD-4</t>
        </is>
      </c>
      <c r="F197" s="12" t="inlineStr"/>
    </row>
    <row r="198">
      <c r="A198" s="12" t="inlineStr">
        <is>
          <t>Cashiering user</t>
        </is>
      </c>
      <c r="B198" s="12" t="inlineStr">
        <is>
          <t>Finance</t>
        </is>
      </c>
      <c r="C198" s="12" t="inlineStr">
        <is>
          <t>Collections</t>
        </is>
      </c>
      <c r="D198" s="12" t="inlineStr">
        <is>
          <t>PR Worklist</t>
        </is>
      </c>
      <c r="E198" s="12" t="inlineStr">
        <is>
          <t>BRD-4</t>
        </is>
      </c>
      <c r="F198" s="12" t="inlineStr"/>
    </row>
    <row r="199">
      <c r="A199" s="12" t="inlineStr">
        <is>
          <t>Cashiering user</t>
        </is>
      </c>
      <c r="B199" s="12" t="inlineStr">
        <is>
          <t>Finance</t>
        </is>
      </c>
      <c r="C199" s="12" t="inlineStr">
        <is>
          <t>Collections</t>
        </is>
      </c>
      <c r="D199" s="12" t="inlineStr">
        <is>
          <t>Installment Plans</t>
        </is>
      </c>
      <c r="E199" s="12" t="inlineStr">
        <is>
          <t>BRD-4</t>
        </is>
      </c>
      <c r="F199" s="12" t="inlineStr"/>
    </row>
    <row r="200">
      <c r="A200" s="12" t="inlineStr">
        <is>
          <t>Cashiering user</t>
        </is>
      </c>
      <c r="B200" s="12" t="inlineStr">
        <is>
          <t>Finance</t>
        </is>
      </c>
      <c r="C200" s="12" t="inlineStr">
        <is>
          <t>Collections</t>
        </is>
      </c>
      <c r="D200" s="12" t="inlineStr">
        <is>
          <t>Installments Due</t>
        </is>
      </c>
      <c r="E200" s="12" t="inlineStr">
        <is>
          <t>BRD-4</t>
        </is>
      </c>
      <c r="F200" s="12" t="inlineStr"/>
    </row>
    <row r="201">
      <c r="A201" s="12" t="inlineStr">
        <is>
          <t>Cashiering user</t>
        </is>
      </c>
      <c r="B201" s="12" t="inlineStr">
        <is>
          <t>Finance</t>
        </is>
      </c>
      <c r="C201" s="12" t="inlineStr">
        <is>
          <t>Collections</t>
        </is>
      </c>
      <c r="D201" s="12" t="inlineStr">
        <is>
          <t>Promises to Pay</t>
        </is>
      </c>
      <c r="E201" s="12" t="inlineStr">
        <is>
          <t>BRD-4</t>
        </is>
      </c>
      <c r="F201" s="12" t="inlineStr"/>
    </row>
    <row r="202">
      <c r="A202" s="12" t="inlineStr">
        <is>
          <t>Cashiering user</t>
        </is>
      </c>
      <c r="B202" s="12" t="inlineStr">
        <is>
          <t>Finance</t>
        </is>
      </c>
      <c r="C202" s="12" t="inlineStr">
        <is>
          <t>Collections</t>
        </is>
      </c>
      <c r="D202" s="12" t="inlineStr">
        <is>
          <t>Escalations</t>
        </is>
      </c>
      <c r="E202" s="12" t="inlineStr">
        <is>
          <t>BRD-4</t>
        </is>
      </c>
      <c r="F202" s="12" t="inlineStr"/>
    </row>
    <row r="203">
      <c r="A203" s="12" t="inlineStr">
        <is>
          <t>Cashiering user</t>
        </is>
      </c>
      <c r="B203" s="12" t="inlineStr">
        <is>
          <t>Finance</t>
        </is>
      </c>
      <c r="C203" s="12" t="inlineStr">
        <is>
          <t>Collections</t>
        </is>
      </c>
      <c r="D203" s="12" t="inlineStr">
        <is>
          <t>Billing Statements</t>
        </is>
      </c>
      <c r="E203" s="12" t="inlineStr">
        <is>
          <t>BRD-4</t>
        </is>
      </c>
      <c r="F203" s="12" t="inlineStr"/>
    </row>
    <row r="204">
      <c r="A204" s="12" t="inlineStr">
        <is>
          <t>Cashiering user</t>
        </is>
      </c>
      <c r="B204" s="12" t="inlineStr">
        <is>
          <t>Finance</t>
        </is>
      </c>
      <c r="C204" s="12" t="inlineStr">
        <is>
          <t>Collections</t>
        </is>
      </c>
      <c r="D204" s="12" t="inlineStr">
        <is>
          <t>Unapplied Payments</t>
        </is>
      </c>
      <c r="E204" s="12" t="inlineStr">
        <is>
          <t>BRD-4</t>
        </is>
      </c>
      <c r="F204" s="12" t="inlineStr"/>
    </row>
    <row r="205">
      <c r="A205" s="12" t="inlineStr">
        <is>
          <t>Cashiering user</t>
        </is>
      </c>
      <c r="B205" s="12" t="inlineStr">
        <is>
          <t>Finance</t>
        </is>
      </c>
      <c r="C205" s="12" t="inlineStr">
        <is>
          <t>Collections</t>
        </is>
      </c>
      <c r="D205" s="12" t="inlineStr">
        <is>
          <t>Requests to Cashiering</t>
        </is>
      </c>
      <c r="E205" s="12" t="inlineStr">
        <is>
          <t>BRD-4</t>
        </is>
      </c>
      <c r="F205" s="12" t="inlineStr"/>
    </row>
    <row r="206">
      <c r="A206" s="12" t="inlineStr">
        <is>
          <t>Cashiering user</t>
        </is>
      </c>
      <c r="B206" s="12" t="inlineStr">
        <is>
          <t>Finance</t>
        </is>
      </c>
      <c r="C206" s="12" t="inlineStr">
        <is>
          <t>Collections</t>
        </is>
      </c>
      <c r="D206" s="12" t="inlineStr">
        <is>
          <t>Collections Files</t>
        </is>
      </c>
      <c r="E206" s="12" t="inlineStr">
        <is>
          <t>BRD-4</t>
        </is>
      </c>
      <c r="F206" s="12" t="inlineStr"/>
    </row>
    <row r="207">
      <c r="A207" s="12" t="inlineStr">
        <is>
          <t>Cashiering user</t>
        </is>
      </c>
      <c r="B207" s="12" t="inlineStr">
        <is>
          <t>Finance</t>
        </is>
      </c>
      <c r="C207" s="12" t="inlineStr">
        <is>
          <t>Cashiering</t>
        </is>
      </c>
      <c r="D207" s="12" t="inlineStr">
        <is>
          <t>Cashiering Workbench</t>
        </is>
      </c>
      <c r="E207" s="12" t="inlineStr">
        <is>
          <t>BRD-2</t>
        </is>
      </c>
      <c r="F207" s="12" t="inlineStr"/>
    </row>
    <row r="208">
      <c r="A208" s="12" t="inlineStr">
        <is>
          <t>Cashiering user</t>
        </is>
      </c>
      <c r="B208" s="12" t="inlineStr">
        <is>
          <t>Finance</t>
        </is>
      </c>
      <c r="C208" s="12" t="inlineStr">
        <is>
          <t>Cashiering</t>
        </is>
      </c>
      <c r="D208" s="12" t="inlineStr">
        <is>
          <t>Receive Payment</t>
        </is>
      </c>
      <c r="E208" s="12" t="inlineStr">
        <is>
          <t>BRD-2</t>
        </is>
      </c>
      <c r="F208" s="12" t="inlineStr"/>
    </row>
    <row r="209">
      <c r="A209" s="12" t="inlineStr">
        <is>
          <t>Cashiering user</t>
        </is>
      </c>
      <c r="B209" s="12" t="inlineStr">
        <is>
          <t>Finance</t>
        </is>
      </c>
      <c r="C209" s="12" t="inlineStr">
        <is>
          <t>Cashiering</t>
        </is>
      </c>
      <c r="D209" s="12" t="inlineStr">
        <is>
          <t>Receipts</t>
        </is>
      </c>
      <c r="E209" s="12" t="inlineStr">
        <is>
          <t>BRD-2</t>
        </is>
      </c>
      <c r="F209" s="12" t="inlineStr"/>
    </row>
    <row r="210">
      <c r="A210" s="12" t="inlineStr">
        <is>
          <t>Cashiering user</t>
        </is>
      </c>
      <c r="B210" s="12" t="inlineStr">
        <is>
          <t>Finance</t>
        </is>
      </c>
      <c r="C210" s="12" t="inlineStr">
        <is>
          <t>Cashiering</t>
        </is>
      </c>
      <c r="D210" s="12" t="inlineStr">
        <is>
          <t>Unapplied Payments</t>
        </is>
      </c>
      <c r="E210" s="12" t="inlineStr">
        <is>
          <t>BRD-2</t>
        </is>
      </c>
      <c r="F210" s="12" t="inlineStr"/>
    </row>
    <row r="211">
      <c r="A211" s="12" t="inlineStr">
        <is>
          <t>Cashiering user</t>
        </is>
      </c>
      <c r="B211" s="12" t="inlineStr">
        <is>
          <t>Finance</t>
        </is>
      </c>
      <c r="C211" s="12" t="inlineStr">
        <is>
          <t>Cashiering</t>
        </is>
      </c>
      <c r="D211" s="12" t="inlineStr">
        <is>
          <t>Incoming Requests</t>
        </is>
      </c>
      <c r="E211" s="12" t="inlineStr">
        <is>
          <t>BRD-2</t>
        </is>
      </c>
      <c r="F211" s="12" t="inlineStr"/>
    </row>
    <row r="212">
      <c r="A212" s="12" t="inlineStr">
        <is>
          <t>Cashiering user</t>
        </is>
      </c>
      <c r="B212" s="12" t="inlineStr">
        <is>
          <t>Finance</t>
        </is>
      </c>
      <c r="C212" s="12" t="inlineStr">
        <is>
          <t>Cashiering</t>
        </is>
      </c>
      <c r="D212" s="12" t="inlineStr">
        <is>
          <t>Pre-booked Payments</t>
        </is>
      </c>
      <c r="E212" s="12" t="inlineStr">
        <is>
          <t>BRD-2</t>
        </is>
      </c>
      <c r="F212" s="12" t="inlineStr"/>
    </row>
    <row r="213">
      <c r="A213" s="12" t="inlineStr">
        <is>
          <t>Cashiering user</t>
        </is>
      </c>
      <c r="B213" s="12" t="inlineStr">
        <is>
          <t>Finance</t>
        </is>
      </c>
      <c r="C213" s="12" t="inlineStr">
        <is>
          <t>Cashiering</t>
        </is>
      </c>
      <c r="D213" s="12" t="inlineStr">
        <is>
          <t>Payment Uploads</t>
        </is>
      </c>
      <c r="E213" s="12" t="inlineStr">
        <is>
          <t>BRD-2</t>
        </is>
      </c>
      <c r="F213" s="12" t="inlineStr"/>
    </row>
    <row r="214">
      <c r="A214" s="12" t="inlineStr">
        <is>
          <t>Cashiering user</t>
        </is>
      </c>
      <c r="B214" s="12" t="inlineStr">
        <is>
          <t>Finance</t>
        </is>
      </c>
      <c r="C214" s="12" t="inlineStr">
        <is>
          <t>Cashiering</t>
        </is>
      </c>
      <c r="D214" s="12" t="inlineStr">
        <is>
          <t>PDC Warehouse</t>
        </is>
      </c>
      <c r="E214" s="12" t="inlineStr">
        <is>
          <t>BRD-2</t>
        </is>
      </c>
      <c r="F214" s="12" t="inlineStr"/>
    </row>
    <row r="215">
      <c r="A215" s="12" t="inlineStr">
        <is>
          <t>Cashiering user</t>
        </is>
      </c>
      <c r="B215" s="12" t="inlineStr">
        <is>
          <t>Finance</t>
        </is>
      </c>
      <c r="C215" s="12" t="inlineStr">
        <is>
          <t>Cashiering</t>
        </is>
      </c>
      <c r="D215" s="12" t="inlineStr">
        <is>
          <t>Check Pick-up</t>
        </is>
      </c>
      <c r="E215" s="12" t="inlineStr">
        <is>
          <t>BRD-2</t>
        </is>
      </c>
      <c r="F215" s="12" t="inlineStr"/>
    </row>
    <row r="216">
      <c r="A216" s="12" t="inlineStr">
        <is>
          <t>Cashiering user</t>
        </is>
      </c>
      <c r="B216" s="12" t="inlineStr">
        <is>
          <t>Finance</t>
        </is>
      </c>
      <c r="C216" s="12" t="inlineStr">
        <is>
          <t>Cashiering</t>
        </is>
      </c>
      <c r="D216" s="12" t="inlineStr">
        <is>
          <t>Batch Print</t>
        </is>
      </c>
      <c r="E216" s="12" t="inlineStr">
        <is>
          <t>BRD-2</t>
        </is>
      </c>
      <c r="F216" s="12" t="inlineStr"/>
    </row>
    <row r="217">
      <c r="A217" s="12" t="inlineStr">
        <is>
          <t>Cashiering user</t>
        </is>
      </c>
      <c r="B217" s="12" t="inlineStr">
        <is>
          <t>Finance</t>
        </is>
      </c>
      <c r="C217" s="12" t="inlineStr">
        <is>
          <t>Cashiering</t>
        </is>
      </c>
      <c r="D217" s="12" t="inlineStr">
        <is>
          <t>BIR 2307</t>
        </is>
      </c>
      <c r="E217" s="12" t="inlineStr">
        <is>
          <t>BRD-2</t>
        </is>
      </c>
      <c r="F217" s="12" t="inlineStr"/>
    </row>
    <row r="218">
      <c r="A218" s="12" t="inlineStr">
        <is>
          <t>Cashiering user</t>
        </is>
      </c>
      <c r="B218" s="12" t="inlineStr">
        <is>
          <t>Finance</t>
        </is>
      </c>
      <c r="C218" s="12" t="inlineStr">
        <is>
          <t>Cashiering</t>
        </is>
      </c>
      <c r="D218" s="12" t="inlineStr">
        <is>
          <t>Unapplied to Income</t>
        </is>
      </c>
      <c r="E218" s="12" t="inlineStr">
        <is>
          <t>BRD-2</t>
        </is>
      </c>
      <c r="F218" s="12" t="inlineStr"/>
    </row>
    <row r="219">
      <c r="A219" s="12" t="inlineStr">
        <is>
          <t>Cashiering user</t>
        </is>
      </c>
      <c r="B219" s="12" t="inlineStr">
        <is>
          <t>Finance</t>
        </is>
      </c>
      <c r="C219" s="12" t="inlineStr">
        <is>
          <t>Cashiering</t>
        </is>
      </c>
      <c r="D219" s="12" t="inlineStr">
        <is>
          <t>Legacy PR 2307 Reversal</t>
        </is>
      </c>
      <c r="E219" s="12" t="inlineStr">
        <is>
          <t>BRD-2</t>
        </is>
      </c>
      <c r="F219" s="12" t="inlineStr"/>
    </row>
    <row r="220">
      <c r="A220" s="12" t="inlineStr">
        <is>
          <t>Cashiering user</t>
        </is>
      </c>
      <c r="B220" s="12" t="inlineStr">
        <is>
          <t>Finance</t>
        </is>
      </c>
      <c r="C220" s="12" t="inlineStr">
        <is>
          <t>Cashiering</t>
        </is>
      </c>
      <c r="D220" s="12" t="inlineStr">
        <is>
          <t>Commission ORs</t>
        </is>
      </c>
      <c r="E220" s="12" t="inlineStr">
        <is>
          <t>BRD-2</t>
        </is>
      </c>
      <c r="F220" s="12" t="inlineStr"/>
    </row>
    <row r="221">
      <c r="A221" s="12" t="inlineStr">
        <is>
          <t>Cashiering user</t>
        </is>
      </c>
      <c r="B221" s="12" t="inlineStr">
        <is>
          <t>Finance</t>
        </is>
      </c>
      <c r="C221" s="12" t="inlineStr">
        <is>
          <t>Cashiering</t>
        </is>
      </c>
      <c r="D221" s="12" t="inlineStr">
        <is>
          <t>Receipt Series</t>
        </is>
      </c>
      <c r="E221" s="12" t="inlineStr">
        <is>
          <t>BRD-2</t>
        </is>
      </c>
      <c r="F221" s="12" t="inlineStr"/>
    </row>
    <row r="222">
      <c r="A222" s="12" t="inlineStr">
        <is>
          <t>Cashiering user</t>
        </is>
      </c>
      <c r="B222" s="12" t="inlineStr">
        <is>
          <t>Finance</t>
        </is>
      </c>
      <c r="C222" s="12" t="inlineStr">
        <is>
          <t>Cashiering</t>
        </is>
      </c>
      <c r="D222" s="12" t="inlineStr">
        <is>
          <t>Cashiering Setup</t>
        </is>
      </c>
      <c r="E222" s="12" t="inlineStr">
        <is>
          <t>BRD-2</t>
        </is>
      </c>
      <c r="F222" s="12" t="inlineStr"/>
    </row>
    <row r="223">
      <c r="A223" s="12" t="inlineStr">
        <is>
          <t>Cashiering user</t>
        </is>
      </c>
      <c r="B223" s="12" t="inlineStr">
        <is>
          <t>Finance</t>
        </is>
      </c>
      <c r="C223" s="12" t="inlineStr">
        <is>
          <t>Commission Receivables</t>
        </is>
      </c>
      <c r="D223" s="12" t="inlineStr">
        <is>
          <t>DP PR Legacy Reversal</t>
        </is>
      </c>
      <c r="E223" s="12" t="inlineStr">
        <is>
          <t>BRD-2 / BRD-4</t>
        </is>
      </c>
      <c r="F223" s="12" t="inlineStr"/>
    </row>
    <row r="224">
      <c r="A224" s="12" t="inlineStr">
        <is>
          <t>Cashiering user</t>
        </is>
      </c>
      <c r="B224" s="12" t="inlineStr">
        <is>
          <t>Reports</t>
        </is>
      </c>
      <c r="C224" s="12" t="inlineStr">
        <is>
          <t>New Business Reports</t>
        </is>
      </c>
      <c r="D224" s="12" t="inlineStr">
        <is>
          <t>New Business Reports</t>
        </is>
      </c>
      <c r="E224" s="12" t="inlineStr">
        <is>
          <t>BRD-1</t>
        </is>
      </c>
      <c r="F224" s="12" t="inlineStr"/>
    </row>
    <row r="225">
      <c r="A225" s="12" t="inlineStr">
        <is>
          <t>Cashiering user</t>
        </is>
      </c>
      <c r="B225" s="12" t="inlineStr">
        <is>
          <t>Reports</t>
        </is>
      </c>
      <c r="C225" s="12" t="inlineStr">
        <is>
          <t>Reports</t>
        </is>
      </c>
      <c r="D225" s="12" t="inlineStr">
        <is>
          <t>Report Centre</t>
        </is>
      </c>
      <c r="E225" s="12" t="inlineStr">
        <is>
          <t>Platform</t>
        </is>
      </c>
      <c r="F225" s="12" t="inlineStr"/>
    </row>
    <row r="226">
      <c r="A226" s="12" t="inlineStr">
        <is>
          <t>Cashiering user</t>
        </is>
      </c>
      <c r="B226" s="12" t="inlineStr">
        <is>
          <t>Setup &amp; Administration</t>
        </is>
      </c>
      <c r="C226" s="12" t="inlineStr">
        <is>
          <t>Help</t>
        </is>
      </c>
      <c r="D226" s="12" t="inlineStr">
        <is>
          <t>Help Center</t>
        </is>
      </c>
      <c r="E226" s="12" t="inlineStr">
        <is>
          <t>Platform</t>
        </is>
      </c>
      <c r="F226" s="12" t="inlineStr"/>
    </row>
    <row r="227">
      <c r="A227" s="12" t="inlineStr">
        <is>
          <t>Cashiering user</t>
        </is>
      </c>
      <c r="B227" s="12" t="inlineStr">
        <is>
          <t>Setup &amp; Administration</t>
        </is>
      </c>
      <c r="C227" s="12" t="inlineStr">
        <is>
          <t>Help</t>
        </is>
      </c>
      <c r="D227" s="12" t="inlineStr">
        <is>
          <t>My Profile</t>
        </is>
      </c>
      <c r="E227" s="12" t="inlineStr">
        <is>
          <t>Platform</t>
        </is>
      </c>
      <c r="F227" s="12" t="inlineStr"/>
    </row>
    <row r="228">
      <c r="A228" s="12" t="inlineStr">
        <is>
          <t>Cashiering team lead</t>
        </is>
      </c>
      <c r="B228" s="12" t="inlineStr">
        <is>
          <t>Home</t>
        </is>
      </c>
      <c r="C228" s="12" t="inlineStr">
        <is>
          <t>Overview</t>
        </is>
      </c>
      <c r="D228" s="12" t="inlineStr">
        <is>
          <t>My Approvals</t>
        </is>
      </c>
      <c r="E228" s="12" t="inlineStr">
        <is>
          <t>Platform</t>
        </is>
      </c>
      <c r="F228" s="12" t="inlineStr"/>
    </row>
    <row r="229">
      <c r="A229" s="12" t="inlineStr">
        <is>
          <t>Cashiering team lead</t>
        </is>
      </c>
      <c r="B229" s="12" t="inlineStr">
        <is>
          <t>Home</t>
        </is>
      </c>
      <c r="C229" s="12" t="inlineStr">
        <is>
          <t>New Business Dashboard</t>
        </is>
      </c>
      <c r="D229" s="12" t="inlineStr">
        <is>
          <t>NB Dashboard</t>
        </is>
      </c>
      <c r="E229" s="12" t="inlineStr">
        <is>
          <t>BRD-1</t>
        </is>
      </c>
      <c r="F229" s="12" t="inlineStr"/>
    </row>
    <row r="230">
      <c r="A230" s="12" t="inlineStr">
        <is>
          <t>Cashiering team lead</t>
        </is>
      </c>
      <c r="B230" s="12" t="inlineStr">
        <is>
          <t>Home</t>
        </is>
      </c>
      <c r="C230" s="12" t="inlineStr">
        <is>
          <t>My Work</t>
        </is>
      </c>
      <c r="D230" s="12" t="inlineStr">
        <is>
          <t>My Work</t>
        </is>
      </c>
      <c r="E230" s="12" t="inlineStr">
        <is>
          <t>BRD-1</t>
        </is>
      </c>
      <c r="F230" s="12" t="inlineStr"/>
    </row>
    <row r="231">
      <c r="A231" s="12" t="inlineStr">
        <is>
          <t>Cashiering team lead</t>
        </is>
      </c>
      <c r="B231" s="12" t="inlineStr">
        <is>
          <t>Client &amp; Policy</t>
        </is>
      </c>
      <c r="C231" s="12" t="inlineStr">
        <is>
          <t>Clients</t>
        </is>
      </c>
      <c r="D231" s="12" t="inlineStr">
        <is>
          <t>Clients</t>
        </is>
      </c>
      <c r="E231" s="12" t="inlineStr">
        <is>
          <t>BRD-1</t>
        </is>
      </c>
      <c r="F231" s="12" t="inlineStr"/>
    </row>
    <row r="232">
      <c r="A232" s="12" t="inlineStr">
        <is>
          <t>Cashiering team lead</t>
        </is>
      </c>
      <c r="B232" s="12" t="inlineStr">
        <is>
          <t>Client &amp; Policy</t>
        </is>
      </c>
      <c r="C232" s="12" t="inlineStr">
        <is>
          <t>Clients</t>
        </is>
      </c>
      <c r="D232" s="12" t="inlineStr">
        <is>
          <t>KYC Reviews Due</t>
        </is>
      </c>
      <c r="E232" s="12" t="inlineStr">
        <is>
          <t>BRD-1</t>
        </is>
      </c>
      <c r="F232" s="12" t="inlineStr"/>
    </row>
    <row r="233">
      <c r="A233" s="12" t="inlineStr">
        <is>
          <t>Cashiering team lead</t>
        </is>
      </c>
      <c r="B233" s="12" t="inlineStr">
        <is>
          <t>Client &amp; Policy</t>
        </is>
      </c>
      <c r="C233" s="12" t="inlineStr">
        <is>
          <t>Accounts &amp; Placement</t>
        </is>
      </c>
      <c r="D233" s="12" t="inlineStr">
        <is>
          <t>Accounts</t>
        </is>
      </c>
      <c r="E233" s="12" t="inlineStr">
        <is>
          <t>BRD-1</t>
        </is>
      </c>
      <c r="F233" s="12" t="inlineStr"/>
    </row>
    <row r="234">
      <c r="A234" s="12" t="inlineStr">
        <is>
          <t>Cashiering team lead</t>
        </is>
      </c>
      <c r="B234" s="12" t="inlineStr">
        <is>
          <t>Client &amp; Policy</t>
        </is>
      </c>
      <c r="C234" s="12" t="inlineStr">
        <is>
          <t>Accounts &amp; Placement</t>
        </is>
      </c>
      <c r="D234" s="12" t="inlineStr">
        <is>
          <t>FFY Register</t>
        </is>
      </c>
      <c r="E234" s="12" t="inlineStr">
        <is>
          <t>BRD-1</t>
        </is>
      </c>
      <c r="F234" s="12" t="inlineStr"/>
    </row>
    <row r="235">
      <c r="A235" s="12" t="inlineStr">
        <is>
          <t>Cashiering team lead</t>
        </is>
      </c>
      <c r="B235" s="12" t="inlineStr">
        <is>
          <t>Client &amp; Policy</t>
        </is>
      </c>
      <c r="C235" s="12" t="inlineStr">
        <is>
          <t>Accounts &amp; Placement</t>
        </is>
      </c>
      <c r="D235" s="12" t="inlineStr">
        <is>
          <t>Direct Payment</t>
        </is>
      </c>
      <c r="E235" s="12" t="inlineStr">
        <is>
          <t>BRD-1</t>
        </is>
      </c>
      <c r="F235" s="12" t="inlineStr"/>
    </row>
    <row r="236">
      <c r="A236" s="12" t="inlineStr">
        <is>
          <t>Cashiering team lead</t>
        </is>
      </c>
      <c r="B236" s="12" t="inlineStr">
        <is>
          <t>Client &amp; Policy</t>
        </is>
      </c>
      <c r="C236" s="12" t="inlineStr">
        <is>
          <t>Placement &amp; Booking</t>
        </is>
      </c>
      <c r="D236" s="12" t="inlineStr">
        <is>
          <t>Placement Workbench</t>
        </is>
      </c>
      <c r="E236" s="12" t="inlineStr">
        <is>
          <t>BRD-1</t>
        </is>
      </c>
      <c r="F236" s="12" t="inlineStr"/>
    </row>
    <row r="237">
      <c r="A237" s="12" t="inlineStr">
        <is>
          <t>Cashiering team lead</t>
        </is>
      </c>
      <c r="B237" s="12" t="inlineStr">
        <is>
          <t>Client &amp; Policy</t>
        </is>
      </c>
      <c r="C237" s="12" t="inlineStr">
        <is>
          <t>Placement &amp; Booking</t>
        </is>
      </c>
      <c r="D237" s="12" t="inlineStr">
        <is>
          <t>Placement Slips</t>
        </is>
      </c>
      <c r="E237" s="12" t="inlineStr">
        <is>
          <t>BRD-1</t>
        </is>
      </c>
      <c r="F237" s="12" t="inlineStr"/>
    </row>
    <row r="238">
      <c r="A238" s="12" t="inlineStr">
        <is>
          <t>Cashiering team lead</t>
        </is>
      </c>
      <c r="B238" s="12" t="inlineStr">
        <is>
          <t>Client &amp; Policy</t>
        </is>
      </c>
      <c r="C238" s="12" t="inlineStr">
        <is>
          <t>Policy Issuance</t>
        </is>
      </c>
      <c r="D238" s="12" t="inlineStr">
        <is>
          <t>Issuance Workbench</t>
        </is>
      </c>
      <c r="E238" s="12" t="inlineStr">
        <is>
          <t>BRD-1</t>
        </is>
      </c>
      <c r="F238" s="12" t="inlineStr"/>
    </row>
    <row r="239">
      <c r="A239" s="12" t="inlineStr">
        <is>
          <t>Cashiering team lead</t>
        </is>
      </c>
      <c r="B239" s="12" t="inlineStr">
        <is>
          <t>Client &amp; Policy</t>
        </is>
      </c>
      <c r="C239" s="12" t="inlineStr">
        <is>
          <t>Policy Issuance</t>
        </is>
      </c>
      <c r="D239" s="12" t="inlineStr">
        <is>
          <t>Insurance Advice</t>
        </is>
      </c>
      <c r="E239" s="12" t="inlineStr">
        <is>
          <t>BRD-1</t>
        </is>
      </c>
      <c r="F239" s="12" t="inlineStr"/>
    </row>
    <row r="240">
      <c r="A240" s="12" t="inlineStr">
        <is>
          <t>Cashiering team lead</t>
        </is>
      </c>
      <c r="B240" s="12" t="inlineStr">
        <is>
          <t>Client &amp; Policy</t>
        </is>
      </c>
      <c r="C240" s="12" t="inlineStr">
        <is>
          <t>Booking</t>
        </is>
      </c>
      <c r="D240" s="12" t="inlineStr">
        <is>
          <t>Booking Setup</t>
        </is>
      </c>
      <c r="E240" s="12" t="inlineStr">
        <is>
          <t>BRD-1</t>
        </is>
      </c>
      <c r="F240" s="12" t="inlineStr"/>
    </row>
    <row r="241">
      <c r="A241" s="12" t="inlineStr">
        <is>
          <t>Cashiering team lead</t>
        </is>
      </c>
      <c r="B241" s="12" t="inlineStr">
        <is>
          <t>Client &amp; Policy</t>
        </is>
      </c>
      <c r="C241" s="12" t="inlineStr">
        <is>
          <t>Product Maintenance</t>
        </is>
      </c>
      <c r="D241" s="12" t="inlineStr">
        <is>
          <t>Products</t>
        </is>
      </c>
      <c r="E241" s="12" t="inlineStr">
        <is>
          <t>BRD-3</t>
        </is>
      </c>
      <c r="F241" s="12" t="inlineStr"/>
    </row>
    <row r="242">
      <c r="A242" s="12" t="inlineStr">
        <is>
          <t>Cashiering team lead</t>
        </is>
      </c>
      <c r="B242" s="12" t="inlineStr">
        <is>
          <t>Client &amp; Policy</t>
        </is>
      </c>
      <c r="C242" s="12" t="inlineStr">
        <is>
          <t>Product Maintenance</t>
        </is>
      </c>
      <c r="D242" s="12" t="inlineStr">
        <is>
          <t>Coverages &amp; Clauses</t>
        </is>
      </c>
      <c r="E242" s="12" t="inlineStr">
        <is>
          <t>BRD-3</t>
        </is>
      </c>
      <c r="F242" s="12" t="inlineStr"/>
    </row>
    <row r="243">
      <c r="A243" s="12" t="inlineStr">
        <is>
          <t>Cashiering team lead</t>
        </is>
      </c>
      <c r="B243" s="12" t="inlineStr">
        <is>
          <t>Client &amp; Policy</t>
        </is>
      </c>
      <c r="C243" s="12" t="inlineStr">
        <is>
          <t>Product Maintenance</t>
        </is>
      </c>
      <c r="D243" s="12" t="inlineStr">
        <is>
          <t>Insurers</t>
        </is>
      </c>
      <c r="E243" s="12" t="inlineStr">
        <is>
          <t>BRD-3</t>
        </is>
      </c>
      <c r="F243" s="12" t="inlineStr"/>
    </row>
    <row r="244">
      <c r="A244" s="12" t="inlineStr">
        <is>
          <t>Cashiering team lead</t>
        </is>
      </c>
      <c r="B244" s="12" t="inlineStr">
        <is>
          <t>Client &amp; Policy</t>
        </is>
      </c>
      <c r="C244" s="12" t="inlineStr">
        <is>
          <t>Product Maintenance</t>
        </is>
      </c>
      <c r="D244" s="12" t="inlineStr">
        <is>
          <t>Rates &amp; Taxes</t>
        </is>
      </c>
      <c r="E244" s="12" t="inlineStr">
        <is>
          <t>BRD-3</t>
        </is>
      </c>
      <c r="F244" s="12" t="inlineStr"/>
    </row>
    <row r="245">
      <c r="A245" s="12" t="inlineStr">
        <is>
          <t>Cashiering team lead</t>
        </is>
      </c>
      <c r="B245" s="12" t="inlineStr">
        <is>
          <t>Client &amp; Policy</t>
        </is>
      </c>
      <c r="C245" s="12" t="inlineStr">
        <is>
          <t>Product Maintenance</t>
        </is>
      </c>
      <c r="D245" s="12" t="inlineStr">
        <is>
          <t>Sales Organisation</t>
        </is>
      </c>
      <c r="E245" s="12" t="inlineStr">
        <is>
          <t>BRD-3</t>
        </is>
      </c>
      <c r="F245" s="12" t="inlineStr"/>
    </row>
    <row r="246">
      <c r="A246" s="12" t="inlineStr">
        <is>
          <t>Cashiering team lead</t>
        </is>
      </c>
      <c r="B246" s="12" t="inlineStr">
        <is>
          <t>Client &amp; Policy</t>
        </is>
      </c>
      <c r="C246" s="12" t="inlineStr">
        <is>
          <t>Product Maintenance</t>
        </is>
      </c>
      <c r="D246" s="12" t="inlineStr">
        <is>
          <t>Premium Calculator</t>
        </is>
      </c>
      <c r="E246" s="12" t="inlineStr">
        <is>
          <t>BRD-3</t>
        </is>
      </c>
      <c r="F246" s="12" t="inlineStr"/>
    </row>
    <row r="247">
      <c r="A247" s="12" t="inlineStr">
        <is>
          <t>Cashiering team lead</t>
        </is>
      </c>
      <c r="B247" s="12" t="inlineStr">
        <is>
          <t>Client &amp; Policy</t>
        </is>
      </c>
      <c r="C247" s="12" t="inlineStr">
        <is>
          <t>Bulk Processing</t>
        </is>
      </c>
      <c r="D247" s="12" t="inlineStr">
        <is>
          <t>Bulk Uploads</t>
        </is>
      </c>
      <c r="E247" s="12" t="inlineStr">
        <is>
          <t>BRD-1</t>
        </is>
      </c>
      <c r="F247" s="12" t="inlineStr"/>
    </row>
    <row r="248">
      <c r="A248" s="12" t="inlineStr">
        <is>
          <t>Cashiering team lead</t>
        </is>
      </c>
      <c r="B248" s="12" t="inlineStr">
        <is>
          <t>Operations</t>
        </is>
      </c>
      <c r="C248" s="12" t="inlineStr">
        <is>
          <t>Operations</t>
        </is>
      </c>
      <c r="D248" s="12" t="inlineStr">
        <is>
          <t>Operations Home</t>
        </is>
      </c>
      <c r="E248" s="12" t="inlineStr">
        <is>
          <t>BRD-2</t>
        </is>
      </c>
      <c r="F248" s="12" t="inlineStr"/>
    </row>
    <row r="249">
      <c r="A249" s="12" t="inlineStr">
        <is>
          <t>Cashiering team lead</t>
        </is>
      </c>
      <c r="B249" s="12" t="inlineStr">
        <is>
          <t>Operations</t>
        </is>
      </c>
      <c r="C249" s="12" t="inlineStr">
        <is>
          <t>Operations</t>
        </is>
      </c>
      <c r="D249" s="12" t="inlineStr">
        <is>
          <t>Invoice Search</t>
        </is>
      </c>
      <c r="E249" s="12" t="inlineStr">
        <is>
          <t>BRD-2</t>
        </is>
      </c>
      <c r="F249" s="12" t="inlineStr"/>
    </row>
    <row r="250">
      <c r="A250" s="12" t="inlineStr">
        <is>
          <t>Cashiering team lead</t>
        </is>
      </c>
      <c r="B250" s="12" t="inlineStr">
        <is>
          <t>Operations</t>
        </is>
      </c>
      <c r="C250" s="12" t="inlineStr">
        <is>
          <t>Operations</t>
        </is>
      </c>
      <c r="D250" s="12" t="inlineStr">
        <is>
          <t>Hand-offs and Extracts</t>
        </is>
      </c>
      <c r="E250" s="12" t="inlineStr">
        <is>
          <t>BRD-2</t>
        </is>
      </c>
      <c r="F250" s="12" t="inlineStr"/>
    </row>
    <row r="251">
      <c r="A251" s="12" t="inlineStr">
        <is>
          <t>Cashiering team lead</t>
        </is>
      </c>
      <c r="B251" s="12" t="inlineStr">
        <is>
          <t>Operations</t>
        </is>
      </c>
      <c r="C251" s="12" t="inlineStr">
        <is>
          <t>Operations</t>
        </is>
      </c>
      <c r="D251" s="12" t="inlineStr">
        <is>
          <t>Report Archive</t>
        </is>
      </c>
      <c r="E251" s="12" t="inlineStr">
        <is>
          <t>BRD-2</t>
        </is>
      </c>
      <c r="F251" s="12" t="inlineStr"/>
    </row>
    <row r="252">
      <c r="A252" s="12" t="inlineStr">
        <is>
          <t>Cashiering team lead</t>
        </is>
      </c>
      <c r="B252" s="12" t="inlineStr">
        <is>
          <t>Operations</t>
        </is>
      </c>
      <c r="C252" s="12" t="inlineStr">
        <is>
          <t>Operations</t>
        </is>
      </c>
      <c r="D252" s="12" t="inlineStr">
        <is>
          <t>Notification Settings</t>
        </is>
      </c>
      <c r="E252" s="12" t="inlineStr">
        <is>
          <t>BRD-2</t>
        </is>
      </c>
      <c r="F252" s="12" t="inlineStr"/>
    </row>
    <row r="253">
      <c r="A253" s="12" t="inlineStr">
        <is>
          <t>Cashiering team lead</t>
        </is>
      </c>
      <c r="B253" s="12" t="inlineStr">
        <is>
          <t>Finance</t>
        </is>
      </c>
      <c r="C253" s="12" t="inlineStr">
        <is>
          <t>Collections</t>
        </is>
      </c>
      <c r="D253" s="12" t="inlineStr">
        <is>
          <t>Collections Home</t>
        </is>
      </c>
      <c r="E253" s="12" t="inlineStr">
        <is>
          <t>BRD-4</t>
        </is>
      </c>
      <c r="F253" s="12" t="inlineStr"/>
    </row>
    <row r="254">
      <c r="A254" s="12" t="inlineStr">
        <is>
          <t>Cashiering team lead</t>
        </is>
      </c>
      <c r="B254" s="12" t="inlineStr">
        <is>
          <t>Finance</t>
        </is>
      </c>
      <c r="C254" s="12" t="inlineStr">
        <is>
          <t>Collections</t>
        </is>
      </c>
      <c r="D254" s="12" t="inlineStr">
        <is>
          <t>PR Worklist</t>
        </is>
      </c>
      <c r="E254" s="12" t="inlineStr">
        <is>
          <t>BRD-4</t>
        </is>
      </c>
      <c r="F254" s="12" t="inlineStr"/>
    </row>
    <row r="255">
      <c r="A255" s="12" t="inlineStr">
        <is>
          <t>Cashiering team lead</t>
        </is>
      </c>
      <c r="B255" s="12" t="inlineStr">
        <is>
          <t>Finance</t>
        </is>
      </c>
      <c r="C255" s="12" t="inlineStr">
        <is>
          <t>Collections</t>
        </is>
      </c>
      <c r="D255" s="12" t="inlineStr">
        <is>
          <t>Installment Plans</t>
        </is>
      </c>
      <c r="E255" s="12" t="inlineStr">
        <is>
          <t>BRD-4</t>
        </is>
      </c>
      <c r="F255" s="12" t="inlineStr"/>
    </row>
    <row r="256">
      <c r="A256" s="12" t="inlineStr">
        <is>
          <t>Cashiering team lead</t>
        </is>
      </c>
      <c r="B256" s="12" t="inlineStr">
        <is>
          <t>Finance</t>
        </is>
      </c>
      <c r="C256" s="12" t="inlineStr">
        <is>
          <t>Collections</t>
        </is>
      </c>
      <c r="D256" s="12" t="inlineStr">
        <is>
          <t>Installments Due</t>
        </is>
      </c>
      <c r="E256" s="12" t="inlineStr">
        <is>
          <t>BRD-4</t>
        </is>
      </c>
      <c r="F256" s="12" t="inlineStr"/>
    </row>
    <row r="257">
      <c r="A257" s="12" t="inlineStr">
        <is>
          <t>Cashiering team lead</t>
        </is>
      </c>
      <c r="B257" s="12" t="inlineStr">
        <is>
          <t>Finance</t>
        </is>
      </c>
      <c r="C257" s="12" t="inlineStr">
        <is>
          <t>Collections</t>
        </is>
      </c>
      <c r="D257" s="12" t="inlineStr">
        <is>
          <t>Promises to Pay</t>
        </is>
      </c>
      <c r="E257" s="12" t="inlineStr">
        <is>
          <t>BRD-4</t>
        </is>
      </c>
      <c r="F257" s="12" t="inlineStr"/>
    </row>
    <row r="258">
      <c r="A258" s="12" t="inlineStr">
        <is>
          <t>Cashiering team lead</t>
        </is>
      </c>
      <c r="B258" s="12" t="inlineStr">
        <is>
          <t>Finance</t>
        </is>
      </c>
      <c r="C258" s="12" t="inlineStr">
        <is>
          <t>Collections</t>
        </is>
      </c>
      <c r="D258" s="12" t="inlineStr">
        <is>
          <t>Escalations</t>
        </is>
      </c>
      <c r="E258" s="12" t="inlineStr">
        <is>
          <t>BRD-4</t>
        </is>
      </c>
      <c r="F258" s="12" t="inlineStr"/>
    </row>
    <row r="259">
      <c r="A259" s="12" t="inlineStr">
        <is>
          <t>Cashiering team lead</t>
        </is>
      </c>
      <c r="B259" s="12" t="inlineStr">
        <is>
          <t>Finance</t>
        </is>
      </c>
      <c r="C259" s="12" t="inlineStr">
        <is>
          <t>Collections</t>
        </is>
      </c>
      <c r="D259" s="12" t="inlineStr">
        <is>
          <t>Billing Statements</t>
        </is>
      </c>
      <c r="E259" s="12" t="inlineStr">
        <is>
          <t>BRD-4</t>
        </is>
      </c>
      <c r="F259" s="12" t="inlineStr"/>
    </row>
    <row r="260">
      <c r="A260" s="12" t="inlineStr">
        <is>
          <t>Cashiering team lead</t>
        </is>
      </c>
      <c r="B260" s="12" t="inlineStr">
        <is>
          <t>Finance</t>
        </is>
      </c>
      <c r="C260" s="12" t="inlineStr">
        <is>
          <t>Collections</t>
        </is>
      </c>
      <c r="D260" s="12" t="inlineStr">
        <is>
          <t>Unapplied Payments</t>
        </is>
      </c>
      <c r="E260" s="12" t="inlineStr">
        <is>
          <t>BRD-4</t>
        </is>
      </c>
      <c r="F260" s="12" t="inlineStr"/>
    </row>
    <row r="261">
      <c r="A261" s="12" t="inlineStr">
        <is>
          <t>Cashiering team lead</t>
        </is>
      </c>
      <c r="B261" s="12" t="inlineStr">
        <is>
          <t>Finance</t>
        </is>
      </c>
      <c r="C261" s="12" t="inlineStr">
        <is>
          <t>Collections</t>
        </is>
      </c>
      <c r="D261" s="12" t="inlineStr">
        <is>
          <t>Requests to Cashiering</t>
        </is>
      </c>
      <c r="E261" s="12" t="inlineStr">
        <is>
          <t>BRD-4</t>
        </is>
      </c>
      <c r="F261" s="12" t="inlineStr"/>
    </row>
    <row r="262">
      <c r="A262" s="12" t="inlineStr">
        <is>
          <t>Cashiering team lead</t>
        </is>
      </c>
      <c r="B262" s="12" t="inlineStr">
        <is>
          <t>Finance</t>
        </is>
      </c>
      <c r="C262" s="12" t="inlineStr">
        <is>
          <t>Collections</t>
        </is>
      </c>
      <c r="D262" s="12" t="inlineStr">
        <is>
          <t>Collections Files</t>
        </is>
      </c>
      <c r="E262" s="12" t="inlineStr">
        <is>
          <t>BRD-4</t>
        </is>
      </c>
      <c r="F262" s="12" t="inlineStr"/>
    </row>
    <row r="263">
      <c r="A263" s="12" t="inlineStr">
        <is>
          <t>Cashiering team lead</t>
        </is>
      </c>
      <c r="B263" s="12" t="inlineStr">
        <is>
          <t>Finance</t>
        </is>
      </c>
      <c r="C263" s="12" t="inlineStr">
        <is>
          <t>Cashiering</t>
        </is>
      </c>
      <c r="D263" s="12" t="inlineStr">
        <is>
          <t>Cashiering Workbench</t>
        </is>
      </c>
      <c r="E263" s="12" t="inlineStr">
        <is>
          <t>BRD-2</t>
        </is>
      </c>
      <c r="F263" s="12" t="inlineStr"/>
    </row>
    <row r="264">
      <c r="A264" s="12" t="inlineStr">
        <is>
          <t>Cashiering team lead</t>
        </is>
      </c>
      <c r="B264" s="12" t="inlineStr">
        <is>
          <t>Finance</t>
        </is>
      </c>
      <c r="C264" s="12" t="inlineStr">
        <is>
          <t>Cashiering</t>
        </is>
      </c>
      <c r="D264" s="12" t="inlineStr">
        <is>
          <t>Receive Payment</t>
        </is>
      </c>
      <c r="E264" s="12" t="inlineStr">
        <is>
          <t>BRD-2</t>
        </is>
      </c>
      <c r="F264" s="12" t="inlineStr"/>
    </row>
    <row r="265">
      <c r="A265" s="12" t="inlineStr">
        <is>
          <t>Cashiering team lead</t>
        </is>
      </c>
      <c r="B265" s="12" t="inlineStr">
        <is>
          <t>Finance</t>
        </is>
      </c>
      <c r="C265" s="12" t="inlineStr">
        <is>
          <t>Cashiering</t>
        </is>
      </c>
      <c r="D265" s="12" t="inlineStr">
        <is>
          <t>Receipts</t>
        </is>
      </c>
      <c r="E265" s="12" t="inlineStr">
        <is>
          <t>BRD-2</t>
        </is>
      </c>
      <c r="F265" s="12" t="inlineStr"/>
    </row>
    <row r="266">
      <c r="A266" s="12" t="inlineStr">
        <is>
          <t>Cashiering team lead</t>
        </is>
      </c>
      <c r="B266" s="12" t="inlineStr">
        <is>
          <t>Finance</t>
        </is>
      </c>
      <c r="C266" s="12" t="inlineStr">
        <is>
          <t>Cashiering</t>
        </is>
      </c>
      <c r="D266" s="12" t="inlineStr">
        <is>
          <t>Unapplied Payments</t>
        </is>
      </c>
      <c r="E266" s="12" t="inlineStr">
        <is>
          <t>BRD-2</t>
        </is>
      </c>
      <c r="F266" s="12" t="inlineStr"/>
    </row>
    <row r="267">
      <c r="A267" s="12" t="inlineStr">
        <is>
          <t>Cashiering team lead</t>
        </is>
      </c>
      <c r="B267" s="12" t="inlineStr">
        <is>
          <t>Finance</t>
        </is>
      </c>
      <c r="C267" s="12" t="inlineStr">
        <is>
          <t>Cashiering</t>
        </is>
      </c>
      <c r="D267" s="12" t="inlineStr">
        <is>
          <t>Incoming Requests</t>
        </is>
      </c>
      <c r="E267" s="12" t="inlineStr">
        <is>
          <t>BRD-2</t>
        </is>
      </c>
      <c r="F267" s="12" t="inlineStr"/>
    </row>
    <row r="268">
      <c r="A268" s="12" t="inlineStr">
        <is>
          <t>Cashiering team lead</t>
        </is>
      </c>
      <c r="B268" s="12" t="inlineStr">
        <is>
          <t>Finance</t>
        </is>
      </c>
      <c r="C268" s="12" t="inlineStr">
        <is>
          <t>Cashiering</t>
        </is>
      </c>
      <c r="D268" s="12" t="inlineStr">
        <is>
          <t>Pre-booked Payments</t>
        </is>
      </c>
      <c r="E268" s="12" t="inlineStr">
        <is>
          <t>BRD-2</t>
        </is>
      </c>
      <c r="F268" s="12" t="inlineStr"/>
    </row>
    <row r="269">
      <c r="A269" s="12" t="inlineStr">
        <is>
          <t>Cashiering team lead</t>
        </is>
      </c>
      <c r="B269" s="12" t="inlineStr">
        <is>
          <t>Finance</t>
        </is>
      </c>
      <c r="C269" s="12" t="inlineStr">
        <is>
          <t>Cashiering</t>
        </is>
      </c>
      <c r="D269" s="12" t="inlineStr">
        <is>
          <t>Payment Uploads</t>
        </is>
      </c>
      <c r="E269" s="12" t="inlineStr">
        <is>
          <t>BRD-2</t>
        </is>
      </c>
      <c r="F269" s="12" t="inlineStr"/>
    </row>
    <row r="270">
      <c r="A270" s="12" t="inlineStr">
        <is>
          <t>Cashiering team lead</t>
        </is>
      </c>
      <c r="B270" s="12" t="inlineStr">
        <is>
          <t>Finance</t>
        </is>
      </c>
      <c r="C270" s="12" t="inlineStr">
        <is>
          <t>Cashiering</t>
        </is>
      </c>
      <c r="D270" s="12" t="inlineStr">
        <is>
          <t>PDC Warehouse</t>
        </is>
      </c>
      <c r="E270" s="12" t="inlineStr">
        <is>
          <t>BRD-2</t>
        </is>
      </c>
      <c r="F270" s="12" t="inlineStr"/>
    </row>
    <row r="271">
      <c r="A271" s="12" t="inlineStr">
        <is>
          <t>Cashiering team lead</t>
        </is>
      </c>
      <c r="B271" s="12" t="inlineStr">
        <is>
          <t>Finance</t>
        </is>
      </c>
      <c r="C271" s="12" t="inlineStr">
        <is>
          <t>Cashiering</t>
        </is>
      </c>
      <c r="D271" s="12" t="inlineStr">
        <is>
          <t>Check Pick-up</t>
        </is>
      </c>
      <c r="E271" s="12" t="inlineStr">
        <is>
          <t>BRD-2</t>
        </is>
      </c>
      <c r="F271" s="12" t="inlineStr"/>
    </row>
    <row r="272">
      <c r="A272" s="12" t="inlineStr">
        <is>
          <t>Cashiering team lead</t>
        </is>
      </c>
      <c r="B272" s="12" t="inlineStr">
        <is>
          <t>Finance</t>
        </is>
      </c>
      <c r="C272" s="12" t="inlineStr">
        <is>
          <t>Cashiering</t>
        </is>
      </c>
      <c r="D272" s="12" t="inlineStr">
        <is>
          <t>Batch Print</t>
        </is>
      </c>
      <c r="E272" s="12" t="inlineStr">
        <is>
          <t>BRD-2</t>
        </is>
      </c>
      <c r="F272" s="12" t="inlineStr"/>
    </row>
    <row r="273">
      <c r="A273" s="12" t="inlineStr">
        <is>
          <t>Cashiering team lead</t>
        </is>
      </c>
      <c r="B273" s="12" t="inlineStr">
        <is>
          <t>Finance</t>
        </is>
      </c>
      <c r="C273" s="12" t="inlineStr">
        <is>
          <t>Cashiering</t>
        </is>
      </c>
      <c r="D273" s="12" t="inlineStr">
        <is>
          <t>BIR 2307</t>
        </is>
      </c>
      <c r="E273" s="12" t="inlineStr">
        <is>
          <t>BRD-2</t>
        </is>
      </c>
      <c r="F273" s="12" t="inlineStr"/>
    </row>
    <row r="274">
      <c r="A274" s="12" t="inlineStr">
        <is>
          <t>Cashiering team lead</t>
        </is>
      </c>
      <c r="B274" s="12" t="inlineStr">
        <is>
          <t>Finance</t>
        </is>
      </c>
      <c r="C274" s="12" t="inlineStr">
        <is>
          <t>Cashiering</t>
        </is>
      </c>
      <c r="D274" s="12" t="inlineStr">
        <is>
          <t>Unapplied to Income</t>
        </is>
      </c>
      <c r="E274" s="12" t="inlineStr">
        <is>
          <t>BRD-2</t>
        </is>
      </c>
      <c r="F274" s="12" t="inlineStr"/>
    </row>
    <row r="275">
      <c r="A275" s="12" t="inlineStr">
        <is>
          <t>Cashiering team lead</t>
        </is>
      </c>
      <c r="B275" s="12" t="inlineStr">
        <is>
          <t>Finance</t>
        </is>
      </c>
      <c r="C275" s="12" t="inlineStr">
        <is>
          <t>Cashiering</t>
        </is>
      </c>
      <c r="D275" s="12" t="inlineStr">
        <is>
          <t>Legacy PR 2307 Reversal</t>
        </is>
      </c>
      <c r="E275" s="12" t="inlineStr">
        <is>
          <t>BRD-2</t>
        </is>
      </c>
      <c r="F275" s="12" t="inlineStr"/>
    </row>
    <row r="276">
      <c r="A276" s="12" t="inlineStr">
        <is>
          <t>Cashiering team lead</t>
        </is>
      </c>
      <c r="B276" s="12" t="inlineStr">
        <is>
          <t>Finance</t>
        </is>
      </c>
      <c r="C276" s="12" t="inlineStr">
        <is>
          <t>Cashiering</t>
        </is>
      </c>
      <c r="D276" s="12" t="inlineStr">
        <is>
          <t>Commission ORs</t>
        </is>
      </c>
      <c r="E276" s="12" t="inlineStr">
        <is>
          <t>BRD-2</t>
        </is>
      </c>
      <c r="F276" s="12" t="inlineStr"/>
    </row>
    <row r="277">
      <c r="A277" s="12" t="inlineStr">
        <is>
          <t>Cashiering team lead</t>
        </is>
      </c>
      <c r="B277" s="12" t="inlineStr">
        <is>
          <t>Finance</t>
        </is>
      </c>
      <c r="C277" s="12" t="inlineStr">
        <is>
          <t>Cashiering</t>
        </is>
      </c>
      <c r="D277" s="12" t="inlineStr">
        <is>
          <t>Receipt Series</t>
        </is>
      </c>
      <c r="E277" s="12" t="inlineStr">
        <is>
          <t>BRD-2</t>
        </is>
      </c>
      <c r="F277" s="12" t="inlineStr"/>
    </row>
    <row r="278">
      <c r="A278" s="12" t="inlineStr">
        <is>
          <t>Cashiering team lead</t>
        </is>
      </c>
      <c r="B278" s="12" t="inlineStr">
        <is>
          <t>Finance</t>
        </is>
      </c>
      <c r="C278" s="12" t="inlineStr">
        <is>
          <t>Cashiering</t>
        </is>
      </c>
      <c r="D278" s="12" t="inlineStr">
        <is>
          <t>Cashiering Setup</t>
        </is>
      </c>
      <c r="E278" s="12" t="inlineStr">
        <is>
          <t>BRD-2</t>
        </is>
      </c>
      <c r="F278" s="12" t="inlineStr"/>
    </row>
    <row r="279">
      <c r="A279" s="12" t="inlineStr">
        <is>
          <t>Cashiering team lead</t>
        </is>
      </c>
      <c r="B279" s="12" t="inlineStr">
        <is>
          <t>Finance</t>
        </is>
      </c>
      <c r="C279" s="12" t="inlineStr">
        <is>
          <t>Commission Receivables</t>
        </is>
      </c>
      <c r="D279" s="12" t="inlineStr">
        <is>
          <t>DP PR Legacy Reversal</t>
        </is>
      </c>
      <c r="E279" s="12" t="inlineStr">
        <is>
          <t>BRD-2 / BRD-4</t>
        </is>
      </c>
      <c r="F279" s="12" t="inlineStr"/>
    </row>
    <row r="280">
      <c r="A280" s="12" t="inlineStr">
        <is>
          <t>Cashiering team lead</t>
        </is>
      </c>
      <c r="B280" s="12" t="inlineStr">
        <is>
          <t>Finance</t>
        </is>
      </c>
      <c r="C280" s="12" t="inlineStr">
        <is>
          <t>General Ledger</t>
        </is>
      </c>
      <c r="D280" s="12" t="inlineStr">
        <is>
          <t>Chart of Accounts</t>
        </is>
      </c>
      <c r="E280" s="12" t="inlineStr">
        <is>
          <t>BRD-5</t>
        </is>
      </c>
      <c r="F280" s="12" t="inlineStr"/>
    </row>
    <row r="281">
      <c r="A281" s="12" t="inlineStr">
        <is>
          <t>Cashiering team lead</t>
        </is>
      </c>
      <c r="B281" s="12" t="inlineStr">
        <is>
          <t>Finance</t>
        </is>
      </c>
      <c r="C281" s="12" t="inlineStr">
        <is>
          <t>General Ledger</t>
        </is>
      </c>
      <c r="D281" s="12" t="inlineStr">
        <is>
          <t>Financial Periods</t>
        </is>
      </c>
      <c r="E281" s="12" t="inlineStr">
        <is>
          <t>BRD-5</t>
        </is>
      </c>
      <c r="F281" s="12" t="inlineStr"/>
    </row>
    <row r="282">
      <c r="A282" s="12" t="inlineStr">
        <is>
          <t>Cashiering team lead</t>
        </is>
      </c>
      <c r="B282" s="12" t="inlineStr">
        <is>
          <t>Finance</t>
        </is>
      </c>
      <c r="C282" s="12" t="inlineStr">
        <is>
          <t>Payables &amp; Cash</t>
        </is>
      </c>
      <c r="D282" s="12" t="inlineStr">
        <is>
          <t>Bank Accounts</t>
        </is>
      </c>
      <c r="E282" s="12" t="inlineStr">
        <is>
          <t>BRD-5</t>
        </is>
      </c>
      <c r="F282" s="12" t="inlineStr"/>
    </row>
    <row r="283">
      <c r="A283" s="12" t="inlineStr">
        <is>
          <t>Cashiering team lead</t>
        </is>
      </c>
      <c r="B283" s="12" t="inlineStr">
        <is>
          <t>Finance</t>
        </is>
      </c>
      <c r="C283" s="12" t="inlineStr">
        <is>
          <t>Assets &amp; Investments</t>
        </is>
      </c>
      <c r="D283" s="12" t="inlineStr">
        <is>
          <t>Asset Categories</t>
        </is>
      </c>
      <c r="E283" s="12" t="inlineStr">
        <is>
          <t>BRD-5</t>
        </is>
      </c>
      <c r="F283" s="12" t="inlineStr"/>
    </row>
    <row r="284">
      <c r="A284" s="12" t="inlineStr">
        <is>
          <t>Cashiering team lead</t>
        </is>
      </c>
      <c r="B284" s="12" t="inlineStr">
        <is>
          <t>Finance</t>
        </is>
      </c>
      <c r="C284" s="12" t="inlineStr">
        <is>
          <t>Assets &amp; Investments</t>
        </is>
      </c>
      <c r="D284" s="12" t="inlineStr">
        <is>
          <t>Asset Register</t>
        </is>
      </c>
      <c r="E284" s="12" t="inlineStr">
        <is>
          <t>BRD-5</t>
        </is>
      </c>
      <c r="F284" s="12" t="inlineStr"/>
    </row>
    <row r="285">
      <c r="A285" s="12" t="inlineStr">
        <is>
          <t>Cashiering team lead</t>
        </is>
      </c>
      <c r="B285" s="12" t="inlineStr">
        <is>
          <t>Finance</t>
        </is>
      </c>
      <c r="C285" s="12" t="inlineStr">
        <is>
          <t>Assets &amp; Investments</t>
        </is>
      </c>
      <c r="D285" s="12" t="inlineStr">
        <is>
          <t>Depreciation Run</t>
        </is>
      </c>
      <c r="E285" s="12" t="inlineStr">
        <is>
          <t>BRD-5</t>
        </is>
      </c>
      <c r="F285" s="12" t="inlineStr"/>
    </row>
    <row r="286">
      <c r="A286" s="12" t="inlineStr">
        <is>
          <t>Cashiering team lead</t>
        </is>
      </c>
      <c r="B286" s="12" t="inlineStr">
        <is>
          <t>Finance</t>
        </is>
      </c>
      <c r="C286" s="12" t="inlineStr">
        <is>
          <t>Assets &amp; Investments</t>
        </is>
      </c>
      <c r="D286" s="12" t="inlineStr">
        <is>
          <t>Investment Portfolios</t>
        </is>
      </c>
      <c r="E286" s="12" t="inlineStr">
        <is>
          <t>BRD-5</t>
        </is>
      </c>
      <c r="F286" s="12" t="inlineStr"/>
    </row>
    <row r="287">
      <c r="A287" s="12" t="inlineStr">
        <is>
          <t>Cashiering team lead</t>
        </is>
      </c>
      <c r="B287" s="12" t="inlineStr">
        <is>
          <t>Finance</t>
        </is>
      </c>
      <c r="C287" s="12" t="inlineStr">
        <is>
          <t>Assets &amp; Investments</t>
        </is>
      </c>
      <c r="D287" s="12" t="inlineStr">
        <is>
          <t>Investments</t>
        </is>
      </c>
      <c r="E287" s="12" t="inlineStr">
        <is>
          <t>BRD-5</t>
        </is>
      </c>
      <c r="F287" s="12" t="inlineStr"/>
    </row>
    <row r="288">
      <c r="A288" s="12" t="inlineStr">
        <is>
          <t>Cashiering team lead</t>
        </is>
      </c>
      <c r="B288" s="12" t="inlineStr">
        <is>
          <t>Finance</t>
        </is>
      </c>
      <c r="C288" s="12" t="inlineStr">
        <is>
          <t>Assets &amp; Investments</t>
        </is>
      </c>
      <c r="D288" s="12" t="inlineStr">
        <is>
          <t>Accrual &amp; Amortization</t>
        </is>
      </c>
      <c r="E288" s="12" t="inlineStr">
        <is>
          <t>BRD-5</t>
        </is>
      </c>
      <c r="F288" s="12" t="inlineStr"/>
    </row>
    <row r="289">
      <c r="A289" s="12" t="inlineStr">
        <is>
          <t>Cashiering team lead</t>
        </is>
      </c>
      <c r="B289" s="12" t="inlineStr">
        <is>
          <t>Finance</t>
        </is>
      </c>
      <c r="C289" s="12" t="inlineStr">
        <is>
          <t>Assets &amp; Investments</t>
        </is>
      </c>
      <c r="D289" s="12" t="inlineStr">
        <is>
          <t>Maturities &amp; Sales</t>
        </is>
      </c>
      <c r="E289" s="12" t="inlineStr">
        <is>
          <t>BRD-5</t>
        </is>
      </c>
      <c r="F289" s="12" t="inlineStr"/>
    </row>
    <row r="290">
      <c r="A290" s="12" t="inlineStr">
        <is>
          <t>Cashiering team lead</t>
        </is>
      </c>
      <c r="B290" s="12" t="inlineStr">
        <is>
          <t>Finance</t>
        </is>
      </c>
      <c r="C290" s="12" t="inlineStr">
        <is>
          <t>Accounting Engine</t>
        </is>
      </c>
      <c r="D290" s="12" t="inlineStr">
        <is>
          <t>Event Types</t>
        </is>
      </c>
      <c r="E290" s="12" t="inlineStr">
        <is>
          <t>BRD-5</t>
        </is>
      </c>
      <c r="F290" s="12" t="inlineStr"/>
    </row>
    <row r="291">
      <c r="A291" s="12" t="inlineStr">
        <is>
          <t>Cashiering team lead</t>
        </is>
      </c>
      <c r="B291" s="12" t="inlineStr">
        <is>
          <t>Finance</t>
        </is>
      </c>
      <c r="C291" s="12" t="inlineStr">
        <is>
          <t>Accounting Engine</t>
        </is>
      </c>
      <c r="D291" s="12" t="inlineStr">
        <is>
          <t>Accounting Rules</t>
        </is>
      </c>
      <c r="E291" s="12" t="inlineStr">
        <is>
          <t>BRD-5</t>
        </is>
      </c>
      <c r="F291" s="12" t="inlineStr"/>
    </row>
    <row r="292">
      <c r="A292" s="12" t="inlineStr">
        <is>
          <t>Cashiering team lead</t>
        </is>
      </c>
      <c r="B292" s="12" t="inlineStr">
        <is>
          <t>Finance</t>
        </is>
      </c>
      <c r="C292" s="12" t="inlineStr">
        <is>
          <t>Accounting Engine</t>
        </is>
      </c>
      <c r="D292" s="12" t="inlineStr">
        <is>
          <t>Rule Simulator</t>
        </is>
      </c>
      <c r="E292" s="12" t="inlineStr">
        <is>
          <t>BRD-5</t>
        </is>
      </c>
      <c r="F292" s="12" t="inlineStr"/>
    </row>
    <row r="293">
      <c r="A293" s="12" t="inlineStr">
        <is>
          <t>Cashiering team lead</t>
        </is>
      </c>
      <c r="B293" s="12" t="inlineStr">
        <is>
          <t>Reports</t>
        </is>
      </c>
      <c r="C293" s="12" t="inlineStr">
        <is>
          <t>New Business Reports</t>
        </is>
      </c>
      <c r="D293" s="12" t="inlineStr">
        <is>
          <t>New Business Reports</t>
        </is>
      </c>
      <c r="E293" s="12" t="inlineStr">
        <is>
          <t>BRD-1</t>
        </is>
      </c>
      <c r="F293" s="12" t="inlineStr"/>
    </row>
    <row r="294">
      <c r="A294" s="12" t="inlineStr">
        <is>
          <t>Cashiering team lead</t>
        </is>
      </c>
      <c r="B294" s="12" t="inlineStr">
        <is>
          <t>Reports</t>
        </is>
      </c>
      <c r="C294" s="12" t="inlineStr">
        <is>
          <t>New Business Reports</t>
        </is>
      </c>
      <c r="D294" s="12" t="inlineStr">
        <is>
          <t>Production Targets</t>
        </is>
      </c>
      <c r="E294" s="12" t="inlineStr">
        <is>
          <t>BRD-1</t>
        </is>
      </c>
      <c r="F294" s="12" t="inlineStr"/>
    </row>
    <row r="295">
      <c r="A295" s="12" t="inlineStr">
        <is>
          <t>Cashiering team lead</t>
        </is>
      </c>
      <c r="B295" s="12" t="inlineStr">
        <is>
          <t>Reports</t>
        </is>
      </c>
      <c r="C295" s="12" t="inlineStr">
        <is>
          <t>Reports</t>
        </is>
      </c>
      <c r="D295" s="12" t="inlineStr">
        <is>
          <t>Report Centre</t>
        </is>
      </c>
      <c r="E295" s="12" t="inlineStr">
        <is>
          <t>Platform</t>
        </is>
      </c>
      <c r="F295" s="12" t="inlineStr"/>
    </row>
    <row r="296">
      <c r="A296" s="12" t="inlineStr">
        <is>
          <t>Cashiering team lead</t>
        </is>
      </c>
      <c r="B296" s="12" t="inlineStr">
        <is>
          <t>Setup &amp; Administration</t>
        </is>
      </c>
      <c r="C296" s="12" t="inlineStr">
        <is>
          <t>Broking Setup</t>
        </is>
      </c>
      <c r="D296" s="12" t="inlineStr">
        <is>
          <t>Data Retention</t>
        </is>
      </c>
      <c r="E296" s="12" t="inlineStr">
        <is>
          <t>BRD-1</t>
        </is>
      </c>
      <c r="F296" s="12" t="inlineStr"/>
    </row>
    <row r="297">
      <c r="A297" s="12" t="inlineStr">
        <is>
          <t>Cashiering team lead</t>
        </is>
      </c>
      <c r="B297" s="12" t="inlineStr">
        <is>
          <t>Setup &amp; Administration</t>
        </is>
      </c>
      <c r="C297" s="12" t="inlineStr">
        <is>
          <t>Broking Setup</t>
        </is>
      </c>
      <c r="D297" s="12" t="inlineStr">
        <is>
          <t>Document Templates</t>
        </is>
      </c>
      <c r="E297" s="12" t="inlineStr">
        <is>
          <t>BRD-1</t>
        </is>
      </c>
      <c r="F297" s="12" t="inlineStr"/>
    </row>
    <row r="298">
      <c r="A298" s="12" t="inlineStr">
        <is>
          <t>Cashiering team lead</t>
        </is>
      </c>
      <c r="B298" s="12" t="inlineStr">
        <is>
          <t>Setup &amp; Administration</t>
        </is>
      </c>
      <c r="C298" s="12" t="inlineStr">
        <is>
          <t>Setup</t>
        </is>
      </c>
      <c r="D298" s="12" t="inlineStr">
        <is>
          <t>Companies</t>
        </is>
      </c>
      <c r="E298" s="12" t="inlineStr">
        <is>
          <t>Platform</t>
        </is>
      </c>
      <c r="F298" s="12" t="inlineStr"/>
    </row>
    <row r="299">
      <c r="A299" s="12" t="inlineStr">
        <is>
          <t>Cashiering team lead</t>
        </is>
      </c>
      <c r="B299" s="12" t="inlineStr">
        <is>
          <t>Setup &amp; Administration</t>
        </is>
      </c>
      <c r="C299" s="12" t="inlineStr">
        <is>
          <t>Setup</t>
        </is>
      </c>
      <c r="D299" s="12" t="inlineStr">
        <is>
          <t>Branches</t>
        </is>
      </c>
      <c r="E299" s="12" t="inlineStr">
        <is>
          <t>Platform</t>
        </is>
      </c>
      <c r="F299" s="12" t="inlineStr"/>
    </row>
    <row r="300">
      <c r="A300" s="12" t="inlineStr">
        <is>
          <t>Cashiering team lead</t>
        </is>
      </c>
      <c r="B300" s="12" t="inlineStr">
        <is>
          <t>Setup &amp; Administration</t>
        </is>
      </c>
      <c r="C300" s="12" t="inlineStr">
        <is>
          <t>Setup</t>
        </is>
      </c>
      <c r="D300" s="12" t="inlineStr">
        <is>
          <t>Currencies &amp; Rates</t>
        </is>
      </c>
      <c r="E300" s="12" t="inlineStr">
        <is>
          <t>Platform</t>
        </is>
      </c>
      <c r="F300" s="12" t="inlineStr"/>
    </row>
    <row r="301">
      <c r="A301" s="12" t="inlineStr">
        <is>
          <t>Cashiering team lead</t>
        </is>
      </c>
      <c r="B301" s="12" t="inlineStr">
        <is>
          <t>Setup &amp; Administration</t>
        </is>
      </c>
      <c r="C301" s="12" t="inlineStr">
        <is>
          <t>Setup</t>
        </is>
      </c>
      <c r="D301" s="12" t="inlineStr">
        <is>
          <t>Dimensions</t>
        </is>
      </c>
      <c r="E301" s="12" t="inlineStr">
        <is>
          <t>Platform</t>
        </is>
      </c>
      <c r="F301" s="12" t="inlineStr"/>
    </row>
    <row r="302">
      <c r="A302" s="12" t="inlineStr">
        <is>
          <t>Cashiering team lead</t>
        </is>
      </c>
      <c r="B302" s="12" t="inlineStr">
        <is>
          <t>Setup &amp; Administration</t>
        </is>
      </c>
      <c r="C302" s="12" t="inlineStr">
        <is>
          <t>Setup</t>
        </is>
      </c>
      <c r="D302" s="12" t="inlineStr">
        <is>
          <t>Business Partners</t>
        </is>
      </c>
      <c r="E302" s="12" t="inlineStr">
        <is>
          <t>Platform</t>
        </is>
      </c>
      <c r="F302" s="12" t="inlineStr"/>
    </row>
    <row r="303">
      <c r="A303" s="12" t="inlineStr">
        <is>
          <t>Cashiering team lead</t>
        </is>
      </c>
      <c r="B303" s="12" t="inlineStr">
        <is>
          <t>Setup &amp; Administration</t>
        </is>
      </c>
      <c r="C303" s="12" t="inlineStr">
        <is>
          <t>Setup</t>
        </is>
      </c>
      <c r="D303" s="12" t="inlineStr">
        <is>
          <t>Employees</t>
        </is>
      </c>
      <c r="E303" s="12" t="inlineStr">
        <is>
          <t>Platform</t>
        </is>
      </c>
      <c r="F303" s="12" t="inlineStr"/>
    </row>
    <row r="304">
      <c r="A304" s="12" t="inlineStr">
        <is>
          <t>Cashiering team lead</t>
        </is>
      </c>
      <c r="B304" s="12" t="inlineStr">
        <is>
          <t>Setup &amp; Administration</t>
        </is>
      </c>
      <c r="C304" s="12" t="inlineStr">
        <is>
          <t>Setup</t>
        </is>
      </c>
      <c r="D304" s="12" t="inlineStr">
        <is>
          <t>Cost-Centre Rules</t>
        </is>
      </c>
      <c r="E304" s="12" t="inlineStr">
        <is>
          <t>Platform</t>
        </is>
      </c>
      <c r="F304" s="12" t="inlineStr"/>
    </row>
    <row r="305">
      <c r="A305" s="12" t="inlineStr">
        <is>
          <t>Cashiering team lead</t>
        </is>
      </c>
      <c r="B305" s="12" t="inlineStr">
        <is>
          <t>Setup &amp; Administration</t>
        </is>
      </c>
      <c r="C305" s="12" t="inlineStr">
        <is>
          <t>Setup</t>
        </is>
      </c>
      <c r="D305" s="12" t="inlineStr">
        <is>
          <t>Holiday Calendar</t>
        </is>
      </c>
      <c r="E305" s="12" t="inlineStr">
        <is>
          <t>Platform</t>
        </is>
      </c>
      <c r="F305" s="12" t="inlineStr"/>
    </row>
    <row r="306">
      <c r="A306" s="12" t="inlineStr">
        <is>
          <t>Cashiering team lead</t>
        </is>
      </c>
      <c r="B306" s="12" t="inlineStr">
        <is>
          <t>Setup &amp; Administration</t>
        </is>
      </c>
      <c r="C306" s="12" t="inlineStr">
        <is>
          <t>Help</t>
        </is>
      </c>
      <c r="D306" s="12" t="inlineStr">
        <is>
          <t>Help Center</t>
        </is>
      </c>
      <c r="E306" s="12" t="inlineStr">
        <is>
          <t>Platform</t>
        </is>
      </c>
      <c r="F306" s="12" t="inlineStr"/>
    </row>
    <row r="307">
      <c r="A307" s="12" t="inlineStr">
        <is>
          <t>Cashiering team lead</t>
        </is>
      </c>
      <c r="B307" s="12" t="inlineStr">
        <is>
          <t>Setup &amp; Administration</t>
        </is>
      </c>
      <c r="C307" s="12" t="inlineStr">
        <is>
          <t>Help</t>
        </is>
      </c>
      <c r="D307" s="12" t="inlineStr">
        <is>
          <t>My Profile</t>
        </is>
      </c>
      <c r="E307" s="12" t="inlineStr">
        <is>
          <t>Platform</t>
        </is>
      </c>
      <c r="F307" s="12" t="inlineStr"/>
    </row>
    <row r="308">
      <c r="A308" s="12" t="inlineStr">
        <is>
          <t>Top management approver</t>
        </is>
      </c>
      <c r="B308" s="12" t="inlineStr">
        <is>
          <t>Home</t>
        </is>
      </c>
      <c r="C308" s="12" t="inlineStr">
        <is>
          <t>Overview</t>
        </is>
      </c>
      <c r="D308" s="12" t="inlineStr">
        <is>
          <t>My Approvals</t>
        </is>
      </c>
      <c r="E308" s="12" t="inlineStr">
        <is>
          <t>Platform</t>
        </is>
      </c>
      <c r="F308" s="12" t="inlineStr"/>
    </row>
    <row r="309">
      <c r="A309" s="12" t="inlineStr">
        <is>
          <t>Top management approver</t>
        </is>
      </c>
      <c r="B309" s="12" t="inlineStr">
        <is>
          <t>Finance</t>
        </is>
      </c>
      <c r="C309" s="12" t="inlineStr">
        <is>
          <t>Cashiering</t>
        </is>
      </c>
      <c r="D309" s="12" t="inlineStr">
        <is>
          <t>Unapplied to Income</t>
        </is>
      </c>
      <c r="E309" s="12" t="inlineStr">
        <is>
          <t>BRD-2</t>
        </is>
      </c>
      <c r="F309" s="12" t="inlineStr"/>
    </row>
    <row r="310">
      <c r="A310" s="12" t="inlineStr">
        <is>
          <t>Top management approver</t>
        </is>
      </c>
      <c r="B310" s="12" t="inlineStr">
        <is>
          <t>Setup &amp; Administration</t>
        </is>
      </c>
      <c r="C310" s="12" t="inlineStr">
        <is>
          <t>Help</t>
        </is>
      </c>
      <c r="D310" s="12" t="inlineStr">
        <is>
          <t>Help Center</t>
        </is>
      </c>
      <c r="E310" s="12" t="inlineStr">
        <is>
          <t>Platform</t>
        </is>
      </c>
      <c r="F310" s="12" t="inlineStr"/>
    </row>
    <row r="311">
      <c r="A311" s="12" t="inlineStr">
        <is>
          <t>Top management approver</t>
        </is>
      </c>
      <c r="B311" s="12" t="inlineStr">
        <is>
          <t>Setup &amp; Administration</t>
        </is>
      </c>
      <c r="C311" s="12" t="inlineStr">
        <is>
          <t>Help</t>
        </is>
      </c>
      <c r="D311" s="12" t="inlineStr">
        <is>
          <t>My Profile</t>
        </is>
      </c>
      <c r="E311" s="12" t="inlineStr">
        <is>
          <t>Platform</t>
        </is>
      </c>
      <c r="F311" s="12" t="inlineStr"/>
    </row>
    <row r="312">
      <c r="A312" s="12" t="inlineStr">
        <is>
          <t>Commission user</t>
        </is>
      </c>
      <c r="B312" s="12" t="inlineStr">
        <is>
          <t>Home</t>
        </is>
      </c>
      <c r="C312" s="12" t="inlineStr">
        <is>
          <t>Overview</t>
        </is>
      </c>
      <c r="D312" s="12" t="inlineStr">
        <is>
          <t>My Approvals</t>
        </is>
      </c>
      <c r="E312" s="12" t="inlineStr">
        <is>
          <t>Platform</t>
        </is>
      </c>
      <c r="F312" s="12" t="inlineStr"/>
    </row>
    <row r="313">
      <c r="A313" s="12" t="inlineStr">
        <is>
          <t>Commission user</t>
        </is>
      </c>
      <c r="B313" s="12" t="inlineStr">
        <is>
          <t>Home</t>
        </is>
      </c>
      <c r="C313" s="12" t="inlineStr">
        <is>
          <t>New Business Dashboard</t>
        </is>
      </c>
      <c r="D313" s="12" t="inlineStr">
        <is>
          <t>NB Dashboard</t>
        </is>
      </c>
      <c r="E313" s="12" t="inlineStr">
        <is>
          <t>BRD-1</t>
        </is>
      </c>
      <c r="F313" s="12" t="inlineStr"/>
    </row>
    <row r="314">
      <c r="A314" s="12" t="inlineStr">
        <is>
          <t>Commission user</t>
        </is>
      </c>
      <c r="B314" s="12" t="inlineStr">
        <is>
          <t>Home</t>
        </is>
      </c>
      <c r="C314" s="12" t="inlineStr">
        <is>
          <t>My Work</t>
        </is>
      </c>
      <c r="D314" s="12" t="inlineStr">
        <is>
          <t>My Work</t>
        </is>
      </c>
      <c r="E314" s="12" t="inlineStr">
        <is>
          <t>BRD-1</t>
        </is>
      </c>
      <c r="F314" s="12" t="inlineStr"/>
    </row>
    <row r="315">
      <c r="A315" s="12" t="inlineStr">
        <is>
          <t>Commission user</t>
        </is>
      </c>
      <c r="B315" s="12" t="inlineStr">
        <is>
          <t>Client &amp; Policy</t>
        </is>
      </c>
      <c r="C315" s="12" t="inlineStr">
        <is>
          <t>Clients</t>
        </is>
      </c>
      <c r="D315" s="12" t="inlineStr">
        <is>
          <t>Clients</t>
        </is>
      </c>
      <c r="E315" s="12" t="inlineStr">
        <is>
          <t>BRD-1</t>
        </is>
      </c>
      <c r="F315" s="12" t="inlineStr"/>
    </row>
    <row r="316">
      <c r="A316" s="12" t="inlineStr">
        <is>
          <t>Commission user</t>
        </is>
      </c>
      <c r="B316" s="12" t="inlineStr">
        <is>
          <t>Client &amp; Policy</t>
        </is>
      </c>
      <c r="C316" s="12" t="inlineStr">
        <is>
          <t>Clients</t>
        </is>
      </c>
      <c r="D316" s="12" t="inlineStr">
        <is>
          <t>KYC Reviews Due</t>
        </is>
      </c>
      <c r="E316" s="12" t="inlineStr">
        <is>
          <t>BRD-1</t>
        </is>
      </c>
      <c r="F316" s="12" t="inlineStr"/>
    </row>
    <row r="317">
      <c r="A317" s="12" t="inlineStr">
        <is>
          <t>Commission user</t>
        </is>
      </c>
      <c r="B317" s="12" t="inlineStr">
        <is>
          <t>Client &amp; Policy</t>
        </is>
      </c>
      <c r="C317" s="12" t="inlineStr">
        <is>
          <t>Accounts &amp; Placement</t>
        </is>
      </c>
      <c r="D317" s="12" t="inlineStr">
        <is>
          <t>Accounts</t>
        </is>
      </c>
      <c r="E317" s="12" t="inlineStr">
        <is>
          <t>BRD-1</t>
        </is>
      </c>
      <c r="F317" s="12" t="inlineStr"/>
    </row>
    <row r="318">
      <c r="A318" s="12" t="inlineStr">
        <is>
          <t>Commission user</t>
        </is>
      </c>
      <c r="B318" s="12" t="inlineStr">
        <is>
          <t>Client &amp; Policy</t>
        </is>
      </c>
      <c r="C318" s="12" t="inlineStr">
        <is>
          <t>Accounts &amp; Placement</t>
        </is>
      </c>
      <c r="D318" s="12" t="inlineStr">
        <is>
          <t>FFY Register</t>
        </is>
      </c>
      <c r="E318" s="12" t="inlineStr">
        <is>
          <t>BRD-1</t>
        </is>
      </c>
      <c r="F318" s="12" t="inlineStr"/>
    </row>
    <row r="319">
      <c r="A319" s="12" t="inlineStr">
        <is>
          <t>Commission user</t>
        </is>
      </c>
      <c r="B319" s="12" t="inlineStr">
        <is>
          <t>Client &amp; Policy</t>
        </is>
      </c>
      <c r="C319" s="12" t="inlineStr">
        <is>
          <t>Accounts &amp; Placement</t>
        </is>
      </c>
      <c r="D319" s="12" t="inlineStr">
        <is>
          <t>Direct Payment</t>
        </is>
      </c>
      <c r="E319" s="12" t="inlineStr">
        <is>
          <t>BRD-1</t>
        </is>
      </c>
      <c r="F319" s="12" t="inlineStr"/>
    </row>
    <row r="320">
      <c r="A320" s="12" t="inlineStr">
        <is>
          <t>Commission user</t>
        </is>
      </c>
      <c r="B320" s="12" t="inlineStr">
        <is>
          <t>Client &amp; Policy</t>
        </is>
      </c>
      <c r="C320" s="12" t="inlineStr">
        <is>
          <t>Placement &amp; Booking</t>
        </is>
      </c>
      <c r="D320" s="12" t="inlineStr">
        <is>
          <t>Placement Workbench</t>
        </is>
      </c>
      <c r="E320" s="12" t="inlineStr">
        <is>
          <t>BRD-1</t>
        </is>
      </c>
      <c r="F320" s="12" t="inlineStr"/>
    </row>
    <row r="321">
      <c r="A321" s="12" t="inlineStr">
        <is>
          <t>Commission user</t>
        </is>
      </c>
      <c r="B321" s="12" t="inlineStr">
        <is>
          <t>Client &amp; Policy</t>
        </is>
      </c>
      <c r="C321" s="12" t="inlineStr">
        <is>
          <t>Placement &amp; Booking</t>
        </is>
      </c>
      <c r="D321" s="12" t="inlineStr">
        <is>
          <t>Placement Slips</t>
        </is>
      </c>
      <c r="E321" s="12" t="inlineStr">
        <is>
          <t>BRD-1</t>
        </is>
      </c>
      <c r="F321" s="12" t="inlineStr"/>
    </row>
    <row r="322">
      <c r="A322" s="12" t="inlineStr">
        <is>
          <t>Commission user</t>
        </is>
      </c>
      <c r="B322" s="12" t="inlineStr">
        <is>
          <t>Client &amp; Policy</t>
        </is>
      </c>
      <c r="C322" s="12" t="inlineStr">
        <is>
          <t>Policy Issuance</t>
        </is>
      </c>
      <c r="D322" s="12" t="inlineStr">
        <is>
          <t>Issuance Workbench</t>
        </is>
      </c>
      <c r="E322" s="12" t="inlineStr">
        <is>
          <t>BRD-1</t>
        </is>
      </c>
      <c r="F322" s="12" t="inlineStr"/>
    </row>
    <row r="323">
      <c r="A323" s="12" t="inlineStr">
        <is>
          <t>Commission user</t>
        </is>
      </c>
      <c r="B323" s="12" t="inlineStr">
        <is>
          <t>Client &amp; Policy</t>
        </is>
      </c>
      <c r="C323" s="12" t="inlineStr">
        <is>
          <t>Policy Issuance</t>
        </is>
      </c>
      <c r="D323" s="12" t="inlineStr">
        <is>
          <t>Insurance Advice</t>
        </is>
      </c>
      <c r="E323" s="12" t="inlineStr">
        <is>
          <t>BRD-1</t>
        </is>
      </c>
      <c r="F323" s="12" t="inlineStr"/>
    </row>
    <row r="324">
      <c r="A324" s="12" t="inlineStr">
        <is>
          <t>Commission user</t>
        </is>
      </c>
      <c r="B324" s="12" t="inlineStr">
        <is>
          <t>Client &amp; Policy</t>
        </is>
      </c>
      <c r="C324" s="12" t="inlineStr">
        <is>
          <t>Product Maintenance</t>
        </is>
      </c>
      <c r="D324" s="12" t="inlineStr">
        <is>
          <t>Premium Calculator</t>
        </is>
      </c>
      <c r="E324" s="12" t="inlineStr">
        <is>
          <t>BRD-3</t>
        </is>
      </c>
      <c r="F324" s="12" t="inlineStr"/>
    </row>
    <row r="325">
      <c r="A325" s="12" t="inlineStr">
        <is>
          <t>Commission user</t>
        </is>
      </c>
      <c r="B325" s="12" t="inlineStr">
        <is>
          <t>Client &amp; Policy</t>
        </is>
      </c>
      <c r="C325" s="12" t="inlineStr">
        <is>
          <t>Bulk Processing</t>
        </is>
      </c>
      <c r="D325" s="12" t="inlineStr">
        <is>
          <t>Bulk Uploads</t>
        </is>
      </c>
      <c r="E325" s="12" t="inlineStr">
        <is>
          <t>BRD-1</t>
        </is>
      </c>
      <c r="F325" s="12" t="inlineStr"/>
    </row>
    <row r="326">
      <c r="A326" s="12" t="inlineStr">
        <is>
          <t>Commission user</t>
        </is>
      </c>
      <c r="B326" s="12" t="inlineStr">
        <is>
          <t>Operations</t>
        </is>
      </c>
      <c r="C326" s="12" t="inlineStr">
        <is>
          <t>Operations</t>
        </is>
      </c>
      <c r="D326" s="12" t="inlineStr">
        <is>
          <t>Operations Home</t>
        </is>
      </c>
      <c r="E326" s="12" t="inlineStr">
        <is>
          <t>BRD-2</t>
        </is>
      </c>
      <c r="F326" s="12" t="inlineStr"/>
    </row>
    <row r="327">
      <c r="A327" s="12" t="inlineStr">
        <is>
          <t>Commission user</t>
        </is>
      </c>
      <c r="B327" s="12" t="inlineStr">
        <is>
          <t>Operations</t>
        </is>
      </c>
      <c r="C327" s="12" t="inlineStr">
        <is>
          <t>Operations</t>
        </is>
      </c>
      <c r="D327" s="12" t="inlineStr">
        <is>
          <t>Invoice Search</t>
        </is>
      </c>
      <c r="E327" s="12" t="inlineStr">
        <is>
          <t>BRD-2</t>
        </is>
      </c>
      <c r="F327" s="12" t="inlineStr"/>
    </row>
    <row r="328">
      <c r="A328" s="12" t="inlineStr">
        <is>
          <t>Commission user</t>
        </is>
      </c>
      <c r="B328" s="12" t="inlineStr">
        <is>
          <t>Operations</t>
        </is>
      </c>
      <c r="C328" s="12" t="inlineStr">
        <is>
          <t>Operations</t>
        </is>
      </c>
      <c r="D328" s="12" t="inlineStr">
        <is>
          <t>Hand-offs and Extracts</t>
        </is>
      </c>
      <c r="E328" s="12" t="inlineStr">
        <is>
          <t>BRD-2</t>
        </is>
      </c>
      <c r="F328" s="12" t="inlineStr"/>
    </row>
    <row r="329">
      <c r="A329" s="12" t="inlineStr">
        <is>
          <t>Commission user</t>
        </is>
      </c>
      <c r="B329" s="12" t="inlineStr">
        <is>
          <t>Operations</t>
        </is>
      </c>
      <c r="C329" s="12" t="inlineStr">
        <is>
          <t>Operations</t>
        </is>
      </c>
      <c r="D329" s="12" t="inlineStr">
        <is>
          <t>Report Archive</t>
        </is>
      </c>
      <c r="E329" s="12" t="inlineStr">
        <is>
          <t>BRD-2</t>
        </is>
      </c>
      <c r="F329" s="12" t="inlineStr"/>
    </row>
    <row r="330">
      <c r="A330" s="12" t="inlineStr">
        <is>
          <t>Commission user</t>
        </is>
      </c>
      <c r="B330" s="12" t="inlineStr">
        <is>
          <t>Operations</t>
        </is>
      </c>
      <c r="C330" s="12" t="inlineStr">
        <is>
          <t>Operations</t>
        </is>
      </c>
      <c r="D330" s="12" t="inlineStr">
        <is>
          <t>Notification Settings</t>
        </is>
      </c>
      <c r="E330" s="12" t="inlineStr">
        <is>
          <t>BRD-2</t>
        </is>
      </c>
      <c r="F330" s="12" t="inlineStr"/>
    </row>
    <row r="331">
      <c r="A331" s="12" t="inlineStr">
        <is>
          <t>Commission user</t>
        </is>
      </c>
      <c r="B331" s="12" t="inlineStr">
        <is>
          <t>Finance</t>
        </is>
      </c>
      <c r="C331" s="12" t="inlineStr">
        <is>
          <t>Cashiering</t>
        </is>
      </c>
      <c r="D331" s="12" t="inlineStr">
        <is>
          <t>Legacy PR 2307 Reversal</t>
        </is>
      </c>
      <c r="E331" s="12" t="inlineStr">
        <is>
          <t>BRD-2</t>
        </is>
      </c>
      <c r="F331" s="12" t="inlineStr"/>
    </row>
    <row r="332">
      <c r="A332" s="12" t="inlineStr">
        <is>
          <t>Commission user</t>
        </is>
      </c>
      <c r="B332" s="12" t="inlineStr">
        <is>
          <t>Finance</t>
        </is>
      </c>
      <c r="C332" s="12" t="inlineStr">
        <is>
          <t>Commission Receivables</t>
        </is>
      </c>
      <c r="D332" s="12" t="inlineStr">
        <is>
          <t>Commission Workbench</t>
        </is>
      </c>
      <c r="E332" s="12" t="inlineStr">
        <is>
          <t>BRD-2 / BRD-4</t>
        </is>
      </c>
      <c r="F332" s="12" t="inlineStr"/>
    </row>
    <row r="333">
      <c r="A333" s="12" t="inlineStr">
        <is>
          <t>Commission user</t>
        </is>
      </c>
      <c r="B333" s="12" t="inlineStr">
        <is>
          <t>Finance</t>
        </is>
      </c>
      <c r="C333" s="12" t="inlineStr">
        <is>
          <t>Commission Receivables</t>
        </is>
      </c>
      <c r="D333" s="12" t="inlineStr">
        <is>
          <t>DP Lists</t>
        </is>
      </c>
      <c r="E333" s="12" t="inlineStr">
        <is>
          <t>BRD-2 / BRD-4</t>
        </is>
      </c>
      <c r="F333" s="12" t="inlineStr"/>
    </row>
    <row r="334">
      <c r="A334" s="12" t="inlineStr">
        <is>
          <t>Commission user</t>
        </is>
      </c>
      <c r="B334" s="12" t="inlineStr">
        <is>
          <t>Finance</t>
        </is>
      </c>
      <c r="C334" s="12" t="inlineStr">
        <is>
          <t>Commission Receivables</t>
        </is>
      </c>
      <c r="D334" s="12" t="inlineStr">
        <is>
          <t>DP Accounts</t>
        </is>
      </c>
      <c r="E334" s="12" t="inlineStr">
        <is>
          <t>BRD-2 / BRD-4</t>
        </is>
      </c>
      <c r="F334" s="12" t="inlineStr"/>
    </row>
    <row r="335">
      <c r="A335" s="12" t="inlineStr">
        <is>
          <t>Commission user</t>
        </is>
      </c>
      <c r="B335" s="12" t="inlineStr">
        <is>
          <t>Finance</t>
        </is>
      </c>
      <c r="C335" s="12" t="inlineStr">
        <is>
          <t>Commission Receivables</t>
        </is>
      </c>
      <c r="D335" s="12" t="inlineStr">
        <is>
          <t>DP Billings</t>
        </is>
      </c>
      <c r="E335" s="12" t="inlineStr">
        <is>
          <t>BRD-2 / BRD-4</t>
        </is>
      </c>
      <c r="F335" s="12" t="inlineStr"/>
    </row>
    <row r="336">
      <c r="A336" s="12" t="inlineStr">
        <is>
          <t>Commission user</t>
        </is>
      </c>
      <c r="B336" s="12" t="inlineStr">
        <is>
          <t>Finance</t>
        </is>
      </c>
      <c r="C336" s="12" t="inlineStr">
        <is>
          <t>Commission Receivables</t>
        </is>
      </c>
      <c r="D336" s="12" t="inlineStr">
        <is>
          <t>Insurer Responses</t>
        </is>
      </c>
      <c r="E336" s="12" t="inlineStr">
        <is>
          <t>BRD-2 / BRD-4</t>
        </is>
      </c>
      <c r="F336" s="12" t="inlineStr"/>
    </row>
    <row r="337">
      <c r="A337" s="12" t="inlineStr">
        <is>
          <t>Commission user</t>
        </is>
      </c>
      <c r="B337" s="12" t="inlineStr">
        <is>
          <t>Finance</t>
        </is>
      </c>
      <c r="C337" s="12" t="inlineStr">
        <is>
          <t>Commission Receivables</t>
        </is>
      </c>
      <c r="D337" s="12" t="inlineStr">
        <is>
          <t>Incentive Schemes</t>
        </is>
      </c>
      <c r="E337" s="12" t="inlineStr">
        <is>
          <t>BRD-2 / BRD-4</t>
        </is>
      </c>
      <c r="F337" s="12" t="inlineStr"/>
    </row>
    <row r="338">
      <c r="A338" s="12" t="inlineStr">
        <is>
          <t>Commission user</t>
        </is>
      </c>
      <c r="B338" s="12" t="inlineStr">
        <is>
          <t>Finance</t>
        </is>
      </c>
      <c r="C338" s="12" t="inlineStr">
        <is>
          <t>Commission Receivables</t>
        </is>
      </c>
      <c r="D338" s="12" t="inlineStr">
        <is>
          <t>Incentive Runs</t>
        </is>
      </c>
      <c r="E338" s="12" t="inlineStr">
        <is>
          <t>BRD-2 / BRD-4</t>
        </is>
      </c>
      <c r="F338" s="12" t="inlineStr"/>
    </row>
    <row r="339">
      <c r="A339" s="12" t="inlineStr">
        <is>
          <t>Commission user</t>
        </is>
      </c>
      <c r="B339" s="12" t="inlineStr">
        <is>
          <t>Finance</t>
        </is>
      </c>
      <c r="C339" s="12" t="inlineStr">
        <is>
          <t>Commission Receivables</t>
        </is>
      </c>
      <c r="D339" s="12" t="inlineStr">
        <is>
          <t>BIR Certificates</t>
        </is>
      </c>
      <c r="E339" s="12" t="inlineStr">
        <is>
          <t>BRD-2 / BRD-4</t>
        </is>
      </c>
      <c r="F339" s="12" t="inlineStr"/>
    </row>
    <row r="340">
      <c r="A340" s="12" t="inlineStr">
        <is>
          <t>Commission user</t>
        </is>
      </c>
      <c r="B340" s="12" t="inlineStr">
        <is>
          <t>Finance</t>
        </is>
      </c>
      <c r="C340" s="12" t="inlineStr">
        <is>
          <t>Commission Receivables</t>
        </is>
      </c>
      <c r="D340" s="12" t="inlineStr">
        <is>
          <t>DP PR Legacy Reversal</t>
        </is>
      </c>
      <c r="E340" s="12" t="inlineStr">
        <is>
          <t>BRD-2 / BRD-4</t>
        </is>
      </c>
      <c r="F340" s="12" t="inlineStr"/>
    </row>
    <row r="341">
      <c r="A341" s="12" t="inlineStr">
        <is>
          <t>Commission user</t>
        </is>
      </c>
      <c r="B341" s="12" t="inlineStr">
        <is>
          <t>Finance</t>
        </is>
      </c>
      <c r="C341" s="12" t="inlineStr">
        <is>
          <t>Commission Receivables</t>
        </is>
      </c>
      <c r="D341" s="12" t="inlineStr">
        <is>
          <t>Estimated Items</t>
        </is>
      </c>
      <c r="E341" s="12" t="inlineStr">
        <is>
          <t>BRD-2 / BRD-4</t>
        </is>
      </c>
      <c r="F341" s="12" t="inlineStr"/>
    </row>
    <row r="342">
      <c r="A342" s="12" t="inlineStr">
        <is>
          <t>Commission user</t>
        </is>
      </c>
      <c r="B342" s="12" t="inlineStr">
        <is>
          <t>Reports</t>
        </is>
      </c>
      <c r="C342" s="12" t="inlineStr">
        <is>
          <t>New Business Reports</t>
        </is>
      </c>
      <c r="D342" s="12" t="inlineStr">
        <is>
          <t>New Business Reports</t>
        </is>
      </c>
      <c r="E342" s="12" t="inlineStr">
        <is>
          <t>BRD-1</t>
        </is>
      </c>
      <c r="F342" s="12" t="inlineStr"/>
    </row>
    <row r="343">
      <c r="A343" s="12" t="inlineStr">
        <is>
          <t>Commission user</t>
        </is>
      </c>
      <c r="B343" s="12" t="inlineStr">
        <is>
          <t>Reports</t>
        </is>
      </c>
      <c r="C343" s="12" t="inlineStr">
        <is>
          <t>Reports</t>
        </is>
      </c>
      <c r="D343" s="12" t="inlineStr">
        <is>
          <t>Report Centre</t>
        </is>
      </c>
      <c r="E343" s="12" t="inlineStr">
        <is>
          <t>Platform</t>
        </is>
      </c>
      <c r="F343" s="12" t="inlineStr"/>
    </row>
    <row r="344">
      <c r="A344" s="12" t="inlineStr">
        <is>
          <t>Commission user</t>
        </is>
      </c>
      <c r="B344" s="12" t="inlineStr">
        <is>
          <t>Setup &amp; Administration</t>
        </is>
      </c>
      <c r="C344" s="12" t="inlineStr">
        <is>
          <t>Help</t>
        </is>
      </c>
      <c r="D344" s="12" t="inlineStr">
        <is>
          <t>Help Center</t>
        </is>
      </c>
      <c r="E344" s="12" t="inlineStr">
        <is>
          <t>Platform</t>
        </is>
      </c>
      <c r="F344" s="12" t="inlineStr"/>
    </row>
    <row r="345">
      <c r="A345" s="12" t="inlineStr">
        <is>
          <t>Commission user</t>
        </is>
      </c>
      <c r="B345" s="12" t="inlineStr">
        <is>
          <t>Setup &amp; Administration</t>
        </is>
      </c>
      <c r="C345" s="12" t="inlineStr">
        <is>
          <t>Help</t>
        </is>
      </c>
      <c r="D345" s="12" t="inlineStr">
        <is>
          <t>My Profile</t>
        </is>
      </c>
      <c r="E345" s="12" t="inlineStr">
        <is>
          <t>Platform</t>
        </is>
      </c>
      <c r="F345" s="12" t="inlineStr"/>
    </row>
    <row r="346">
      <c r="A346" s="12" t="inlineStr">
        <is>
          <t>Commission team lead</t>
        </is>
      </c>
      <c r="B346" s="12" t="inlineStr">
        <is>
          <t>Home</t>
        </is>
      </c>
      <c r="C346" s="12" t="inlineStr">
        <is>
          <t>Overview</t>
        </is>
      </c>
      <c r="D346" s="12" t="inlineStr">
        <is>
          <t>My Approvals</t>
        </is>
      </c>
      <c r="E346" s="12" t="inlineStr">
        <is>
          <t>Platform</t>
        </is>
      </c>
      <c r="F346" s="12" t="inlineStr"/>
    </row>
    <row r="347">
      <c r="A347" s="12" t="inlineStr">
        <is>
          <t>Commission team lead</t>
        </is>
      </c>
      <c r="B347" s="12" t="inlineStr">
        <is>
          <t>Home</t>
        </is>
      </c>
      <c r="C347" s="12" t="inlineStr">
        <is>
          <t>New Business Dashboard</t>
        </is>
      </c>
      <c r="D347" s="12" t="inlineStr">
        <is>
          <t>NB Dashboard</t>
        </is>
      </c>
      <c r="E347" s="12" t="inlineStr">
        <is>
          <t>BRD-1</t>
        </is>
      </c>
      <c r="F347" s="12" t="inlineStr"/>
    </row>
    <row r="348">
      <c r="A348" s="12" t="inlineStr">
        <is>
          <t>Commission team lead</t>
        </is>
      </c>
      <c r="B348" s="12" t="inlineStr">
        <is>
          <t>Home</t>
        </is>
      </c>
      <c r="C348" s="12" t="inlineStr">
        <is>
          <t>My Work</t>
        </is>
      </c>
      <c r="D348" s="12" t="inlineStr">
        <is>
          <t>My Work</t>
        </is>
      </c>
      <c r="E348" s="12" t="inlineStr">
        <is>
          <t>BRD-1</t>
        </is>
      </c>
      <c r="F348" s="12" t="inlineStr"/>
    </row>
    <row r="349">
      <c r="A349" s="12" t="inlineStr">
        <is>
          <t>Commission team lead</t>
        </is>
      </c>
      <c r="B349" s="12" t="inlineStr">
        <is>
          <t>Client &amp; Policy</t>
        </is>
      </c>
      <c r="C349" s="12" t="inlineStr">
        <is>
          <t>Clients</t>
        </is>
      </c>
      <c r="D349" s="12" t="inlineStr">
        <is>
          <t>Clients</t>
        </is>
      </c>
      <c r="E349" s="12" t="inlineStr">
        <is>
          <t>BRD-1</t>
        </is>
      </c>
      <c r="F349" s="12" t="inlineStr"/>
    </row>
    <row r="350">
      <c r="A350" s="12" t="inlineStr">
        <is>
          <t>Commission team lead</t>
        </is>
      </c>
      <c r="B350" s="12" t="inlineStr">
        <is>
          <t>Client &amp; Policy</t>
        </is>
      </c>
      <c r="C350" s="12" t="inlineStr">
        <is>
          <t>Clients</t>
        </is>
      </c>
      <c r="D350" s="12" t="inlineStr">
        <is>
          <t>KYC Reviews Due</t>
        </is>
      </c>
      <c r="E350" s="12" t="inlineStr">
        <is>
          <t>BRD-1</t>
        </is>
      </c>
      <c r="F350" s="12" t="inlineStr"/>
    </row>
    <row r="351">
      <c r="A351" s="12" t="inlineStr">
        <is>
          <t>Commission team lead</t>
        </is>
      </c>
      <c r="B351" s="12" t="inlineStr">
        <is>
          <t>Client &amp; Policy</t>
        </is>
      </c>
      <c r="C351" s="12" t="inlineStr">
        <is>
          <t>Accounts &amp; Placement</t>
        </is>
      </c>
      <c r="D351" s="12" t="inlineStr">
        <is>
          <t>Accounts</t>
        </is>
      </c>
      <c r="E351" s="12" t="inlineStr">
        <is>
          <t>BRD-1</t>
        </is>
      </c>
      <c r="F351" s="12" t="inlineStr"/>
    </row>
    <row r="352">
      <c r="A352" s="12" t="inlineStr">
        <is>
          <t>Commission team lead</t>
        </is>
      </c>
      <c r="B352" s="12" t="inlineStr">
        <is>
          <t>Client &amp; Policy</t>
        </is>
      </c>
      <c r="C352" s="12" t="inlineStr">
        <is>
          <t>Accounts &amp; Placement</t>
        </is>
      </c>
      <c r="D352" s="12" t="inlineStr">
        <is>
          <t>FFY Register</t>
        </is>
      </c>
      <c r="E352" s="12" t="inlineStr">
        <is>
          <t>BRD-1</t>
        </is>
      </c>
      <c r="F352" s="12" t="inlineStr"/>
    </row>
    <row r="353">
      <c r="A353" s="12" t="inlineStr">
        <is>
          <t>Commission team lead</t>
        </is>
      </c>
      <c r="B353" s="12" t="inlineStr">
        <is>
          <t>Client &amp; Policy</t>
        </is>
      </c>
      <c r="C353" s="12" t="inlineStr">
        <is>
          <t>Accounts &amp; Placement</t>
        </is>
      </c>
      <c r="D353" s="12" t="inlineStr">
        <is>
          <t>Direct Payment</t>
        </is>
      </c>
      <c r="E353" s="12" t="inlineStr">
        <is>
          <t>BRD-1</t>
        </is>
      </c>
      <c r="F353" s="12" t="inlineStr"/>
    </row>
    <row r="354">
      <c r="A354" s="12" t="inlineStr">
        <is>
          <t>Commission team lead</t>
        </is>
      </c>
      <c r="B354" s="12" t="inlineStr">
        <is>
          <t>Client &amp; Policy</t>
        </is>
      </c>
      <c r="C354" s="12" t="inlineStr">
        <is>
          <t>Placement &amp; Booking</t>
        </is>
      </c>
      <c r="D354" s="12" t="inlineStr">
        <is>
          <t>Placement Workbench</t>
        </is>
      </c>
      <c r="E354" s="12" t="inlineStr">
        <is>
          <t>BRD-1</t>
        </is>
      </c>
      <c r="F354" s="12" t="inlineStr"/>
    </row>
    <row r="355">
      <c r="A355" s="12" t="inlineStr">
        <is>
          <t>Commission team lead</t>
        </is>
      </c>
      <c r="B355" s="12" t="inlineStr">
        <is>
          <t>Client &amp; Policy</t>
        </is>
      </c>
      <c r="C355" s="12" t="inlineStr">
        <is>
          <t>Placement &amp; Booking</t>
        </is>
      </c>
      <c r="D355" s="12" t="inlineStr">
        <is>
          <t>Placement Slips</t>
        </is>
      </c>
      <c r="E355" s="12" t="inlineStr">
        <is>
          <t>BRD-1</t>
        </is>
      </c>
      <c r="F355" s="12" t="inlineStr"/>
    </row>
    <row r="356">
      <c r="A356" s="12" t="inlineStr">
        <is>
          <t>Commission team lead</t>
        </is>
      </c>
      <c r="B356" s="12" t="inlineStr">
        <is>
          <t>Client &amp; Policy</t>
        </is>
      </c>
      <c r="C356" s="12" t="inlineStr">
        <is>
          <t>Policy Issuance</t>
        </is>
      </c>
      <c r="D356" s="12" t="inlineStr">
        <is>
          <t>Issuance Workbench</t>
        </is>
      </c>
      <c r="E356" s="12" t="inlineStr">
        <is>
          <t>BRD-1</t>
        </is>
      </c>
      <c r="F356" s="12" t="inlineStr"/>
    </row>
    <row r="357">
      <c r="A357" s="12" t="inlineStr">
        <is>
          <t>Commission team lead</t>
        </is>
      </c>
      <c r="B357" s="12" t="inlineStr">
        <is>
          <t>Client &amp; Policy</t>
        </is>
      </c>
      <c r="C357" s="12" t="inlineStr">
        <is>
          <t>Policy Issuance</t>
        </is>
      </c>
      <c r="D357" s="12" t="inlineStr">
        <is>
          <t>Insurance Advice</t>
        </is>
      </c>
      <c r="E357" s="12" t="inlineStr">
        <is>
          <t>BRD-1</t>
        </is>
      </c>
      <c r="F357" s="12" t="inlineStr"/>
    </row>
    <row r="358">
      <c r="A358" s="12" t="inlineStr">
        <is>
          <t>Commission team lead</t>
        </is>
      </c>
      <c r="B358" s="12" t="inlineStr">
        <is>
          <t>Client &amp; Policy</t>
        </is>
      </c>
      <c r="C358" s="12" t="inlineStr">
        <is>
          <t>Product Maintenance</t>
        </is>
      </c>
      <c r="D358" s="12" t="inlineStr">
        <is>
          <t>Premium Calculator</t>
        </is>
      </c>
      <c r="E358" s="12" t="inlineStr">
        <is>
          <t>BRD-3</t>
        </is>
      </c>
      <c r="F358" s="12" t="inlineStr"/>
    </row>
    <row r="359">
      <c r="A359" s="12" t="inlineStr">
        <is>
          <t>Commission team lead</t>
        </is>
      </c>
      <c r="B359" s="12" t="inlineStr">
        <is>
          <t>Client &amp; Policy</t>
        </is>
      </c>
      <c r="C359" s="12" t="inlineStr">
        <is>
          <t>Bulk Processing</t>
        </is>
      </c>
      <c r="D359" s="12" t="inlineStr">
        <is>
          <t>Bulk Uploads</t>
        </is>
      </c>
      <c r="E359" s="12" t="inlineStr">
        <is>
          <t>BRD-1</t>
        </is>
      </c>
      <c r="F359" s="12" t="inlineStr"/>
    </row>
    <row r="360">
      <c r="A360" s="12" t="inlineStr">
        <is>
          <t>Commission team lead</t>
        </is>
      </c>
      <c r="B360" s="12" t="inlineStr">
        <is>
          <t>Operations</t>
        </is>
      </c>
      <c r="C360" s="12" t="inlineStr">
        <is>
          <t>Operations</t>
        </is>
      </c>
      <c r="D360" s="12" t="inlineStr">
        <is>
          <t>Operations Home</t>
        </is>
      </c>
      <c r="E360" s="12" t="inlineStr">
        <is>
          <t>BRD-2</t>
        </is>
      </c>
      <c r="F360" s="12" t="inlineStr"/>
    </row>
    <row r="361">
      <c r="A361" s="12" t="inlineStr">
        <is>
          <t>Commission team lead</t>
        </is>
      </c>
      <c r="B361" s="12" t="inlineStr">
        <is>
          <t>Operations</t>
        </is>
      </c>
      <c r="C361" s="12" t="inlineStr">
        <is>
          <t>Operations</t>
        </is>
      </c>
      <c r="D361" s="12" t="inlineStr">
        <is>
          <t>Invoice Search</t>
        </is>
      </c>
      <c r="E361" s="12" t="inlineStr">
        <is>
          <t>BRD-2</t>
        </is>
      </c>
      <c r="F361" s="12" t="inlineStr"/>
    </row>
    <row r="362">
      <c r="A362" s="12" t="inlineStr">
        <is>
          <t>Commission team lead</t>
        </is>
      </c>
      <c r="B362" s="12" t="inlineStr">
        <is>
          <t>Operations</t>
        </is>
      </c>
      <c r="C362" s="12" t="inlineStr">
        <is>
          <t>Operations</t>
        </is>
      </c>
      <c r="D362" s="12" t="inlineStr">
        <is>
          <t>Hand-offs and Extracts</t>
        </is>
      </c>
      <c r="E362" s="12" t="inlineStr">
        <is>
          <t>BRD-2</t>
        </is>
      </c>
      <c r="F362" s="12" t="inlineStr"/>
    </row>
    <row r="363">
      <c r="A363" s="12" t="inlineStr">
        <is>
          <t>Commission team lead</t>
        </is>
      </c>
      <c r="B363" s="12" t="inlineStr">
        <is>
          <t>Operations</t>
        </is>
      </c>
      <c r="C363" s="12" t="inlineStr">
        <is>
          <t>Operations</t>
        </is>
      </c>
      <c r="D363" s="12" t="inlineStr">
        <is>
          <t>Report Archive</t>
        </is>
      </c>
      <c r="E363" s="12" t="inlineStr">
        <is>
          <t>BRD-2</t>
        </is>
      </c>
      <c r="F363" s="12" t="inlineStr"/>
    </row>
    <row r="364">
      <c r="A364" s="12" t="inlineStr">
        <is>
          <t>Commission team lead</t>
        </is>
      </c>
      <c r="B364" s="12" t="inlineStr">
        <is>
          <t>Operations</t>
        </is>
      </c>
      <c r="C364" s="12" t="inlineStr">
        <is>
          <t>Operations</t>
        </is>
      </c>
      <c r="D364" s="12" t="inlineStr">
        <is>
          <t>Notification Settings</t>
        </is>
      </c>
      <c r="E364" s="12" t="inlineStr">
        <is>
          <t>BRD-2</t>
        </is>
      </c>
      <c r="F364" s="12" t="inlineStr"/>
    </row>
    <row r="365">
      <c r="A365" s="12" t="inlineStr">
        <is>
          <t>Commission team lead</t>
        </is>
      </c>
      <c r="B365" s="12" t="inlineStr">
        <is>
          <t>Finance</t>
        </is>
      </c>
      <c r="C365" s="12" t="inlineStr">
        <is>
          <t>Cashiering</t>
        </is>
      </c>
      <c r="D365" s="12" t="inlineStr">
        <is>
          <t>Legacy PR 2307 Reversal</t>
        </is>
      </c>
      <c r="E365" s="12" t="inlineStr">
        <is>
          <t>BRD-2</t>
        </is>
      </c>
      <c r="F365" s="12" t="inlineStr"/>
    </row>
    <row r="366">
      <c r="A366" s="12" t="inlineStr">
        <is>
          <t>Commission team lead</t>
        </is>
      </c>
      <c r="B366" s="12" t="inlineStr">
        <is>
          <t>Finance</t>
        </is>
      </c>
      <c r="C366" s="12" t="inlineStr">
        <is>
          <t>Commission Receivables</t>
        </is>
      </c>
      <c r="D366" s="12" t="inlineStr">
        <is>
          <t>Commission Workbench</t>
        </is>
      </c>
      <c r="E366" s="12" t="inlineStr">
        <is>
          <t>BRD-2 / BRD-4</t>
        </is>
      </c>
      <c r="F366" s="12" t="inlineStr"/>
    </row>
    <row r="367">
      <c r="A367" s="12" t="inlineStr">
        <is>
          <t>Commission team lead</t>
        </is>
      </c>
      <c r="B367" s="12" t="inlineStr">
        <is>
          <t>Finance</t>
        </is>
      </c>
      <c r="C367" s="12" t="inlineStr">
        <is>
          <t>Commission Receivables</t>
        </is>
      </c>
      <c r="D367" s="12" t="inlineStr">
        <is>
          <t>DP Lists</t>
        </is>
      </c>
      <c r="E367" s="12" t="inlineStr">
        <is>
          <t>BRD-2 / BRD-4</t>
        </is>
      </c>
      <c r="F367" s="12" t="inlineStr"/>
    </row>
    <row r="368">
      <c r="A368" s="12" t="inlineStr">
        <is>
          <t>Commission team lead</t>
        </is>
      </c>
      <c r="B368" s="12" t="inlineStr">
        <is>
          <t>Finance</t>
        </is>
      </c>
      <c r="C368" s="12" t="inlineStr">
        <is>
          <t>Commission Receivables</t>
        </is>
      </c>
      <c r="D368" s="12" t="inlineStr">
        <is>
          <t>DP Accounts</t>
        </is>
      </c>
      <c r="E368" s="12" t="inlineStr">
        <is>
          <t>BRD-2 / BRD-4</t>
        </is>
      </c>
      <c r="F368" s="12" t="inlineStr"/>
    </row>
    <row r="369">
      <c r="A369" s="12" t="inlineStr">
        <is>
          <t>Commission team lead</t>
        </is>
      </c>
      <c r="B369" s="12" t="inlineStr">
        <is>
          <t>Finance</t>
        </is>
      </c>
      <c r="C369" s="12" t="inlineStr">
        <is>
          <t>Commission Receivables</t>
        </is>
      </c>
      <c r="D369" s="12" t="inlineStr">
        <is>
          <t>DP Billings</t>
        </is>
      </c>
      <c r="E369" s="12" t="inlineStr">
        <is>
          <t>BRD-2 / BRD-4</t>
        </is>
      </c>
      <c r="F369" s="12" t="inlineStr"/>
    </row>
    <row r="370">
      <c r="A370" s="12" t="inlineStr">
        <is>
          <t>Commission team lead</t>
        </is>
      </c>
      <c r="B370" s="12" t="inlineStr">
        <is>
          <t>Finance</t>
        </is>
      </c>
      <c r="C370" s="12" t="inlineStr">
        <is>
          <t>Commission Receivables</t>
        </is>
      </c>
      <c r="D370" s="12" t="inlineStr">
        <is>
          <t>Insurer Responses</t>
        </is>
      </c>
      <c r="E370" s="12" t="inlineStr">
        <is>
          <t>BRD-2 / BRD-4</t>
        </is>
      </c>
      <c r="F370" s="12" t="inlineStr"/>
    </row>
    <row r="371">
      <c r="A371" s="12" t="inlineStr">
        <is>
          <t>Commission team lead</t>
        </is>
      </c>
      <c r="B371" s="12" t="inlineStr">
        <is>
          <t>Finance</t>
        </is>
      </c>
      <c r="C371" s="12" t="inlineStr">
        <is>
          <t>Commission Receivables</t>
        </is>
      </c>
      <c r="D371" s="12" t="inlineStr">
        <is>
          <t>Incentive Schemes</t>
        </is>
      </c>
      <c r="E371" s="12" t="inlineStr">
        <is>
          <t>BRD-2 / BRD-4</t>
        </is>
      </c>
      <c r="F371" s="12" t="inlineStr"/>
    </row>
    <row r="372">
      <c r="A372" s="12" t="inlineStr">
        <is>
          <t>Commission team lead</t>
        </is>
      </c>
      <c r="B372" s="12" t="inlineStr">
        <is>
          <t>Finance</t>
        </is>
      </c>
      <c r="C372" s="12" t="inlineStr">
        <is>
          <t>Commission Receivables</t>
        </is>
      </c>
      <c r="D372" s="12" t="inlineStr">
        <is>
          <t>Incentive Runs</t>
        </is>
      </c>
      <c r="E372" s="12" t="inlineStr">
        <is>
          <t>BRD-2 / BRD-4</t>
        </is>
      </c>
      <c r="F372" s="12" t="inlineStr"/>
    </row>
    <row r="373">
      <c r="A373" s="12" t="inlineStr">
        <is>
          <t>Commission team lead</t>
        </is>
      </c>
      <c r="B373" s="12" t="inlineStr">
        <is>
          <t>Finance</t>
        </is>
      </c>
      <c r="C373" s="12" t="inlineStr">
        <is>
          <t>Commission Receivables</t>
        </is>
      </c>
      <c r="D373" s="12" t="inlineStr">
        <is>
          <t>BIR Certificates</t>
        </is>
      </c>
      <c r="E373" s="12" t="inlineStr">
        <is>
          <t>BRD-2 / BRD-4</t>
        </is>
      </c>
      <c r="F373" s="12" t="inlineStr"/>
    </row>
    <row r="374">
      <c r="A374" s="12" t="inlineStr">
        <is>
          <t>Commission team lead</t>
        </is>
      </c>
      <c r="B374" s="12" t="inlineStr">
        <is>
          <t>Finance</t>
        </is>
      </c>
      <c r="C374" s="12" t="inlineStr">
        <is>
          <t>Commission Receivables</t>
        </is>
      </c>
      <c r="D374" s="12" t="inlineStr">
        <is>
          <t>DP PR Legacy Reversal</t>
        </is>
      </c>
      <c r="E374" s="12" t="inlineStr">
        <is>
          <t>BRD-2 / BRD-4</t>
        </is>
      </c>
      <c r="F374" s="12" t="inlineStr"/>
    </row>
    <row r="375">
      <c r="A375" s="12" t="inlineStr">
        <is>
          <t>Commission team lead</t>
        </is>
      </c>
      <c r="B375" s="12" t="inlineStr">
        <is>
          <t>Finance</t>
        </is>
      </c>
      <c r="C375" s="12" t="inlineStr">
        <is>
          <t>Commission Receivables</t>
        </is>
      </c>
      <c r="D375" s="12" t="inlineStr">
        <is>
          <t>Estimated Items</t>
        </is>
      </c>
      <c r="E375" s="12" t="inlineStr">
        <is>
          <t>BRD-2 / BRD-4</t>
        </is>
      </c>
      <c r="F375" s="12" t="inlineStr"/>
    </row>
    <row r="376">
      <c r="A376" s="12" t="inlineStr">
        <is>
          <t>Commission team lead</t>
        </is>
      </c>
      <c r="B376" s="12" t="inlineStr">
        <is>
          <t>Reports</t>
        </is>
      </c>
      <c r="C376" s="12" t="inlineStr">
        <is>
          <t>New Business Reports</t>
        </is>
      </c>
      <c r="D376" s="12" t="inlineStr">
        <is>
          <t>New Business Reports</t>
        </is>
      </c>
      <c r="E376" s="12" t="inlineStr">
        <is>
          <t>BRD-1</t>
        </is>
      </c>
      <c r="F376" s="12" t="inlineStr"/>
    </row>
    <row r="377">
      <c r="A377" s="12" t="inlineStr">
        <is>
          <t>Commission team lead</t>
        </is>
      </c>
      <c r="B377" s="12" t="inlineStr">
        <is>
          <t>Reports</t>
        </is>
      </c>
      <c r="C377" s="12" t="inlineStr">
        <is>
          <t>New Business Reports</t>
        </is>
      </c>
      <c r="D377" s="12" t="inlineStr">
        <is>
          <t>Production Targets</t>
        </is>
      </c>
      <c r="E377" s="12" t="inlineStr">
        <is>
          <t>BRD-1</t>
        </is>
      </c>
      <c r="F377" s="12" t="inlineStr"/>
    </row>
    <row r="378">
      <c r="A378" s="12" t="inlineStr">
        <is>
          <t>Commission team lead</t>
        </is>
      </c>
      <c r="B378" s="12" t="inlineStr">
        <is>
          <t>Reports</t>
        </is>
      </c>
      <c r="C378" s="12" t="inlineStr">
        <is>
          <t>Reports</t>
        </is>
      </c>
      <c r="D378" s="12" t="inlineStr">
        <is>
          <t>Report Centre</t>
        </is>
      </c>
      <c r="E378" s="12" t="inlineStr">
        <is>
          <t>Platform</t>
        </is>
      </c>
      <c r="F378" s="12" t="inlineStr"/>
    </row>
    <row r="379">
      <c r="A379" s="12" t="inlineStr">
        <is>
          <t>Commission team lead</t>
        </is>
      </c>
      <c r="B379" s="12" t="inlineStr">
        <is>
          <t>Setup &amp; Administration</t>
        </is>
      </c>
      <c r="C379" s="12" t="inlineStr">
        <is>
          <t>Help</t>
        </is>
      </c>
      <c r="D379" s="12" t="inlineStr">
        <is>
          <t>Help Center</t>
        </is>
      </c>
      <c r="E379" s="12" t="inlineStr">
        <is>
          <t>Platform</t>
        </is>
      </c>
      <c r="F379" s="12" t="inlineStr"/>
    </row>
    <row r="380">
      <c r="A380" s="12" t="inlineStr">
        <is>
          <t>Commission team lead</t>
        </is>
      </c>
      <c r="B380" s="12" t="inlineStr">
        <is>
          <t>Setup &amp; Administration</t>
        </is>
      </c>
      <c r="C380" s="12" t="inlineStr">
        <is>
          <t>Help</t>
        </is>
      </c>
      <c r="D380" s="12" t="inlineStr">
        <is>
          <t>My Profile</t>
        </is>
      </c>
      <c r="E380" s="12" t="inlineStr">
        <is>
          <t>Platform</t>
        </is>
      </c>
      <c r="F380" s="12" t="inlineStr"/>
    </row>
    <row r="381">
      <c r="A381" s="12" t="inlineStr">
        <is>
          <t>Marketing Account Officer</t>
        </is>
      </c>
      <c r="B381" s="12" t="inlineStr">
        <is>
          <t>Home</t>
        </is>
      </c>
      <c r="C381" s="12" t="inlineStr">
        <is>
          <t>Overview</t>
        </is>
      </c>
      <c r="D381" s="12" t="inlineStr">
        <is>
          <t>My Approvals</t>
        </is>
      </c>
      <c r="E381" s="12" t="inlineStr">
        <is>
          <t>Platform</t>
        </is>
      </c>
      <c r="F381" s="12" t="inlineStr"/>
    </row>
    <row r="382">
      <c r="A382" s="12" t="inlineStr">
        <is>
          <t>Marketing Account Officer</t>
        </is>
      </c>
      <c r="B382" s="12" t="inlineStr">
        <is>
          <t>Home</t>
        </is>
      </c>
      <c r="C382" s="12" t="inlineStr">
        <is>
          <t>New Business Dashboard</t>
        </is>
      </c>
      <c r="D382" s="12" t="inlineStr">
        <is>
          <t>NB Dashboard</t>
        </is>
      </c>
      <c r="E382" s="12" t="inlineStr">
        <is>
          <t>BRD-1</t>
        </is>
      </c>
      <c r="F382" s="12" t="inlineStr"/>
    </row>
    <row r="383">
      <c r="A383" s="12" t="inlineStr">
        <is>
          <t>Marketing Account Officer</t>
        </is>
      </c>
      <c r="B383" s="12" t="inlineStr">
        <is>
          <t>Home</t>
        </is>
      </c>
      <c r="C383" s="12" t="inlineStr">
        <is>
          <t>My Work</t>
        </is>
      </c>
      <c r="D383" s="12" t="inlineStr">
        <is>
          <t>My Work</t>
        </is>
      </c>
      <c r="E383" s="12" t="inlineStr">
        <is>
          <t>BRD-1</t>
        </is>
      </c>
      <c r="F383" s="12" t="inlineStr"/>
    </row>
    <row r="384">
      <c r="A384" s="12" t="inlineStr">
        <is>
          <t>Marketing Account Officer</t>
        </is>
      </c>
      <c r="B384" s="12" t="inlineStr">
        <is>
          <t>Client &amp; Policy</t>
        </is>
      </c>
      <c r="C384" s="12" t="inlineStr">
        <is>
          <t>Clients</t>
        </is>
      </c>
      <c r="D384" s="12" t="inlineStr">
        <is>
          <t>Clients</t>
        </is>
      </c>
      <c r="E384" s="12" t="inlineStr">
        <is>
          <t>BRD-1</t>
        </is>
      </c>
      <c r="F384" s="12" t="inlineStr"/>
    </row>
    <row r="385">
      <c r="A385" s="12" t="inlineStr">
        <is>
          <t>Marketing Account Officer</t>
        </is>
      </c>
      <c r="B385" s="12" t="inlineStr">
        <is>
          <t>Client &amp; Policy</t>
        </is>
      </c>
      <c r="C385" s="12" t="inlineStr">
        <is>
          <t>Clients</t>
        </is>
      </c>
      <c r="D385" s="12" t="inlineStr">
        <is>
          <t>New Client</t>
        </is>
      </c>
      <c r="E385" s="12" t="inlineStr">
        <is>
          <t>BRD-1</t>
        </is>
      </c>
      <c r="F385" s="12" t="inlineStr"/>
    </row>
    <row r="386">
      <c r="A386" s="12" t="inlineStr">
        <is>
          <t>Marketing Account Officer</t>
        </is>
      </c>
      <c r="B386" s="12" t="inlineStr">
        <is>
          <t>Client &amp; Policy</t>
        </is>
      </c>
      <c r="C386" s="12" t="inlineStr">
        <is>
          <t>Clients</t>
        </is>
      </c>
      <c r="D386" s="12" t="inlineStr">
        <is>
          <t>KYC Reviews Due</t>
        </is>
      </c>
      <c r="E386" s="12" t="inlineStr">
        <is>
          <t>BRD-1</t>
        </is>
      </c>
      <c r="F386" s="12" t="inlineStr"/>
    </row>
    <row r="387">
      <c r="A387" s="12" t="inlineStr">
        <is>
          <t>Marketing Account Officer</t>
        </is>
      </c>
      <c r="B387" s="12" t="inlineStr">
        <is>
          <t>Client &amp; Policy</t>
        </is>
      </c>
      <c r="C387" s="12" t="inlineStr">
        <is>
          <t>Quotation / Proposal</t>
        </is>
      </c>
      <c r="D387" s="12" t="inlineStr">
        <is>
          <t>Quotations</t>
        </is>
      </c>
      <c r="E387" s="12" t="inlineStr">
        <is>
          <t>BRD-1</t>
        </is>
      </c>
      <c r="F387" s="12" t="inlineStr"/>
    </row>
    <row r="388">
      <c r="A388" s="12" t="inlineStr">
        <is>
          <t>Marketing Account Officer</t>
        </is>
      </c>
      <c r="B388" s="12" t="inlineStr">
        <is>
          <t>Client &amp; Policy</t>
        </is>
      </c>
      <c r="C388" s="12" t="inlineStr">
        <is>
          <t>Quotation / Proposal</t>
        </is>
      </c>
      <c r="D388" s="12" t="inlineStr">
        <is>
          <t>New Quotation</t>
        </is>
      </c>
      <c r="E388" s="12" t="inlineStr">
        <is>
          <t>BRD-1</t>
        </is>
      </c>
      <c r="F388" s="12" t="inlineStr"/>
    </row>
    <row r="389">
      <c r="A389" s="12" t="inlineStr">
        <is>
          <t>Marketing Account Officer</t>
        </is>
      </c>
      <c r="B389" s="12" t="inlineStr">
        <is>
          <t>Client &amp; Policy</t>
        </is>
      </c>
      <c r="C389" s="12" t="inlineStr">
        <is>
          <t>Quotation / Proposal</t>
        </is>
      </c>
      <c r="D389" s="12" t="inlineStr">
        <is>
          <t>Quotation Requests</t>
        </is>
      </c>
      <c r="E389" s="12" t="inlineStr">
        <is>
          <t>BRD-1</t>
        </is>
      </c>
      <c r="F389" s="12" t="inlineStr"/>
    </row>
    <row r="390">
      <c r="A390" s="12" t="inlineStr">
        <is>
          <t>Marketing Account Officer</t>
        </is>
      </c>
      <c r="B390" s="12" t="inlineStr">
        <is>
          <t>Client &amp; Policy</t>
        </is>
      </c>
      <c r="C390" s="12" t="inlineStr">
        <is>
          <t>Accounts &amp; Placement</t>
        </is>
      </c>
      <c r="D390" s="12" t="inlineStr">
        <is>
          <t>Accounts</t>
        </is>
      </c>
      <c r="E390" s="12" t="inlineStr">
        <is>
          <t>BRD-1</t>
        </is>
      </c>
      <c r="F390" s="12" t="inlineStr"/>
    </row>
    <row r="391">
      <c r="A391" s="12" t="inlineStr">
        <is>
          <t>Marketing Account Officer</t>
        </is>
      </c>
      <c r="B391" s="12" t="inlineStr">
        <is>
          <t>Client &amp; Policy</t>
        </is>
      </c>
      <c r="C391" s="12" t="inlineStr">
        <is>
          <t>Accounts &amp; Placement</t>
        </is>
      </c>
      <c r="D391" s="12" t="inlineStr">
        <is>
          <t>New Account</t>
        </is>
      </c>
      <c r="E391" s="12" t="inlineStr">
        <is>
          <t>BRD-1</t>
        </is>
      </c>
      <c r="F391" s="12" t="inlineStr"/>
    </row>
    <row r="392">
      <c r="A392" s="12" t="inlineStr">
        <is>
          <t>Marketing Account Officer</t>
        </is>
      </c>
      <c r="B392" s="12" t="inlineStr">
        <is>
          <t>Client &amp; Policy</t>
        </is>
      </c>
      <c r="C392" s="12" t="inlineStr">
        <is>
          <t>Accounts &amp; Placement</t>
        </is>
      </c>
      <c r="D392" s="12" t="inlineStr">
        <is>
          <t>FFY Register</t>
        </is>
      </c>
      <c r="E392" s="12" t="inlineStr">
        <is>
          <t>BRD-1</t>
        </is>
      </c>
      <c r="F392" s="12" t="inlineStr"/>
    </row>
    <row r="393">
      <c r="A393" s="12" t="inlineStr">
        <is>
          <t>Marketing Account Officer</t>
        </is>
      </c>
      <c r="B393" s="12" t="inlineStr">
        <is>
          <t>Client &amp; Policy</t>
        </is>
      </c>
      <c r="C393" s="12" t="inlineStr">
        <is>
          <t>Accounts &amp; Placement</t>
        </is>
      </c>
      <c r="D393" s="12" t="inlineStr">
        <is>
          <t>Direct Payment</t>
        </is>
      </c>
      <c r="E393" s="12" t="inlineStr">
        <is>
          <t>BRD-1</t>
        </is>
      </c>
      <c r="F393" s="12" t="inlineStr"/>
    </row>
    <row r="394">
      <c r="A394" s="12" t="inlineStr">
        <is>
          <t>Marketing Account Officer</t>
        </is>
      </c>
      <c r="B394" s="12" t="inlineStr">
        <is>
          <t>Client &amp; Policy</t>
        </is>
      </c>
      <c r="C394" s="12" t="inlineStr">
        <is>
          <t>Non-Package Management</t>
        </is>
      </c>
      <c r="D394" s="12" t="inlineStr">
        <is>
          <t>Proposal Requests</t>
        </is>
      </c>
      <c r="E394" s="12" t="inlineStr">
        <is>
          <t>BRD-1</t>
        </is>
      </c>
      <c r="F394" s="12" t="inlineStr"/>
    </row>
    <row r="395">
      <c r="A395" s="12" t="inlineStr">
        <is>
          <t>Marketing Account Officer</t>
        </is>
      </c>
      <c r="B395" s="12" t="inlineStr">
        <is>
          <t>Client &amp; Policy</t>
        </is>
      </c>
      <c r="C395" s="12" t="inlineStr">
        <is>
          <t>Non-Package Management</t>
        </is>
      </c>
      <c r="D395" s="12" t="inlineStr">
        <is>
          <t>New Proposal Request</t>
        </is>
      </c>
      <c r="E395" s="12" t="inlineStr">
        <is>
          <t>BRD-1</t>
        </is>
      </c>
      <c r="F395" s="12" t="inlineStr"/>
    </row>
    <row r="396">
      <c r="A396" s="12" t="inlineStr">
        <is>
          <t>Marketing Account Officer</t>
        </is>
      </c>
      <c r="B396" s="12" t="inlineStr">
        <is>
          <t>Client &amp; Policy</t>
        </is>
      </c>
      <c r="C396" s="12" t="inlineStr">
        <is>
          <t>Placement &amp; Booking</t>
        </is>
      </c>
      <c r="D396" s="12" t="inlineStr">
        <is>
          <t>Placement Workbench</t>
        </is>
      </c>
      <c r="E396" s="12" t="inlineStr">
        <is>
          <t>BRD-1</t>
        </is>
      </c>
      <c r="F396" s="12" t="inlineStr"/>
    </row>
    <row r="397">
      <c r="A397" s="12" t="inlineStr">
        <is>
          <t>Marketing Account Officer</t>
        </is>
      </c>
      <c r="B397" s="12" t="inlineStr">
        <is>
          <t>Client &amp; Policy</t>
        </is>
      </c>
      <c r="C397" s="12" t="inlineStr">
        <is>
          <t>Placement &amp; Booking</t>
        </is>
      </c>
      <c r="D397" s="12" t="inlineStr">
        <is>
          <t>Placement Slips</t>
        </is>
      </c>
      <c r="E397" s="12" t="inlineStr">
        <is>
          <t>BRD-1</t>
        </is>
      </c>
      <c r="F397" s="12" t="inlineStr"/>
    </row>
    <row r="398">
      <c r="A398" s="12" t="inlineStr">
        <is>
          <t>Marketing Account Officer</t>
        </is>
      </c>
      <c r="B398" s="12" t="inlineStr">
        <is>
          <t>Client &amp; Policy</t>
        </is>
      </c>
      <c r="C398" s="12" t="inlineStr">
        <is>
          <t>Policy Issuance</t>
        </is>
      </c>
      <c r="D398" s="12" t="inlineStr">
        <is>
          <t>Issuance Workbench</t>
        </is>
      </c>
      <c r="E398" s="12" t="inlineStr">
        <is>
          <t>BRD-1</t>
        </is>
      </c>
      <c r="F398" s="12" t="inlineStr"/>
    </row>
    <row r="399">
      <c r="A399" s="12" t="inlineStr">
        <is>
          <t>Marketing Account Officer</t>
        </is>
      </c>
      <c r="B399" s="12" t="inlineStr">
        <is>
          <t>Client &amp; Policy</t>
        </is>
      </c>
      <c r="C399" s="12" t="inlineStr">
        <is>
          <t>Policy Issuance</t>
        </is>
      </c>
      <c r="D399" s="12" t="inlineStr">
        <is>
          <t>Insurance Advice</t>
        </is>
      </c>
      <c r="E399" s="12" t="inlineStr">
        <is>
          <t>BRD-1</t>
        </is>
      </c>
      <c r="F399" s="12" t="inlineStr"/>
    </row>
    <row r="400">
      <c r="A400" s="12" t="inlineStr">
        <is>
          <t>Marketing Account Officer</t>
        </is>
      </c>
      <c r="B400" s="12" t="inlineStr">
        <is>
          <t>Client &amp; Policy</t>
        </is>
      </c>
      <c r="C400" s="12" t="inlineStr">
        <is>
          <t>Renewal</t>
        </is>
      </c>
      <c r="D400" s="12" t="inlineStr">
        <is>
          <t>Renewal Home</t>
        </is>
      </c>
      <c r="E400" s="12" t="inlineStr">
        <is>
          <t>BRD-6</t>
        </is>
      </c>
      <c r="F400" s="12" t="inlineStr"/>
    </row>
    <row r="401">
      <c r="A401" s="12" t="inlineStr">
        <is>
          <t>Marketing Account Officer</t>
        </is>
      </c>
      <c r="B401" s="12" t="inlineStr">
        <is>
          <t>Client &amp; Policy</t>
        </is>
      </c>
      <c r="C401" s="12" t="inlineStr">
        <is>
          <t>Renewal</t>
        </is>
      </c>
      <c r="D401" s="12" t="inlineStr">
        <is>
          <t>Expiry List</t>
        </is>
      </c>
      <c r="E401" s="12" t="inlineStr">
        <is>
          <t>BRD-6</t>
        </is>
      </c>
      <c r="F401" s="12" t="inlineStr"/>
    </row>
    <row r="402">
      <c r="A402" s="12" t="inlineStr">
        <is>
          <t>Marketing Account Officer</t>
        </is>
      </c>
      <c r="B402" s="12" t="inlineStr">
        <is>
          <t>Client &amp; Policy</t>
        </is>
      </c>
      <c r="C402" s="12" t="inlineStr">
        <is>
          <t>Renewal</t>
        </is>
      </c>
      <c r="D402" s="12" t="inlineStr">
        <is>
          <t>My Dispositions</t>
        </is>
      </c>
      <c r="E402" s="12" t="inlineStr">
        <is>
          <t>BRD-6</t>
        </is>
      </c>
      <c r="F402" s="12" t="inlineStr"/>
    </row>
    <row r="403">
      <c r="A403" s="12" t="inlineStr">
        <is>
          <t>Marketing Account Officer</t>
        </is>
      </c>
      <c r="B403" s="12" t="inlineStr">
        <is>
          <t>Client &amp; Policy</t>
        </is>
      </c>
      <c r="C403" s="12" t="inlineStr">
        <is>
          <t>Renewal</t>
        </is>
      </c>
      <c r="D403" s="12" t="inlineStr">
        <is>
          <t>Transfers</t>
        </is>
      </c>
      <c r="E403" s="12" t="inlineStr">
        <is>
          <t>BRD-6</t>
        </is>
      </c>
      <c r="F403" s="12" t="inlineStr"/>
    </row>
    <row r="404">
      <c r="A404" s="12" t="inlineStr">
        <is>
          <t>Marketing Account Officer</t>
        </is>
      </c>
      <c r="B404" s="12" t="inlineStr">
        <is>
          <t>Client &amp; Policy</t>
        </is>
      </c>
      <c r="C404" s="12" t="inlineStr">
        <is>
          <t>Renewal</t>
        </is>
      </c>
      <c r="D404" s="12" t="inlineStr">
        <is>
          <t>Letters</t>
        </is>
      </c>
      <c r="E404" s="12" t="inlineStr">
        <is>
          <t>BRD-6</t>
        </is>
      </c>
      <c r="F404" s="12" t="inlineStr"/>
    </row>
    <row r="405">
      <c r="A405" s="12" t="inlineStr">
        <is>
          <t>Marketing Account Officer</t>
        </is>
      </c>
      <c r="B405" s="12" t="inlineStr">
        <is>
          <t>Client &amp; Policy</t>
        </is>
      </c>
      <c r="C405" s="12" t="inlineStr">
        <is>
          <t>Submitted Policies</t>
        </is>
      </c>
      <c r="D405" s="12" t="inlineStr">
        <is>
          <t>Submitted Policies Home</t>
        </is>
      </c>
      <c r="E405" s="12" t="inlineStr">
        <is>
          <t>-</t>
        </is>
      </c>
      <c r="F405" s="12" t="inlineStr"/>
    </row>
    <row r="406">
      <c r="A406" s="12" t="inlineStr">
        <is>
          <t>Marketing Account Officer</t>
        </is>
      </c>
      <c r="B406" s="12" t="inlineStr">
        <is>
          <t>Client &amp; Policy</t>
        </is>
      </c>
      <c r="C406" s="12" t="inlineStr">
        <is>
          <t>Submitted Policies</t>
        </is>
      </c>
      <c r="D406" s="12" t="inlineStr">
        <is>
          <t>Masterlist</t>
        </is>
      </c>
      <c r="E406" s="12" t="inlineStr">
        <is>
          <t>-</t>
        </is>
      </c>
      <c r="F406" s="12" t="inlineStr"/>
    </row>
    <row r="407">
      <c r="A407" s="12" t="inlineStr">
        <is>
          <t>Marketing Account Officer</t>
        </is>
      </c>
      <c r="B407" s="12" t="inlineStr">
        <is>
          <t>Client &amp; Policy</t>
        </is>
      </c>
      <c r="C407" s="12" t="inlineStr">
        <is>
          <t>Submitted Policies</t>
        </is>
      </c>
      <c r="D407" s="12" t="inlineStr">
        <is>
          <t>Extraction Review</t>
        </is>
      </c>
      <c r="E407" s="12" t="inlineStr">
        <is>
          <t>-</t>
        </is>
      </c>
      <c r="F407" s="12" t="inlineStr"/>
    </row>
    <row r="408">
      <c r="A408" s="12" t="inlineStr">
        <is>
          <t>Marketing Account Officer</t>
        </is>
      </c>
      <c r="B408" s="12" t="inlineStr">
        <is>
          <t>Client &amp; Policy</t>
        </is>
      </c>
      <c r="C408" s="12" t="inlineStr">
        <is>
          <t>Submitted Policies</t>
        </is>
      </c>
      <c r="D408" s="12" t="inlineStr">
        <is>
          <t>Processing Runs</t>
        </is>
      </c>
      <c r="E408" s="12" t="inlineStr">
        <is>
          <t>-</t>
        </is>
      </c>
      <c r="F408" s="12" t="inlineStr"/>
    </row>
    <row r="409">
      <c r="A409" s="12" t="inlineStr">
        <is>
          <t>Marketing Account Officer</t>
        </is>
      </c>
      <c r="B409" s="12" t="inlineStr">
        <is>
          <t>Client &amp; Policy</t>
        </is>
      </c>
      <c r="C409" s="12" t="inlineStr">
        <is>
          <t>Submitted Policies</t>
        </is>
      </c>
      <c r="D409" s="12" t="inlineStr">
        <is>
          <t>Reviews &amp; IAAF</t>
        </is>
      </c>
      <c r="E409" s="12" t="inlineStr">
        <is>
          <t>-</t>
        </is>
      </c>
      <c r="F409" s="12" t="inlineStr"/>
    </row>
    <row r="410">
      <c r="A410" s="12" t="inlineStr">
        <is>
          <t>Marketing Account Officer</t>
        </is>
      </c>
      <c r="B410" s="12" t="inlineStr">
        <is>
          <t>Client &amp; Policy</t>
        </is>
      </c>
      <c r="C410" s="12" t="inlineStr">
        <is>
          <t>Submitted Policies</t>
        </is>
      </c>
      <c r="D410" s="12" t="inlineStr">
        <is>
          <t>Terms of Reference</t>
        </is>
      </c>
      <c r="E410" s="12" t="inlineStr">
        <is>
          <t>-</t>
        </is>
      </c>
      <c r="F410" s="12" t="inlineStr"/>
    </row>
    <row r="411">
      <c r="A411" s="12" t="inlineStr">
        <is>
          <t>Marketing Account Officer</t>
        </is>
      </c>
      <c r="B411" s="12" t="inlineStr">
        <is>
          <t>Client &amp; Policy</t>
        </is>
      </c>
      <c r="C411" s="12" t="inlineStr">
        <is>
          <t>Submitted Policies</t>
        </is>
      </c>
      <c r="D411" s="12" t="inlineStr">
        <is>
          <t>Renewal Work List</t>
        </is>
      </c>
      <c r="E411" s="12" t="inlineStr">
        <is>
          <t>-</t>
        </is>
      </c>
      <c r="F411" s="12" t="inlineStr"/>
    </row>
    <row r="412">
      <c r="A412" s="12" t="inlineStr">
        <is>
          <t>Marketing Account Officer</t>
        </is>
      </c>
      <c r="B412" s="12" t="inlineStr">
        <is>
          <t>Client &amp; Policy</t>
        </is>
      </c>
      <c r="C412" s="12" t="inlineStr">
        <is>
          <t>Product Maintenance</t>
        </is>
      </c>
      <c r="D412" s="12" t="inlineStr">
        <is>
          <t>Product Maintenance Home</t>
        </is>
      </c>
      <c r="E412" s="12" t="inlineStr">
        <is>
          <t>BRD-3</t>
        </is>
      </c>
      <c r="F412" s="12" t="inlineStr"/>
    </row>
    <row r="413">
      <c r="A413" s="12" t="inlineStr">
        <is>
          <t>Marketing Account Officer</t>
        </is>
      </c>
      <c r="B413" s="12" t="inlineStr">
        <is>
          <t>Client &amp; Policy</t>
        </is>
      </c>
      <c r="C413" s="12" t="inlineStr">
        <is>
          <t>Product Maintenance</t>
        </is>
      </c>
      <c r="D413" s="12" t="inlineStr">
        <is>
          <t>Package Requests</t>
        </is>
      </c>
      <c r="E413" s="12" t="inlineStr">
        <is>
          <t>BRD-3</t>
        </is>
      </c>
      <c r="F413" s="12" t="inlineStr"/>
    </row>
    <row r="414">
      <c r="A414" s="12" t="inlineStr">
        <is>
          <t>Marketing Account Officer</t>
        </is>
      </c>
      <c r="B414" s="12" t="inlineStr">
        <is>
          <t>Client &amp; Policy</t>
        </is>
      </c>
      <c r="C414" s="12" t="inlineStr">
        <is>
          <t>Product Maintenance</t>
        </is>
      </c>
      <c r="D414" s="12" t="inlineStr">
        <is>
          <t>Products</t>
        </is>
      </c>
      <c r="E414" s="12" t="inlineStr">
        <is>
          <t>BRD-3</t>
        </is>
      </c>
      <c r="F414" s="12" t="inlineStr"/>
    </row>
    <row r="415">
      <c r="A415" s="12" t="inlineStr">
        <is>
          <t>Marketing Account Officer</t>
        </is>
      </c>
      <c r="B415" s="12" t="inlineStr">
        <is>
          <t>Client &amp; Policy</t>
        </is>
      </c>
      <c r="C415" s="12" t="inlineStr">
        <is>
          <t>Product Maintenance</t>
        </is>
      </c>
      <c r="D415" s="12" t="inlineStr">
        <is>
          <t>Coverages &amp; Clauses</t>
        </is>
      </c>
      <c r="E415" s="12" t="inlineStr">
        <is>
          <t>BRD-3</t>
        </is>
      </c>
      <c r="F415" s="12" t="inlineStr"/>
    </row>
    <row r="416">
      <c r="A416" s="12" t="inlineStr">
        <is>
          <t>Marketing Account Officer</t>
        </is>
      </c>
      <c r="B416" s="12" t="inlineStr">
        <is>
          <t>Client &amp; Policy</t>
        </is>
      </c>
      <c r="C416" s="12" t="inlineStr">
        <is>
          <t>Product Maintenance</t>
        </is>
      </c>
      <c r="D416" s="12" t="inlineStr">
        <is>
          <t>Incentive Criteria</t>
        </is>
      </c>
      <c r="E416" s="12" t="inlineStr">
        <is>
          <t>BRD-3</t>
        </is>
      </c>
      <c r="F416" s="12" t="inlineStr"/>
    </row>
    <row r="417">
      <c r="A417" s="12" t="inlineStr">
        <is>
          <t>Marketing Account Officer</t>
        </is>
      </c>
      <c r="B417" s="12" t="inlineStr">
        <is>
          <t>Client &amp; Policy</t>
        </is>
      </c>
      <c r="C417" s="12" t="inlineStr">
        <is>
          <t>Product Maintenance</t>
        </is>
      </c>
      <c r="D417" s="12" t="inlineStr">
        <is>
          <t>Premium Calculator</t>
        </is>
      </c>
      <c r="E417" s="12" t="inlineStr">
        <is>
          <t>BRD-3</t>
        </is>
      </c>
      <c r="F417" s="12" t="inlineStr"/>
    </row>
    <row r="418">
      <c r="A418" s="12" t="inlineStr">
        <is>
          <t>Marketing Account Officer</t>
        </is>
      </c>
      <c r="B418" s="12" t="inlineStr">
        <is>
          <t>Client &amp; Policy</t>
        </is>
      </c>
      <c r="C418" s="12" t="inlineStr">
        <is>
          <t>Bulk Processing</t>
        </is>
      </c>
      <c r="D418" s="12" t="inlineStr">
        <is>
          <t>Bulk Uploads</t>
        </is>
      </c>
      <c r="E418" s="12" t="inlineStr">
        <is>
          <t>BRD-1</t>
        </is>
      </c>
      <c r="F418" s="12" t="inlineStr"/>
    </row>
    <row r="419">
      <c r="A419" s="12" t="inlineStr">
        <is>
          <t>Marketing Account Officer</t>
        </is>
      </c>
      <c r="B419" s="12" t="inlineStr">
        <is>
          <t>Operations</t>
        </is>
      </c>
      <c r="C419" s="12" t="inlineStr">
        <is>
          <t>Operations</t>
        </is>
      </c>
      <c r="D419" s="12" t="inlineStr">
        <is>
          <t>Operations Home</t>
        </is>
      </c>
      <c r="E419" s="12" t="inlineStr">
        <is>
          <t>BRD-2</t>
        </is>
      </c>
      <c r="F419" s="12" t="inlineStr"/>
    </row>
    <row r="420">
      <c r="A420" s="12" t="inlineStr">
        <is>
          <t>Marketing Account Officer</t>
        </is>
      </c>
      <c r="B420" s="12" t="inlineStr">
        <is>
          <t>Operations</t>
        </is>
      </c>
      <c r="C420" s="12" t="inlineStr">
        <is>
          <t>Operations</t>
        </is>
      </c>
      <c r="D420" s="12" t="inlineStr">
        <is>
          <t>Invoice Search</t>
        </is>
      </c>
      <c r="E420" s="12" t="inlineStr">
        <is>
          <t>BRD-2</t>
        </is>
      </c>
      <c r="F420" s="12" t="inlineStr"/>
    </row>
    <row r="421">
      <c r="A421" s="12" t="inlineStr">
        <is>
          <t>Marketing Account Officer</t>
        </is>
      </c>
      <c r="B421" s="12" t="inlineStr">
        <is>
          <t>Operations</t>
        </is>
      </c>
      <c r="C421" s="12" t="inlineStr">
        <is>
          <t>Operations</t>
        </is>
      </c>
      <c r="D421" s="12" t="inlineStr">
        <is>
          <t>Hand-offs and Extracts</t>
        </is>
      </c>
      <c r="E421" s="12" t="inlineStr">
        <is>
          <t>BRD-2</t>
        </is>
      </c>
      <c r="F421" s="12" t="inlineStr"/>
    </row>
    <row r="422">
      <c r="A422" s="12" t="inlineStr">
        <is>
          <t>Marketing Account Officer</t>
        </is>
      </c>
      <c r="B422" s="12" t="inlineStr">
        <is>
          <t>Operations</t>
        </is>
      </c>
      <c r="C422" s="12" t="inlineStr">
        <is>
          <t>Operations</t>
        </is>
      </c>
      <c r="D422" s="12" t="inlineStr">
        <is>
          <t>Notification Settings</t>
        </is>
      </c>
      <c r="E422" s="12" t="inlineStr">
        <is>
          <t>BRD-2</t>
        </is>
      </c>
      <c r="F422" s="12" t="inlineStr"/>
    </row>
    <row r="423">
      <c r="A423" s="12" t="inlineStr">
        <is>
          <t>Marketing Account Officer</t>
        </is>
      </c>
      <c r="B423" s="12" t="inlineStr">
        <is>
          <t>Finance</t>
        </is>
      </c>
      <c r="C423" s="12" t="inlineStr">
        <is>
          <t>Collections</t>
        </is>
      </c>
      <c r="D423" s="12" t="inlineStr">
        <is>
          <t>Collections Home</t>
        </is>
      </c>
      <c r="E423" s="12" t="inlineStr">
        <is>
          <t>BRD-4</t>
        </is>
      </c>
      <c r="F423" s="12" t="inlineStr"/>
    </row>
    <row r="424">
      <c r="A424" s="12" t="inlineStr">
        <is>
          <t>Marketing Account Officer</t>
        </is>
      </c>
      <c r="B424" s="12" t="inlineStr">
        <is>
          <t>Finance</t>
        </is>
      </c>
      <c r="C424" s="12" t="inlineStr">
        <is>
          <t>Collections</t>
        </is>
      </c>
      <c r="D424" s="12" t="inlineStr">
        <is>
          <t>PR Worklist</t>
        </is>
      </c>
      <c r="E424" s="12" t="inlineStr">
        <is>
          <t>BRD-4</t>
        </is>
      </c>
      <c r="F424" s="12" t="inlineStr"/>
    </row>
    <row r="425">
      <c r="A425" s="12" t="inlineStr">
        <is>
          <t>Marketing Account Officer</t>
        </is>
      </c>
      <c r="B425" s="12" t="inlineStr">
        <is>
          <t>Finance</t>
        </is>
      </c>
      <c r="C425" s="12" t="inlineStr">
        <is>
          <t>Collections</t>
        </is>
      </c>
      <c r="D425" s="12" t="inlineStr">
        <is>
          <t>Installment Plans</t>
        </is>
      </c>
      <c r="E425" s="12" t="inlineStr">
        <is>
          <t>BRD-4</t>
        </is>
      </c>
      <c r="F425" s="12" t="inlineStr"/>
    </row>
    <row r="426">
      <c r="A426" s="12" t="inlineStr">
        <is>
          <t>Marketing Account Officer</t>
        </is>
      </c>
      <c r="B426" s="12" t="inlineStr">
        <is>
          <t>Finance</t>
        </is>
      </c>
      <c r="C426" s="12" t="inlineStr">
        <is>
          <t>Collections</t>
        </is>
      </c>
      <c r="D426" s="12" t="inlineStr">
        <is>
          <t>Installments Due</t>
        </is>
      </c>
      <c r="E426" s="12" t="inlineStr">
        <is>
          <t>BRD-4</t>
        </is>
      </c>
      <c r="F426" s="12" t="inlineStr"/>
    </row>
    <row r="427">
      <c r="A427" s="12" t="inlineStr">
        <is>
          <t>Marketing Account Officer</t>
        </is>
      </c>
      <c r="B427" s="12" t="inlineStr">
        <is>
          <t>Finance</t>
        </is>
      </c>
      <c r="C427" s="12" t="inlineStr">
        <is>
          <t>Collections</t>
        </is>
      </c>
      <c r="D427" s="12" t="inlineStr">
        <is>
          <t>Promises to Pay</t>
        </is>
      </c>
      <c r="E427" s="12" t="inlineStr">
        <is>
          <t>BRD-4</t>
        </is>
      </c>
      <c r="F427" s="12" t="inlineStr"/>
    </row>
    <row r="428">
      <c r="A428" s="12" t="inlineStr">
        <is>
          <t>Marketing Account Officer</t>
        </is>
      </c>
      <c r="B428" s="12" t="inlineStr">
        <is>
          <t>Finance</t>
        </is>
      </c>
      <c r="C428" s="12" t="inlineStr">
        <is>
          <t>Collections</t>
        </is>
      </c>
      <c r="D428" s="12" t="inlineStr">
        <is>
          <t>Escalations</t>
        </is>
      </c>
      <c r="E428" s="12" t="inlineStr">
        <is>
          <t>BRD-4</t>
        </is>
      </c>
      <c r="F428" s="12" t="inlineStr"/>
    </row>
    <row r="429">
      <c r="A429" s="12" t="inlineStr">
        <is>
          <t>Marketing Account Officer</t>
        </is>
      </c>
      <c r="B429" s="12" t="inlineStr">
        <is>
          <t>Finance</t>
        </is>
      </c>
      <c r="C429" s="12" t="inlineStr">
        <is>
          <t>Collections</t>
        </is>
      </c>
      <c r="D429" s="12" t="inlineStr">
        <is>
          <t>Billing Statements</t>
        </is>
      </c>
      <c r="E429" s="12" t="inlineStr">
        <is>
          <t>BRD-4</t>
        </is>
      </c>
      <c r="F429" s="12" t="inlineStr"/>
    </row>
    <row r="430">
      <c r="A430" s="12" t="inlineStr">
        <is>
          <t>Marketing Account Officer</t>
        </is>
      </c>
      <c r="B430" s="12" t="inlineStr">
        <is>
          <t>Finance</t>
        </is>
      </c>
      <c r="C430" s="12" t="inlineStr">
        <is>
          <t>Collections</t>
        </is>
      </c>
      <c r="D430" s="12" t="inlineStr">
        <is>
          <t>Unapplied Payments</t>
        </is>
      </c>
      <c r="E430" s="12" t="inlineStr">
        <is>
          <t>BRD-4</t>
        </is>
      </c>
      <c r="F430" s="12" t="inlineStr"/>
    </row>
    <row r="431">
      <c r="A431" s="12" t="inlineStr">
        <is>
          <t>Marketing Account Officer</t>
        </is>
      </c>
      <c r="B431" s="12" t="inlineStr">
        <is>
          <t>Finance</t>
        </is>
      </c>
      <c r="C431" s="12" t="inlineStr">
        <is>
          <t>Collections</t>
        </is>
      </c>
      <c r="D431" s="12" t="inlineStr">
        <is>
          <t>Requests to Cashiering</t>
        </is>
      </c>
      <c r="E431" s="12" t="inlineStr">
        <is>
          <t>BRD-4</t>
        </is>
      </c>
      <c r="F431" s="12" t="inlineStr"/>
    </row>
    <row r="432">
      <c r="A432" s="12" t="inlineStr">
        <is>
          <t>Marketing Account Officer</t>
        </is>
      </c>
      <c r="B432" s="12" t="inlineStr">
        <is>
          <t>Finance</t>
        </is>
      </c>
      <c r="C432" s="12" t="inlineStr">
        <is>
          <t>Collections</t>
        </is>
      </c>
      <c r="D432" s="12" t="inlineStr">
        <is>
          <t>Collections Files</t>
        </is>
      </c>
      <c r="E432" s="12" t="inlineStr">
        <is>
          <t>BRD-4</t>
        </is>
      </c>
      <c r="F432" s="12" t="inlineStr"/>
    </row>
    <row r="433">
      <c r="A433" s="12" t="inlineStr">
        <is>
          <t>Marketing Account Officer</t>
        </is>
      </c>
      <c r="B433" s="12" t="inlineStr">
        <is>
          <t>Finance</t>
        </is>
      </c>
      <c r="C433" s="12" t="inlineStr">
        <is>
          <t>Refund &amp; Cash Advance Requests</t>
        </is>
      </c>
      <c r="D433" s="12" t="inlineStr">
        <is>
          <t>Requests Home</t>
        </is>
      </c>
      <c r="E433" s="12" t="inlineStr">
        <is>
          <t>BRD-5</t>
        </is>
      </c>
      <c r="F433" s="12" t="inlineStr"/>
    </row>
    <row r="434">
      <c r="A434" s="12" t="inlineStr">
        <is>
          <t>Marketing Account Officer</t>
        </is>
      </c>
      <c r="B434" s="12" t="inlineStr">
        <is>
          <t>Finance</t>
        </is>
      </c>
      <c r="C434" s="12" t="inlineStr">
        <is>
          <t>Refund &amp; Cash Advance Requests</t>
        </is>
      </c>
      <c r="D434" s="12" t="inlineStr">
        <is>
          <t>New Refund Request</t>
        </is>
      </c>
      <c r="E434" s="12" t="inlineStr">
        <is>
          <t>BRD-5</t>
        </is>
      </c>
      <c r="F434" s="12" t="inlineStr"/>
    </row>
    <row r="435">
      <c r="A435" s="12" t="inlineStr">
        <is>
          <t>Marketing Account Officer</t>
        </is>
      </c>
      <c r="B435" s="12" t="inlineStr">
        <is>
          <t>Finance</t>
        </is>
      </c>
      <c r="C435" s="12" t="inlineStr">
        <is>
          <t>Refund &amp; Cash Advance Requests</t>
        </is>
      </c>
      <c r="D435" s="12" t="inlineStr">
        <is>
          <t>New Cash Advance</t>
        </is>
      </c>
      <c r="E435" s="12" t="inlineStr">
        <is>
          <t>BRD-5</t>
        </is>
      </c>
      <c r="F435" s="12" t="inlineStr"/>
    </row>
    <row r="436">
      <c r="A436" s="12" t="inlineStr">
        <is>
          <t>Marketing Account Officer</t>
        </is>
      </c>
      <c r="B436" s="12" t="inlineStr">
        <is>
          <t>Finance</t>
        </is>
      </c>
      <c r="C436" s="12" t="inlineStr">
        <is>
          <t>Refund &amp; Cash Advance Requests</t>
        </is>
      </c>
      <c r="D436" s="12" t="inlineStr">
        <is>
          <t>Cancel a Check</t>
        </is>
      </c>
      <c r="E436" s="12" t="inlineStr">
        <is>
          <t>BRD-5</t>
        </is>
      </c>
      <c r="F436" s="12" t="inlineStr"/>
    </row>
    <row r="437">
      <c r="A437" s="12" t="inlineStr">
        <is>
          <t>Marketing Account Officer</t>
        </is>
      </c>
      <c r="B437" s="12" t="inlineStr">
        <is>
          <t>Claims &amp; Insurance</t>
        </is>
      </c>
      <c r="C437" s="12" t="inlineStr">
        <is>
          <t>Claims Handling</t>
        </is>
      </c>
      <c r="D437" s="12" t="inlineStr">
        <is>
          <t>Claims Reports</t>
        </is>
      </c>
      <c r="E437" s="12" t="inlineStr">
        <is>
          <t>BRD-7</t>
        </is>
      </c>
      <c r="F437" s="12" t="inlineStr"/>
    </row>
    <row r="438">
      <c r="A438" s="12" t="inlineStr">
        <is>
          <t>Marketing Account Officer</t>
        </is>
      </c>
      <c r="B438" s="12" t="inlineStr">
        <is>
          <t>Reports</t>
        </is>
      </c>
      <c r="C438" s="12" t="inlineStr">
        <is>
          <t>New Business Reports</t>
        </is>
      </c>
      <c r="D438" s="12" t="inlineStr">
        <is>
          <t>New Business Reports</t>
        </is>
      </c>
      <c r="E438" s="12" t="inlineStr">
        <is>
          <t>BRD-1</t>
        </is>
      </c>
      <c r="F438" s="12" t="inlineStr"/>
    </row>
    <row r="439">
      <c r="A439" s="12" t="inlineStr">
        <is>
          <t>Marketing Account Officer</t>
        </is>
      </c>
      <c r="B439" s="12" t="inlineStr">
        <is>
          <t>Reports</t>
        </is>
      </c>
      <c r="C439" s="12" t="inlineStr">
        <is>
          <t>Reports</t>
        </is>
      </c>
      <c r="D439" s="12" t="inlineStr">
        <is>
          <t>Report Centre</t>
        </is>
      </c>
      <c r="E439" s="12" t="inlineStr">
        <is>
          <t>Platform</t>
        </is>
      </c>
      <c r="F439" s="12" t="inlineStr"/>
    </row>
    <row r="440">
      <c r="A440" s="12" t="inlineStr">
        <is>
          <t>Marketing Account Officer</t>
        </is>
      </c>
      <c r="B440" s="12" t="inlineStr">
        <is>
          <t>Setup &amp; Administration</t>
        </is>
      </c>
      <c r="C440" s="12" t="inlineStr">
        <is>
          <t>Help</t>
        </is>
      </c>
      <c r="D440" s="12" t="inlineStr">
        <is>
          <t>Help Center</t>
        </is>
      </c>
      <c r="E440" s="12" t="inlineStr">
        <is>
          <t>Platform</t>
        </is>
      </c>
      <c r="F440" s="12" t="inlineStr"/>
    </row>
    <row r="441">
      <c r="A441" s="12" t="inlineStr">
        <is>
          <t>Marketing Account Officer</t>
        </is>
      </c>
      <c r="B441" s="12" t="inlineStr">
        <is>
          <t>Setup &amp; Administration</t>
        </is>
      </c>
      <c r="C441" s="12" t="inlineStr">
        <is>
          <t>Help</t>
        </is>
      </c>
      <c r="D441" s="12" t="inlineStr">
        <is>
          <t>My Profile</t>
        </is>
      </c>
      <c r="E441" s="12" t="inlineStr">
        <is>
          <t>Platform</t>
        </is>
      </c>
      <c r="F441" s="12" t="inlineStr"/>
    </row>
  </sheetData>
  <autoFilter ref="A4:F441"/>
  <mergeCells count="1">
    <mergeCell ref="A2:F2"/>
  </mergeCells>
  <conditionalFormatting sqref="A5:F94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7.xml><?xml version="1.0" encoding="utf-8"?>
<worksheet xmlns="http://schemas.openxmlformats.org/spreadsheetml/2006/main">
  <sheetPr>
    <outlinePr summaryBelow="1" summaryRight="1"/>
    <pageSetUpPr fitToPage="1"/>
  </sheetPr>
  <dimension ref="A1:H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Data Migration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BRD-1 New Business</t>
        </is>
      </c>
      <c r="C5" s="12" t="inlineStr">
        <is>
          <t>Out</t>
        </is>
      </c>
      <c r="D5" s="12" t="inlineStr">
        <is>
          <t>Migrated clients (C01) with their identity, contacts, addresses, segment, AO and KYC status; payout accounts (C03); one BIBS client per matched cluster, found by any legacy client number</t>
        </is>
      </c>
      <c r="E5" s="12" t="inlineStr">
        <is>
          <t>Loaded two weeks before go-live through the client registration of BIBS, then daily deltas until the freeze; no onboarding workflow and no notification</t>
        </is>
      </c>
      <c r="F5" s="12" t="inlineStr">
        <is>
          <t>Product Owner, Marketing Business System (data owner of C01)</t>
        </is>
      </c>
      <c r="G5" s="12" t="inlineStr">
        <is>
          <t>Client Matching; Clients (LEGACY badge, Origin filter)</t>
        </is>
      </c>
      <c r="H5" s="12" t="inlineStr">
        <is>
          <t>FR-DM-030, FR-DM-031, FR-DM-032, FR-DM-033</t>
        </is>
      </c>
    </row>
    <row r="6">
      <c r="A6" s="12" t="inlineStr">
        <is>
          <t>IC-02</t>
        </is>
      </c>
      <c r="B6" s="12" t="inlineStr">
        <is>
          <t>BRD-1 New Business; BRD-2 Operations</t>
        </is>
      </c>
      <c r="C6" s="12" t="inlineStr">
        <is>
          <t>Out</t>
        </is>
      </c>
      <c r="D6" s="12" t="inlineStr">
        <is>
          <t>In-force policy headers (P01, P01S) as booked accounts of origin Migrated with the legacy package as given; the legacy invoices link to them</t>
        </is>
      </c>
      <c r="E6" s="12" t="inlineStr">
        <is>
          <t>Loaded at the cut-over weekend after the freeze; the headers are used for endorsements, servicing and renewal</t>
        </is>
      </c>
      <c r="F6" s="12" t="inlineStr">
        <is>
          <t>Head, Operations</t>
        </is>
      </c>
      <c r="G6" s="12" t="inlineStr">
        <is>
          <t>Accounts (LEGACY badge)</t>
        </is>
      </c>
      <c r="H6" s="12" t="inlineStr">
        <is>
          <t>FR-DM-040, FR-DM-041</t>
        </is>
      </c>
    </row>
    <row r="7">
      <c r="A7" s="12" t="inlineStr">
        <is>
          <t>IC-03</t>
        </is>
      </c>
      <c r="B7" s="12" t="inlineStr">
        <is>
          <t>BRD-2 Operations</t>
        </is>
      </c>
      <c r="C7" s="12" t="inlineStr">
        <is>
          <t>Out</t>
        </is>
      </c>
      <c r="D7" s="12" t="inlineStr">
        <is>
          <t>Open legacy invoices (F01, F01S, F01C) in the Operations ledger with their components, insurer shares and values at cut-over; endorsements of legacy invoices booked in the legacy context</t>
        </is>
      </c>
      <c r="E7" s="12" t="inlineStr">
        <is>
          <t>Loaded after the freeze with an opening entry per insurer share; processed on Invoice 360, payments, remittance and endorsements after go-live; Changes to Legacy Invoices report for Prod Recon</t>
        </is>
      </c>
      <c r="F7" s="12" t="inlineStr">
        <is>
          <t>Operations - Financial Transactions; Head, Comptrollership</t>
        </is>
      </c>
      <c r="G7" s="12" t="inlineStr">
        <is>
          <t>Invoice 360 (Legacy Invoice card); Invoice Search</t>
        </is>
      </c>
      <c r="H7" s="12" t="inlineStr">
        <is>
          <t>FR-DM-050, FR-DM-051, FR-DM-060, FR-DM-080, FR-DM-090, FR-DM-091, FR-DM-092, FR-DM-100</t>
        </is>
      </c>
    </row>
    <row r="8">
      <c r="A8" s="12" t="inlineStr">
        <is>
          <t>IC-04</t>
        </is>
      </c>
      <c r="B8" s="12" t="inlineStr">
        <is>
          <t>BRD-2 Operations (Cashiering)</t>
        </is>
      </c>
      <c r="C8" s="12" t="inlineStr">
        <is>
          <t>Out</t>
        </is>
      </c>
      <c r="D8" s="12" t="inlineStr">
        <is>
          <t>Legacy unapplied payments (F02) with the legacy AR, references and disposition in progress; the Unapplied to Income and Legacy PR 2307 Reversal batches</t>
        </is>
      </c>
      <c r="E8" s="12" t="inlineStr">
        <is>
          <t>Loaded after the freeze with an opening entry; matched by automatch on their references; worked on the Unapplied workbench and in the legacy batches</t>
        </is>
      </c>
      <c r="F8" s="12" t="inlineStr">
        <is>
          <t>Operations - Financial Transactions</t>
        </is>
      </c>
      <c r="G8" s="12" t="inlineStr">
        <is>
          <t>Unapplied Payments; Unapplied to Income; Legacy PR 2307 Reversal</t>
        </is>
      </c>
      <c r="H8" s="12" t="inlineStr">
        <is>
          <t>FR-DM-052, FR-DM-053, FR-DM-054, FR-DM-055, FR-DM-061, FR-DM-071</t>
        </is>
      </c>
    </row>
    <row r="9">
      <c r="A9" s="12" t="inlineStr">
        <is>
          <t>IC-05</t>
        </is>
      </c>
      <c r="B9" s="12" t="inlineStr">
        <is>
          <t>BRD-4 Collections</t>
        </is>
      </c>
      <c r="C9" s="12" t="inlineStr">
        <is>
          <t>Out</t>
        </is>
      </c>
      <c r="D9" s="12" t="inlineStr">
        <is>
          <t>Open collection state (F03) - dispositions, promises to pay, instalment plans and collector assignments of the open legacy invoices, carried as the legacy follow-up of the worklist item; tags "DP PR for reversal"</t>
        </is>
      </c>
      <c r="E9" s="12" t="inlineStr">
        <is>
          <t>Loaded after the freeze; legacy items appear on the PR Worklist with the LEGACY badge</t>
        </is>
      </c>
      <c r="F9" s="12" t="inlineStr">
        <is>
          <t>Head, Operations (Collections)</t>
        </is>
      </c>
      <c r="G9" s="12" t="inlineStr">
        <is>
          <t>PR Worklist; Collection Account</t>
        </is>
      </c>
      <c r="H9" s="12" t="inlineStr">
        <is>
          <t>FR-DM-052</t>
        </is>
      </c>
    </row>
    <row r="10">
      <c r="A10" s="12" t="inlineStr">
        <is>
          <t>IC-06</t>
        </is>
      </c>
      <c r="B10" s="12" t="inlineStr">
        <is>
          <t>BRD-2 Operations (Commission); BRD-4</t>
        </is>
      </c>
      <c r="C10" s="12" t="inlineStr">
        <is>
          <t>Out</t>
        </is>
      </c>
      <c r="D10" s="12" t="inlineStr">
        <is>
          <t>The DP PR Legacy Reversal of legacy invoices paid directly to the insurer</t>
        </is>
      </c>
      <c r="E10" s="12" t="inlineStr">
        <is>
          <t>Batch requested by a Commission user and approved by the Commission team lead; candidates tagged by Collections</t>
        </is>
      </c>
      <c r="F10" s="12" t="inlineStr">
        <is>
          <t>Commission team lead</t>
        </is>
      </c>
      <c r="G10" s="12" t="inlineStr">
        <is>
          <t>DP PR Legacy Reversal</t>
        </is>
      </c>
      <c r="H10" s="12" t="inlineStr">
        <is>
          <t>FR-DM-070</t>
        </is>
      </c>
    </row>
    <row r="11">
      <c r="A11" s="12" t="inlineStr">
        <is>
          <t>IC-07</t>
        </is>
      </c>
      <c r="B11" s="12" t="inlineStr">
        <is>
          <t>BRD-5 Accounting (FRBS, ACSL)</t>
        </is>
      </c>
      <c r="C11" s="12" t="inlineStr">
        <is>
          <t>In and Out</t>
        </is>
      </c>
      <c r="D11" s="12" t="inlineStr">
        <is>
          <t>In: the chart of accounts, the legacy control accounts and Migration Clearing, and the accounting rules of the legacy components (set up by Comptrollership). Out: the provisional GL opening (G01), the opening entries of the invoices and unapplied payments, the opening-balance adjustments (G03); the legacy context of the GL to sub-ledger reconciliation</t>
        </is>
      </c>
      <c r="E11" s="12" t="inlineStr">
        <is>
          <t>Opening journals dated 1 January 2028; Migration Clearing 0.00 per branch and currency; each adjustment approved by the Head of Comptrollership</t>
        </is>
      </c>
      <c r="F11" s="12" t="inlineStr">
        <is>
          <t>Head, Comptrollership</t>
        </is>
      </c>
      <c r="G11" s="12" t="inlineStr">
        <is>
          <t>Opening-Balance Adjustments; Reconciliation (GL level); journal inquiry</t>
        </is>
      </c>
      <c r="H11" s="12" t="inlineStr">
        <is>
          <t>FR-DM-021, FR-DM-022, FR-DM-023, FR-DM-024</t>
        </is>
      </c>
    </row>
    <row r="12">
      <c r="A12" s="12" t="inlineStr">
        <is>
          <t>IC-08</t>
        </is>
      </c>
      <c r="B12" s="12" t="inlineStr">
        <is>
          <t>BRD-6 Renewal</t>
        </is>
      </c>
      <c r="C12" s="12" t="inlineStr">
        <is>
          <t>Out</t>
        </is>
      </c>
      <c r="D12" s="12" t="inlineStr">
        <is>
          <t>The migrated policy headers expiring from go-live to 31 May 2028 and the renewal advices already sent (P03) for the go-live renewal extraction; the package code map (R06) for the package check at sanitation; the migrated headers for the daily extraction from 1 June 2028</t>
        </is>
      </c>
      <c r="E12" s="12" t="inlineStr">
        <is>
          <t>Go-live extraction at 04:00 on go-live day, January expiries flagged urgent; the map is maintained in Renewal after go-live</t>
        </is>
      </c>
      <c r="F12" s="12" t="inlineStr">
        <is>
          <t>Heads, Retail and Corporate Marketing; Head, Renewal processing team; TSU (package map)</t>
        </is>
      </c>
      <c r="G12" s="12" t="inlineStr">
        <is>
          <t>Code Maps (package code map); Batches (P03 resubmissions); Renewal candidates</t>
        </is>
      </c>
      <c r="H12" s="12" t="inlineStr">
        <is>
          <t>FR-DM-034, FR-DM-122, FR-DM-124, FR-DM-125</t>
        </is>
      </c>
    </row>
    <row r="13">
      <c r="A13" s="12" t="inlineStr">
        <is>
          <t>IC-09</t>
        </is>
      </c>
      <c r="B13" s="12" t="inlineStr">
        <is>
          <t>BRD-3 Product Maintenance</t>
        </is>
      </c>
      <c r="C13" s="12" t="inlineStr">
        <is>
          <t>In</t>
        </is>
      </c>
      <c r="D13" s="12" t="inlineStr">
        <is>
          <t>Products, package versions, insurers and commission rates of BIBS, which the code maps target; values created from the migration (CREATE entries) are authorised in their masters</t>
        </is>
      </c>
      <c r="E13" s="12" t="inlineStr">
        <is>
          <t>Before the load of any dependent object; the package code map names only released package versions</t>
        </is>
      </c>
      <c r="F13" s="12" t="inlineStr">
        <is>
          <t>Marketing Business System; TSU</t>
        </is>
      </c>
      <c r="G13" s="12" t="inlineStr">
        <is>
          <t>Code Maps; Products; Insurers (LEGACY badge)</t>
        </is>
      </c>
      <c r="H13" s="12" t="inlineStr">
        <is>
          <t>FR-DM-011, FR-DM-034</t>
        </is>
      </c>
    </row>
    <row r="14">
      <c r="A14" s="12" t="inlineStr">
        <is>
          <t>IC-10</t>
        </is>
      </c>
      <c r="B14" s="12" t="inlineStr">
        <is>
          <t>BRD-10 Sanction Screening</t>
        </is>
      </c>
      <c r="C14" s="12" t="inlineStr">
        <is>
          <t>Out</t>
        </is>
      </c>
      <c r="D14" s="12" t="inlineStr">
        <is>
          <t>Migrated clients for one full screening run after the client load (no screening per client during the load)</t>
        </is>
      </c>
      <c r="E14" s="12" t="inlineStr">
        <is>
          <t>Periodic screening with the full re-screen option before go-live; hits in the screening queue for Compliance</t>
        </is>
      </c>
      <c r="F14" s="12" t="inlineStr">
        <is>
          <t>Compliance</t>
        </is>
      </c>
      <c r="G14" s="12" t="inlineStr">
        <is>
          <t>Screening queue</t>
        </is>
      </c>
      <c r="H14" s="12" t="inlineStr">
        <is>
          <t>FR-DM-030</t>
        </is>
      </c>
    </row>
    <row r="15">
      <c r="A15" s="12" t="inlineStr">
        <is>
          <t>IC-11</t>
        </is>
      </c>
      <c r="B15" s="12" t="inlineStr">
        <is>
          <t>BRD-11 User Access Maintenance</t>
        </is>
      </c>
      <c r="C15" s="12" t="inlineStr">
        <is>
          <t>In</t>
        </is>
      </c>
      <c r="D15" s="12" t="inlineStr">
        <is>
          <t>The users of the migration roles and of every persona, created through User Access requests; legacy user IDs are only mapped (user code map)</t>
        </is>
      </c>
      <c r="E15" s="12" t="inlineStr">
        <is>
          <t>Before each trial migration and before the production cut-over (T-27)</t>
        </is>
      </c>
      <c r="F15" s="12" t="inlineStr">
        <is>
          <t>BDOI IT; user access administration</t>
        </is>
      </c>
      <c r="G15" s="12" t="inlineStr">
        <is>
          <t>Code Maps (USER)</t>
        </is>
      </c>
      <c r="H15" s="12" t="inlineStr">
        <is>
          <t>FR-DM-011</t>
        </is>
      </c>
    </row>
    <row r="16">
      <c r="A16" s="12" t="inlineStr">
        <is>
          <t>IC-12</t>
        </is>
      </c>
      <c r="B16" s="12" t="inlineStr">
        <is>
          <t>BDOI IT (legacy EBIX, QPS, ISYS, CMS)</t>
        </is>
      </c>
      <c r="C16" s="12" t="inlineStr">
        <is>
          <t>In</t>
        </is>
      </c>
      <c r="D16" s="12" t="inlineStr">
        <is>
          <t>Extracts in the load templates with their control files; the legacy freeze and read-only mode; the document transfer folder; the read-only addresses of the legacy applications</t>
        </is>
      </c>
      <c r="E16" s="12" t="inlineStr">
        <is>
          <t>Console upload (or the secure file drop when named); final extracts after the last legacy EOD</t>
        </is>
      </c>
      <c r="F16" s="12" t="inlineStr">
        <is>
          <t>Head, BDOI IT</t>
        </is>
      </c>
      <c r="G16" s="12" t="inlineStr">
        <is>
          <t>Extracts; Legacy Inquiry</t>
        </is>
      </c>
      <c r="H16" s="12" t="inlineStr">
        <is>
          <t>FR-DM-010, FR-DM-110</t>
        </is>
      </c>
    </row>
  </sheetData>
  <autoFilter ref="A4:H16"/>
  <mergeCells count="1">
    <mergeCell ref="A2:H2"/>
  </mergeCells>
  <conditionalFormatting sqref="A5:H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8.xml><?xml version="1.0" encoding="utf-8"?>
<worksheet xmlns="http://schemas.openxmlformats.org/spreadsheetml/2006/main">
  <sheetPr>
    <outlinePr summaryBelow="1" summaryRight="1"/>
    <pageSetUpPr fitToPage="1"/>
  </sheetPr>
  <dimension ref="A1:K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22" customWidth="1" min="5" max="5"/>
    <col width="18" customWidth="1" min="6" max="6"/>
    <col width="16" customWidth="1" min="7" max="7"/>
    <col width="50" customWidth="1" min="8" max="8"/>
    <col width="50" customWidth="1" min="9" max="9"/>
    <col width="12" customWidth="1" min="10" max="10"/>
    <col width="13" customWidth="1" min="11" max="11"/>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c r="J3" s="23" t="n"/>
      <c r="K3" s="23" t="n"/>
    </row>
    <row r="4" ht="30" customHeight="1">
      <c r="A4" s="24" t="inlineStr">
        <is>
          <t>ID</t>
        </is>
      </c>
      <c r="B4" s="24" t="inlineStr">
        <is>
          <t>Raised by</t>
        </is>
      </c>
      <c r="C4" s="24" t="inlineStr">
        <is>
          <t>Date</t>
        </is>
      </c>
      <c r="D4" s="24" t="inlineStr">
        <is>
          <t>Page / screen</t>
        </is>
      </c>
      <c r="E4" s="24" t="inlineStr">
        <is>
          <t>Template</t>
        </is>
      </c>
      <c r="F4" s="24" t="inlineStr">
        <is>
          <t>Column</t>
        </is>
      </c>
      <c r="G4" s="24" t="inlineStr">
        <is>
          <t>Type</t>
        </is>
      </c>
      <c r="H4" s="24" t="inlineStr">
        <is>
          <t>Comment</t>
        </is>
      </c>
      <c r="I4" s="24" t="inlineStr">
        <is>
          <t>Response</t>
        </is>
      </c>
      <c r="J4" s="24" t="inlineStr">
        <is>
          <t>Status</t>
        </is>
      </c>
      <c r="K4" s="24" t="inlineStr">
        <is>
          <t>Closed on</t>
        </is>
      </c>
    </row>
    <row r="5">
      <c r="A5" s="12" t="inlineStr">
        <is>
          <t>C-001</t>
        </is>
      </c>
      <c r="B5" s="12" t="n"/>
      <c r="C5" s="25" t="n"/>
      <c r="D5" s="12" t="n"/>
      <c r="E5" s="12" t="n"/>
      <c r="F5" s="12" t="n"/>
      <c r="G5" s="12" t="n"/>
      <c r="H5" s="12" t="n"/>
      <c r="I5" s="12" t="n"/>
      <c r="J5" s="12" t="n"/>
      <c r="K5" s="25" t="n"/>
    </row>
    <row r="6">
      <c r="A6" s="12" t="inlineStr">
        <is>
          <t>C-002</t>
        </is>
      </c>
      <c r="B6" s="12" t="n"/>
      <c r="C6" s="25" t="n"/>
      <c r="D6" s="12" t="n"/>
      <c r="E6" s="12" t="n"/>
      <c r="F6" s="12" t="n"/>
      <c r="G6" s="12" t="n"/>
      <c r="H6" s="12" t="n"/>
      <c r="I6" s="12" t="n"/>
      <c r="J6" s="12" t="n"/>
      <c r="K6" s="25" t="n"/>
    </row>
    <row r="7">
      <c r="A7" s="12" t="inlineStr">
        <is>
          <t>C-003</t>
        </is>
      </c>
      <c r="B7" s="12" t="n"/>
      <c r="C7" s="25" t="n"/>
      <c r="D7" s="12" t="n"/>
      <c r="E7" s="12" t="n"/>
      <c r="F7" s="12" t="n"/>
      <c r="G7" s="12" t="n"/>
      <c r="H7" s="12" t="n"/>
      <c r="I7" s="12" t="n"/>
      <c r="J7" s="12" t="n"/>
      <c r="K7" s="25" t="n"/>
    </row>
    <row r="8">
      <c r="A8" s="12" t="inlineStr">
        <is>
          <t>C-004</t>
        </is>
      </c>
      <c r="B8" s="12" t="n"/>
      <c r="C8" s="25" t="n"/>
      <c r="D8" s="12" t="n"/>
      <c r="E8" s="12" t="n"/>
      <c r="F8" s="12" t="n"/>
      <c r="G8" s="12" t="n"/>
      <c r="H8" s="12" t="n"/>
      <c r="I8" s="12" t="n"/>
      <c r="J8" s="12" t="n"/>
      <c r="K8" s="25" t="n"/>
    </row>
    <row r="9">
      <c r="A9" s="12" t="inlineStr">
        <is>
          <t>C-005</t>
        </is>
      </c>
      <c r="B9" s="12" t="n"/>
      <c r="C9" s="25" t="n"/>
      <c r="D9" s="12" t="n"/>
      <c r="E9" s="12" t="n"/>
      <c r="F9" s="12" t="n"/>
      <c r="G9" s="12" t="n"/>
      <c r="H9" s="12" t="n"/>
      <c r="I9" s="12" t="n"/>
      <c r="J9" s="12" t="n"/>
      <c r="K9" s="25" t="n"/>
    </row>
    <row r="10">
      <c r="A10" s="12" t="inlineStr">
        <is>
          <t>C-006</t>
        </is>
      </c>
      <c r="B10" s="12" t="n"/>
      <c r="C10" s="25" t="n"/>
      <c r="D10" s="12" t="n"/>
      <c r="E10" s="12" t="n"/>
      <c r="F10" s="12" t="n"/>
      <c r="G10" s="12" t="n"/>
      <c r="H10" s="12" t="n"/>
      <c r="I10" s="12" t="n"/>
      <c r="J10" s="12" t="n"/>
      <c r="K10" s="25" t="n"/>
    </row>
    <row r="11">
      <c r="A11" s="12" t="inlineStr">
        <is>
          <t>C-007</t>
        </is>
      </c>
      <c r="B11" s="12" t="n"/>
      <c r="C11" s="25" t="n"/>
      <c r="D11" s="12" t="n"/>
      <c r="E11" s="12" t="n"/>
      <c r="F11" s="12" t="n"/>
      <c r="G11" s="12" t="n"/>
      <c r="H11" s="12" t="n"/>
      <c r="I11" s="12" t="n"/>
      <c r="J11" s="12" t="n"/>
      <c r="K11" s="25" t="n"/>
    </row>
    <row r="12">
      <c r="A12" s="12" t="inlineStr">
        <is>
          <t>C-008</t>
        </is>
      </c>
      <c r="B12" s="12" t="n"/>
      <c r="C12" s="25" t="n"/>
      <c r="D12" s="12" t="n"/>
      <c r="E12" s="12" t="n"/>
      <c r="F12" s="12" t="n"/>
      <c r="G12" s="12" t="n"/>
      <c r="H12" s="12" t="n"/>
      <c r="I12" s="12" t="n"/>
      <c r="J12" s="12" t="n"/>
      <c r="K12" s="25" t="n"/>
    </row>
    <row r="13">
      <c r="A13" s="12" t="inlineStr">
        <is>
          <t>C-009</t>
        </is>
      </c>
      <c r="B13" s="12" t="n"/>
      <c r="C13" s="25" t="n"/>
      <c r="D13" s="12" t="n"/>
      <c r="E13" s="12" t="n"/>
      <c r="F13" s="12" t="n"/>
      <c r="G13" s="12" t="n"/>
      <c r="H13" s="12" t="n"/>
      <c r="I13" s="12" t="n"/>
      <c r="J13" s="12" t="n"/>
      <c r="K13" s="25" t="n"/>
    </row>
    <row r="14">
      <c r="A14" s="12" t="inlineStr">
        <is>
          <t>C-010</t>
        </is>
      </c>
      <c r="B14" s="12" t="n"/>
      <c r="C14" s="25" t="n"/>
      <c r="D14" s="12" t="n"/>
      <c r="E14" s="12" t="n"/>
      <c r="F14" s="12" t="n"/>
      <c r="G14" s="12" t="n"/>
      <c r="H14" s="12" t="n"/>
      <c r="I14" s="12" t="n"/>
      <c r="J14" s="12" t="n"/>
      <c r="K14" s="25" t="n"/>
    </row>
    <row r="15">
      <c r="A15" s="12" t="inlineStr">
        <is>
          <t>C-011</t>
        </is>
      </c>
      <c r="B15" s="12" t="n"/>
      <c r="C15" s="25" t="n"/>
      <c r="D15" s="12" t="n"/>
      <c r="E15" s="12" t="n"/>
      <c r="F15" s="12" t="n"/>
      <c r="G15" s="12" t="n"/>
      <c r="H15" s="12" t="n"/>
      <c r="I15" s="12" t="n"/>
      <c r="J15" s="12" t="n"/>
      <c r="K15" s="25" t="n"/>
    </row>
    <row r="16">
      <c r="A16" s="12" t="inlineStr">
        <is>
          <t>C-012</t>
        </is>
      </c>
      <c r="B16" s="12" t="n"/>
      <c r="C16" s="25" t="n"/>
      <c r="D16" s="12" t="n"/>
      <c r="E16" s="12" t="n"/>
      <c r="F16" s="12" t="n"/>
      <c r="G16" s="12" t="n"/>
      <c r="H16" s="12" t="n"/>
      <c r="I16" s="12" t="n"/>
      <c r="J16" s="12" t="n"/>
      <c r="K16" s="25" t="n"/>
    </row>
    <row r="17">
      <c r="A17" s="12" t="inlineStr">
        <is>
          <t>C-013</t>
        </is>
      </c>
      <c r="B17" s="12" t="n"/>
      <c r="C17" s="25" t="n"/>
      <c r="D17" s="12" t="n"/>
      <c r="E17" s="12" t="n"/>
      <c r="F17" s="12" t="n"/>
      <c r="G17" s="12" t="n"/>
      <c r="H17" s="12" t="n"/>
      <c r="I17" s="12" t="n"/>
      <c r="J17" s="12" t="n"/>
      <c r="K17" s="25" t="n"/>
    </row>
    <row r="18">
      <c r="A18" s="12" t="inlineStr">
        <is>
          <t>C-014</t>
        </is>
      </c>
      <c r="B18" s="12" t="n"/>
      <c r="C18" s="25" t="n"/>
      <c r="D18" s="12" t="n"/>
      <c r="E18" s="12" t="n"/>
      <c r="F18" s="12" t="n"/>
      <c r="G18" s="12" t="n"/>
      <c r="H18" s="12" t="n"/>
      <c r="I18" s="12" t="n"/>
      <c r="J18" s="12" t="n"/>
      <c r="K18" s="25" t="n"/>
    </row>
    <row r="19">
      <c r="A19" s="12" t="inlineStr">
        <is>
          <t>C-015</t>
        </is>
      </c>
      <c r="B19" s="12" t="n"/>
      <c r="C19" s="25" t="n"/>
      <c r="D19" s="12" t="n"/>
      <c r="E19" s="12" t="n"/>
      <c r="F19" s="12" t="n"/>
      <c r="G19" s="12" t="n"/>
      <c r="H19" s="12" t="n"/>
      <c r="I19" s="12" t="n"/>
      <c r="J19" s="12" t="n"/>
      <c r="K19" s="25" t="n"/>
    </row>
    <row r="20">
      <c r="A20" s="12" t="inlineStr">
        <is>
          <t>C-016</t>
        </is>
      </c>
      <c r="B20" s="12" t="n"/>
      <c r="C20" s="25" t="n"/>
      <c r="D20" s="12" t="n"/>
      <c r="E20" s="12" t="n"/>
      <c r="F20" s="12" t="n"/>
      <c r="G20" s="12" t="n"/>
      <c r="H20" s="12" t="n"/>
      <c r="I20" s="12" t="n"/>
      <c r="J20" s="12" t="n"/>
      <c r="K20" s="25" t="n"/>
    </row>
    <row r="21">
      <c r="A21" s="12" t="inlineStr">
        <is>
          <t>C-017</t>
        </is>
      </c>
      <c r="B21" s="12" t="n"/>
      <c r="C21" s="25" t="n"/>
      <c r="D21" s="12" t="n"/>
      <c r="E21" s="12" t="n"/>
      <c r="F21" s="12" t="n"/>
      <c r="G21" s="12" t="n"/>
      <c r="H21" s="12" t="n"/>
      <c r="I21" s="12" t="n"/>
      <c r="J21" s="12" t="n"/>
      <c r="K21" s="25" t="n"/>
    </row>
    <row r="22">
      <c r="A22" s="12" t="inlineStr">
        <is>
          <t>C-018</t>
        </is>
      </c>
      <c r="B22" s="12" t="n"/>
      <c r="C22" s="25" t="n"/>
      <c r="D22" s="12" t="n"/>
      <c r="E22" s="12" t="n"/>
      <c r="F22" s="12" t="n"/>
      <c r="G22" s="12" t="n"/>
      <c r="H22" s="12" t="n"/>
      <c r="I22" s="12" t="n"/>
      <c r="J22" s="12" t="n"/>
      <c r="K22" s="25" t="n"/>
    </row>
    <row r="23">
      <c r="A23" s="12" t="inlineStr">
        <is>
          <t>C-019</t>
        </is>
      </c>
      <c r="B23" s="12" t="n"/>
      <c r="C23" s="25" t="n"/>
      <c r="D23" s="12" t="n"/>
      <c r="E23" s="12" t="n"/>
      <c r="F23" s="12" t="n"/>
      <c r="G23" s="12" t="n"/>
      <c r="H23" s="12" t="n"/>
      <c r="I23" s="12" t="n"/>
      <c r="J23" s="12" t="n"/>
      <c r="K23" s="25" t="n"/>
    </row>
    <row r="24">
      <c r="A24" s="12" t="inlineStr">
        <is>
          <t>C-020</t>
        </is>
      </c>
      <c r="B24" s="12" t="n"/>
      <c r="C24" s="25" t="n"/>
      <c r="D24" s="12" t="n"/>
      <c r="E24" s="12" t="n"/>
      <c r="F24" s="12" t="n"/>
      <c r="G24" s="12" t="n"/>
      <c r="H24" s="12" t="n"/>
      <c r="I24" s="12" t="n"/>
      <c r="J24" s="12" t="n"/>
      <c r="K24" s="25" t="n"/>
    </row>
    <row r="25">
      <c r="A25" s="12" t="inlineStr">
        <is>
          <t>C-021</t>
        </is>
      </c>
      <c r="B25" s="12" t="n"/>
      <c r="C25" s="25" t="n"/>
      <c r="D25" s="12" t="n"/>
      <c r="E25" s="12" t="n"/>
      <c r="F25" s="12" t="n"/>
      <c r="G25" s="12" t="n"/>
      <c r="H25" s="12" t="n"/>
      <c r="I25" s="12" t="n"/>
      <c r="J25" s="12" t="n"/>
      <c r="K25" s="25" t="n"/>
    </row>
    <row r="26">
      <c r="A26" s="12" t="inlineStr">
        <is>
          <t>C-022</t>
        </is>
      </c>
      <c r="B26" s="12" t="n"/>
      <c r="C26" s="25" t="n"/>
      <c r="D26" s="12" t="n"/>
      <c r="E26" s="12" t="n"/>
      <c r="F26" s="12" t="n"/>
      <c r="G26" s="12" t="n"/>
      <c r="H26" s="12" t="n"/>
      <c r="I26" s="12" t="n"/>
      <c r="J26" s="12" t="n"/>
      <c r="K26" s="25" t="n"/>
    </row>
    <row r="27">
      <c r="A27" s="12" t="inlineStr">
        <is>
          <t>C-023</t>
        </is>
      </c>
      <c r="B27" s="12" t="n"/>
      <c r="C27" s="25" t="n"/>
      <c r="D27" s="12" t="n"/>
      <c r="E27" s="12" t="n"/>
      <c r="F27" s="12" t="n"/>
      <c r="G27" s="12" t="n"/>
      <c r="H27" s="12" t="n"/>
      <c r="I27" s="12" t="n"/>
      <c r="J27" s="12" t="n"/>
      <c r="K27" s="25" t="n"/>
    </row>
    <row r="28">
      <c r="A28" s="12" t="inlineStr">
        <is>
          <t>C-024</t>
        </is>
      </c>
      <c r="B28" s="12" t="n"/>
      <c r="C28" s="25" t="n"/>
      <c r="D28" s="12" t="n"/>
      <c r="E28" s="12" t="n"/>
      <c r="F28" s="12" t="n"/>
      <c r="G28" s="12" t="n"/>
      <c r="H28" s="12" t="n"/>
      <c r="I28" s="12" t="n"/>
      <c r="J28" s="12" t="n"/>
      <c r="K28" s="25" t="n"/>
    </row>
    <row r="29">
      <c r="A29" s="12" t="inlineStr">
        <is>
          <t>C-025</t>
        </is>
      </c>
      <c r="B29" s="12" t="n"/>
      <c r="C29" s="25" t="n"/>
      <c r="D29" s="12" t="n"/>
      <c r="E29" s="12" t="n"/>
      <c r="F29" s="12" t="n"/>
      <c r="G29" s="12" t="n"/>
      <c r="H29" s="12" t="n"/>
      <c r="I29" s="12" t="n"/>
      <c r="J29" s="12" t="n"/>
      <c r="K29" s="25" t="n"/>
    </row>
    <row r="30">
      <c r="A30" s="12" t="inlineStr">
        <is>
          <t>C-026</t>
        </is>
      </c>
      <c r="B30" s="12" t="n"/>
      <c r="C30" s="25" t="n"/>
      <c r="D30" s="12" t="n"/>
      <c r="E30" s="12" t="n"/>
      <c r="F30" s="12" t="n"/>
      <c r="G30" s="12" t="n"/>
      <c r="H30" s="12" t="n"/>
      <c r="I30" s="12" t="n"/>
      <c r="J30" s="12" t="n"/>
      <c r="K30" s="25" t="n"/>
    </row>
    <row r="31">
      <c r="A31" s="12" t="inlineStr">
        <is>
          <t>C-027</t>
        </is>
      </c>
      <c r="B31" s="12" t="n"/>
      <c r="C31" s="25" t="n"/>
      <c r="D31" s="12" t="n"/>
      <c r="E31" s="12" t="n"/>
      <c r="F31" s="12" t="n"/>
      <c r="G31" s="12" t="n"/>
      <c r="H31" s="12" t="n"/>
      <c r="I31" s="12" t="n"/>
      <c r="J31" s="12" t="n"/>
      <c r="K31" s="25" t="n"/>
    </row>
    <row r="32">
      <c r="A32" s="12" t="inlineStr">
        <is>
          <t>C-028</t>
        </is>
      </c>
      <c r="B32" s="12" t="n"/>
      <c r="C32" s="25" t="n"/>
      <c r="D32" s="12" t="n"/>
      <c r="E32" s="12" t="n"/>
      <c r="F32" s="12" t="n"/>
      <c r="G32" s="12" t="n"/>
      <c r="H32" s="12" t="n"/>
      <c r="I32" s="12" t="n"/>
      <c r="J32" s="12" t="n"/>
      <c r="K32" s="25" t="n"/>
    </row>
    <row r="33">
      <c r="A33" s="12" t="inlineStr">
        <is>
          <t>C-029</t>
        </is>
      </c>
      <c r="B33" s="12" t="n"/>
      <c r="C33" s="25" t="n"/>
      <c r="D33" s="12" t="n"/>
      <c r="E33" s="12" t="n"/>
      <c r="F33" s="12" t="n"/>
      <c r="G33" s="12" t="n"/>
      <c r="H33" s="12" t="n"/>
      <c r="I33" s="12" t="n"/>
      <c r="J33" s="12" t="n"/>
      <c r="K33" s="25" t="n"/>
    </row>
    <row r="34">
      <c r="A34" s="12" t="inlineStr">
        <is>
          <t>C-030</t>
        </is>
      </c>
      <c r="B34" s="12" t="n"/>
      <c r="C34" s="25" t="n"/>
      <c r="D34" s="12" t="n"/>
      <c r="E34" s="12" t="n"/>
      <c r="F34" s="12" t="n"/>
      <c r="G34" s="12" t="n"/>
      <c r="H34" s="12" t="n"/>
      <c r="I34" s="12" t="n"/>
      <c r="J34" s="12" t="n"/>
      <c r="K34" s="25" t="n"/>
    </row>
    <row r="35">
      <c r="A35" s="12" t="inlineStr">
        <is>
          <t>C-031</t>
        </is>
      </c>
      <c r="B35" s="12" t="n"/>
      <c r="C35" s="25" t="n"/>
      <c r="D35" s="12" t="n"/>
      <c r="E35" s="12" t="n"/>
      <c r="F35" s="12" t="n"/>
      <c r="G35" s="12" t="n"/>
      <c r="H35" s="12" t="n"/>
      <c r="I35" s="12" t="n"/>
      <c r="J35" s="12" t="n"/>
      <c r="K35" s="25" t="n"/>
    </row>
    <row r="36">
      <c r="A36" s="12" t="inlineStr">
        <is>
          <t>C-032</t>
        </is>
      </c>
      <c r="B36" s="12" t="n"/>
      <c r="C36" s="25" t="n"/>
      <c r="D36" s="12" t="n"/>
      <c r="E36" s="12" t="n"/>
      <c r="F36" s="12" t="n"/>
      <c r="G36" s="12" t="n"/>
      <c r="H36" s="12" t="n"/>
      <c r="I36" s="12" t="n"/>
      <c r="J36" s="12" t="n"/>
      <c r="K36" s="25" t="n"/>
    </row>
    <row r="37">
      <c r="A37" s="12" t="inlineStr">
        <is>
          <t>C-033</t>
        </is>
      </c>
      <c r="B37" s="12" t="n"/>
      <c r="C37" s="25" t="n"/>
      <c r="D37" s="12" t="n"/>
      <c r="E37" s="12" t="n"/>
      <c r="F37" s="12" t="n"/>
      <c r="G37" s="12" t="n"/>
      <c r="H37" s="12" t="n"/>
      <c r="I37" s="12" t="n"/>
      <c r="J37" s="12" t="n"/>
      <c r="K37" s="25" t="n"/>
    </row>
    <row r="38">
      <c r="A38" s="12" t="inlineStr">
        <is>
          <t>C-034</t>
        </is>
      </c>
      <c r="B38" s="12" t="n"/>
      <c r="C38" s="25" t="n"/>
      <c r="D38" s="12" t="n"/>
      <c r="E38" s="12" t="n"/>
      <c r="F38" s="12" t="n"/>
      <c r="G38" s="12" t="n"/>
      <c r="H38" s="12" t="n"/>
      <c r="I38" s="12" t="n"/>
      <c r="J38" s="12" t="n"/>
      <c r="K38" s="25" t="n"/>
    </row>
    <row r="39">
      <c r="A39" s="12" t="inlineStr">
        <is>
          <t>C-035</t>
        </is>
      </c>
      <c r="B39" s="12" t="n"/>
      <c r="C39" s="25" t="n"/>
      <c r="D39" s="12" t="n"/>
      <c r="E39" s="12" t="n"/>
      <c r="F39" s="12" t="n"/>
      <c r="G39" s="12" t="n"/>
      <c r="H39" s="12" t="n"/>
      <c r="I39" s="12" t="n"/>
      <c r="J39" s="12" t="n"/>
      <c r="K39" s="25" t="n"/>
    </row>
    <row r="40">
      <c r="A40" s="12" t="inlineStr">
        <is>
          <t>C-036</t>
        </is>
      </c>
      <c r="B40" s="12" t="n"/>
      <c r="C40" s="25" t="n"/>
      <c r="D40" s="12" t="n"/>
      <c r="E40" s="12" t="n"/>
      <c r="F40" s="12" t="n"/>
      <c r="G40" s="12" t="n"/>
      <c r="H40" s="12" t="n"/>
      <c r="I40" s="12" t="n"/>
      <c r="J40" s="12" t="n"/>
      <c r="K40" s="25" t="n"/>
    </row>
    <row r="41">
      <c r="A41" s="12" t="inlineStr">
        <is>
          <t>C-037</t>
        </is>
      </c>
      <c r="B41" s="12" t="n"/>
      <c r="C41" s="25" t="n"/>
      <c r="D41" s="12" t="n"/>
      <c r="E41" s="12" t="n"/>
      <c r="F41" s="12" t="n"/>
      <c r="G41" s="12" t="n"/>
      <c r="H41" s="12" t="n"/>
      <c r="I41" s="12" t="n"/>
      <c r="J41" s="12" t="n"/>
      <c r="K41" s="25" t="n"/>
    </row>
    <row r="42">
      <c r="A42" s="12" t="inlineStr">
        <is>
          <t>C-038</t>
        </is>
      </c>
      <c r="B42" s="12" t="n"/>
      <c r="C42" s="25" t="n"/>
      <c r="D42" s="12" t="n"/>
      <c r="E42" s="12" t="n"/>
      <c r="F42" s="12" t="n"/>
      <c r="G42" s="12" t="n"/>
      <c r="H42" s="12" t="n"/>
      <c r="I42" s="12" t="n"/>
      <c r="J42" s="12" t="n"/>
      <c r="K42" s="25" t="n"/>
    </row>
    <row r="43">
      <c r="A43" s="12" t="inlineStr">
        <is>
          <t>C-039</t>
        </is>
      </c>
      <c r="B43" s="12" t="n"/>
      <c r="C43" s="25" t="n"/>
      <c r="D43" s="12" t="n"/>
      <c r="E43" s="12" t="n"/>
      <c r="F43" s="12" t="n"/>
      <c r="G43" s="12" t="n"/>
      <c r="H43" s="12" t="n"/>
      <c r="I43" s="12" t="n"/>
      <c r="J43" s="12" t="n"/>
      <c r="K43" s="25" t="n"/>
    </row>
    <row r="44">
      <c r="A44" s="12" t="inlineStr">
        <is>
          <t>C-040</t>
        </is>
      </c>
      <c r="B44" s="12" t="n"/>
      <c r="C44" s="25" t="n"/>
      <c r="D44" s="12" t="n"/>
      <c r="E44" s="12" t="n"/>
      <c r="F44" s="12" t="n"/>
      <c r="G44" s="12" t="n"/>
      <c r="H44" s="12" t="n"/>
      <c r="I44" s="12" t="n"/>
      <c r="J44" s="12" t="n"/>
      <c r="K44" s="25" t="n"/>
    </row>
    <row r="45">
      <c r="A45" s="12" t="inlineStr">
        <is>
          <t>C-041</t>
        </is>
      </c>
      <c r="B45" s="12" t="n"/>
      <c r="C45" s="25" t="n"/>
      <c r="D45" s="12" t="n"/>
      <c r="E45" s="12" t="n"/>
      <c r="F45" s="12" t="n"/>
      <c r="G45" s="12" t="n"/>
      <c r="H45" s="12" t="n"/>
      <c r="I45" s="12" t="n"/>
      <c r="J45" s="12" t="n"/>
      <c r="K45" s="25" t="n"/>
    </row>
    <row r="46">
      <c r="A46" s="12" t="inlineStr">
        <is>
          <t>C-042</t>
        </is>
      </c>
      <c r="B46" s="12" t="n"/>
      <c r="C46" s="25" t="n"/>
      <c r="D46" s="12" t="n"/>
      <c r="E46" s="12" t="n"/>
      <c r="F46" s="12" t="n"/>
      <c r="G46" s="12" t="n"/>
      <c r="H46" s="12" t="n"/>
      <c r="I46" s="12" t="n"/>
      <c r="J46" s="12" t="n"/>
      <c r="K46" s="25" t="n"/>
    </row>
    <row r="47">
      <c r="A47" s="12" t="inlineStr">
        <is>
          <t>C-043</t>
        </is>
      </c>
      <c r="B47" s="12" t="n"/>
      <c r="C47" s="25" t="n"/>
      <c r="D47" s="12" t="n"/>
      <c r="E47" s="12" t="n"/>
      <c r="F47" s="12" t="n"/>
      <c r="G47" s="12" t="n"/>
      <c r="H47" s="12" t="n"/>
      <c r="I47" s="12" t="n"/>
      <c r="J47" s="12" t="n"/>
      <c r="K47" s="25" t="n"/>
    </row>
    <row r="48">
      <c r="A48" s="12" t="inlineStr">
        <is>
          <t>C-044</t>
        </is>
      </c>
      <c r="B48" s="12" t="n"/>
      <c r="C48" s="25" t="n"/>
      <c r="D48" s="12" t="n"/>
      <c r="E48" s="12" t="n"/>
      <c r="F48" s="12" t="n"/>
      <c r="G48" s="12" t="n"/>
      <c r="H48" s="12" t="n"/>
      <c r="I48" s="12" t="n"/>
      <c r="J48" s="12" t="n"/>
      <c r="K48" s="25" t="n"/>
    </row>
    <row r="49">
      <c r="A49" s="12" t="inlineStr">
        <is>
          <t>C-045</t>
        </is>
      </c>
      <c r="B49" s="12" t="n"/>
      <c r="C49" s="25" t="n"/>
      <c r="D49" s="12" t="n"/>
      <c r="E49" s="12" t="n"/>
      <c r="F49" s="12" t="n"/>
      <c r="G49" s="12" t="n"/>
      <c r="H49" s="12" t="n"/>
      <c r="I49" s="12" t="n"/>
      <c r="J49" s="12" t="n"/>
      <c r="K49" s="25" t="n"/>
    </row>
    <row r="50">
      <c r="A50" s="12" t="inlineStr">
        <is>
          <t>C-046</t>
        </is>
      </c>
      <c r="B50" s="12" t="n"/>
      <c r="C50" s="25" t="n"/>
      <c r="D50" s="12" t="n"/>
      <c r="E50" s="12" t="n"/>
      <c r="F50" s="12" t="n"/>
      <c r="G50" s="12" t="n"/>
      <c r="H50" s="12" t="n"/>
      <c r="I50" s="12" t="n"/>
      <c r="J50" s="12" t="n"/>
      <c r="K50" s="25" t="n"/>
    </row>
    <row r="51">
      <c r="A51" s="12" t="inlineStr">
        <is>
          <t>C-047</t>
        </is>
      </c>
      <c r="B51" s="12" t="n"/>
      <c r="C51" s="25" t="n"/>
      <c r="D51" s="12" t="n"/>
      <c r="E51" s="12" t="n"/>
      <c r="F51" s="12" t="n"/>
      <c r="G51" s="12" t="n"/>
      <c r="H51" s="12" t="n"/>
      <c r="I51" s="12" t="n"/>
      <c r="J51" s="12" t="n"/>
      <c r="K51" s="25" t="n"/>
    </row>
    <row r="52">
      <c r="A52" s="12" t="inlineStr">
        <is>
          <t>C-048</t>
        </is>
      </c>
      <c r="B52" s="12" t="n"/>
      <c r="C52" s="25" t="n"/>
      <c r="D52" s="12" t="n"/>
      <c r="E52" s="12" t="n"/>
      <c r="F52" s="12" t="n"/>
      <c r="G52" s="12" t="n"/>
      <c r="H52" s="12" t="n"/>
      <c r="I52" s="12" t="n"/>
      <c r="J52" s="12" t="n"/>
      <c r="K52" s="25" t="n"/>
    </row>
    <row r="53">
      <c r="A53" s="12" t="inlineStr">
        <is>
          <t>C-049</t>
        </is>
      </c>
      <c r="B53" s="12" t="n"/>
      <c r="C53" s="25" t="n"/>
      <c r="D53" s="12" t="n"/>
      <c r="E53" s="12" t="n"/>
      <c r="F53" s="12" t="n"/>
      <c r="G53" s="12" t="n"/>
      <c r="H53" s="12" t="n"/>
      <c r="I53" s="12" t="n"/>
      <c r="J53" s="12" t="n"/>
      <c r="K53" s="25" t="n"/>
    </row>
    <row r="54">
      <c r="A54" s="12" t="inlineStr">
        <is>
          <t>C-050</t>
        </is>
      </c>
      <c r="B54" s="12" t="n"/>
      <c r="C54" s="25" t="n"/>
      <c r="D54" s="12" t="n"/>
      <c r="E54" s="12" t="n"/>
      <c r="F54" s="12" t="n"/>
      <c r="G54" s="12" t="n"/>
      <c r="H54" s="12" t="n"/>
      <c r="I54" s="12" t="n"/>
      <c r="J54" s="12" t="n"/>
      <c r="K54" s="25" t="n"/>
    </row>
  </sheetData>
  <autoFilter ref="A4:K54"/>
  <mergeCells count="1">
    <mergeCell ref="A2:K2"/>
  </mergeCells>
  <conditionalFormatting sqref="A5:K554">
    <cfRule type="expression" priority="1" dxfId="0">
      <formula>AND(MOD(ROW(),2)=0,$A5&lt;&gt;"")</formula>
    </cfRule>
  </conditionalFormatting>
  <dataValidations count="3">
    <dataValidation sqref="G5:G554" showDropDown="0" showInputMessage="0" showErrorMessage="1" allowBlank="1" errorTitle="Type" error="Choose a value from the list (Type)." type="list">
      <formula1>'_lists'!$AF$1:$AF$3</formula1>
    </dataValidation>
    <dataValidation sqref="J5:J554" showDropDown="0" showInputMessage="0" showErrorMessage="1" allowBlank="1" errorTitle="Status" error="Choose a value from the list (Status)." type="list">
      <formula1>'_lists'!$AG$1:$AG$3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9.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walkthrough of the Migration Console on SIT</t>
        </is>
      </c>
      <c r="C5" s="12" t="inlineStr">
        <is>
          <t>3 sessions, 7 to 9-Oct-2026</t>
        </is>
      </c>
      <c r="D5" s="12" t="n"/>
      <c r="E5" s="12" t="n"/>
      <c r="F5" s="12" t="n"/>
      <c r="G5" s="12" t="n"/>
      <c r="H5" s="12" t="n"/>
      <c r="I5" s="25" t="n"/>
    </row>
    <row r="6">
      <c r="A6" s="25" t="n"/>
      <c r="B6" s="12" t="inlineStr">
        <is>
          <t>Comments consolidated and a Q&amp;A session</t>
        </is>
      </c>
      <c r="C6" s="12" t="inlineStr">
        <is>
          <t>3 working days, Q&amp;A on Mon 26-Oct-2026</t>
        </is>
      </c>
      <c r="D6" s="12" t="n"/>
      <c r="E6" s="12" t="n"/>
      <c r="F6" s="12" t="n"/>
      <c r="G6" s="12" t="n"/>
      <c r="H6" s="12" t="n"/>
      <c r="I6" s="25" t="n"/>
    </row>
    <row r="7">
      <c r="A7" s="25" t="n"/>
      <c r="B7" s="12" t="inlineStr">
        <is>
          <t>Sign-off meeting and signature</t>
        </is>
      </c>
      <c r="C7" s="12" t="inlineStr">
        <is>
          <t>Fri 30-Oct-2026 (M2)</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0.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2.1</t>
        </is>
      </c>
      <c r="B5" s="12" t="inlineStr">
        <is>
          <t>8 October 2026</t>
        </is>
      </c>
      <c r="C5" s="12" t="inlineStr">
        <is>
          <t>iorta TechNXT project team</t>
        </is>
      </c>
      <c r="D5" s="12" t="inlineStr">
        <is>
          <t>First issue of the business sign-off pack, from the Data Migration Handbook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1.xml><?xml version="1.0" encoding="utf-8"?>
<worksheet xmlns="http://schemas.openxmlformats.org/spreadsheetml/2006/main">
  <sheetPr>
    <outlinePr summaryBelow="1" summaryRight="1"/>
    <pageSetUpPr fitToPage="1"/>
  </sheetPr>
  <dimension ref="A1:J21"/>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BRD-13 Data Migration – Business Sign-off Pack v2.1: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Migration Lead, test lead</t>
        </is>
      </c>
      <c r="C5" s="12" t="inlineStr">
        <is>
          <t>iorta TechNXT</t>
        </is>
      </c>
      <c r="D5" s="12" t="inlineStr">
        <is>
          <t>The set is complete and consistent as issued, traced to the BRD and to the Migration Console; every comment is answered in the comments log</t>
        </is>
      </c>
      <c r="E5" s="12" t="inlineStr">
        <is>
          <t>Added for this set (author of the Handbook and the Migration Workbook)</t>
        </is>
      </c>
      <c r="F5" s="12" t="n"/>
      <c r="G5" s="12" t="n"/>
      <c r="H5" s="12" t="n"/>
      <c r="I5" s="12" t="n"/>
      <c r="J5" s="25" t="n"/>
    </row>
    <row r="6">
      <c r="A6" s="12" t="inlineStr">
        <is>
          <t>Prepared by</t>
        </is>
      </c>
      <c r="B6" s="12" t="inlineStr">
        <is>
          <t>Program Manager, Enterprise Services Group - Business Project Services (BPS)</t>
        </is>
      </c>
      <c r="C6" s="12" t="inlineStr">
        <is>
          <t>BDO Unibank ESG</t>
        </is>
      </c>
      <c r="D6" s="12" t="inlineStr">
        <is>
          <t>The set states the BRD requirements as written (author of the BRD); traceability of every BRD requirement and completeness of the set; chairs the go / no-go board</t>
        </is>
      </c>
      <c r="E6" s="12" t="inlineStr">
        <is>
          <t>Prepared by (p.19)</t>
        </is>
      </c>
      <c r="F6" s="12" t="n"/>
      <c r="G6" s="12" t="n"/>
      <c r="H6" s="12" t="n"/>
      <c r="I6" s="12" t="n"/>
      <c r="J6" s="25" t="n"/>
    </row>
    <row r="7">
      <c r="A7" s="12" t="inlineStr">
        <is>
          <t>Input provided by</t>
        </is>
      </c>
      <c r="B7" s="12" t="inlineStr">
        <is>
          <t>Data Migration Lead</t>
        </is>
      </c>
      <c r="C7" s="12" t="inlineStr">
        <is>
          <t>BDOI</t>
        </is>
      </c>
      <c r="D7" s="12" t="inlineStr">
        <is>
          <t>The object decisions, the trial migrations, the gates and the cut-over plan match the business input</t>
        </is>
      </c>
      <c r="E7" s="12" t="inlineStr">
        <is>
          <t>Added for this set</t>
        </is>
      </c>
      <c r="F7" s="12" t="n"/>
      <c r="G7" s="12" t="n"/>
      <c r="H7" s="12" t="n"/>
      <c r="I7" s="12" t="n"/>
      <c r="J7" s="25" t="n"/>
    </row>
    <row r="8">
      <c r="A8" s="12" t="inlineStr">
        <is>
          <t>Input provided by</t>
        </is>
      </c>
      <c r="B8" s="12" t="inlineStr">
        <is>
          <t>Data owners of the objects (department representatives named per object)</t>
        </is>
      </c>
      <c r="C8" s="12" t="inlineStr">
        <is>
          <t>BDOI</t>
        </is>
      </c>
      <c r="D8" s="12" t="inlineStr">
        <is>
          <t>Their objects, load templates, code maps and reconciliation</t>
        </is>
      </c>
      <c r="E8" s="12" t="inlineStr">
        <is>
          <t>Added for this set (named per object in the Migration Workbook)</t>
        </is>
      </c>
      <c r="F8" s="12" t="n"/>
      <c r="G8" s="12" t="n"/>
      <c r="H8" s="12" t="n"/>
      <c r="I8" s="12" t="n"/>
      <c r="J8" s="25" t="n"/>
    </row>
    <row r="9">
      <c r="A9" s="12" t="inlineStr">
        <is>
          <t>Reviewed by</t>
        </is>
      </c>
      <c r="B9" s="12" t="inlineStr">
        <is>
          <t>BA Unit Head, Enterprise Services Group - Business Project Services</t>
        </is>
      </c>
      <c r="C9" s="12" t="inlineStr">
        <is>
          <t>BDO Unibank ESG</t>
        </is>
      </c>
      <c r="D9" s="12" t="inlineStr">
        <is>
          <t>The set states the BRD requirements and their numbering as written; the proposed business rules and clarifications are listed</t>
        </is>
      </c>
      <c r="E9" s="12" t="inlineStr">
        <is>
          <t>Reviewed by (p.19)</t>
        </is>
      </c>
      <c r="F9" s="12" t="n"/>
      <c r="G9" s="12" t="n"/>
      <c r="H9" s="12" t="n"/>
      <c r="I9" s="12" t="n"/>
      <c r="J9" s="25" t="n"/>
    </row>
    <row r="10">
      <c r="A10" s="12" t="inlineStr">
        <is>
          <t>Reviewed by</t>
        </is>
      </c>
      <c r="B10" s="12" t="inlineStr">
        <is>
          <t>Marketing Business System (MBS)</t>
        </is>
      </c>
      <c r="C10" s="12" t="inlineStr">
        <is>
          <t>BDOI</t>
        </is>
      </c>
      <c r="D10" s="12" t="inlineStr">
        <is>
          <t>The lists of values, products, packages, clients and payout accounts and their code maps</t>
        </is>
      </c>
      <c r="E10" s="12" t="inlineStr">
        <is>
          <t>Reviewed by (p.19)</t>
        </is>
      </c>
      <c r="F10" s="12" t="n"/>
      <c r="G10" s="12" t="n"/>
      <c r="H10" s="12" t="n"/>
      <c r="I10" s="12" t="n"/>
      <c r="J10" s="25" t="n"/>
    </row>
    <row r="11">
      <c r="A11" s="12" t="inlineStr">
        <is>
          <t>Reviewed by</t>
        </is>
      </c>
      <c r="B11" s="12" t="inlineStr">
        <is>
          <t>BDOI Information Technology Group (BDOI IT)</t>
        </is>
      </c>
      <c r="C11" s="12" t="inlineStr">
        <is>
          <t>BDOI</t>
        </is>
      </c>
      <c r="D11" s="12" t="inlineStr">
        <is>
          <t>Extracts and their transfer, the legacy freeze and read-only access, decommissioning, and the Technical Specification (a separate document); not the business content</t>
        </is>
      </c>
      <c r="E11" s="12" t="inlineStr">
        <is>
          <t>Added for this set</t>
        </is>
      </c>
      <c r="F11" s="12" t="n"/>
      <c r="G11" s="12" t="n"/>
      <c r="H11" s="12" t="n"/>
      <c r="I11" s="12" t="n"/>
      <c r="J11" s="25" t="n"/>
    </row>
    <row r="12">
      <c r="A12" s="12" t="inlineStr">
        <is>
          <t>Approved by</t>
        </is>
      </c>
      <c r="B12" s="12" t="inlineStr">
        <is>
          <t>Product Owner, Marketing Business System</t>
        </is>
      </c>
      <c r="C12" s="12" t="inlineStr">
        <is>
          <t>BDOI</t>
        </is>
      </c>
      <c r="D12" s="12" t="inlineStr">
        <is>
          <t>Owns the set and approves all of its contents</t>
        </is>
      </c>
      <c r="E12" s="12" t="inlineStr">
        <is>
          <t>Approved by (p.19)</t>
        </is>
      </c>
      <c r="F12" s="12" t="n"/>
      <c r="G12" s="12" t="n"/>
      <c r="H12" s="12" t="n"/>
      <c r="I12" s="12" t="n"/>
      <c r="J12" s="25" t="n"/>
    </row>
    <row r="13">
      <c r="A13" s="12" t="inlineStr">
        <is>
          <t>Approved by</t>
        </is>
      </c>
      <c r="B13" s="12" t="inlineStr">
        <is>
          <t>Product Owner - Comptrollership - Disbursement</t>
        </is>
      </c>
      <c r="C13" s="12" t="inlineStr">
        <is>
          <t>BDOI</t>
        </is>
      </c>
      <c r="D13" s="12" t="inlineStr">
        <is>
          <t>Payees and open disbursements</t>
        </is>
      </c>
      <c r="E13" s="12" t="inlineStr">
        <is>
          <t>Approved by (p.19)</t>
        </is>
      </c>
      <c r="F13" s="12" t="n"/>
      <c r="G13" s="12" t="n"/>
      <c r="H13" s="12" t="n"/>
      <c r="I13" s="12" t="n"/>
      <c r="J13" s="25" t="n"/>
    </row>
    <row r="14">
      <c r="A14" s="12" t="inlineStr">
        <is>
          <t>Approved by</t>
        </is>
      </c>
      <c r="B14" s="12" t="inlineStr">
        <is>
          <t>Product Owner - Comptrollership - FRBS and ACSL</t>
        </is>
      </c>
      <c r="C14" s="12" t="inlineStr">
        <is>
          <t>BDOI</t>
        </is>
      </c>
      <c r="D14" s="12" t="inlineStr">
        <is>
          <t>GL opening, legacy accounts and the subsidiary ledger (accounting data, BRID_MIG 13.1)</t>
        </is>
      </c>
      <c r="E14" s="12" t="inlineStr">
        <is>
          <t>Approved by (p.19)</t>
        </is>
      </c>
      <c r="F14" s="12" t="n"/>
      <c r="G14" s="12" t="n"/>
      <c r="H14" s="12" t="n"/>
      <c r="I14" s="12" t="n"/>
      <c r="J14" s="25" t="n"/>
    </row>
    <row r="15">
      <c r="A15" s="12" t="inlineStr">
        <is>
          <t>Approved by</t>
        </is>
      </c>
      <c r="B15" s="12" t="inlineStr">
        <is>
          <t>Operations: Financial Transactions and Processing</t>
        </is>
      </c>
      <c r="C15" s="12" t="inlineStr">
        <is>
          <t>BDOI</t>
        </is>
      </c>
      <c r="D15" s="12" t="inlineStr">
        <is>
          <t>Open invoices, unapplied payments, collection state and remittance</t>
        </is>
      </c>
      <c r="E15" s="12" t="inlineStr">
        <is>
          <t>Approved by (p.19)</t>
        </is>
      </c>
      <c r="F15" s="12" t="n"/>
      <c r="G15" s="12" t="n"/>
      <c r="H15" s="12" t="n"/>
      <c r="I15" s="12" t="n"/>
      <c r="J15" s="25" t="n"/>
    </row>
    <row r="16">
      <c r="A16" s="12" t="inlineStr">
        <is>
          <t>Approved by</t>
        </is>
      </c>
      <c r="B16" s="12" t="inlineStr">
        <is>
          <t>Head - Operations</t>
        </is>
      </c>
      <c r="C16" s="12" t="inlineStr">
        <is>
          <t>BDOI</t>
        </is>
      </c>
      <c r="D16" s="12" t="inlineStr">
        <is>
          <t>Insurers, commission rates, policy headers, endorsements and e-policies</t>
        </is>
      </c>
      <c r="E16" s="12" t="inlineStr">
        <is>
          <t>Approved by (p.20)</t>
        </is>
      </c>
      <c r="F16" s="12" t="n"/>
      <c r="G16" s="12" t="n"/>
      <c r="H16" s="12" t="n"/>
      <c r="I16" s="12" t="n"/>
      <c r="J16" s="25" t="n"/>
    </row>
    <row r="17">
      <c r="A17" s="12" t="inlineStr">
        <is>
          <t>Approved by</t>
        </is>
      </c>
      <c r="B17" s="12" t="inlineStr">
        <is>
          <t>Unit Head - Claims, Analytics, Risk Management, Reinsurance and Technical Underwriting</t>
        </is>
      </c>
      <c r="C17" s="12" t="inlineStr">
        <is>
          <t>BDOI</t>
        </is>
      </c>
      <c r="D17" s="12" t="inlineStr">
        <is>
          <t>Claims data (BRID_MIG 14.1); KYC documents, the archive, Legacy Inquiry and its access log; the renewal advices already sent and the day-1 renewal queue</t>
        </is>
      </c>
      <c r="E17" s="12" t="inlineStr">
        <is>
          <t>Approved by (p.20, by e-mail)</t>
        </is>
      </c>
      <c r="F17" s="12" t="n"/>
      <c r="G17" s="12" t="n"/>
      <c r="H17" s="12" t="n"/>
      <c r="I17" s="12" t="n"/>
      <c r="J17" s="25" t="n"/>
    </row>
    <row r="18">
      <c r="A18" s="12" t="inlineStr">
        <is>
          <t>Approved by</t>
        </is>
      </c>
      <c r="B18" s="12" t="inlineStr">
        <is>
          <t>Unit Head - Combank and Corbank</t>
        </is>
      </c>
      <c r="C18" s="12" t="inlineStr">
        <is>
          <t>BDOI</t>
        </is>
      </c>
      <c r="D18" s="12" t="inlineStr">
        <is>
          <t>Clients and the sales organisation of Combank and Corbank</t>
        </is>
      </c>
      <c r="E18" s="12" t="inlineStr">
        <is>
          <t>Approved by (p.20)</t>
        </is>
      </c>
      <c r="F18" s="12" t="n"/>
      <c r="G18" s="12" t="n"/>
      <c r="H18" s="12" t="n"/>
      <c r="I18" s="12" t="n"/>
      <c r="J18" s="25" t="n"/>
    </row>
    <row r="19">
      <c r="A19" s="12" t="inlineStr">
        <is>
          <t>Approved by</t>
        </is>
      </c>
      <c r="B19" s="12" t="inlineStr">
        <is>
          <t>Head - Comptrollership</t>
        </is>
      </c>
      <c r="C19" s="12" t="inlineStr">
        <is>
          <t>BDOI</t>
        </is>
      </c>
      <c r="D19" s="12" t="inlineStr">
        <is>
          <t>Open items, GL opening, reconciliation and the opening-balance adjustments</t>
        </is>
      </c>
      <c r="E19" s="12" t="inlineStr">
        <is>
          <t>Approved by (p.20)</t>
        </is>
      </c>
      <c r="F19" s="12" t="n"/>
      <c r="G19" s="12" t="n"/>
      <c r="H19" s="12" t="n"/>
      <c r="I19" s="12" t="n"/>
      <c r="J19" s="25" t="n"/>
    </row>
    <row r="20">
      <c r="A20" s="12" t="inlineStr">
        <is>
          <t>Approved by</t>
        </is>
      </c>
      <c r="B20" s="12" t="inlineStr">
        <is>
          <t>Head - Retail Marketing</t>
        </is>
      </c>
      <c r="C20" s="12" t="inlineStr">
        <is>
          <t>BDOI</t>
        </is>
      </c>
      <c r="D20" s="12" t="inlineStr">
        <is>
          <t>Clients and the sales organisation of Retail Marketing</t>
        </is>
      </c>
      <c r="E20" s="12" t="inlineStr">
        <is>
          <t>Approved by (p.20)</t>
        </is>
      </c>
      <c r="F20" s="12" t="n"/>
      <c r="G20" s="12" t="n"/>
      <c r="H20" s="12" t="n"/>
      <c r="I20" s="12" t="n"/>
      <c r="J20" s="25" t="n"/>
    </row>
    <row r="21">
      <c r="A21" s="12" t="inlineStr">
        <is>
          <t>Approved by</t>
        </is>
      </c>
      <c r="B21" s="12" t="inlineStr">
        <is>
          <t>Head - Corporate and Retail Marketing</t>
        </is>
      </c>
      <c r="C21" s="12" t="inlineStr">
        <is>
          <t>BDOI</t>
        </is>
      </c>
      <c r="D21" s="12" t="inlineStr">
        <is>
          <t>Clients and the sales organisation of Corporate Marketing</t>
        </is>
      </c>
      <c r="E21" s="12" t="inlineStr">
        <is>
          <t>Approved by (p.20)</t>
        </is>
      </c>
      <c r="F21" s="12" t="n"/>
      <c r="G21" s="12" t="n"/>
      <c r="H21" s="12" t="n"/>
      <c r="I21" s="12" t="n"/>
      <c r="J21" s="25" t="n"/>
    </row>
  </sheetData>
  <autoFilter ref="A4:J21"/>
  <mergeCells count="1">
    <mergeCell ref="A2:J2"/>
  </mergeCells>
  <conditionalFormatting sqref="A5:J521">
    <cfRule type="expression" priority="1" dxfId="0">
      <formula>AND(MOD(ROW(),2)=0,$A5&lt;&gt;"")</formula>
    </cfRule>
  </conditionalFormatting>
  <dataValidations count="2">
    <dataValidation sqref="G5:G521" showDropDown="0" showInputMessage="0" showErrorMessage="1" allowBlank="1" errorTitle="Decision" error="Choose a value from the list (Decision)." type="list">
      <formula1>'_lists'!$AH$1:$AH$3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2.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A1" t="inlineStr">
        <is>
          <t>Migrate</t>
        </is>
      </c>
      <c r="B1" t="inlineStr">
        <is>
          <t>Accept</t>
        </is>
      </c>
      <c r="C1" t="inlineStr">
        <is>
          <t>Accept</t>
        </is>
      </c>
      <c r="D1" t="inlineStr">
        <is>
          <t>Accept</t>
        </is>
      </c>
      <c r="E1" t="inlineStr">
        <is>
          <t>Accept</t>
        </is>
      </c>
      <c r="F1" t="inlineStr">
        <is>
          <t>ROW_COUNT</t>
        </is>
      </c>
      <c r="G1" t="inlineStr">
        <is>
          <t>MATCHED</t>
        </is>
      </c>
      <c r="H1" t="inlineStr">
        <is>
          <t>Accept</t>
        </is>
      </c>
      <c r="I1" t="inlineStr">
        <is>
          <t>EBIX</t>
        </is>
      </c>
      <c r="J1" t="inlineStr">
        <is>
          <t>MAP</t>
        </is>
      </c>
      <c r="K1" t="inlineStr">
        <is>
          <t>Accept</t>
        </is>
      </c>
      <c r="L1" t="inlineStr">
        <is>
          <t>Accept</t>
        </is>
      </c>
      <c r="M1" t="inlineStr">
        <is>
          <t>NOT STARTED</t>
        </is>
      </c>
      <c r="N1" t="inlineStr">
        <is>
          <t>Accept</t>
        </is>
      </c>
      <c r="O1" t="inlineStr">
        <is>
          <t>Y</t>
        </is>
      </c>
      <c r="P1" t="inlineStr">
        <is>
          <t>Accept</t>
        </is>
      </c>
      <c r="Q1" t="inlineStr">
        <is>
          <t>Accept</t>
        </is>
      </c>
      <c r="R1" t="inlineStr">
        <is>
          <t>Accept</t>
        </is>
      </c>
      <c r="S1" t="inlineStr">
        <is>
          <t>OPEN</t>
        </is>
      </c>
      <c r="T1" t="inlineStr">
        <is>
          <t>Accept</t>
        </is>
      </c>
      <c r="U1" t="inlineStr">
        <is>
          <t>Trial migration 1</t>
        </is>
      </c>
      <c r="V1" t="inlineStr">
        <is>
          <t>Matched</t>
        </is>
      </c>
      <c r="W1" t="inlineStr">
        <is>
          <t>Accept</t>
        </is>
      </c>
      <c r="X1" t="inlineStr">
        <is>
          <t>OPEN</t>
        </is>
      </c>
      <c r="Y1" t="inlineStr">
        <is>
          <t>Agree</t>
        </is>
      </c>
      <c r="Z1" t="inlineStr">
        <is>
          <t>Accept</t>
        </is>
      </c>
      <c r="AA1" t="inlineStr">
        <is>
          <t>Accept</t>
        </is>
      </c>
      <c r="AB1" t="inlineStr">
        <is>
          <t>Accept</t>
        </is>
      </c>
      <c r="AC1" t="inlineStr">
        <is>
          <t>Accept</t>
        </is>
      </c>
      <c r="AD1" t="inlineStr">
        <is>
          <t>Validation</t>
        </is>
      </c>
      <c r="AE1" t="inlineStr">
        <is>
          <t>Accept</t>
        </is>
      </c>
      <c r="AF1" t="inlineStr">
        <is>
          <t>Clarification</t>
        </is>
      </c>
      <c r="AG1" t="inlineStr">
        <is>
          <t>Open</t>
        </is>
      </c>
      <c r="AH1" t="inlineStr">
        <is>
          <t>Approved</t>
        </is>
      </c>
    </row>
    <row r="2">
      <c r="A2" t="inlineStr">
        <is>
          <t>Carry forward</t>
        </is>
      </c>
      <c r="B2" t="inlineStr">
        <is>
          <t>Change requested</t>
        </is>
      </c>
      <c r="C2" t="inlineStr">
        <is>
          <t>Change requested</t>
        </is>
      </c>
      <c r="D2" t="inlineStr">
        <is>
          <t>Change requested</t>
        </is>
      </c>
      <c r="E2" t="inlineStr">
        <is>
          <t>Change requested</t>
        </is>
      </c>
      <c r="F2" t="inlineStr">
        <is>
          <t>HASH_TOTAL</t>
        </is>
      </c>
      <c r="G2" t="inlineStr">
        <is>
          <t>BREAK</t>
        </is>
      </c>
      <c r="H2" t="inlineStr">
        <is>
          <t>Change requested</t>
        </is>
      </c>
      <c r="I2" t="inlineStr">
        <is>
          <t>QPS</t>
        </is>
      </c>
      <c r="J2" t="inlineStr">
        <is>
          <t>DEFAULT</t>
        </is>
      </c>
      <c r="K2" t="inlineStr">
        <is>
          <t>Change requested</t>
        </is>
      </c>
      <c r="L2" t="inlineStr">
        <is>
          <t>Change requested</t>
        </is>
      </c>
      <c r="M2" t="inlineStr">
        <is>
          <t>IN PROGRESS</t>
        </is>
      </c>
      <c r="N2" t="inlineStr">
        <is>
          <t>Change requested</t>
        </is>
      </c>
      <c r="O2" t="inlineStr">
        <is>
          <t>N</t>
        </is>
      </c>
      <c r="P2" t="inlineStr">
        <is>
          <t>Change requested</t>
        </is>
      </c>
      <c r="Q2" t="inlineStr">
        <is>
          <t>Change requested</t>
        </is>
      </c>
      <c r="R2" t="inlineStr">
        <is>
          <t>Change requested</t>
        </is>
      </c>
      <c r="S2" t="inlineStr">
        <is>
          <t>DONE</t>
        </is>
      </c>
      <c r="T2" t="inlineStr">
        <is>
          <t>Change requested</t>
        </is>
      </c>
      <c r="U2" t="inlineStr">
        <is>
          <t>Trial migration 2</t>
        </is>
      </c>
      <c r="V2" t="inlineStr">
        <is>
          <t>Explained</t>
        </is>
      </c>
      <c r="W2" t="inlineStr">
        <is>
          <t>Change requested</t>
        </is>
      </c>
      <c r="X2" t="inlineStr">
        <is>
          <t>PARTIAL</t>
        </is>
      </c>
      <c r="Y2" t="inlineStr">
        <is>
          <t>Agree with change</t>
        </is>
      </c>
      <c r="Z2" t="inlineStr">
        <is>
          <t>Change requested</t>
        </is>
      </c>
      <c r="AA2" t="inlineStr">
        <is>
          <t>Change requested</t>
        </is>
      </c>
      <c r="AB2" t="inlineStr">
        <is>
          <t>Change requested</t>
        </is>
      </c>
      <c r="AC2" t="inlineStr">
        <is>
          <t>Change requested</t>
        </is>
      </c>
      <c r="AD2" t="inlineStr">
        <is>
          <t>Error</t>
        </is>
      </c>
      <c r="AE2" t="inlineStr">
        <is>
          <t>Change requested</t>
        </is>
      </c>
      <c r="AF2" t="inlineStr">
        <is>
          <t>Correction</t>
        </is>
      </c>
      <c r="AG2" t="inlineStr">
        <is>
          <t>Answered</t>
        </is>
      </c>
      <c r="AH2" t="inlineStr">
        <is>
          <t>Approved with comments</t>
        </is>
      </c>
    </row>
    <row r="3">
      <c r="A3" t="inlineStr">
        <is>
          <t>Conditional</t>
        </is>
      </c>
      <c r="B3" t="inlineStr">
        <is>
          <t>Comment</t>
        </is>
      </c>
      <c r="C3" t="inlineStr">
        <is>
          <t>Comment</t>
        </is>
      </c>
      <c r="D3" t="inlineStr">
        <is>
          <t>Comment</t>
        </is>
      </c>
      <c r="E3" t="inlineStr">
        <is>
          <t>Comment</t>
        </is>
      </c>
      <c r="F3" t="inlineStr">
        <is>
          <t>AMOUNT_TOTAL</t>
        </is>
      </c>
      <c r="G3" t="inlineStr">
        <is>
          <t>EXPLAINED</t>
        </is>
      </c>
      <c r="H3" t="inlineStr">
        <is>
          <t>Comment</t>
        </is>
      </c>
      <c r="I3" t="inlineStr">
        <is>
          <t>ISYS</t>
        </is>
      </c>
      <c r="J3" t="inlineStr">
        <is>
          <t>REJECT</t>
        </is>
      </c>
      <c r="K3" t="inlineStr">
        <is>
          <t>Comment</t>
        </is>
      </c>
      <c r="L3" t="inlineStr">
        <is>
          <t>Comment</t>
        </is>
      </c>
      <c r="M3" t="inlineStr">
        <is>
          <t>DONE</t>
        </is>
      </c>
      <c r="N3" t="inlineStr">
        <is>
          <t>Comment</t>
        </is>
      </c>
      <c r="P3" t="inlineStr">
        <is>
          <t>Comment</t>
        </is>
      </c>
      <c r="Q3" t="inlineStr">
        <is>
          <t>Comment</t>
        </is>
      </c>
      <c r="R3" t="inlineStr">
        <is>
          <t>Comment</t>
        </is>
      </c>
      <c r="S3" t="inlineStr">
        <is>
          <t>N/A</t>
        </is>
      </c>
      <c r="T3" t="inlineStr">
        <is>
          <t>Comment</t>
        </is>
      </c>
      <c r="U3" t="inlineStr">
        <is>
          <t>Trial migration 3</t>
        </is>
      </c>
      <c r="V3" t="inlineStr">
        <is>
          <t>Break</t>
        </is>
      </c>
      <c r="W3" t="inlineStr">
        <is>
          <t>Comment</t>
        </is>
      </c>
      <c r="X3" t="inlineStr">
        <is>
          <t>ANSWERED</t>
        </is>
      </c>
      <c r="Y3" t="inlineStr">
        <is>
          <t>Disagree</t>
        </is>
      </c>
      <c r="Z3" t="inlineStr">
        <is>
          <t>Comment</t>
        </is>
      </c>
      <c r="AA3" t="inlineStr">
        <is>
          <t>Comment</t>
        </is>
      </c>
      <c r="AB3" t="inlineStr">
        <is>
          <t>Comment</t>
        </is>
      </c>
      <c r="AC3" t="inlineStr">
        <is>
          <t>Comment</t>
        </is>
      </c>
      <c r="AD3" t="inlineStr">
        <is>
          <t>Warning</t>
        </is>
      </c>
      <c r="AE3" t="inlineStr">
        <is>
          <t>Comment</t>
        </is>
      </c>
      <c r="AF3" t="inlineStr">
        <is>
          <t>Change request</t>
        </is>
      </c>
      <c r="AG3" t="inlineStr">
        <is>
          <t>Closed</t>
        </is>
      </c>
      <c r="AH3" t="inlineStr">
        <is>
          <t>Not approved</t>
        </is>
      </c>
    </row>
    <row r="4">
      <c r="A4" t="inlineStr">
        <is>
          <t>Archive</t>
        </is>
      </c>
      <c r="F4" t="inlineStr">
        <is>
          <t>SHA256</t>
        </is>
      </c>
      <c r="I4" t="inlineStr">
        <is>
          <t>CMS</t>
        </is>
      </c>
      <c r="J4" t="inlineStr">
        <is>
          <t>CREATE</t>
        </is>
      </c>
      <c r="M4" t="inlineStr">
        <is>
          <t>BLOCKED</t>
        </is>
      </c>
      <c r="U4" t="inlineStr">
        <is>
          <t>Trial migration 4</t>
        </is>
      </c>
      <c r="X4" t="inlineStr">
        <is>
          <t>RECOMMENDED</t>
        </is>
      </c>
      <c r="Y4" t="inlineStr">
        <is>
          <t>Need more information</t>
        </is>
      </c>
      <c r="AD4" t="inlineStr">
        <is>
          <t>Confirmation</t>
        </is>
      </c>
    </row>
    <row r="5">
      <c r="A5" t="inlineStr">
        <is>
          <t>Excluded</t>
        </is>
      </c>
      <c r="I5" t="inlineStr">
        <is>
          <t>EXCEL</t>
        </is>
      </c>
      <c r="M5" t="inlineStr">
        <is>
          <t>N/A</t>
        </is>
      </c>
      <c r="U5" t="inlineStr">
        <is>
          <t>Dress rehearsal</t>
        </is>
      </c>
      <c r="AD5" t="inlineStr">
        <is>
          <t>Information</t>
        </is>
      </c>
    </row>
    <row r="6">
      <c r="U6" t="inlineStr">
        <is>
          <t>Production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03 BIBS Workbook BRD-13 Data Migration v2.1</dc:title>
  <dc:subject>BDO Insure Brokering System (BIBS)</dc:subject>
  <dc:creator>iorta TechNXT</dc:creator>
  <cp:lastModifiedBy>iorta TechNXT</cp:lastModifiedBy>
  <dcterms:created xsi:type="dcterms:W3CDTF">2026-10-08T17:43:54Z</dcterms:created>
  <dcterms:modified xsi:type="dcterms:W3CDTF">2026-10-08T17:44:04Z</dcterms:modified>
</cp:coreProperties>
</file>