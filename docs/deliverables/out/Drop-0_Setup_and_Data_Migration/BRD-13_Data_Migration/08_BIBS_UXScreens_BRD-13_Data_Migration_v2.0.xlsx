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UX screen register" sheetId="2" state="visible" r:id="rId2"/>
    <sheet xmlns:r="http://schemas.openxmlformats.org/officeDocument/2006/relationships" name="Reference lists" sheetId="3" state="visible" r:id="rId3"/>
    <sheet xmlns:r="http://schemas.openxmlformats.org/officeDocument/2006/relationships" name="Questions and comments" sheetId="4" state="visible" r:id="rId4"/>
  </sheets>
  <definedNames>
    <definedName name="LIST_YES_NO">'Reference lists'!$C$5:$C$6</definedName>
    <definedName name="LIST_UX_STATE">'Reference lists'!$C$7:$C$18</definedName>
    <definedName name="LIST_UXD_STATUS">'Reference lists'!$C$19:$C$22</definedName>
    <definedName name="LIST_TEMPLATES">'Reference lists'!$C$23:$C$24</definedName>
    <definedName name="LIST_QUESTION_STATUS">'Reference lists'!$C$25:$C$27</definedName>
    <definedName name="LIST_STATUS">'Reference lists'!$C$28:$C$31</definedName>
    <definedName name="_xlnm._FilterDatabase" localSheetId="0" hidden="1">'Start here'!$A$21:$I$22</definedName>
    <definedName name="_xlnm.Print_Titles" localSheetId="0">'Start here'!$21:$21</definedName>
    <definedName name="_xlnm.Print_Titles" localSheetId="1">'UX screen register'!$12:$16</definedName>
    <definedName name="_xlnm.Print_Area" localSheetId="1">'UX screen register'!$A$1:$O$57</definedName>
    <definedName name="_xlnm._FilterDatabase" localSheetId="2" hidden="1">'Reference lists'!$A$4:$E$31</definedName>
    <definedName name="_xlnm.Print_Titles" localSheetId="2">'Reference lists'!$4:$4</definedName>
    <definedName name="_xlnm._FilterDatabase" localSheetId="3" hidden="1">'Questions and comments'!$A$4:$I$104</definedName>
    <definedName name="_xlnm.Print_Titles" localSheetId="3">'Questions and comments'!$4:$4</definedName>
  </definedNames>
  <calcPr calcId="124519" fullCalcOnLoad="1"/>
</workbook>
</file>

<file path=xl/styles.xml><?xml version="1.0" encoding="utf-8"?>
<styleSheet xmlns="http://schemas.openxmlformats.org/spreadsheetml/2006/main">
  <numFmts count="1">
    <numFmt numFmtId="164" formatCode="dd-mmm-yyyy"/>
  </numFmts>
  <fonts count="23">
    <font>
      <name val="Calibri"/>
      <family val="2"/>
      <color theme="1"/>
      <sz val="11"/>
      <scheme val="minor"/>
    </font>
    <font>
      <name val="Arial"/>
      <b val="1"/>
      <color rgb="00004EA8"/>
      <sz val="15"/>
    </font>
    <font>
      <name val="Arial"/>
      <color rgb="000072D8"/>
      <sz val="9"/>
      <u val="single"/>
    </font>
    <font>
      <name val="Arial"/>
      <color rgb="00656565"/>
      <sz val="9"/>
    </font>
    <font>
      <name val="Arial"/>
      <b val="1"/>
      <color rgb="000072D8"/>
      <sz val="10"/>
    </font>
    <font>
      <name val="Arial"/>
      <b val="1"/>
      <color rgb="00004EA8"/>
      <sz val="9"/>
    </font>
    <font>
      <name val="Arial"/>
      <color rgb="004B4B4B"/>
      <sz val="9"/>
    </font>
    <font>
      <name val="Arial"/>
      <b val="1"/>
      <color rgb="002E2E2E"/>
      <sz val="9"/>
    </font>
    <font>
      <name val="Arial"/>
      <color rgb="002E2E2E"/>
      <sz val="9"/>
    </font>
    <font>
      <name val="Arial"/>
      <b val="1"/>
      <color rgb="00C62828"/>
      <sz val="9"/>
    </font>
    <font>
      <name val="Arial"/>
      <b val="1"/>
      <color rgb="00FFFFFF"/>
      <sz val="10"/>
    </font>
    <font>
      <name val="Arial"/>
      <i val="1"/>
      <color rgb="00919191"/>
      <sz val="8"/>
    </font>
    <font>
      <name val="Arial"/>
      <i val="1"/>
      <color rgb="00919191"/>
      <sz val="10"/>
    </font>
    <font>
      <name val="Arial"/>
      <color rgb="004B4B4B"/>
      <sz val="10"/>
    </font>
    <font>
      <name val="Arial"/>
      <b val="1"/>
      <color rgb="00FFFFFF"/>
      <sz val="9"/>
    </font>
    <font>
      <name val="Arial"/>
      <b val="1"/>
      <color rgb="00004EA8"/>
      <sz val="18"/>
    </font>
    <font>
      <name val="Arial"/>
      <color rgb="002E2E2E"/>
      <sz val="11"/>
    </font>
    <font>
      <name val="Arial"/>
      <color rgb="002E2E2E"/>
      <sz val="10"/>
    </font>
    <font>
      <name val="Arial"/>
      <b val="1"/>
      <color rgb="00004EA8"/>
      <sz val="12"/>
    </font>
    <font>
      <name val="Arial"/>
      <b val="1"/>
      <color rgb="000072D8"/>
      <sz val="11"/>
    </font>
    <font>
      <name val="Arial"/>
      <b val="1"/>
      <color rgb="004B4B4B"/>
      <sz val="9"/>
    </font>
    <font>
      <name val="Arial"/>
      <b val="1"/>
      <color rgb="000072D8"/>
      <sz val="9"/>
      <u val="single"/>
    </font>
    <font>
      <name val="Arial"/>
      <color rgb="00656565"/>
      <sz val="8"/>
    </font>
  </fonts>
  <fills count="7">
    <fill>
      <patternFill/>
    </fill>
    <fill>
      <patternFill patternType="gray125"/>
    </fill>
    <fill>
      <patternFill patternType="solid">
        <fgColor rgb="00E5F5FF"/>
      </patternFill>
    </fill>
    <fill>
      <patternFill patternType="solid">
        <fgColor rgb="00FFFFFF"/>
      </patternFill>
    </fill>
    <fill>
      <patternFill patternType="solid">
        <fgColor rgb="00FFF4D6"/>
      </patternFill>
    </fill>
    <fill>
      <patternFill patternType="solid">
        <fgColor rgb="00F6F6F6"/>
      </patternFill>
    </fill>
    <fill>
      <patternFill patternType="solid">
        <fgColor rgb="00004EA8"/>
      </patternFill>
    </fill>
  </fills>
  <borders count="8">
    <border>
      <left/>
      <right/>
      <top/>
      <bottom/>
      <diagonal/>
    </border>
    <border>
      <left style="thin">
        <color rgb="00C2C2C1"/>
      </left>
      <right style="thin">
        <color rgb="00C2C2C1"/>
      </right>
      <top style="thin">
        <color rgb="00C2C2C1"/>
      </top>
      <bottom style="thin">
        <color rgb="00C2C2C1"/>
      </bottom>
    </border>
    <border>
      <bottom style="thin">
        <color rgb="00FDB913"/>
      </bottom>
    </border>
    <border>
      <bottom style="medium">
        <color rgb="00FDB913"/>
      </bottom>
    </border>
    <border>
      <left/>
      <right/>
      <top style="thin">
        <color rgb="00C2C2C1"/>
      </top>
      <bottom/>
      <diagonal/>
    </border>
    <border>
      <left/>
      <right style="thin">
        <color rgb="00C2C2C1"/>
      </right>
      <top style="thin">
        <color rgb="00C2C2C1"/>
      </top>
      <bottom/>
      <diagonal/>
    </border>
    <border>
      <left/>
      <right style="thin">
        <color rgb="00C2C2C1"/>
      </right>
      <top style="thin">
        <color rgb="00C2C2C1"/>
      </top>
      <bottom style="thin">
        <color rgb="00C2C2C1"/>
      </bottom>
      <diagonal/>
    </border>
    <border>
      <left/>
      <right/>
      <top style="thin">
        <color rgb="00C2C2C1"/>
      </top>
      <bottom style="thin">
        <color rgb="00C2C2C1"/>
      </bottom>
      <diagonal/>
    </border>
  </borders>
  <cellStyleXfs count="1">
    <xf numFmtId="0" fontId="0" fillId="0" borderId="0"/>
  </cellStyleXfs>
  <cellXfs count="55">
    <xf numFmtId="0" fontId="0" fillId="0" borderId="0" pivotButton="0" quotePrefix="0" xfId="0"/>
    <xf numFmtId="0" fontId="0" fillId="0" borderId="3" pivotButton="0" quotePrefix="0" xfId="0"/>
    <xf numFmtId="0" fontId="15" fillId="0" borderId="0" pivotButton="0" quotePrefix="0" xfId="0"/>
    <xf numFmtId="0" fontId="16" fillId="0" borderId="0" pivotButton="0" quotePrefix="0" xfId="0"/>
    <xf numFmtId="0" fontId="5" fillId="2" borderId="1" pivotButton="0" quotePrefix="0" xfId="0"/>
    <xf numFmtId="0" fontId="0" fillId="0" borderId="6" pivotButton="0" quotePrefix="0" xfId="0"/>
    <xf numFmtId="0" fontId="17" fillId="0" borderId="1" applyAlignment="1" pivotButton="0" quotePrefix="0" xfId="0">
      <alignment vertical="top" wrapText="1"/>
    </xf>
    <xf numFmtId="0" fontId="0" fillId="0" borderId="1" pivotButton="0" quotePrefix="0" xfId="0"/>
    <xf numFmtId="0" fontId="18" fillId="0" borderId="0" pivotButton="0" quotePrefix="0" xfId="0"/>
    <xf numFmtId="0" fontId="19" fillId="0" borderId="0" applyAlignment="1" pivotButton="0" quotePrefix="0" xfId="0">
      <alignment horizontal="right" vertical="top"/>
    </xf>
    <xf numFmtId="0" fontId="13" fillId="0" borderId="0" applyAlignment="1" pivotButton="0" quotePrefix="0" xfId="0">
      <alignment vertical="top" wrapText="1"/>
    </xf>
    <xf numFmtId="0" fontId="14" fillId="6" borderId="1" applyAlignment="1" pivotButton="0" quotePrefix="0" xfId="0">
      <alignment vertical="center" wrapText="1"/>
    </xf>
    <xf numFmtId="0" fontId="20" fillId="0" borderId="1" applyAlignment="1" pivotButton="0" quotePrefix="0" xfId="0">
      <alignment horizontal="center" vertical="top" wrapText="1"/>
    </xf>
    <xf numFmtId="0" fontId="20" fillId="0" borderId="1" applyAlignment="1" pivotButton="0" quotePrefix="0" xfId="0">
      <alignment vertical="top" wrapText="1"/>
    </xf>
    <xf numFmtId="0" fontId="6" fillId="0" borderId="1" applyAlignment="1" pivotButton="0" quotePrefix="0" xfId="0">
      <alignment vertical="top" wrapText="1"/>
    </xf>
    <xf numFmtId="0" fontId="6" fillId="0" borderId="1" applyAlignment="1" pivotButton="0" quotePrefix="0" xfId="0">
      <alignment horizontal="center" vertical="top" wrapText="1"/>
    </xf>
    <xf numFmtId="0" fontId="21" fillId="0" borderId="1" applyAlignment="1" pivotButton="0" quotePrefix="0" xfId="0">
      <alignment vertical="top" wrapText="1"/>
    </xf>
    <xf numFmtId="0" fontId="14" fillId="6" borderId="1" applyAlignment="1" pivotButton="0" quotePrefix="0" xfId="0">
      <alignment vertical="top" wrapText="1"/>
    </xf>
    <xf numFmtId="0" fontId="0" fillId="0" borderId="7" pivotButton="0" quotePrefix="0" xfId="0"/>
    <xf numFmtId="0" fontId="22" fillId="0" borderId="0" pivotButton="0" quotePrefix="0" xfId="0"/>
    <xf numFmtId="0" fontId="1" fillId="0" borderId="0" pivotButton="0" quotePrefix="0" xfId="0"/>
    <xf numFmtId="0" fontId="4" fillId="0" borderId="0" applyAlignment="1" pivotButton="0" quotePrefix="0" xfId="0">
      <alignment horizontal="right"/>
    </xf>
    <xf numFmtId="0" fontId="2" fillId="0" borderId="0" pivotButton="0" quotePrefix="0" xfId="0"/>
    <xf numFmtId="0" fontId="3" fillId="0" borderId="0" applyAlignment="1" pivotButton="0" quotePrefix="0" xfId="0">
      <alignment/>
    </xf>
    <xf numFmtId="0" fontId="2" fillId="0" borderId="0" applyAlignment="1" pivotButton="0" quotePrefix="0" xfId="0">
      <alignment horizontal="right"/>
    </xf>
    <xf numFmtId="0" fontId="5" fillId="2"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6" fillId="0" borderId="0" pivotButton="0" quotePrefix="0" xfId="0"/>
    <xf numFmtId="0" fontId="5" fillId="2" borderId="0" applyAlignment="1" pivotButton="0" quotePrefix="0" xfId="0">
      <alignment vertical="center"/>
    </xf>
    <xf numFmtId="0" fontId="8" fillId="0" borderId="0" applyAlignment="1" pivotButton="0" quotePrefix="0" xfId="0">
      <alignment vertical="center" wrapText="1"/>
    </xf>
    <xf numFmtId="0" fontId="7" fillId="0" borderId="1" applyAlignment="1" pivotButton="0" quotePrefix="0" xfId="0">
      <alignment horizontal="center" vertical="center"/>
    </xf>
    <xf numFmtId="0" fontId="5" fillId="2" borderId="0" applyAlignment="1" pivotButton="0" quotePrefix="0" xfId="0">
      <alignment vertical="center" wrapText="1"/>
    </xf>
    <xf numFmtId="0" fontId="0" fillId="3" borderId="1" pivotButton="0" quotePrefix="0" xfId="0"/>
    <xf numFmtId="164" fontId="0" fillId="3" borderId="1" pivotButton="0" quotePrefix="0" xfId="0"/>
    <xf numFmtId="0" fontId="0" fillId="0" borderId="2" pivotButton="0" quotePrefix="0" xfId="0"/>
    <xf numFmtId="0" fontId="5" fillId="2" borderId="1" applyAlignment="1" pivotButton="0" quotePrefix="0" xfId="0">
      <alignment vertical="top" wrapText="1"/>
    </xf>
    <xf numFmtId="0" fontId="9" fillId="4" borderId="1" applyAlignment="1" pivotButton="0" quotePrefix="0" xfId="0">
      <alignment vertical="top" wrapText="1"/>
    </xf>
    <xf numFmtId="0" fontId="6" fillId="5" borderId="1" applyAlignment="1" pivotButton="0" quotePrefix="0" xfId="0">
      <alignment vertical="top" wrapText="1"/>
    </xf>
    <xf numFmtId="0" fontId="2" fillId="5" borderId="1" applyAlignment="1" pivotButton="0" quotePrefix="0" xfId="0">
      <alignment vertical="top" wrapText="1"/>
    </xf>
    <xf numFmtId="0" fontId="10" fillId="6" borderId="1" applyAlignment="1" pivotButton="0" quotePrefix="0" xfId="0">
      <alignment vertical="center"/>
    </xf>
    <xf numFmtId="0" fontId="10" fillId="6" borderId="1" applyAlignment="1" pivotButton="0" quotePrefix="0" xfId="0">
      <alignment vertical="center" wrapText="1"/>
    </xf>
    <xf numFmtId="0" fontId="11" fillId="5" borderId="0" applyAlignment="1" pivotButton="0" quotePrefix="0" xfId="0">
      <alignment vertical="top" wrapText="1"/>
    </xf>
    <xf numFmtId="49" fontId="12" fillId="5" borderId="0" applyAlignment="1" pivotButton="0" quotePrefix="0" xfId="0">
      <alignment vertical="top" wrapText="1"/>
    </xf>
    <xf numFmtId="0" fontId="12" fillId="5" borderId="0" applyAlignment="1" pivotButton="0" quotePrefix="0" xfId="0">
      <alignment vertical="top" wrapText="1"/>
    </xf>
    <xf numFmtId="49" fontId="13" fillId="0" borderId="0" applyAlignment="1" pivotButton="0" quotePrefix="0" xfId="0">
      <alignment vertical="top" wrapText="1"/>
    </xf>
    <xf numFmtId="49" fontId="0" fillId="0" borderId="0" pivotButton="0" quotePrefix="0" xfId="0"/>
    <xf numFmtId="0" fontId="3" fillId="0" borderId="0" pivotButton="0" quotePrefix="0" xfId="0"/>
    <xf numFmtId="0" fontId="14" fillId="6" borderId="1" pivotButton="0" quotePrefix="0" xfId="0"/>
    <xf numFmtId="0" fontId="6" fillId="2" borderId="1" applyAlignment="1" pivotButton="0" quotePrefix="0" xfId="0">
      <alignment vertical="top" wrapText="1"/>
    </xf>
    <xf numFmtId="49" fontId="20" fillId="2" borderId="1" applyAlignment="1" pivotButton="0" quotePrefix="0" xfId="0">
      <alignment vertical="top" wrapText="1"/>
    </xf>
    <xf numFmtId="0" fontId="5" fillId="0" borderId="1" applyAlignment="1" pivotButton="0" quotePrefix="0" xfId="0">
      <alignment vertical="top" wrapText="1"/>
    </xf>
    <xf numFmtId="49" fontId="20" fillId="0" borderId="1" applyAlignment="1" pivotButton="0" quotePrefix="0" xfId="0">
      <alignment vertical="top" wrapText="1"/>
    </xf>
    <xf numFmtId="0" fontId="3" fillId="0" borderId="1" applyAlignment="1" pivotButton="0" quotePrefix="0" xfId="0">
      <alignment vertical="top" wrapText="1"/>
    </xf>
    <xf numFmtId="164" fontId="6" fillId="0" borderId="1" applyAlignment="1" pivotButton="0" quotePrefix="0" xfId="0">
      <alignment vertical="top" wrapText="1"/>
    </xf>
  </cellXfs>
  <cellStyles count="1">
    <cellStyle name="Normal" xfId="0" builtinId="0" hidden="0"/>
  </cellStyles>
  <dxfs count="6">
    <dxf>
      <font>
        <b val="1"/>
        <color rgb="00656565"/>
      </font>
      <fill>
        <patternFill patternType="solid">
          <fgColor rgb="00F6F6F6"/>
          <bgColor rgb="00F6F6F6"/>
        </patternFill>
      </fill>
    </dxf>
    <dxf>
      <font>
        <b val="1"/>
        <color rgb="008A5A00"/>
      </font>
      <fill>
        <patternFill patternType="solid">
          <fgColor rgb="00FFF4D6"/>
          <bgColor rgb="00FFF4D6"/>
        </patternFill>
      </fill>
    </dxf>
    <dxf>
      <font>
        <b val="1"/>
        <color rgb="00004EA8"/>
      </font>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ill>
        <patternFill patternType="solid">
          <fgColor rgb="00FDECEA"/>
          <bgColor rgb="00FDEC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iorta TechNXT</author>
  </authors>
  <commentList>
    <comment ref="B16" authorId="0" shapeId="0">
      <text>
        <t>Screen ID
The screen of the image, as in the FRS and the deck
Mandatory: Yes
Format: SCR-, NAV- or DO- and a number
Allowed values: Free entry
Example: SCR-DM-01</t>
      </text>
    </comment>
    <comment ref="C16" authorId="0" shapeId="0">
      <text>
        <t>Screen name
The title of the screen
Mandatory: Yes
Format: Text
Allowed values: Free entry
Example: Migration Home</t>
      </text>
    </comment>
    <comment ref="D16" authorId="0" shapeId="0">
      <text>
        <t>Persona(s)
The personas who see the screen in this state
Mandatory: Yes
Format: Text
Allowed values: Free entry
Example: Data Migration Lead</t>
      </text>
    </comment>
    <comment ref="E16" authorId="0" shapeId="0">
      <text>
        <t>Flow
The end-to-end flow that shows the image, if any
Mandatory: No
Format: Flow ID and title
Allowed values: Free entry</t>
      </text>
    </comment>
    <comment ref="F16" authorId="0" shapeId="0">
      <text>
        <t>Step
The step of the flow
Mandatory: No
Format: Whole number
Allowed values: A whole number from 1 to 99</t>
      </text>
    </comment>
    <comment ref="G16" authorId="0" shapeId="0">
      <text>
        <t>State
The state of the screen on the image
Mandatory: Yes
Format: From the list
Allowed values: List State of a screen image: 12 values, see Reference lists
Example: Default</t>
      </text>
    </comment>
    <comment ref="H16" authorId="0" shapeId="0">
      <text>
        <t>FRS section
The section of the FRS (or handbook) that specifies the screen
Mandatory: Yes
Format: Section number
Allowed values: Free entry
Example: 19.1.1</t>
      </text>
    </comment>
    <comment ref="I16" authorId="0" shapeId="0">
      <text>
        <t>Requirement IDs
The functional requirements of the screen
Mandatory: No
Format: FR-... separated by commas
Allowed values: Free entry
Example: FR-DM-003, FR-DM-120, FR-DM-122</t>
      </text>
    </comment>
    <comment ref="J16" authorId="0" shapeId="0">
      <text>
        <t>Image file
The file of the image package (09)
Mandatory: Yes
Format: &lt;Screen ID&gt;_&lt;state&gt;.png
Allowed values: Free entry
Example: SCR-DM-01_view.png</t>
      </text>
    </comment>
    <comment ref="K16" authorId="0" shapeId="0">
      <text>
        <t>What the image shows
The caption of the image
Mandatory: No
Format: Text
Allowed values: Free entry
Example: Migration Home with the tiles</t>
      </text>
    </comment>
    <comment ref="L16" authorId="0" shapeId="0">
      <text>
        <t>UXD status
The status of the design of this screen state, kept by the UX Design team
Mandatory: Yes
Format: From the list
Allowed values: Not started, In design, Ready for review, Approved (list UXD status)
Example: Not started</t>
      </text>
    </comment>
    <comment ref="M16" authorId="0" shapeId="0">
      <text>
        <t>UXD comments
Comments of the UX Design team on the screen state
Mandatory: No
Format: Text
Allowed values: Free entry</t>
      </text>
    </comment>
    <comment ref="N16" authorId="0" shapeId="0">
      <text>
        <t>Changed in this issue
Y when the image is new or changed in this issue of the set
Mandatory: Yes
Format: Y or N
Allowed values: Y or N
Example: Y</t>
      </text>
    </comment>
    <comment ref="O16" authorId="0" shapeId="0">
      <text>
        <t>Change reference
The change reference (comment, change request or issue change) that changed the image
Mandatory: Conditional: when Changed in this issue is Y
Format: Reference
Allowed values: Free entry
Example: CHG-DM-2.2-01</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0</col>
      <colOff>0</colOff>
      <row>0</row>
      <rowOff>0</rowOff>
    </from>
    <ext cx="1809750" cy="3619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8</col>
      <colOff>0</colOff>
      <row>0</row>
      <rowOff>0</rowOff>
    </from>
    <ext cx="876300" cy="257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ables/table1.xml><?xml version="1.0" encoding="utf-8"?>
<table xmlns="http://schemas.openxmlformats.org/spreadsheetml/2006/main" id="1" name="T_UXR" displayName="T_UXR" ref="B16:O152" headerRowCount="1">
  <autoFilter ref="B16:O152"/>
  <tableColumns count="14">
    <tableColumn id="2" name="Screen ID *"/>
    <tableColumn id="3" name="Screen name *"/>
    <tableColumn id="4" name="Persona(s) *"/>
    <tableColumn id="5" name="Flow"/>
    <tableColumn id="6" name="Step"/>
    <tableColumn id="7" name="State *"/>
    <tableColumn id="8" name="FRS section *"/>
    <tableColumn id="9" name="Requirement IDs"/>
    <tableColumn id="10" name="Image file *"/>
    <tableColumn id="11" name="What the image shows"/>
    <tableColumn id="12" name="UXD status *"/>
    <tableColumn id="13" name="UXD comments"/>
    <tableColumn id="14" name="Changed in this issue *"/>
    <tableColumn id="15" name="Change reference"/>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FDB913"/>
    <outlinePr summaryBelow="1" summaryRight="1"/>
    <pageSetUpPr fitToPage="1"/>
  </sheetPr>
  <dimension ref="A2:I38"/>
  <sheetViews>
    <sheetView showGridLines="0" tabSelected="1" workbookViewId="0">
      <selection activeCell="A1" sqref="A1"/>
    </sheetView>
  </sheetViews>
  <sheetFormatPr baseColWidth="8" defaultRowHeight="15"/>
  <cols>
    <col width="6" customWidth="1" min="1" max="1"/>
    <col width="8" customWidth="1" min="2" max="2"/>
    <col width="24" customWidth="1" min="3" max="3"/>
    <col width="44" customWidth="1" min="4" max="4"/>
    <col width="26" customWidth="1" min="5" max="5"/>
    <col width="10" customWidth="1" min="6" max="6"/>
    <col width="11" customWidth="1" min="7" max="7"/>
    <col width="14" customWidth="1" min="8" max="8"/>
    <col width="8" customWidth="1" min="9" max="9"/>
  </cols>
  <sheetData>
    <row r="1" ht="34" customHeight="1"/>
    <row r="2" ht="6" customHeight="1">
      <c r="A2" s="1" t="n"/>
      <c r="B2" s="1" t="n"/>
      <c r="C2" s="1" t="n"/>
      <c r="D2" s="1" t="n"/>
      <c r="E2" s="1" t="n"/>
      <c r="F2" s="1" t="n"/>
      <c r="G2" s="1" t="n"/>
      <c r="H2" s="1" t="n"/>
      <c r="I2" s="1" t="n"/>
    </row>
    <row r="3" ht="28" customHeight="1">
      <c r="A3" s="2" t="inlineStr">
        <is>
          <t>UX screen register BRD-13 Data Migration</t>
        </is>
      </c>
    </row>
    <row r="4">
      <c r="A4" s="3" t="inlineStr">
        <is>
          <t>The screen images of the set for the BDOI UX Design team</t>
        </is>
      </c>
    </row>
    <row r="6">
      <c r="A6" s="4" t="inlineStr">
        <is>
          <t>Client</t>
        </is>
      </c>
      <c r="B6" s="5" t="n"/>
      <c r="C6" s="6" t="inlineStr">
        <is>
          <t>BDO Insurance and Reinsurance Brokers, Inc.</t>
        </is>
      </c>
      <c r="D6" s="7" t="n"/>
      <c r="E6" s="7" t="n"/>
      <c r="F6" s="7" t="n"/>
      <c r="G6" s="7" t="n"/>
      <c r="H6" s="7" t="n"/>
    </row>
    <row r="7">
      <c r="A7" s="4" t="inlineStr">
        <is>
          <t>Release set</t>
        </is>
      </c>
      <c r="B7" s="5" t="n"/>
      <c r="C7" s="6" t="inlineStr">
        <is>
          <t>BRD-13 Data Migration (Drop 0)</t>
        </is>
      </c>
      <c r="D7" s="7" t="n"/>
      <c r="E7" s="7" t="n"/>
      <c r="F7" s="7" t="n"/>
      <c r="G7" s="7" t="n"/>
      <c r="H7" s="7" t="n"/>
    </row>
    <row r="8">
      <c r="A8" s="4" t="inlineStr">
        <is>
          <t>Version and date</t>
        </is>
      </c>
      <c r="B8" s="5" t="n"/>
      <c r="C8" s="6" t="inlineStr">
        <is>
          <t>Version 2.0, 5 October 2026</t>
        </is>
      </c>
      <c r="D8" s="7" t="n"/>
      <c r="E8" s="7" t="n"/>
      <c r="F8" s="7" t="n"/>
      <c r="G8" s="7" t="n"/>
      <c r="H8" s="7" t="n"/>
    </row>
    <row r="9">
      <c r="A9" s="4" t="inlineStr">
        <is>
          <t>For</t>
        </is>
      </c>
      <c r="B9" s="5" t="n"/>
      <c r="C9" s="6" t="inlineStr">
        <is>
          <t>BDOI UX Design team (UXD)</t>
        </is>
      </c>
      <c r="D9" s="7" t="n"/>
      <c r="E9" s="7" t="n"/>
      <c r="F9" s="7" t="n"/>
      <c r="G9" s="7" t="n"/>
      <c r="H9" s="7" t="n"/>
    </row>
    <row r="10">
      <c r="A10" s="4" t="inlineStr">
        <is>
          <t>Prepared by</t>
        </is>
      </c>
      <c r="B10" s="5" t="n"/>
      <c r="C10" s="6" t="inlineStr">
        <is>
          <t>iorta TechNXT</t>
        </is>
      </c>
      <c r="D10" s="7" t="n"/>
      <c r="E10" s="7" t="n"/>
      <c r="F10" s="7" t="n"/>
      <c r="G10" s="7" t="n"/>
      <c r="H10" s="7" t="n"/>
    </row>
    <row r="11">
      <c r="A11" s="4" t="inlineStr">
        <is>
          <t>Classification</t>
        </is>
      </c>
      <c r="B11" s="5" t="n"/>
      <c r="C11" s="6" t="inlineStr">
        <is>
          <t>Confidential</t>
        </is>
      </c>
      <c r="D11" s="7" t="n"/>
      <c r="E11" s="7" t="n"/>
      <c r="F11" s="7" t="n"/>
      <c r="G11" s="7" t="n"/>
      <c r="H11" s="7" t="n"/>
    </row>
    <row r="13">
      <c r="A13" s="8" t="inlineStr">
        <is>
          <t>How to fill in this workbook</t>
        </is>
      </c>
    </row>
    <row r="14" ht="29" customHeight="1">
      <c r="A14" s="9" t="n">
        <v>1</v>
      </c>
      <c r="B14" s="10" t="inlineStr">
        <is>
          <t>Open the sheet UX screen register: one row per screen image of the 07 deck and the 09 image package, with the screen, the personas, the flow and step, the state and the FRS section.</t>
        </is>
      </c>
    </row>
    <row r="15" ht="29" customHeight="1">
      <c r="A15" s="9" t="n">
        <v>2</v>
      </c>
      <c r="B15" s="10" t="inlineStr">
        <is>
          <t>Filter Changed in this issue = Y to see the images that are new or changed in this issue; the change reference names the comment or change request behind the change.</t>
        </is>
      </c>
    </row>
    <row r="16" ht="29" customHeight="1">
      <c r="A16" s="9" t="n">
        <v>3</v>
      </c>
      <c r="B16" s="10" t="inlineStr">
        <is>
          <t>Set the UXD status of each row (Not started, In design, Ready for review, Approved) and write the UXD comments; leave the other columns as issued.</t>
        </is>
      </c>
    </row>
    <row r="17" ht="16" customHeight="1">
      <c r="A17" s="9" t="n">
        <v>4</v>
      </c>
      <c r="B17" s="10" t="inlineStr">
        <is>
          <t>Import the CSV of the image package into the design tool to link each design to its screen image.</t>
        </is>
      </c>
    </row>
    <row r="18" ht="29" customHeight="1">
      <c r="A18" s="9" t="n">
        <v>5</v>
      </c>
      <c r="B18" s="10" t="inlineStr">
        <is>
          <t>Raise questions on the sheet Questions and comments; the project team answers there. At the next issue the UXD status and comments of the unchanged rows are carried over.</t>
        </is>
      </c>
    </row>
    <row r="20">
      <c r="A20" s="8" t="inlineStr">
        <is>
          <t>The register</t>
        </is>
      </c>
    </row>
    <row r="21" ht="30" customHeight="1">
      <c r="A21" s="11" t="inlineStr">
        <is>
          <t>Step</t>
        </is>
      </c>
      <c r="B21" s="11" t="inlineStr">
        <is>
          <t>ID</t>
        </is>
      </c>
      <c r="C21" s="11" t="inlineStr">
        <is>
          <t>Template</t>
        </is>
      </c>
      <c r="D21" s="11" t="inlineStr">
        <is>
          <t>What it holds</t>
        </is>
      </c>
      <c r="E21" s="11" t="inlineStr">
        <is>
          <t>Kept by</t>
        </is>
      </c>
      <c r="F21" s="11" t="inlineStr">
        <is>
          <t>Rows entered</t>
        </is>
      </c>
      <c r="G21" s="11" t="inlineStr">
        <is>
          <t>Mandatory cells missing</t>
        </is>
      </c>
      <c r="H21" s="11" t="inlineStr">
        <is>
          <t>Status</t>
        </is>
      </c>
      <c r="I21" s="11" t="inlineStr">
        <is>
          <t>Open</t>
        </is>
      </c>
    </row>
    <row r="22" ht="30" customHeight="1">
      <c r="A22" s="12" t="n">
        <v>1</v>
      </c>
      <c r="B22" s="13" t="inlineStr">
        <is>
          <t>UXR</t>
        </is>
      </c>
      <c r="C22" s="14" t="inlineStr">
        <is>
          <t>UX screen register</t>
        </is>
      </c>
      <c r="D22" s="14" t="inlineStr">
        <is>
          <t>75 screen images of 35 screens; 57 changed in this issue</t>
        </is>
      </c>
      <c r="E22" s="14" t="inlineStr">
        <is>
          <t>BDOI UX Design team</t>
        </is>
      </c>
      <c r="F22" s="15">
        <f>'UX screen register'!$C$9</f>
        <v/>
      </c>
      <c r="G22" s="15">
        <f>'UX screen register'!$E$9</f>
        <v/>
      </c>
      <c r="H22" s="14" t="inlineStr">
        <is>
          <t>Not started</t>
        </is>
      </c>
      <c r="I22" s="16" t="inlineStr">
        <is>
          <t>Open →</t>
        </is>
      </c>
    </row>
    <row r="24">
      <c r="A24" s="8" t="inlineStr">
        <is>
          <t>Changes in this issue</t>
        </is>
      </c>
    </row>
    <row r="25">
      <c r="A25" s="17" t="inlineStr">
        <is>
          <t>Change reference</t>
        </is>
      </c>
      <c r="B25" s="5" t="n"/>
      <c r="C25" s="17" t="inlineStr">
        <is>
          <t>What changed</t>
        </is>
      </c>
      <c r="D25" s="18" t="n"/>
      <c r="E25" s="18" t="n"/>
      <c r="F25" s="18" t="n"/>
      <c r="G25" s="5" t="n"/>
      <c r="H25" s="17" t="inlineStr">
        <is>
          <t>Screens</t>
        </is>
      </c>
      <c r="I25" s="5" t="n"/>
    </row>
    <row r="26">
      <c r="A26" s="14" t="inlineStr">
        <is>
          <t>CHG-DM-2.1-01</t>
        </is>
      </c>
      <c r="B26" s="5" t="n"/>
      <c r="C26" s="14" t="inlineStr">
        <is>
          <t>The migration roles land on Migration Home after sign-in; My Approvals stays one click away in the header</t>
        </is>
      </c>
      <c r="D26" s="18" t="n"/>
      <c r="E26" s="18" t="n"/>
      <c r="F26" s="18" t="n"/>
      <c r="G26" s="5" t="n"/>
      <c r="H26" s="14" t="inlineStr">
        <is>
          <t>NAV-DM-01, NAV-DM-02, NAV-DM-03, NAV-DM-04, NAV-DM-05, NAV-DM-06</t>
        </is>
      </c>
      <c r="I26" s="5" t="n"/>
    </row>
    <row r="27">
      <c r="A27" s="14" t="inlineStr">
        <is>
          <t>CHG-DM-2.1-02</t>
        </is>
      </c>
      <c r="B27" s="5" t="n"/>
      <c r="C27" s="14" t="inlineStr">
        <is>
          <t>Upload and Check (Extracts) and Create (New Cutover Plan) say what is still needed while they are disabled</t>
        </is>
      </c>
      <c r="D27" s="18" t="n"/>
      <c r="E27" s="18" t="n"/>
      <c r="F27" s="18" t="n"/>
      <c r="G27" s="5" t="n"/>
      <c r="H27" s="14" t="inlineStr">
        <is>
          <t>SCR-DM-05, SCR-DM-12</t>
        </is>
      </c>
      <c r="I27" s="5" t="n"/>
    </row>
    <row r="28">
      <c r="A28" s="14" t="inlineStr">
        <is>
          <t>CHG-DM-2.1-03</t>
        </is>
      </c>
      <c r="B28" s="5" t="n"/>
      <c r="C28" s="14" t="inlineStr">
        <is>
          <t>A rejected extract lists every failed intake check with its own reason, in an error notice next to the upload card and in the Rejection Reason column</t>
        </is>
      </c>
      <c r="D28" s="18" t="n"/>
      <c r="E28" s="18" t="n"/>
      <c r="F28" s="18" t="n"/>
      <c r="G28" s="5" t="n"/>
      <c r="H28" s="14" t="inlineStr">
        <is>
          <t>SCR-DM-05</t>
        </is>
      </c>
      <c r="I28" s="5" t="n"/>
    </row>
    <row r="29">
      <c r="A29" s="14" t="inlineStr">
        <is>
          <t>CHG-DM-2.1-04</t>
        </is>
      </c>
      <c r="B29" s="5" t="n"/>
      <c r="C29" s="14" t="inlineStr">
        <is>
          <t>The Rows column of the extracts replaced by Rows Received and Rows Staged</t>
        </is>
      </c>
      <c r="D29" s="18" t="n"/>
      <c r="E29" s="18" t="n"/>
      <c r="F29" s="18" t="n"/>
      <c r="G29" s="5" t="n"/>
      <c r="H29" s="14" t="inlineStr">
        <is>
          <t>SCR-DM-05</t>
        </is>
      </c>
      <c r="I29" s="5" t="n"/>
    </row>
    <row r="30">
      <c r="A30" s="14" t="inlineStr">
        <is>
          <t>CHG-DM-2.1-05</t>
        </is>
      </c>
      <c r="B30" s="5" t="n"/>
      <c r="C30" s="14" t="inlineStr">
        <is>
          <t>Day counts in words on the tiles of My Approvals ("0 days", "1 day")</t>
        </is>
      </c>
      <c r="D30" s="18" t="n"/>
      <c r="E30" s="18" t="n"/>
      <c r="F30" s="18" t="n"/>
      <c r="G30" s="5" t="n"/>
      <c r="H30" s="14" t="inlineStr">
        <is>
          <t>NAV-DM-01</t>
        </is>
      </c>
      <c r="I30" s="5" t="n"/>
    </row>
    <row r="31">
      <c r="A31" s="14" t="inlineStr">
        <is>
          <t>CHG-DM-2.2-01</t>
        </is>
      </c>
      <c r="B31" s="5" t="n"/>
      <c r="C31" s="14" t="inlineStr">
        <is>
          <t>Lists in the BDO style guide: outlined status pills, alternating white and Background Blue rows, a long list scrolling inside its card with the header row in view, names instead of codes, due dates on one line with the overdue icon and ages in words; every image of the set retaken</t>
        </is>
      </c>
      <c r="D31" s="18" t="n"/>
      <c r="E31" s="18" t="n"/>
      <c r="F31" s="18" t="n"/>
      <c r="G31" s="5" t="n"/>
      <c r="H31" s="14" t="inlineStr">
        <is>
          <t>SCR-DM-01, SCR-DM-02, SCR-DM-03, SCR-DM-04, SCR-DM-05, SCR-DM-06, SCR-DM-07, SCR-DM-08, SCR-DM-09, SCR-DM-10, SCR-DM-11, SCR-DM-12, SCR-DM-13, SCR-DM-14, SCR-DM-15, SCR-DM-16, SCR-DM-17, SCR-DM-18, SCR-DM-19, SCR-DM-20</t>
        </is>
      </c>
      <c r="I31" s="5" t="n"/>
    </row>
    <row r="33">
      <c r="A33" s="8" t="inlineStr">
        <is>
          <t>Other sheets</t>
        </is>
      </c>
    </row>
    <row r="34">
      <c r="A34" s="17" t="inlineStr">
        <is>
          <t>Sheet</t>
        </is>
      </c>
      <c r="B34" s="18" t="n"/>
      <c r="C34" s="5" t="n"/>
      <c r="D34" s="17" t="inlineStr">
        <is>
          <t>What it holds</t>
        </is>
      </c>
      <c r="E34" s="18" t="n"/>
      <c r="F34" s="18" t="n"/>
      <c r="G34" s="18" t="n"/>
      <c r="H34" s="18" t="n"/>
      <c r="I34" s="5" t="n"/>
    </row>
    <row r="35">
      <c r="A35" s="16" t="inlineStr">
        <is>
          <t>Reference lists</t>
        </is>
      </c>
      <c r="B35" s="18" t="n"/>
      <c r="C35" s="5" t="n"/>
      <c r="D35" s="14" t="inlineStr">
        <is>
          <t>The lists of the drop-downs: states and UXD statuses</t>
        </is>
      </c>
      <c r="E35" s="18" t="n"/>
      <c r="F35" s="18" t="n"/>
      <c r="G35" s="18" t="n"/>
      <c r="H35" s="18" t="n"/>
      <c r="I35" s="5" t="n"/>
    </row>
    <row r="36">
      <c r="A36" s="16" t="inlineStr">
        <is>
          <t>Questions and comments</t>
        </is>
      </c>
      <c r="B36" s="18" t="n"/>
      <c r="C36" s="5" t="n"/>
      <c r="D36" s="14" t="inlineStr">
        <is>
          <t>Questions and comments of the UX Design team, with the answer</t>
        </is>
      </c>
      <c r="E36" s="18" t="n"/>
      <c r="F36" s="18" t="n"/>
      <c r="G36" s="18" t="n"/>
      <c r="H36" s="18" t="n"/>
      <c r="I36" s="5" t="n"/>
    </row>
    <row r="38">
      <c r="A38" s="19" t="inlineStr">
        <is>
          <t>Prepared by iorta TechNXT for BDOI. Confidential – BDOI.</t>
        </is>
      </c>
    </row>
  </sheetData>
  <autoFilter ref="A21:I22"/>
  <mergeCells count="44">
    <mergeCell ref="C10:H10"/>
    <mergeCell ref="A30:B30"/>
    <mergeCell ref="C30:G30"/>
    <mergeCell ref="H29:I29"/>
    <mergeCell ref="A11:B11"/>
    <mergeCell ref="C9:H9"/>
    <mergeCell ref="B16:I16"/>
    <mergeCell ref="H31:I31"/>
    <mergeCell ref="A6:B6"/>
    <mergeCell ref="C26:G26"/>
    <mergeCell ref="B18:I18"/>
    <mergeCell ref="C11:H11"/>
    <mergeCell ref="H25:I25"/>
    <mergeCell ref="C29:G29"/>
    <mergeCell ref="A7:B7"/>
    <mergeCell ref="A25:B25"/>
    <mergeCell ref="C25:G25"/>
    <mergeCell ref="C8:H8"/>
    <mergeCell ref="B14:I14"/>
    <mergeCell ref="C31:G31"/>
    <mergeCell ref="A35:C35"/>
    <mergeCell ref="A27:B27"/>
    <mergeCell ref="C7:H7"/>
    <mergeCell ref="B17:I17"/>
    <mergeCell ref="A26:B26"/>
    <mergeCell ref="C27:G27"/>
    <mergeCell ref="D35:I35"/>
    <mergeCell ref="H28:I28"/>
    <mergeCell ref="A34:C34"/>
    <mergeCell ref="A8:B8"/>
    <mergeCell ref="H27:I27"/>
    <mergeCell ref="D34:I34"/>
    <mergeCell ref="C6:H6"/>
    <mergeCell ref="A36:C36"/>
    <mergeCell ref="A29:B29"/>
    <mergeCell ref="B15:I15"/>
    <mergeCell ref="A10:B10"/>
    <mergeCell ref="A28:B28"/>
    <mergeCell ref="C28:G28"/>
    <mergeCell ref="D36:I36"/>
    <mergeCell ref="A9:B9"/>
    <mergeCell ref="A31:B31"/>
    <mergeCell ref="H30:I30"/>
    <mergeCell ref="H26:I26"/>
  </mergeCells>
  <conditionalFormatting sqref="H22">
    <cfRule type="cellIs" priority="1" operator="equal" dxfId="0" stopIfTrue="1">
      <formula>"Not started"</formula>
    </cfRule>
    <cfRule type="cellIs" priority="2" operator="equal" dxfId="1" stopIfTrue="1">
      <formula>"In progress"</formula>
    </cfRule>
    <cfRule type="cellIs" priority="3" operator="equal" dxfId="2" stopIfTrue="1">
      <formula>"Ready for review"</formula>
    </cfRule>
    <cfRule type="cellIs" priority="4" operator="equal" dxfId="3" stopIfTrue="1">
      <formula>"Confirmed"</formula>
    </cfRule>
  </conditionalFormatting>
  <conditionalFormatting sqref="G22">
    <cfRule type="cellIs" priority="5" operator="greaterThan" dxfId="4">
      <formula>0</formula>
    </cfRule>
  </conditionalFormatting>
  <dataValidations count="1">
    <dataValidation sqref="H22" showDropDown="0" showInputMessage="1" showErrorMessage="1" allowBlank="1" errorTitle="Status" error="Choose a value of the list Status (sheet Reference lists)." promptTitle="Status" prompt="Status of the template: Not started, In progress, Ready for review, Confirmed" type="list" errorStyle="stop">
      <formula1>=LIST_STATUS</formula1>
    </dataValidation>
  </dataValidations>
  <hyperlinks>
    <hyperlink ref="I22" location="'UX screen register'!A1"/>
    <hyperlink ref="A35" location="'Reference lists'!A1"/>
    <hyperlink ref="A36" location="'Questions and comments'!A1"/>
  </hyperlinks>
  <printOptions horizontalCentered="1"/>
  <pageMargins left="0.4" right="0.4" top="0.6" bottom="0.6" header="0.5" footer="0.5"/>
  <pageSetup orientation="landscape" paperSize="9" fitToHeight="0" fitToWidth="1"/>
  <headerFooter>
    <oddHeader>&amp;L&amp;8 &amp;K004EA8UX screen register BRD-13 Data Migration&amp;R&amp;8 &amp;K656565BDO Insure | BIBS – BDOI Broker System</oddHeader>
    <oddFooter>&amp;L&amp;8 &amp;K656565Confidential – BDOI&amp;C&amp;8 &amp;K656565Page &amp;P of &amp;N&amp;R&amp;8 &amp;K656565Version 2.0</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rgb="00004EA8"/>
    <outlinePr summaryBelow="0" summaryRight="1"/>
    <pageSetUpPr fitToPage="1"/>
  </sheetPr>
  <dimension ref="A1:O152"/>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4" customWidth="1" min="2" max="2"/>
    <col width="16" customWidth="1" min="3" max="3"/>
    <col width="21" customWidth="1" min="4" max="4"/>
    <col width="12" customWidth="1" min="5" max="5"/>
    <col width="12" customWidth="1" min="6" max="6"/>
    <col width="12" customWidth="1" min="7" max="7"/>
    <col width="16" customWidth="1" min="8" max="8"/>
    <col width="33" customWidth="1" min="9" max="9"/>
    <col width="20" customWidth="1" min="10" max="10"/>
    <col width="31" customWidth="1" min="11" max="11"/>
    <col width="15" customWidth="1" min="12" max="12"/>
    <col width="17" customWidth="1" min="13" max="13"/>
    <col width="26" customWidth="1" min="14" max="14"/>
    <col width="21" customWidth="1" min="15" max="15"/>
  </cols>
  <sheetData>
    <row r="1" ht="26" customHeight="1">
      <c r="A1" s="20" t="inlineStr">
        <is>
          <t>UXR UX screen register</t>
        </is>
      </c>
      <c r="O1" s="21" t="inlineStr">
        <is>
          <t>Step 1 of 1</t>
        </is>
      </c>
    </row>
    <row r="2">
      <c r="A2" s="22" t="inlineStr">
        <is>
          <t>← Back to Start here</t>
        </is>
      </c>
      <c r="B2" s="23" t="inlineStr">
        <is>
          <t>Step 1 of 1. Fill in one row per record below the column headers; the guide above each column says what to enter.</t>
        </is>
      </c>
      <c r="O2" s="24" t="inlineStr">
        <is>
          <t>Ask a question →</t>
        </is>
      </c>
    </row>
    <row r="3" outlineLevel="1" ht="28" customHeight="1">
      <c r="A3" s="25" t="inlineStr">
        <is>
          <t>Purpose</t>
        </is>
      </c>
      <c r="B3" s="26" t="inlineStr">
        <is>
          <t>One row per screen image of BRD-13 Data Migration (the 07 deck and the 09 image package): the screen, personas, flow and step, state, Data Migration Handbook section and requirements, the image file, and the UXD status and comments of the UX Design team. Changed in this issue marks the images that are new or changed in this issue, with the change reference.</t>
        </is>
      </c>
    </row>
    <row r="4" outlineLevel="1" ht="15.5" customHeight="1">
      <c r="A4" s="25" t="inlineStr">
        <is>
          <t>Provided by</t>
        </is>
      </c>
      <c r="B4" s="26" t="inlineStr">
        <is>
          <t>BDOI UX Design team (UXD status and comments); iorta TechNXT project team (the other columns)</t>
        </is>
      </c>
    </row>
    <row r="5" outlineLevel="1" ht="15.5" customHeight="1">
      <c r="A5" s="25" t="inlineStr">
        <is>
          <t>Due</t>
        </is>
      </c>
      <c r="B5" s="27" t="inlineStr">
        <is>
          <t>With each design review; the rows are re-issued with each version of the set</t>
        </is>
      </c>
    </row>
    <row r="6" outlineLevel="1" ht="15.5" customHeight="1">
      <c r="A6" s="25" t="inlineStr">
        <is>
          <t>How it is loaded</t>
        </is>
      </c>
      <c r="B6" s="26" t="inlineStr">
        <is>
          <t>Kept by the UX Design team; at a new issue the UXD status and comments of the unchanged rows are carried over and the changed rows are flagged</t>
        </is>
      </c>
    </row>
    <row r="7" outlineLevel="1" ht="15.5" customHeight="1">
      <c r="A7" s="25" t="inlineStr">
        <is>
          <t>Source</t>
        </is>
      </c>
      <c r="B7" s="26" t="inlineStr">
        <is>
          <t>Data Migration Handbook v2.0 and the screens of the SIT environment (seed data)</t>
        </is>
      </c>
    </row>
    <row r="8" outlineLevel="1">
      <c r="A8" s="25" t="inlineStr">
        <is>
          <t>Depends on</t>
        </is>
      </c>
      <c r="B8" s="28" t="inlineStr">
        <is>
          <t>Nothing: this template can be filled in first</t>
        </is>
      </c>
    </row>
    <row r="9" ht="26" customHeight="1">
      <c r="A9" s="29" t="inlineStr">
        <is>
          <t>Progress</t>
        </is>
      </c>
      <c r="B9" s="30" t="inlineStr">
        <is>
          <t>Rows entered</t>
        </is>
      </c>
      <c r="C9" s="31">
        <f>SUMPRODUCT(((ROW($B$17:$B$152)&gt;17)+($B$17&lt;&gt;"SCR-DM-01")&gt;0)*(LEN($B$17:$B$152&amp;$C$17:$C$152&amp;$D$17:$D$152&amp;$E$17:$E$152&amp;$F$17:$F$152&amp;$G$17:$G$152&amp;$H$17:$H$152&amp;$I$17:$I$152&amp;$J$17:$J$152&amp;$K$17:$K$152&amp;$L$17:$L$152&amp;$M$17:$M$152&amp;$N$17:$N$152&amp;$O$17:$O$152)&gt;0))</f>
        <v/>
      </c>
      <c r="D9" s="30" t="inlineStr">
        <is>
          <t>Mandatory cells missing</t>
        </is>
      </c>
      <c r="E9" s="31">
        <f>SUMPRODUCT(((ROW($B$17:$B$152)&gt;17)+($B$17&lt;&gt;"SCR-DM-01")&gt;0)*(LEN($B$17:$B$152&amp;$C$17:$C$152&amp;$D$17:$D$152&amp;$E$17:$E$152&amp;$F$17:$F$152&amp;$G$17:$G$152&amp;$H$17:$H$152&amp;$I$17:$I$152&amp;$J$17:$J$152&amp;$K$17:$K$152&amp;$L$17:$L$152&amp;$M$17:$M$152&amp;$N$17:$N$152&amp;$O$17:$O$152)&gt;0)*(($B$17:$B$152="")+($C$17:$C$152="")+($D$17:$D$152="")+($G$17:$G$152="")+($H$17:$H$152="")+($J$17:$J$152="")+($L$17:$L$152="")+($N$17:$N$152="")))</f>
        <v/>
      </c>
    </row>
    <row r="10" ht="26" customHeight="1">
      <c r="A10" s="32" t="inlineStr">
        <is>
          <t>Reviewed by (UX Design team lead)</t>
        </is>
      </c>
      <c r="B10" s="33" t="n"/>
      <c r="C10" s="33" t="n"/>
      <c r="D10" s="30" t="inlineStr">
        <is>
          <t>Date</t>
        </is>
      </c>
      <c r="E10" s="34" t="n"/>
    </row>
    <row r="11" ht="6" customHeight="1">
      <c r="A11" s="35" t="n"/>
      <c r="B11" s="35" t="n"/>
      <c r="C11" s="35" t="n"/>
      <c r="D11" s="35" t="n"/>
      <c r="E11" s="35" t="n"/>
      <c r="F11" s="35" t="n"/>
      <c r="G11" s="35" t="n"/>
      <c r="H11" s="35" t="n"/>
      <c r="I11" s="35" t="n"/>
      <c r="J11" s="35" t="n"/>
      <c r="K11" s="35" t="n"/>
      <c r="L11" s="35" t="n"/>
      <c r="M11" s="35" t="n"/>
      <c r="N11" s="35" t="n"/>
      <c r="O11" s="35" t="n"/>
    </row>
    <row r="12" ht="30" customHeight="1">
      <c r="A12" s="36" t="inlineStr">
        <is>
          <t>Mandatory</t>
        </is>
      </c>
      <c r="B12" s="37" t="inlineStr">
        <is>
          <t>Yes</t>
        </is>
      </c>
      <c r="C12" s="37" t="inlineStr">
        <is>
          <t>Yes</t>
        </is>
      </c>
      <c r="D12" s="37" t="inlineStr">
        <is>
          <t>Yes</t>
        </is>
      </c>
      <c r="E12" s="38" t="inlineStr">
        <is>
          <t>No</t>
        </is>
      </c>
      <c r="F12" s="38" t="inlineStr">
        <is>
          <t>No</t>
        </is>
      </c>
      <c r="G12" s="37" t="inlineStr">
        <is>
          <t>Yes</t>
        </is>
      </c>
      <c r="H12" s="37" t="inlineStr">
        <is>
          <t>Yes</t>
        </is>
      </c>
      <c r="I12" s="38" t="inlineStr">
        <is>
          <t>No</t>
        </is>
      </c>
      <c r="J12" s="37" t="inlineStr">
        <is>
          <t>Yes</t>
        </is>
      </c>
      <c r="K12" s="38" t="inlineStr">
        <is>
          <t>No</t>
        </is>
      </c>
      <c r="L12" s="37" t="inlineStr">
        <is>
          <t>Yes</t>
        </is>
      </c>
      <c r="M12" s="38" t="inlineStr">
        <is>
          <t>No</t>
        </is>
      </c>
      <c r="N12" s="37" t="inlineStr">
        <is>
          <t>Yes</t>
        </is>
      </c>
      <c r="O12" s="38" t="inlineStr">
        <is>
          <t>Conditional: when Changed in this issue is Y</t>
        </is>
      </c>
    </row>
    <row r="13" ht="30" customHeight="1">
      <c r="A13" s="36" t="inlineStr">
        <is>
          <t>Format</t>
        </is>
      </c>
      <c r="B13" s="38" t="inlineStr">
        <is>
          <t>SCR-, NAV- or DO- and a number</t>
        </is>
      </c>
      <c r="C13" s="38" t="inlineStr">
        <is>
          <t>Text</t>
        </is>
      </c>
      <c r="D13" s="38" t="inlineStr">
        <is>
          <t>Text</t>
        </is>
      </c>
      <c r="E13" s="38" t="inlineStr">
        <is>
          <t>Flow ID and title</t>
        </is>
      </c>
      <c r="F13" s="38" t="inlineStr">
        <is>
          <t>Whole number</t>
        </is>
      </c>
      <c r="G13" s="38" t="inlineStr">
        <is>
          <t>From the list</t>
        </is>
      </c>
      <c r="H13" s="38" t="inlineStr">
        <is>
          <t>Section number</t>
        </is>
      </c>
      <c r="I13" s="38" t="inlineStr">
        <is>
          <t>FR-... separated by commas</t>
        </is>
      </c>
      <c r="J13" s="38" t="inlineStr">
        <is>
          <t>&lt;Screen ID&gt;_&lt;state&gt;.png</t>
        </is>
      </c>
      <c r="K13" s="38" t="inlineStr">
        <is>
          <t>Text</t>
        </is>
      </c>
      <c r="L13" s="38" t="inlineStr">
        <is>
          <t>From the list</t>
        </is>
      </c>
      <c r="M13" s="38" t="inlineStr">
        <is>
          <t>Text</t>
        </is>
      </c>
      <c r="N13" s="38" t="inlineStr">
        <is>
          <t>Y or N</t>
        </is>
      </c>
      <c r="O13" s="38" t="inlineStr">
        <is>
          <t>Reference</t>
        </is>
      </c>
    </row>
    <row r="14" ht="69" customHeight="1">
      <c r="A14" s="36" t="inlineStr">
        <is>
          <t>Allowed values</t>
        </is>
      </c>
      <c r="B14" s="38" t="inlineStr">
        <is>
          <t>Free entry</t>
        </is>
      </c>
      <c r="C14" s="38" t="inlineStr">
        <is>
          <t>Free entry</t>
        </is>
      </c>
      <c r="D14" s="38" t="inlineStr">
        <is>
          <t>Free entry</t>
        </is>
      </c>
      <c r="E14" s="38" t="inlineStr">
        <is>
          <t>Free entry</t>
        </is>
      </c>
      <c r="F14" s="38" t="inlineStr">
        <is>
          <t>A whole number from 1 to 99</t>
        </is>
      </c>
      <c r="G14" s="39" t="inlineStr">
        <is>
          <t>List State of a screen image: 12 values, see Reference lists</t>
        </is>
      </c>
      <c r="H14" s="38" t="inlineStr">
        <is>
          <t>Free entry</t>
        </is>
      </c>
      <c r="I14" s="38" t="inlineStr">
        <is>
          <t>Free entry</t>
        </is>
      </c>
      <c r="J14" s="38" t="inlineStr">
        <is>
          <t>Free entry</t>
        </is>
      </c>
      <c r="K14" s="38" t="inlineStr">
        <is>
          <t>Free entry</t>
        </is>
      </c>
      <c r="L14" s="39" t="inlineStr">
        <is>
          <t>Not started, In design, Ready for review, Approved (list UXD status)</t>
        </is>
      </c>
      <c r="M14" s="38" t="inlineStr">
        <is>
          <t>Free entry</t>
        </is>
      </c>
      <c r="N14" s="38" t="inlineStr">
        <is>
          <t>Y or N</t>
        </is>
      </c>
      <c r="O14" s="38" t="inlineStr">
        <is>
          <t>Free entry</t>
        </is>
      </c>
    </row>
    <row r="15" ht="69" customHeight="1">
      <c r="A15" s="36" t="inlineStr">
        <is>
          <t>What to enter</t>
        </is>
      </c>
      <c r="B15" s="38" t="inlineStr">
        <is>
          <t>The screen of the image, as in the FRS and the deck</t>
        </is>
      </c>
      <c r="C15" s="38" t="inlineStr">
        <is>
          <t>The title of the screen</t>
        </is>
      </c>
      <c r="D15" s="38" t="inlineStr">
        <is>
          <t>The personas who see the screen in this state</t>
        </is>
      </c>
      <c r="E15" s="38" t="inlineStr">
        <is>
          <t>The end-to-end flow that shows the image, if any</t>
        </is>
      </c>
      <c r="F15" s="38" t="inlineStr">
        <is>
          <t>The step of the flow</t>
        </is>
      </c>
      <c r="G15" s="38" t="inlineStr">
        <is>
          <t>The state of the screen on the image</t>
        </is>
      </c>
      <c r="H15" s="38" t="inlineStr">
        <is>
          <t>The section of the FRS (or handbook) that specifies the screen</t>
        </is>
      </c>
      <c r="I15" s="38" t="inlineStr">
        <is>
          <t>The functional requirements of the screen</t>
        </is>
      </c>
      <c r="J15" s="38" t="inlineStr">
        <is>
          <t>The file of the image package (09)</t>
        </is>
      </c>
      <c r="K15" s="38" t="inlineStr">
        <is>
          <t>The caption of the image</t>
        </is>
      </c>
      <c r="L15" s="38" t="inlineStr">
        <is>
          <t>The status of the design of this screen state, kept by the UX Design team</t>
        </is>
      </c>
      <c r="M15" s="38" t="inlineStr">
        <is>
          <t>Comments of the UX Design team on the screen state</t>
        </is>
      </c>
      <c r="N15" s="38" t="inlineStr">
        <is>
          <t>Y when the image is new or changed in this issue of the set</t>
        </is>
      </c>
      <c r="O15" s="38" t="inlineStr">
        <is>
          <t>The change reference (comment, change request or issue change) that changed the image</t>
        </is>
      </c>
    </row>
    <row r="16" ht="30" customHeight="1">
      <c r="A16" s="40" t="inlineStr">
        <is>
          <t>Row</t>
        </is>
      </c>
      <c r="B16" s="41" t="inlineStr">
        <is>
          <t>Screen ID *</t>
        </is>
      </c>
      <c r="C16" s="41" t="inlineStr">
        <is>
          <t>Screen name *</t>
        </is>
      </c>
      <c r="D16" s="41" t="inlineStr">
        <is>
          <t>Persona(s) *</t>
        </is>
      </c>
      <c r="E16" s="41" t="inlineStr">
        <is>
          <t>Flow</t>
        </is>
      </c>
      <c r="F16" s="41" t="inlineStr">
        <is>
          <t>Step</t>
        </is>
      </c>
      <c r="G16" s="41" t="inlineStr">
        <is>
          <t>State *</t>
        </is>
      </c>
      <c r="H16" s="41" t="inlineStr">
        <is>
          <t>FRS section *</t>
        </is>
      </c>
      <c r="I16" s="41" t="inlineStr">
        <is>
          <t>Requirement IDs</t>
        </is>
      </c>
      <c r="J16" s="41" t="inlineStr">
        <is>
          <t>Image file *</t>
        </is>
      </c>
      <c r="K16" s="41" t="inlineStr">
        <is>
          <t>What the image shows</t>
        </is>
      </c>
      <c r="L16" s="41" t="inlineStr">
        <is>
          <t>UXD status *</t>
        </is>
      </c>
      <c r="M16" s="41" t="inlineStr">
        <is>
          <t>UXD comments</t>
        </is>
      </c>
      <c r="N16" s="41" t="inlineStr">
        <is>
          <t>Changed in this issue *</t>
        </is>
      </c>
      <c r="O16" s="41" t="inlineStr">
        <is>
          <t>Change reference</t>
        </is>
      </c>
    </row>
    <row r="17" ht="18" customHeight="1">
      <c r="A17" s="42" t="inlineStr">
        <is>
          <t>Example – overwrite or delete</t>
        </is>
      </c>
      <c r="B17" s="43" t="inlineStr">
        <is>
          <t>SCR-DM-01</t>
        </is>
      </c>
      <c r="C17" s="43" t="inlineStr">
        <is>
          <t>Migration Home</t>
        </is>
      </c>
      <c r="D17" s="43" t="inlineStr">
        <is>
          <t>Data Migration Lead</t>
        </is>
      </c>
      <c r="E17" s="43" t="n"/>
      <c r="F17" s="44" t="n"/>
      <c r="G17" s="43" t="inlineStr">
        <is>
          <t>Default</t>
        </is>
      </c>
      <c r="H17" s="43" t="inlineStr">
        <is>
          <t>19.1.1</t>
        </is>
      </c>
      <c r="I17" s="43" t="inlineStr">
        <is>
          <t>FR-DM-003, FR-DM-120, FR-DM-122</t>
        </is>
      </c>
      <c r="J17" s="43" t="inlineStr">
        <is>
          <t>SCR-DM-01_view.png</t>
        </is>
      </c>
      <c r="K17" s="43" t="inlineStr">
        <is>
          <t>Migration Home with the tiles</t>
        </is>
      </c>
      <c r="L17" s="43" t="inlineStr">
        <is>
          <t>Not started</t>
        </is>
      </c>
      <c r="M17" s="43" t="n"/>
      <c r="N17" s="43" t="inlineStr">
        <is>
          <t>Y</t>
        </is>
      </c>
      <c r="O17" s="43" t="inlineStr">
        <is>
          <t>CHG-DM-2.2-01</t>
        </is>
      </c>
    </row>
    <row r="18">
      <c r="B18" s="45" t="inlineStr">
        <is>
          <t>SCR-DM-01</t>
        </is>
      </c>
      <c r="C18" s="45" t="inlineStr">
        <is>
          <t>Migration Home</t>
        </is>
      </c>
      <c r="D18" s="45" t="inlineStr">
        <is>
          <t>Data Migration Lead</t>
        </is>
      </c>
      <c r="E18" s="45" t="inlineStr">
        <is>
          <t>-</t>
        </is>
      </c>
      <c r="F18" s="10" t="n"/>
      <c r="G18" s="45" t="inlineStr">
        <is>
          <t>Default</t>
        </is>
      </c>
      <c r="H18" s="45" t="inlineStr">
        <is>
          <t>19.1.1</t>
        </is>
      </c>
      <c r="I18" s="45" t="inlineStr">
        <is>
          <t>FR-DM-003, FR-DM-120, FR-DM-122</t>
        </is>
      </c>
      <c r="J18" s="45" t="inlineStr">
        <is>
          <t>SCR-DM-01_view.png</t>
        </is>
      </c>
      <c r="K18" s="45" t="inlineStr">
        <is>
          <t>Migration Home with the tiles</t>
        </is>
      </c>
      <c r="L18" s="45" t="inlineStr">
        <is>
          <t>Not started</t>
        </is>
      </c>
      <c r="M18" s="45" t="n"/>
      <c r="N18" s="45" t="inlineStr">
        <is>
          <t>Y</t>
        </is>
      </c>
      <c r="O18" s="45" t="inlineStr">
        <is>
          <t>CHG-DM-2.2-01</t>
        </is>
      </c>
    </row>
    <row r="19">
      <c r="B19" s="45" t="inlineStr">
        <is>
          <t>SCR-DM-02</t>
        </is>
      </c>
      <c r="C19" s="45" t="inlineStr">
        <is>
          <t>Data Objects and the decision of an object</t>
        </is>
      </c>
      <c r="D19" s="45" t="inlineStr">
        <is>
          <t>Data Migration Lead</t>
        </is>
      </c>
      <c r="E19" s="45" t="inlineStr">
        <is>
          <t>UF-A A data object from its decision to its acceptance</t>
        </is>
      </c>
      <c r="F19" s="10" t="n">
        <v>1</v>
      </c>
      <c r="G19" s="45" t="inlineStr">
        <is>
          <t>Default</t>
        </is>
      </c>
      <c r="H19" s="45" t="inlineStr">
        <is>
          <t>19.1.2</t>
        </is>
      </c>
      <c r="I19" s="45" t="inlineStr">
        <is>
          <t>FR-DM-001, FR-DM-002, FR-DM-003</t>
        </is>
      </c>
      <c r="J19" s="45" t="inlineStr">
        <is>
          <t>SCR-DM-02_list.png</t>
        </is>
      </c>
      <c r="K19" s="45" t="inlineStr">
        <is>
          <t>Data Objects register with the class and status of each object</t>
        </is>
      </c>
      <c r="L19" s="45" t="inlineStr">
        <is>
          <t>Not started</t>
        </is>
      </c>
      <c r="M19" s="45" t="n"/>
      <c r="N19" s="45" t="inlineStr">
        <is>
          <t>Y</t>
        </is>
      </c>
      <c r="O19" s="45" t="inlineStr">
        <is>
          <t>CHG-DM-2.2-01</t>
        </is>
      </c>
    </row>
    <row r="20">
      <c r="B20" s="45" t="inlineStr">
        <is>
          <t>SCR-DM-02</t>
        </is>
      </c>
      <c r="C20" s="45" t="inlineStr">
        <is>
          <t>Data Objects and the decision of an object</t>
        </is>
      </c>
      <c r="D20" s="45" t="inlineStr">
        <is>
          <t>Data owner (business owner of an object)</t>
        </is>
      </c>
      <c r="E20" s="45" t="inlineStr">
        <is>
          <t>UF-A A data object from its decision to its acceptance</t>
        </is>
      </c>
      <c r="F20" s="10" t="n">
        <v>2</v>
      </c>
      <c r="G20" s="45" t="inlineStr">
        <is>
          <t>Pending approval</t>
        </is>
      </c>
      <c r="H20" s="45" t="inlineStr">
        <is>
          <t>19.1.2</t>
        </is>
      </c>
      <c r="I20" s="45" t="inlineStr">
        <is>
          <t>FR-DM-001, FR-DM-002, FR-DM-003</t>
        </is>
      </c>
      <c r="J20" s="45" t="inlineStr">
        <is>
          <t>SCR-DM-02_object.png</t>
        </is>
      </c>
      <c r="K20" s="45" t="inlineStr">
        <is>
          <t>Object C01 with the four criteria, the rationale and the decision history</t>
        </is>
      </c>
      <c r="L20" s="45" t="inlineStr">
        <is>
          <t>Not started</t>
        </is>
      </c>
      <c r="M20" s="45" t="n"/>
      <c r="N20" s="45" t="inlineStr">
        <is>
          <t>Y</t>
        </is>
      </c>
      <c r="O20" s="45" t="inlineStr">
        <is>
          <t>CHG-DM-2.2-01</t>
        </is>
      </c>
    </row>
    <row r="21">
      <c r="B21" s="45" t="inlineStr">
        <is>
          <t>SCR-DM-03</t>
        </is>
      </c>
      <c r="C21" s="45" t="inlineStr">
        <is>
          <t>Code Maps and the versions of a code map</t>
        </is>
      </c>
      <c r="D21" s="45" t="inlineStr">
        <is>
          <t>Data Steward</t>
        </is>
      </c>
      <c r="E21" s="45" t="inlineStr">
        <is>
          <t>-</t>
        </is>
      </c>
      <c r="F21" s="10" t="n"/>
      <c r="G21" s="45" t="inlineStr">
        <is>
          <t>Success message</t>
        </is>
      </c>
      <c r="H21" s="45" t="inlineStr">
        <is>
          <t>19.1.3</t>
        </is>
      </c>
      <c r="I21" s="45" t="inlineStr">
        <is>
          <t>FR-DM-011, FR-DM-012, FR-DM-034</t>
        </is>
      </c>
      <c r="J21" s="45" t="inlineStr">
        <is>
          <t>SCR-DM-03_list.png</t>
        </is>
      </c>
      <c r="K21" s="45" t="inlineStr">
        <is>
          <t>Code Maps with the approved and open version of each map</t>
        </is>
      </c>
      <c r="L21" s="45" t="inlineStr">
        <is>
          <t>Not started</t>
        </is>
      </c>
      <c r="M21" s="45" t="n"/>
      <c r="N21" s="45" t="inlineStr">
        <is>
          <t>Y</t>
        </is>
      </c>
      <c r="O21" s="45" t="inlineStr">
        <is>
          <t>CHG-DM-2.2-01</t>
        </is>
      </c>
    </row>
    <row r="22">
      <c r="B22" s="45" t="inlineStr">
        <is>
          <t>SCR-DM-03</t>
        </is>
      </c>
      <c r="C22" s="45" t="inlineStr">
        <is>
          <t>Code Maps and the versions of a code map</t>
        </is>
      </c>
      <c r="D22" s="45" t="inlineStr">
        <is>
          <t>Data Steward</t>
        </is>
      </c>
      <c r="E22" s="45" t="inlineStr">
        <is>
          <t>-</t>
        </is>
      </c>
      <c r="F22" s="10" t="n"/>
      <c r="G22" s="45" t="inlineStr">
        <is>
          <t>Default</t>
        </is>
      </c>
      <c r="H22" s="45" t="inlineStr">
        <is>
          <t>19.1.3</t>
        </is>
      </c>
      <c r="I22" s="45" t="inlineStr">
        <is>
          <t>FR-DM-011, FR-DM-012, FR-DM-034</t>
        </is>
      </c>
      <c r="J22" s="45" t="inlineStr">
        <is>
          <t>SCR-DM-03_set.png</t>
        </is>
      </c>
      <c r="K22" s="45" t="inlineStr">
        <is>
          <t>Code map INSURER with its versions and the entries of the version</t>
        </is>
      </c>
      <c r="L22" s="45" t="inlineStr">
        <is>
          <t>Not started</t>
        </is>
      </c>
      <c r="M22" s="45" t="n"/>
      <c r="N22" s="45" t="inlineStr">
        <is>
          <t>Y</t>
        </is>
      </c>
      <c r="O22" s="45" t="inlineStr">
        <is>
          <t>CHG-DM-2.2-01</t>
        </is>
      </c>
    </row>
    <row r="23">
      <c r="B23" s="45" t="inlineStr">
        <is>
          <t>SCR-DM-03</t>
        </is>
      </c>
      <c r="C23" s="45" t="inlineStr">
        <is>
          <t>Code Maps and the versions of a code map</t>
        </is>
      </c>
      <c r="D23" s="45" t="inlineStr">
        <is>
          <t>Data Steward</t>
        </is>
      </c>
      <c r="E23" s="45" t="inlineStr">
        <is>
          <t>UF-A A data object from its decision to its acceptance</t>
        </is>
      </c>
      <c r="F23" s="10" t="n">
        <v>3</v>
      </c>
      <c r="G23" s="45" t="inlineStr">
        <is>
          <t>Filled</t>
        </is>
      </c>
      <c r="H23" s="45" t="inlineStr">
        <is>
          <t>19.1.3</t>
        </is>
      </c>
      <c r="I23" s="45" t="inlineStr">
        <is>
          <t>FR-DM-011, FR-DM-012, FR-DM-034</t>
        </is>
      </c>
      <c r="J23" s="45" t="inlineStr">
        <is>
          <t>SCR-DM-03_entry.png</t>
        </is>
      </c>
      <c r="K23" s="45" t="inlineStr">
        <is>
          <t>Add Entry dialog of a draft version</t>
        </is>
      </c>
      <c r="L23" s="45" t="inlineStr">
        <is>
          <t>Not started</t>
        </is>
      </c>
      <c r="M23" s="45" t="n"/>
      <c r="N23" s="45" t="inlineStr">
        <is>
          <t>Y</t>
        </is>
      </c>
      <c r="O23" s="45" t="inlineStr">
        <is>
          <t>CHG-DM-2.2-01</t>
        </is>
      </c>
    </row>
    <row r="24">
      <c r="B24" s="45" t="inlineStr">
        <is>
          <t>SCR-DM-03</t>
        </is>
      </c>
      <c r="C24" s="45" t="inlineStr">
        <is>
          <t>Code Maps and the versions of a code map</t>
        </is>
      </c>
      <c r="D24" s="45" t="inlineStr">
        <is>
          <t>Data Steward</t>
        </is>
      </c>
      <c r="E24" s="45" t="inlineStr">
        <is>
          <t>UF-A A data object from its decision to its acceptance</t>
        </is>
      </c>
      <c r="F24" s="10" t="n">
        <v>4</v>
      </c>
      <c r="G24" s="45" t="inlineStr">
        <is>
          <t>Default</t>
        </is>
      </c>
      <c r="H24" s="45" t="inlineStr">
        <is>
          <t>19.1.3</t>
        </is>
      </c>
      <c r="I24" s="45" t="inlineStr">
        <is>
          <t>FR-DM-011, FR-DM-012, FR-DM-034</t>
        </is>
      </c>
      <c r="J24" s="45" t="inlineStr">
        <is>
          <t>SCR-DM-03_unmapped.png</t>
        </is>
      </c>
      <c r="K24" s="45" t="inlineStr">
        <is>
          <t>Unmapped Codes tab</t>
        </is>
      </c>
      <c r="L24" s="45" t="inlineStr">
        <is>
          <t>Not started</t>
        </is>
      </c>
      <c r="M24" s="45" t="n"/>
      <c r="N24" s="45" t="inlineStr">
        <is>
          <t>Y</t>
        </is>
      </c>
      <c r="O24" s="45" t="inlineStr">
        <is>
          <t>CHG-DM-2.2-01</t>
        </is>
      </c>
    </row>
    <row r="25">
      <c r="B25" s="45" t="inlineStr">
        <is>
          <t>SCR-DM-04</t>
        </is>
      </c>
      <c r="C25" s="45" t="inlineStr">
        <is>
          <t>Layouts and Rules</t>
        </is>
      </c>
      <c r="D25" s="45" t="inlineStr">
        <is>
          <t>Data Steward</t>
        </is>
      </c>
      <c r="E25" s="45" t="inlineStr">
        <is>
          <t>-</t>
        </is>
      </c>
      <c r="F25" s="10" t="n"/>
      <c r="G25" s="45" t="inlineStr">
        <is>
          <t>Default</t>
        </is>
      </c>
      <c r="H25" s="45" t="inlineStr">
        <is>
          <t>19.1.4</t>
        </is>
      </c>
      <c r="I25" s="45" t="inlineStr">
        <is>
          <t>FR-DM-010, FR-DM-013, FR-DM-003</t>
        </is>
      </c>
      <c r="J25" s="45" t="inlineStr">
        <is>
          <t>SCR-DM-04_list.png</t>
        </is>
      </c>
      <c r="K25" s="45" t="inlineStr">
        <is>
          <t>Layouts in force with their key columns and hash total</t>
        </is>
      </c>
      <c r="L25" s="45" t="inlineStr">
        <is>
          <t>Not started</t>
        </is>
      </c>
      <c r="M25" s="45" t="n"/>
      <c r="N25" s="45" t="inlineStr">
        <is>
          <t>Y</t>
        </is>
      </c>
      <c r="O25" s="45" t="inlineStr">
        <is>
          <t>CHG-DM-2.2-01</t>
        </is>
      </c>
    </row>
    <row r="26">
      <c r="B26" s="45" t="inlineStr">
        <is>
          <t>SCR-DM-04</t>
        </is>
      </c>
      <c r="C26" s="45" t="inlineStr">
        <is>
          <t>Layouts and Rules</t>
        </is>
      </c>
      <c r="D26" s="45" t="inlineStr">
        <is>
          <t>Data Steward</t>
        </is>
      </c>
      <c r="E26" s="45" t="inlineStr">
        <is>
          <t>-</t>
        </is>
      </c>
      <c r="F26" s="10" t="n"/>
      <c r="G26" s="45" t="inlineStr">
        <is>
          <t>Default</t>
        </is>
      </c>
      <c r="H26" s="45" t="inlineStr">
        <is>
          <t>19.1.4</t>
        </is>
      </c>
      <c r="I26" s="45" t="inlineStr">
        <is>
          <t>FR-DM-010, FR-DM-013, FR-DM-003</t>
        </is>
      </c>
      <c r="J26" s="45" t="inlineStr">
        <is>
          <t>SCR-DM-04_columns.png</t>
        </is>
      </c>
      <c r="K26" s="45" t="inlineStr">
        <is>
          <t>Columns of layout F01C (open invoice components)</t>
        </is>
      </c>
      <c r="L26" s="45" t="inlineStr">
        <is>
          <t>Not started</t>
        </is>
      </c>
      <c r="M26" s="45" t="n"/>
      <c r="N26" s="45" t="inlineStr">
        <is>
          <t>Y</t>
        </is>
      </c>
      <c r="O26" s="45" t="inlineStr">
        <is>
          <t>CHG-DM-2.2-01</t>
        </is>
      </c>
    </row>
    <row r="27">
      <c r="B27" s="45" t="inlineStr">
        <is>
          <t>SCR-DM-04</t>
        </is>
      </c>
      <c r="C27" s="45" t="inlineStr">
        <is>
          <t>Layouts and Rules</t>
        </is>
      </c>
      <c r="D27" s="45" t="inlineStr">
        <is>
          <t>Data Steward</t>
        </is>
      </c>
      <c r="E27" s="45" t="inlineStr">
        <is>
          <t>-</t>
        </is>
      </c>
      <c r="F27" s="10" t="n"/>
      <c r="G27" s="45" t="inlineStr">
        <is>
          <t>Default</t>
        </is>
      </c>
      <c r="H27" s="45" t="inlineStr">
        <is>
          <t>19.1.4</t>
        </is>
      </c>
      <c r="I27" s="45" t="inlineStr">
        <is>
          <t>FR-DM-010, FR-DM-013, FR-DM-003</t>
        </is>
      </c>
      <c r="J27" s="45" t="inlineStr">
        <is>
          <t>SCR-DM-04_rules.png</t>
        </is>
      </c>
      <c r="K27" s="45" t="inlineStr">
        <is>
          <t>Data-Quality Rules tab</t>
        </is>
      </c>
      <c r="L27" s="45" t="inlineStr">
        <is>
          <t>Not started</t>
        </is>
      </c>
      <c r="M27" s="45" t="n"/>
      <c r="N27" s="45" t="inlineStr">
        <is>
          <t>Y</t>
        </is>
      </c>
      <c r="O27" s="45" t="inlineStr">
        <is>
          <t>CHG-DM-2.2-01</t>
        </is>
      </c>
    </row>
    <row r="28">
      <c r="B28" s="45" t="inlineStr">
        <is>
          <t>SCR-DM-04</t>
        </is>
      </c>
      <c r="C28" s="45" t="inlineStr">
        <is>
          <t>Layouts and Rules</t>
        </is>
      </c>
      <c r="D28" s="45" t="inlineStr">
        <is>
          <t>Data Steward</t>
        </is>
      </c>
      <c r="E28" s="45" t="inlineStr">
        <is>
          <t>-</t>
        </is>
      </c>
      <c r="F28" s="10" t="n"/>
      <c r="G28" s="45" t="inlineStr">
        <is>
          <t>Default</t>
        </is>
      </c>
      <c r="H28" s="45" t="inlineStr">
        <is>
          <t>19.1.4</t>
        </is>
      </c>
      <c r="I28" s="45" t="inlineStr">
        <is>
          <t>FR-DM-010, FR-DM-013, FR-DM-003</t>
        </is>
      </c>
      <c r="J28" s="45" t="inlineStr">
        <is>
          <t>SCR-DM-04_masking.png</t>
        </is>
      </c>
      <c r="K28" s="45" t="inlineStr">
        <is>
          <t>Masking Rules tab</t>
        </is>
      </c>
      <c r="L28" s="45" t="inlineStr">
        <is>
          <t>Not started</t>
        </is>
      </c>
      <c r="M28" s="45" t="n"/>
      <c r="N28" s="45" t="inlineStr">
        <is>
          <t>Y</t>
        </is>
      </c>
      <c r="O28" s="45" t="inlineStr">
        <is>
          <t>CHG-DM-2.2-01</t>
        </is>
      </c>
    </row>
    <row r="29">
      <c r="B29" s="45" t="inlineStr">
        <is>
          <t>SCR-DM-05</t>
        </is>
      </c>
      <c r="C29" s="45" t="inlineStr">
        <is>
          <t>Extracts</t>
        </is>
      </c>
      <c r="D29" s="45" t="inlineStr">
        <is>
          <t>Migration Operator</t>
        </is>
      </c>
      <c r="E29" s="45" t="inlineStr">
        <is>
          <t>UF-A A data object from its decision to its acceptance</t>
        </is>
      </c>
      <c r="F29" s="10" t="n">
        <v>6</v>
      </c>
      <c r="G29" s="45" t="inlineStr">
        <is>
          <t>Validation error</t>
        </is>
      </c>
      <c r="H29" s="45" t="inlineStr">
        <is>
          <t>19.1.5</t>
        </is>
      </c>
      <c r="I29" s="45" t="inlineStr">
        <is>
          <t>FR-DM-010</t>
        </is>
      </c>
      <c r="J29" s="45" t="inlineStr">
        <is>
          <t>SCR-DM-05_list.png</t>
        </is>
      </c>
      <c r="K29" s="45" t="inlineStr">
        <is>
          <t>Extracts with the upload card (Still needed: the files to choose) and the intake results</t>
        </is>
      </c>
      <c r="L29" s="45" t="inlineStr">
        <is>
          <t>Not started</t>
        </is>
      </c>
      <c r="M29" s="45" t="n"/>
      <c r="N29" s="45" t="inlineStr">
        <is>
          <t>Y</t>
        </is>
      </c>
      <c r="O29" s="45" t="inlineStr">
        <is>
          <t>CHG-DM-2.1-02, CHG-DM-2.1-03, CHG-DM-2.1-04, CHG-DM-2.2-01</t>
        </is>
      </c>
    </row>
    <row r="30">
      <c r="B30" s="45" t="inlineStr">
        <is>
          <t>SCR-DM-05</t>
        </is>
      </c>
      <c r="C30" s="45" t="inlineStr">
        <is>
          <t>Extracts</t>
        </is>
      </c>
      <c r="D30" s="45" t="inlineStr">
        <is>
          <t>Migration Operator</t>
        </is>
      </c>
      <c r="E30" s="45" t="inlineStr">
        <is>
          <t>UF-A A data object from its decision to its acceptance</t>
        </is>
      </c>
      <c r="F30" s="10" t="n">
        <v>7</v>
      </c>
      <c r="G30" s="45" t="inlineStr">
        <is>
          <t>Validation error</t>
        </is>
      </c>
      <c r="H30" s="45" t="inlineStr">
        <is>
          <t>19.1.5</t>
        </is>
      </c>
      <c r="I30" s="45" t="inlineStr">
        <is>
          <t>FR-DM-010</t>
        </is>
      </c>
      <c r="J30" s="45" t="inlineStr">
        <is>
          <t>SCR-DM-05_rejected.png</t>
        </is>
      </c>
      <c r="K30" s="45" t="inlineStr">
        <is>
          <t>An extract rejected at intake with every failed check and its reason</t>
        </is>
      </c>
      <c r="L30" s="45" t="inlineStr">
        <is>
          <t>Not started</t>
        </is>
      </c>
      <c r="M30" s="45" t="n"/>
      <c r="N30" s="45" t="inlineStr">
        <is>
          <t>Y</t>
        </is>
      </c>
      <c r="O30" s="45" t="inlineStr">
        <is>
          <t>CHG-DM-2.1-03, CHG-DM-2.1-04, CHG-DM-2.2-01</t>
        </is>
      </c>
    </row>
    <row r="31">
      <c r="B31" s="45" t="inlineStr">
        <is>
          <t>SCR-DM-06</t>
        </is>
      </c>
      <c r="C31" s="45" t="inlineStr">
        <is>
          <t>Batches and resubmissions</t>
        </is>
      </c>
      <c r="D31" s="45" t="inlineStr">
        <is>
          <t>Migration Operator</t>
        </is>
      </c>
      <c r="E31" s="45" t="inlineStr">
        <is>
          <t>-</t>
        </is>
      </c>
      <c r="F31" s="10" t="n"/>
      <c r="G31" s="45" t="inlineStr">
        <is>
          <t>Default</t>
        </is>
      </c>
      <c r="H31" s="45" t="inlineStr">
        <is>
          <t>19.1.6</t>
        </is>
      </c>
      <c r="I31" s="45" t="inlineStr">
        <is>
          <t>FR-DM-014, FR-DM-015, FR-DM-125</t>
        </is>
      </c>
      <c r="J31" s="45" t="inlineStr">
        <is>
          <t>SCR-DM-06_list.png</t>
        </is>
      </c>
      <c r="K31" s="45" t="inlineStr">
        <is>
          <t>Batches with their counts and status</t>
        </is>
      </c>
      <c r="L31" s="45" t="inlineStr">
        <is>
          <t>Not started</t>
        </is>
      </c>
      <c r="M31" s="45" t="n"/>
      <c r="N31" s="45" t="inlineStr">
        <is>
          <t>Y</t>
        </is>
      </c>
      <c r="O31" s="45" t="inlineStr">
        <is>
          <t>CHG-DM-2.2-01</t>
        </is>
      </c>
    </row>
    <row r="32">
      <c r="B32" s="45" t="inlineStr">
        <is>
          <t>SCR-DM-06</t>
        </is>
      </c>
      <c r="C32" s="45" t="inlineStr">
        <is>
          <t>Batches and resubmissions</t>
        </is>
      </c>
      <c r="D32" s="45" t="inlineStr">
        <is>
          <t>Migration Operator</t>
        </is>
      </c>
      <c r="E32" s="45" t="inlineStr">
        <is>
          <t>UF-A A data object from its decision to its acceptance</t>
        </is>
      </c>
      <c r="F32" s="10" t="n">
        <v>8</v>
      </c>
      <c r="G32" s="45" t="inlineStr">
        <is>
          <t>Filled</t>
        </is>
      </c>
      <c r="H32" s="45" t="inlineStr">
        <is>
          <t>19.1.6</t>
        </is>
      </c>
      <c r="I32" s="45" t="inlineStr">
        <is>
          <t>FR-DM-014, FR-DM-015, FR-DM-125</t>
        </is>
      </c>
      <c r="J32" s="45" t="inlineStr">
        <is>
          <t>SCR-DM-06_plan.png</t>
        </is>
      </c>
      <c r="K32" s="45" t="inlineStr">
        <is>
          <t>Plan Batch dialog</t>
        </is>
      </c>
      <c r="L32" s="45" t="inlineStr">
        <is>
          <t>Not started</t>
        </is>
      </c>
      <c r="M32" s="45" t="n"/>
      <c r="N32" s="45" t="inlineStr">
        <is>
          <t>Y</t>
        </is>
      </c>
      <c r="O32" s="45" t="inlineStr">
        <is>
          <t>CHG-DM-2.2-01</t>
        </is>
      </c>
    </row>
    <row r="33">
      <c r="B33" s="45" t="inlineStr">
        <is>
          <t>SCR-DM-06</t>
        </is>
      </c>
      <c r="C33" s="45" t="inlineStr">
        <is>
          <t>Batches and resubmissions</t>
        </is>
      </c>
      <c r="D33" s="45" t="inlineStr">
        <is>
          <t>Data owner (business owner of an object)</t>
        </is>
      </c>
      <c r="E33" s="45" t="inlineStr">
        <is>
          <t>-</t>
        </is>
      </c>
      <c r="F33" s="10" t="n"/>
      <c r="G33" s="45" t="inlineStr">
        <is>
          <t>Pending approval</t>
        </is>
      </c>
      <c r="H33" s="45" t="inlineStr">
        <is>
          <t>19.1.6</t>
        </is>
      </c>
      <c r="I33" s="45" t="inlineStr">
        <is>
          <t>FR-DM-014, FR-DM-015, FR-DM-125</t>
        </is>
      </c>
      <c r="J33" s="45" t="inlineStr">
        <is>
          <t>SCR-DM-06_resubmissions.png</t>
        </is>
      </c>
      <c r="K33" s="45" t="inlineStr">
        <is>
          <t>Resubmissions of corrected rows waiting for the checker</t>
        </is>
      </c>
      <c r="L33" s="45" t="inlineStr">
        <is>
          <t>Not started</t>
        </is>
      </c>
      <c r="M33" s="45" t="n"/>
      <c r="N33" s="45" t="inlineStr">
        <is>
          <t>Y</t>
        </is>
      </c>
      <c r="O33" s="45" t="inlineStr">
        <is>
          <t>CHG-DM-2.2-01</t>
        </is>
      </c>
    </row>
    <row r="34">
      <c r="B34" s="45" t="inlineStr">
        <is>
          <t>SCR-DM-07</t>
        </is>
      </c>
      <c r="C34" s="45" t="inlineStr">
        <is>
          <t>Batch</t>
        </is>
      </c>
      <c r="D34" s="45" t="inlineStr">
        <is>
          <t>Data Migration Lead</t>
        </is>
      </c>
      <c r="E34" s="45" t="inlineStr">
        <is>
          <t>UF-A A data object from its decision to its acceptance</t>
        </is>
      </c>
      <c r="F34" s="10" t="n">
        <v>9</v>
      </c>
      <c r="G34" s="45" t="inlineStr">
        <is>
          <t>Default</t>
        </is>
      </c>
      <c r="H34" s="45" t="inlineStr">
        <is>
          <t>19.1.7</t>
        </is>
      </c>
      <c r="I34" s="45" t="inlineStr">
        <is>
          <t>FR-DM-013, FR-DM-014, FR-DM-015, FR-DM-003, FR-DM-020</t>
        </is>
      </c>
      <c r="J34" s="45" t="inlineStr">
        <is>
          <t>SCR-DM-07_validated.png</t>
        </is>
      </c>
      <c r="K34" s="45" t="inlineStr">
        <is>
          <t>A validated batch: steps, counts, facts and the Issues tab</t>
        </is>
      </c>
      <c r="L34" s="45" t="inlineStr">
        <is>
          <t>Not started</t>
        </is>
      </c>
      <c r="M34" s="45" t="n"/>
      <c r="N34" s="45" t="inlineStr">
        <is>
          <t>Y</t>
        </is>
      </c>
      <c r="O34" s="45" t="inlineStr">
        <is>
          <t>CHG-DM-2.2-01</t>
        </is>
      </c>
    </row>
    <row r="35">
      <c r="B35" s="45" t="inlineStr">
        <is>
          <t>SCR-DM-07</t>
        </is>
      </c>
      <c r="C35" s="45" t="inlineStr">
        <is>
          <t>Batch</t>
        </is>
      </c>
      <c r="D35" s="45" t="inlineStr">
        <is>
          <t>Data owner (business owner of an object)</t>
        </is>
      </c>
      <c r="E35" s="45" t="inlineStr">
        <is>
          <t>-</t>
        </is>
      </c>
      <c r="F35" s="10" t="n"/>
      <c r="G35" s="45" t="inlineStr">
        <is>
          <t>Default</t>
        </is>
      </c>
      <c r="H35" s="45" t="inlineStr">
        <is>
          <t>19.1.7</t>
        </is>
      </c>
      <c r="I35" s="45" t="inlineStr">
        <is>
          <t>FR-DM-013, FR-DM-014, FR-DM-015, FR-DM-003, FR-DM-020</t>
        </is>
      </c>
      <c r="J35" s="45" t="inlineStr">
        <is>
          <t>SCR-DM-07_rows.png</t>
        </is>
      </c>
      <c r="K35" s="45" t="inlineStr">
        <is>
          <t>Rows tab with the waiver and exclusion of failing rows</t>
        </is>
      </c>
      <c r="L35" s="45" t="inlineStr">
        <is>
          <t>Not started</t>
        </is>
      </c>
      <c r="M35" s="45" t="n"/>
      <c r="N35" s="45" t="inlineStr">
        <is>
          <t>Y</t>
        </is>
      </c>
      <c r="O35" s="45" t="inlineStr">
        <is>
          <t>CHG-DM-2.2-01</t>
        </is>
      </c>
    </row>
    <row r="36">
      <c r="B36" s="45" t="inlineStr">
        <is>
          <t>SCR-DM-07</t>
        </is>
      </c>
      <c r="C36" s="45" t="inlineStr">
        <is>
          <t>Batch</t>
        </is>
      </c>
      <c r="D36" s="45" t="inlineStr">
        <is>
          <t>Data owner (business owner of an object)</t>
        </is>
      </c>
      <c r="E36" s="45" t="inlineStr">
        <is>
          <t>UF-A A data object from its decision to its acceptance</t>
        </is>
      </c>
      <c r="F36" s="10" t="n">
        <v>11</v>
      </c>
      <c r="G36" s="45" t="inlineStr">
        <is>
          <t>Confirmation with reason</t>
        </is>
      </c>
      <c r="H36" s="45" t="inlineStr">
        <is>
          <t>19.1.7</t>
        </is>
      </c>
      <c r="I36" s="45" t="inlineStr">
        <is>
          <t>FR-DM-013, FR-DM-014, FR-DM-015, FR-DM-003, FR-DM-020</t>
        </is>
      </c>
      <c r="J36" s="45" t="inlineStr">
        <is>
          <t>SCR-DM-07_waive.png</t>
        </is>
      </c>
      <c r="K36" s="45" t="inlineStr">
        <is>
          <t>Waive Rows dialog</t>
        </is>
      </c>
      <c r="L36" s="45" t="inlineStr">
        <is>
          <t>Not started</t>
        </is>
      </c>
      <c r="M36" s="45" t="n"/>
      <c r="N36" s="45" t="inlineStr">
        <is>
          <t>Y</t>
        </is>
      </c>
      <c r="O36" s="45" t="inlineStr">
        <is>
          <t>CHG-DM-2.2-01</t>
        </is>
      </c>
    </row>
    <row r="37">
      <c r="B37" s="45" t="inlineStr">
        <is>
          <t>SCR-DM-07</t>
        </is>
      </c>
      <c r="C37" s="45" t="inlineStr">
        <is>
          <t>Batch</t>
        </is>
      </c>
      <c r="D37" s="45" t="inlineStr">
        <is>
          <t>Data Migration Lead</t>
        </is>
      </c>
      <c r="E37" s="45" t="inlineStr">
        <is>
          <t>UF-A A data object from its decision to its acceptance</t>
        </is>
      </c>
      <c r="F37" s="10" t="n">
        <v>14</v>
      </c>
      <c r="G37" s="45" t="inlineStr">
        <is>
          <t>Read-only or locked</t>
        </is>
      </c>
      <c r="H37" s="45" t="inlineStr">
        <is>
          <t>19.1.7</t>
        </is>
      </c>
      <c r="I37" s="45" t="inlineStr">
        <is>
          <t>FR-DM-013, FR-DM-014, FR-DM-015, FR-DM-003, FR-DM-020</t>
        </is>
      </c>
      <c r="J37" s="45" t="inlineStr">
        <is>
          <t>SCR-DM-07_signoffs.png</t>
        </is>
      </c>
      <c r="K37" s="45" t="inlineStr">
        <is>
          <t>Sign-offs tab of an accepted batch</t>
        </is>
      </c>
      <c r="L37" s="45" t="inlineStr">
        <is>
          <t>Not started</t>
        </is>
      </c>
      <c r="M37" s="45" t="n"/>
      <c r="N37" s="45" t="inlineStr">
        <is>
          <t>Y</t>
        </is>
      </c>
      <c r="O37" s="45" t="inlineStr">
        <is>
          <t>CHG-DM-2.2-01</t>
        </is>
      </c>
    </row>
    <row r="38">
      <c r="B38" s="45" t="inlineStr">
        <is>
          <t>SCR-DM-07</t>
        </is>
      </c>
      <c r="C38" s="45" t="inlineStr">
        <is>
          <t>Batch</t>
        </is>
      </c>
      <c r="D38" s="45" t="inlineStr">
        <is>
          <t>Migration Operator</t>
        </is>
      </c>
      <c r="E38" s="45" t="inlineStr">
        <is>
          <t>-</t>
        </is>
      </c>
      <c r="F38" s="10" t="n"/>
      <c r="G38" s="45" t="inlineStr">
        <is>
          <t>Read-only or locked</t>
        </is>
      </c>
      <c r="H38" s="45" t="inlineStr">
        <is>
          <t>19.1.7</t>
        </is>
      </c>
      <c r="I38" s="45" t="inlineStr">
        <is>
          <t>FR-DM-013, FR-DM-014, FR-DM-015, FR-DM-003, FR-DM-020</t>
        </is>
      </c>
      <c r="J38" s="45" t="inlineStr">
        <is>
          <t>SCR-DM-07_log.png</t>
        </is>
      </c>
      <c r="K38" s="45" t="inlineStr">
        <is>
          <t>Run Log tab</t>
        </is>
      </c>
      <c r="L38" s="45" t="inlineStr">
        <is>
          <t>Not started</t>
        </is>
      </c>
      <c r="M38" s="45" t="n"/>
      <c r="N38" s="45" t="inlineStr">
        <is>
          <t>Y</t>
        </is>
      </c>
      <c r="O38" s="45" t="inlineStr">
        <is>
          <t>CHG-DM-2.2-01</t>
        </is>
      </c>
    </row>
    <row r="39">
      <c r="B39" s="45" t="inlineStr">
        <is>
          <t>SCR-DM-08</t>
        </is>
      </c>
      <c r="C39" s="45" t="inlineStr">
        <is>
          <t>Client Matching</t>
        </is>
      </c>
      <c r="D39" s="45" t="inlineStr">
        <is>
          <t>Data Steward</t>
        </is>
      </c>
      <c r="E39" s="45" t="inlineStr">
        <is>
          <t>-</t>
        </is>
      </c>
      <c r="F39" s="10" t="n"/>
      <c r="G39" s="45" t="inlineStr">
        <is>
          <t>Pending approval</t>
        </is>
      </c>
      <c r="H39" s="45" t="inlineStr">
        <is>
          <t>19.1.8</t>
        </is>
      </c>
      <c r="I39" s="45" t="inlineStr">
        <is>
          <t>FR-DM-030, FR-DM-031</t>
        </is>
      </c>
      <c r="J39" s="45" t="inlineStr">
        <is>
          <t>SCR-DM-08_queue.png</t>
        </is>
      </c>
      <c r="K39" s="45" t="inlineStr">
        <is>
          <t>Client pairs waiting for review</t>
        </is>
      </c>
      <c r="L39" s="45" t="inlineStr">
        <is>
          <t>Not started</t>
        </is>
      </c>
      <c r="M39" s="45" t="n"/>
      <c r="N39" s="45" t="inlineStr">
        <is>
          <t>Y</t>
        </is>
      </c>
      <c r="O39" s="45" t="inlineStr">
        <is>
          <t>CHG-DM-2.2-01</t>
        </is>
      </c>
    </row>
    <row r="40">
      <c r="B40" s="45" t="inlineStr">
        <is>
          <t>SCR-DM-08</t>
        </is>
      </c>
      <c r="C40" s="45" t="inlineStr">
        <is>
          <t>Client Matching</t>
        </is>
      </c>
      <c r="D40" s="45" t="inlineStr">
        <is>
          <t>Data Steward</t>
        </is>
      </c>
      <c r="E40" s="45" t="inlineStr">
        <is>
          <t>UF-A A data object from its decision to its acceptance</t>
        </is>
      </c>
      <c r="F40" s="10" t="n">
        <v>10</v>
      </c>
      <c r="G40" s="45" t="inlineStr">
        <is>
          <t>Default</t>
        </is>
      </c>
      <c r="H40" s="45" t="inlineStr">
        <is>
          <t>19.1.8</t>
        </is>
      </c>
      <c r="I40" s="45" t="inlineStr">
        <is>
          <t>FR-DM-030, FR-DM-031</t>
        </is>
      </c>
      <c r="J40" s="45" t="inlineStr">
        <is>
          <t>SCR-DM-08_pair.png</t>
        </is>
      </c>
      <c r="K40" s="45" t="inlineStr">
        <is>
          <t>A pair side by side with the matched keys marked</t>
        </is>
      </c>
      <c r="L40" s="45" t="inlineStr">
        <is>
          <t>Not started</t>
        </is>
      </c>
      <c r="M40" s="45" t="n"/>
      <c r="N40" s="45" t="inlineStr">
        <is>
          <t>Y</t>
        </is>
      </c>
      <c r="O40" s="45" t="inlineStr">
        <is>
          <t>CHG-DM-2.2-01</t>
        </is>
      </c>
    </row>
    <row r="41">
      <c r="B41" s="45" t="inlineStr">
        <is>
          <t>SCR-DM-09</t>
        </is>
      </c>
      <c r="C41" s="45" t="inlineStr">
        <is>
          <t>Reconciliation</t>
        </is>
      </c>
      <c r="D41" s="45" t="inlineStr">
        <is>
          <t>Reconciliation approver (Head of Comptrollership)</t>
        </is>
      </c>
      <c r="E41" s="45" t="inlineStr">
        <is>
          <t>UF-A A data object from its decision to its acceptance</t>
        </is>
      </c>
      <c r="F41" s="10" t="n">
        <v>12</v>
      </c>
      <c r="G41" s="45" t="inlineStr">
        <is>
          <t>Default</t>
        </is>
      </c>
      <c r="H41" s="45" t="inlineStr">
        <is>
          <t>19.1.9</t>
        </is>
      </c>
      <c r="I41" s="45" t="inlineStr">
        <is>
          <t>FR-DM-020, FR-DM-021</t>
        </is>
      </c>
      <c r="J41" s="45" t="inlineStr">
        <is>
          <t>SCR-DM-09_list.png</t>
        </is>
      </c>
      <c r="K41" s="45" t="inlineStr">
        <is>
          <t>A loaded batch and its reconciliation lines by level</t>
        </is>
      </c>
      <c r="L41" s="45" t="inlineStr">
        <is>
          <t>Not started</t>
        </is>
      </c>
      <c r="M41" s="45" t="n"/>
      <c r="N41" s="45" t="inlineStr">
        <is>
          <t>Y</t>
        </is>
      </c>
      <c r="O41" s="45" t="inlineStr">
        <is>
          <t>CHG-DM-2.2-01</t>
        </is>
      </c>
    </row>
    <row r="42">
      <c r="B42" s="45" t="inlineStr">
        <is>
          <t>SCR-DM-09</t>
        </is>
      </c>
      <c r="C42" s="45" t="inlineStr">
        <is>
          <t>Reconciliation</t>
        </is>
      </c>
      <c r="D42" s="45" t="inlineStr">
        <is>
          <t>Data Steward</t>
        </is>
      </c>
      <c r="E42" s="45" t="inlineStr">
        <is>
          <t>UF-A A data object from its decision to its acceptance</t>
        </is>
      </c>
      <c r="F42" s="10" t="n">
        <v>13</v>
      </c>
      <c r="G42" s="45" t="inlineStr">
        <is>
          <t>Confirmation with reason</t>
        </is>
      </c>
      <c r="H42" s="45" t="inlineStr">
        <is>
          <t>19.1.9</t>
        </is>
      </c>
      <c r="I42" s="45" t="inlineStr">
        <is>
          <t>FR-DM-020, FR-DM-021</t>
        </is>
      </c>
      <c r="J42" s="45" t="inlineStr">
        <is>
          <t>SCR-DM-09_explain.png</t>
        </is>
      </c>
      <c r="K42" s="45" t="inlineStr">
        <is>
          <t>Explain Break dialog</t>
        </is>
      </c>
      <c r="L42" s="45" t="inlineStr">
        <is>
          <t>Not started</t>
        </is>
      </c>
      <c r="M42" s="45" t="n"/>
      <c r="N42" s="45" t="inlineStr">
        <is>
          <t>Y</t>
        </is>
      </c>
      <c r="O42" s="45" t="inlineStr">
        <is>
          <t>CHG-DM-2.2-01</t>
        </is>
      </c>
    </row>
    <row r="43">
      <c r="B43" s="45" t="inlineStr">
        <is>
          <t>SCR-DM-10</t>
        </is>
      </c>
      <c r="C43" s="45" t="inlineStr">
        <is>
          <t>Sign-off</t>
        </is>
      </c>
      <c r="D43" s="45" t="inlineStr">
        <is>
          <t>Data owner (business owner of an object)</t>
        </is>
      </c>
      <c r="E43" s="45" t="inlineStr">
        <is>
          <t>UF-A A data object from its decision to its acceptance</t>
        </is>
      </c>
      <c r="F43" s="10" t="n">
        <v>5</v>
      </c>
      <c r="G43" s="45" t="inlineStr">
        <is>
          <t>Read-only or locked</t>
        </is>
      </c>
      <c r="H43" s="45" t="inlineStr">
        <is>
          <t>19.1.10</t>
        </is>
      </c>
      <c r="I43" s="45" t="inlineStr">
        <is>
          <t>FR-DM-003</t>
        </is>
      </c>
      <c r="J43" s="45" t="inlineStr">
        <is>
          <t>SCR-DM-10_matrix.png</t>
        </is>
      </c>
      <c r="K43" s="45" t="inlineStr">
        <is>
          <t>Gate matrix per object with the signer and date of each gate</t>
        </is>
      </c>
      <c r="L43" s="45" t="inlineStr">
        <is>
          <t>Not started</t>
        </is>
      </c>
      <c r="M43" s="45" t="n"/>
      <c r="N43" s="45" t="inlineStr">
        <is>
          <t>Y</t>
        </is>
      </c>
      <c r="O43" s="45" t="inlineStr">
        <is>
          <t>CHG-DM-2.2-01</t>
        </is>
      </c>
    </row>
    <row r="44">
      <c r="B44" s="45" t="inlineStr">
        <is>
          <t>SCR-DM-11</t>
        </is>
      </c>
      <c r="C44" s="45" t="inlineStr">
        <is>
          <t>Opening-Balance Adjustments</t>
        </is>
      </c>
      <c r="D44" s="45" t="inlineStr">
        <is>
          <t>Comptrollership GL lead</t>
        </is>
      </c>
      <c r="E44" s="45" t="inlineStr">
        <is>
          <t>UF-B The cut-over from the mock run to the go / no-go decision and the run-off</t>
        </is>
      </c>
      <c r="F44" s="10" t="n">
        <v>5</v>
      </c>
      <c r="G44" s="45" t="inlineStr">
        <is>
          <t>Default</t>
        </is>
      </c>
      <c r="H44" s="45" t="inlineStr">
        <is>
          <t>19.2.1</t>
        </is>
      </c>
      <c r="I44" s="45" t="inlineStr">
        <is>
          <t>FR-DM-022, FR-DM-023, FR-DM-024</t>
        </is>
      </c>
      <c r="J44" s="45" t="inlineStr">
        <is>
          <t>SCR-DM-11_list.png</t>
        </is>
      </c>
      <c r="K44" s="45" t="inlineStr">
        <is>
          <t>Opening-balance adjustments with their batches and status</t>
        </is>
      </c>
      <c r="L44" s="45" t="inlineStr">
        <is>
          <t>Not started</t>
        </is>
      </c>
      <c r="M44" s="45" t="n"/>
      <c r="N44" s="45" t="inlineStr">
        <is>
          <t>Y</t>
        </is>
      </c>
      <c r="O44" s="45" t="inlineStr">
        <is>
          <t>CHG-DM-2.2-01</t>
        </is>
      </c>
    </row>
    <row r="45">
      <c r="B45" s="45" t="inlineStr">
        <is>
          <t>SCR-DM-11</t>
        </is>
      </c>
      <c r="C45" s="45" t="inlineStr">
        <is>
          <t>Opening-Balance Adjustments</t>
        </is>
      </c>
      <c r="D45" s="45" t="inlineStr">
        <is>
          <t>Comptrollership GL lead</t>
        </is>
      </c>
      <c r="E45" s="45" t="inlineStr">
        <is>
          <t>UF-B The cut-over from the mock run to the go / no-go decision and the run-off</t>
        </is>
      </c>
      <c r="F45" s="10" t="n">
        <v>4</v>
      </c>
      <c r="G45" s="45" t="inlineStr">
        <is>
          <t>Filled</t>
        </is>
      </c>
      <c r="H45" s="45" t="inlineStr">
        <is>
          <t>19.2.1</t>
        </is>
      </c>
      <c r="I45" s="45" t="inlineStr">
        <is>
          <t>FR-DM-022, FR-DM-023, FR-DM-024</t>
        </is>
      </c>
      <c r="J45" s="45" t="inlineStr">
        <is>
          <t>SCR-DM-11_prepare.png</t>
        </is>
      </c>
      <c r="K45" s="45" t="inlineStr">
        <is>
          <t>Prepare Adjustment dialog</t>
        </is>
      </c>
      <c r="L45" s="45" t="inlineStr">
        <is>
          <t>Not started</t>
        </is>
      </c>
      <c r="M45" s="45" t="n"/>
      <c r="N45" s="45" t="inlineStr">
        <is>
          <t>Y</t>
        </is>
      </c>
      <c r="O45" s="45" t="inlineStr">
        <is>
          <t>CHG-DM-2.2-01</t>
        </is>
      </c>
    </row>
    <row r="46">
      <c r="B46" s="45" t="inlineStr">
        <is>
          <t>SCR-DM-12</t>
        </is>
      </c>
      <c r="C46" s="45" t="inlineStr">
        <is>
          <t>Cutover</t>
        </is>
      </c>
      <c r="D46" s="45" t="inlineStr">
        <is>
          <t>Data Migration Lead</t>
        </is>
      </c>
      <c r="E46" s="45" t="inlineStr">
        <is>
          <t>UF-B The cut-over from the mock run to the go / no-go decision and the run-off</t>
        </is>
      </c>
      <c r="F46" s="10" t="n">
        <v>2</v>
      </c>
      <c r="G46" s="45" t="inlineStr">
        <is>
          <t>Default</t>
        </is>
      </c>
      <c r="H46" s="45" t="inlineStr">
        <is>
          <t>19.2.2</t>
        </is>
      </c>
      <c r="I46" s="45" t="inlineStr">
        <is>
          <t>FR-DM-120, FR-DM-121</t>
        </is>
      </c>
      <c r="J46" s="45" t="inlineStr">
        <is>
          <t>SCR-DM-12_plans.png</t>
        </is>
      </c>
      <c r="K46" s="45" t="inlineStr">
        <is>
          <t>Cut-over plans and the runbook of a mock run</t>
        </is>
      </c>
      <c r="L46" s="45" t="inlineStr">
        <is>
          <t>Not started</t>
        </is>
      </c>
      <c r="M46" s="45" t="n"/>
      <c r="N46" s="45" t="inlineStr">
        <is>
          <t>Y</t>
        </is>
      </c>
      <c r="O46" s="45" t="inlineStr">
        <is>
          <t>CHG-DM-2.2-01</t>
        </is>
      </c>
    </row>
    <row r="47">
      <c r="B47" s="45" t="inlineStr">
        <is>
          <t>SCR-DM-12</t>
        </is>
      </c>
      <c r="C47" s="45" t="inlineStr">
        <is>
          <t>Cutover</t>
        </is>
      </c>
      <c r="D47" s="45" t="inlineStr">
        <is>
          <t>Go / no-go board</t>
        </is>
      </c>
      <c r="E47" s="45" t="inlineStr">
        <is>
          <t>UF-B The cut-over from the mock run to the go / no-go decision and the run-off</t>
        </is>
      </c>
      <c r="F47" s="10" t="n">
        <v>3</v>
      </c>
      <c r="G47" s="45" t="inlineStr">
        <is>
          <t>Pending approval</t>
        </is>
      </c>
      <c r="H47" s="45" t="inlineStr">
        <is>
          <t>19.2.2</t>
        </is>
      </c>
      <c r="I47" s="45" t="inlineStr">
        <is>
          <t>FR-DM-120, FR-DM-121</t>
        </is>
      </c>
      <c r="J47" s="45" t="inlineStr">
        <is>
          <t>SCR-DM-12_criteria.png</t>
        </is>
      </c>
      <c r="K47" s="45" t="inlineStr">
        <is>
          <t>Go / No-Go Criteria and Decisions of a plan</t>
        </is>
      </c>
      <c r="L47" s="45" t="inlineStr">
        <is>
          <t>Not started</t>
        </is>
      </c>
      <c r="M47" s="45" t="n"/>
      <c r="N47" s="45" t="inlineStr">
        <is>
          <t>Y</t>
        </is>
      </c>
      <c r="O47" s="45" t="inlineStr">
        <is>
          <t>CHG-DM-2.2-01</t>
        </is>
      </c>
    </row>
    <row r="48">
      <c r="B48" s="45" t="inlineStr">
        <is>
          <t>SCR-DM-12</t>
        </is>
      </c>
      <c r="C48" s="45" t="inlineStr">
        <is>
          <t>Cutover</t>
        </is>
      </c>
      <c r="D48" s="45" t="inlineStr">
        <is>
          <t>Data Migration Lead</t>
        </is>
      </c>
      <c r="E48" s="45" t="inlineStr">
        <is>
          <t>UF-B The cut-over from the mock run to the go / no-go decision and the run-off</t>
        </is>
      </c>
      <c r="F48" s="10" t="n">
        <v>1</v>
      </c>
      <c r="G48" s="45" t="inlineStr">
        <is>
          <t>Default</t>
        </is>
      </c>
      <c r="H48" s="45" t="inlineStr">
        <is>
          <t>19.2.2</t>
        </is>
      </c>
      <c r="I48" s="45" t="inlineStr">
        <is>
          <t>FR-DM-120, FR-DM-121</t>
        </is>
      </c>
      <c r="J48" s="45" t="inlineStr">
        <is>
          <t>SCR-DM-12_new.png</t>
        </is>
      </c>
      <c r="K48" s="45" t="inlineStr">
        <is>
          <t>New Cutover Plan dialog</t>
        </is>
      </c>
      <c r="L48" s="45" t="inlineStr">
        <is>
          <t>Not started</t>
        </is>
      </c>
      <c r="M48" s="45" t="n"/>
      <c r="N48" s="45" t="inlineStr">
        <is>
          <t>Y</t>
        </is>
      </c>
      <c r="O48" s="45" t="inlineStr">
        <is>
          <t>CHG-DM-2.1-02, CHG-DM-2.2-01</t>
        </is>
      </c>
    </row>
    <row r="49">
      <c r="B49" s="45" t="inlineStr">
        <is>
          <t>SCR-DM-13</t>
        </is>
      </c>
      <c r="C49" s="45" t="inlineStr">
        <is>
          <t>Run-off and Decommissioning</t>
        </is>
      </c>
      <c r="D49" s="45" t="inlineStr">
        <is>
          <t>Data Migration Lead</t>
        </is>
      </c>
      <c r="E49" s="45" t="inlineStr">
        <is>
          <t>UF-B The cut-over from the mock run to the go / no-go decision and the run-off</t>
        </is>
      </c>
      <c r="F49" s="10" t="n">
        <v>6</v>
      </c>
      <c r="G49" s="45" t="inlineStr">
        <is>
          <t>Default</t>
        </is>
      </c>
      <c r="H49" s="45" t="inlineStr">
        <is>
          <t>19.2.3</t>
        </is>
      </c>
      <c r="I49" s="45" t="inlineStr">
        <is>
          <t>FR-DM-122, FR-DM-123</t>
        </is>
      </c>
      <c r="J49" s="45" t="inlineStr">
        <is>
          <t>SCR-DM-13_view.png</t>
        </is>
      </c>
      <c r="K49" s="45" t="inlineStr">
        <is>
          <t>Run-off by expiry month and the decommissioning checklists</t>
        </is>
      </c>
      <c r="L49" s="45" t="inlineStr">
        <is>
          <t>Not started</t>
        </is>
      </c>
      <c r="M49" s="45" t="n"/>
      <c r="N49" s="45" t="inlineStr">
        <is>
          <t>Y</t>
        </is>
      </c>
      <c r="O49" s="45" t="inlineStr">
        <is>
          <t>CHG-DM-2.2-01</t>
        </is>
      </c>
    </row>
    <row r="50">
      <c r="B50" s="45" t="inlineStr">
        <is>
          <t>SCR-DM-14</t>
        </is>
      </c>
      <c r="C50" s="45" t="inlineStr">
        <is>
          <t>Legacy Inquiry</t>
        </is>
      </c>
      <c r="D50" s="45" t="inlineStr">
        <is>
          <t>Audit / Compliance user</t>
        </is>
      </c>
      <c r="E50" s="45" t="inlineStr">
        <is>
          <t>UF-D A legacy archive inquiry and its review</t>
        </is>
      </c>
      <c r="F50" s="10" t="n">
        <v>1</v>
      </c>
      <c r="G50" s="45" t="inlineStr">
        <is>
          <t>Default</t>
        </is>
      </c>
      <c r="H50" s="45" t="inlineStr">
        <is>
          <t>19.3.1</t>
        </is>
      </c>
      <c r="I50" s="45" t="inlineStr">
        <is>
          <t>FR-DM-110</t>
        </is>
      </c>
      <c r="J50" s="45" t="inlineStr">
        <is>
          <t>SCR-DM-14_reason.png</t>
        </is>
      </c>
      <c r="K50" s="45" t="inlineStr">
        <is>
          <t>Reason of the Inquiry asked once per session</t>
        </is>
      </c>
      <c r="L50" s="45" t="inlineStr">
        <is>
          <t>Not started</t>
        </is>
      </c>
      <c r="M50" s="45" t="n"/>
      <c r="N50" s="45" t="inlineStr">
        <is>
          <t>Y</t>
        </is>
      </c>
      <c r="O50" s="45" t="inlineStr">
        <is>
          <t>CHG-DM-2.2-01</t>
        </is>
      </c>
    </row>
    <row r="51">
      <c r="B51" s="45" t="inlineStr">
        <is>
          <t>SCR-DM-14</t>
        </is>
      </c>
      <c r="C51" s="45" t="inlineStr">
        <is>
          <t>Legacy Inquiry</t>
        </is>
      </c>
      <c r="D51" s="45" t="inlineStr">
        <is>
          <t>Audit / Compliance user</t>
        </is>
      </c>
      <c r="E51" s="45" t="inlineStr">
        <is>
          <t>UF-D A legacy archive inquiry and its review</t>
        </is>
      </c>
      <c r="F51" s="10" t="n">
        <v>2</v>
      </c>
      <c r="G51" s="45" t="inlineStr">
        <is>
          <t>Default</t>
        </is>
      </c>
      <c r="H51" s="45" t="inlineStr">
        <is>
          <t>19.3.1</t>
        </is>
      </c>
      <c r="I51" s="45" t="inlineStr">
        <is>
          <t>FR-DM-110</t>
        </is>
      </c>
      <c r="J51" s="45" t="inlineStr">
        <is>
          <t>SCR-DM-14_results.png</t>
        </is>
      </c>
      <c r="K51" s="45" t="inlineStr">
        <is>
          <t>Search criteria and the legacy records found</t>
        </is>
      </c>
      <c r="L51" s="45" t="inlineStr">
        <is>
          <t>Not started</t>
        </is>
      </c>
      <c r="M51" s="45" t="n"/>
      <c r="N51" s="45" t="inlineStr">
        <is>
          <t>Y</t>
        </is>
      </c>
      <c r="O51" s="45" t="inlineStr">
        <is>
          <t>CHG-DM-2.2-01</t>
        </is>
      </c>
    </row>
    <row r="52">
      <c r="B52" s="45" t="inlineStr">
        <is>
          <t>SCR-DM-14</t>
        </is>
      </c>
      <c r="C52" s="45" t="inlineStr">
        <is>
          <t>Legacy Inquiry</t>
        </is>
      </c>
      <c r="D52" s="45" t="inlineStr">
        <is>
          <t>Audit / Compliance user</t>
        </is>
      </c>
      <c r="E52" s="45" t="inlineStr">
        <is>
          <t>UF-D A legacy archive inquiry and its review</t>
        </is>
      </c>
      <c r="F52" s="10" t="n">
        <v>3</v>
      </c>
      <c r="G52" s="45" t="inlineStr">
        <is>
          <t>Read-only or locked</t>
        </is>
      </c>
      <c r="H52" s="45" t="inlineStr">
        <is>
          <t>19.3.1</t>
        </is>
      </c>
      <c r="I52" s="45" t="inlineStr">
        <is>
          <t>FR-DM-110</t>
        </is>
      </c>
      <c r="J52" s="45" t="inlineStr">
        <is>
          <t>SCR-DM-14_record.png</t>
        </is>
      </c>
      <c r="K52" s="45" t="inlineStr">
        <is>
          <t>A legacy record with its legacy details and documents</t>
        </is>
      </c>
      <c r="L52" s="45" t="inlineStr">
        <is>
          <t>Not started</t>
        </is>
      </c>
      <c r="M52" s="45" t="n"/>
      <c r="N52" s="45" t="inlineStr">
        <is>
          <t>Y</t>
        </is>
      </c>
      <c r="O52" s="45" t="inlineStr">
        <is>
          <t>CHG-DM-2.2-01</t>
        </is>
      </c>
    </row>
    <row r="53">
      <c r="B53" s="45" t="inlineStr">
        <is>
          <t>SCR-DM-15</t>
        </is>
      </c>
      <c r="C53" s="45" t="inlineStr">
        <is>
          <t>Access Log</t>
        </is>
      </c>
      <c r="D53" s="45" t="inlineStr">
        <is>
          <t>Compliance reviewer of the access log</t>
        </is>
      </c>
      <c r="E53" s="45" t="inlineStr">
        <is>
          <t>UF-D A legacy archive inquiry and its review</t>
        </is>
      </c>
      <c r="F53" s="10" t="n">
        <v>4</v>
      </c>
      <c r="G53" s="45" t="inlineStr">
        <is>
          <t>Read-only or locked</t>
        </is>
      </c>
      <c r="H53" s="45" t="inlineStr">
        <is>
          <t>19.3.2</t>
        </is>
      </c>
      <c r="I53" s="45" t="inlineStr">
        <is>
          <t>FR-DM-111</t>
        </is>
      </c>
      <c r="J53" s="45" t="inlineStr">
        <is>
          <t>SCR-DM-15_log.png</t>
        </is>
      </c>
      <c r="K53" s="45" t="inlineStr">
        <is>
          <t>Access Log with its filters</t>
        </is>
      </c>
      <c r="L53" s="45" t="inlineStr">
        <is>
          <t>Not started</t>
        </is>
      </c>
      <c r="M53" s="45" t="n"/>
      <c r="N53" s="45" t="inlineStr">
        <is>
          <t>Y</t>
        </is>
      </c>
      <c r="O53" s="45" t="inlineStr">
        <is>
          <t>CHG-DM-2.2-01</t>
        </is>
      </c>
    </row>
    <row r="54">
      <c r="B54" s="45" t="inlineStr">
        <is>
          <t>SCR-DM-16</t>
        </is>
      </c>
      <c r="C54" s="45" t="inlineStr">
        <is>
          <t>LEGACY badge and Origin filter on the lists</t>
        </is>
      </c>
      <c r="D54" s="45" t="inlineStr">
        <is>
          <t>Marketing Account Officer</t>
        </is>
      </c>
      <c r="E54" s="45" t="inlineStr">
        <is>
          <t>UF-C Migrated records on the business screens and the legacy batches</t>
        </is>
      </c>
      <c r="F54" s="10" t="n">
        <v>1</v>
      </c>
      <c r="G54" s="45" t="inlineStr">
        <is>
          <t>Default</t>
        </is>
      </c>
      <c r="H54" s="45" t="inlineStr">
        <is>
          <t>19.4.1</t>
        </is>
      </c>
      <c r="I54" s="45" t="inlineStr">
        <is>
          <t>FR-DM-032, FR-DM-033, FR-DM-040</t>
        </is>
      </c>
      <c r="J54" s="45" t="inlineStr">
        <is>
          <t>SCR-DM-16_clients.png</t>
        </is>
      </c>
      <c r="K54" s="45" t="inlineStr">
        <is>
          <t>Clients list with a migrated client marked LEGACY</t>
        </is>
      </c>
      <c r="L54" s="45" t="inlineStr">
        <is>
          <t>Not started</t>
        </is>
      </c>
      <c r="M54" s="45" t="n"/>
      <c r="N54" s="45" t="inlineStr">
        <is>
          <t>Y</t>
        </is>
      </c>
      <c r="O54" s="45" t="inlineStr">
        <is>
          <t>CHG-DM-2.2-01</t>
        </is>
      </c>
    </row>
    <row r="55">
      <c r="B55" s="45" t="inlineStr">
        <is>
          <t>SCR-DM-16</t>
        </is>
      </c>
      <c r="C55" s="45" t="inlineStr">
        <is>
          <t>LEGACY badge and Origin filter on the lists</t>
        </is>
      </c>
      <c r="D55" s="45" t="inlineStr">
        <is>
          <t>Cashiering user</t>
        </is>
      </c>
      <c r="E55" s="45" t="inlineStr">
        <is>
          <t>UF-C Migrated records on the business screens and the legacy batches</t>
        </is>
      </c>
      <c r="F55" s="10" t="n">
        <v>2</v>
      </c>
      <c r="G55" s="45" t="inlineStr">
        <is>
          <t>Default</t>
        </is>
      </c>
      <c r="H55" s="45" t="inlineStr">
        <is>
          <t>19.4.1</t>
        </is>
      </c>
      <c r="I55" s="45" t="inlineStr">
        <is>
          <t>FR-DM-032, FR-DM-033, FR-DM-040</t>
        </is>
      </c>
      <c r="J55" s="45" t="inlineStr">
        <is>
          <t>SCR-DM-16_unapplied.png</t>
        </is>
      </c>
      <c r="K55" s="45" t="inlineStr">
        <is>
          <t>Unapplied Payments with the Origin filter set to Migrated</t>
        </is>
      </c>
      <c r="L55" s="45" t="inlineStr">
        <is>
          <t>Not started</t>
        </is>
      </c>
      <c r="M55" s="45" t="n"/>
      <c r="N55" s="45" t="inlineStr">
        <is>
          <t>Y</t>
        </is>
      </c>
      <c r="O55" s="45" t="inlineStr">
        <is>
          <t>CHG-DM-2.2-01</t>
        </is>
      </c>
    </row>
    <row r="56">
      <c r="B56" s="45" t="inlineStr">
        <is>
          <t>SCR-DM-17</t>
        </is>
      </c>
      <c r="C56" s="45" t="inlineStr">
        <is>
          <t>Legacy invoice on Invoice 360</t>
        </is>
      </c>
      <c r="D56" s="45" t="inlineStr">
        <is>
          <t>Cashiering user</t>
        </is>
      </c>
      <c r="E56" s="45" t="inlineStr">
        <is>
          <t>UF-C Migrated records on the business screens and the legacy batches</t>
        </is>
      </c>
      <c r="F56" s="10" t="n">
        <v>3</v>
      </c>
      <c r="G56" s="45" t="inlineStr">
        <is>
          <t>Read-only or locked</t>
        </is>
      </c>
      <c r="H56" s="45" t="inlineStr">
        <is>
          <t>19.4.2</t>
        </is>
      </c>
      <c r="I56" s="45" t="inlineStr">
        <is>
          <t>FR-DM-050, FR-DM-051, FR-DM-060, FR-DM-100</t>
        </is>
      </c>
      <c r="J56" s="45" t="inlineStr">
        <is>
          <t>SCR-DM-17_legacy.png</t>
        </is>
      </c>
      <c r="K56" s="45" t="inlineStr">
        <is>
          <t>Invoice 360 of a legacy invoice with the Legacy Invoice card</t>
        </is>
      </c>
      <c r="L56" s="45" t="inlineStr">
        <is>
          <t>Not started</t>
        </is>
      </c>
      <c r="M56" s="45" t="n"/>
      <c r="N56" s="45" t="inlineStr">
        <is>
          <t>Y</t>
        </is>
      </c>
      <c r="O56" s="45" t="inlineStr">
        <is>
          <t>CHG-DM-2.2-01</t>
        </is>
      </c>
    </row>
    <row r="57">
      <c r="B57" s="45" t="inlineStr">
        <is>
          <t>SCR-DM-18</t>
        </is>
      </c>
      <c r="C57" s="45" t="inlineStr">
        <is>
          <t>Unapplied to Income</t>
        </is>
      </c>
      <c r="D57" s="45" t="inlineStr">
        <is>
          <t>Cashiering user</t>
        </is>
      </c>
      <c r="E57" s="45" t="inlineStr">
        <is>
          <t>-</t>
        </is>
      </c>
      <c r="F57" s="10" t="n"/>
      <c r="G57" s="45" t="inlineStr">
        <is>
          <t>Default</t>
        </is>
      </c>
      <c r="H57" s="45" t="inlineStr">
        <is>
          <t>19.5.1</t>
        </is>
      </c>
      <c r="I57" s="45" t="inlineStr">
        <is>
          <t>FR-DM-055</t>
        </is>
      </c>
      <c r="J57" s="45" t="inlineStr">
        <is>
          <t>SCR-DM-18_list.png</t>
        </is>
      </c>
      <c r="K57" s="45" t="inlineStr">
        <is>
          <t>Unapplied to Income batches</t>
        </is>
      </c>
      <c r="L57" s="45" t="inlineStr">
        <is>
          <t>Not started</t>
        </is>
      </c>
      <c r="M57" s="45" t="n"/>
      <c r="N57" s="45" t="inlineStr">
        <is>
          <t>Y</t>
        </is>
      </c>
      <c r="O57" s="45" t="inlineStr">
        <is>
          <t>CHG-DM-2.2-01</t>
        </is>
      </c>
    </row>
    <row r="58">
      <c r="B58" s="45" t="inlineStr">
        <is>
          <t>SCR-DM-18</t>
        </is>
      </c>
      <c r="C58" s="45" t="inlineStr">
        <is>
          <t>Unapplied to Income</t>
        </is>
      </c>
      <c r="D58" s="45" t="inlineStr">
        <is>
          <t>Cashiering user</t>
        </is>
      </c>
      <c r="E58" s="45" t="inlineStr">
        <is>
          <t>UF-C Migrated records on the business screens and the legacy batches</t>
        </is>
      </c>
      <c r="F58" s="10" t="n">
        <v>4</v>
      </c>
      <c r="G58" s="45" t="inlineStr">
        <is>
          <t>Default</t>
        </is>
      </c>
      <c r="H58" s="45" t="inlineStr">
        <is>
          <t>19.5.1</t>
        </is>
      </c>
      <c r="I58" s="45" t="inlineStr">
        <is>
          <t>FR-DM-055</t>
        </is>
      </c>
      <c r="J58" s="45" t="inlineStr">
        <is>
          <t>SCR-DM-18_draft.png</t>
        </is>
      </c>
      <c r="K58" s="45" t="inlineStr">
        <is>
          <t>A draft batch with its lines and the payments that may be added</t>
        </is>
      </c>
      <c r="L58" s="45" t="inlineStr">
        <is>
          <t>Not started</t>
        </is>
      </c>
      <c r="M58" s="45" t="n"/>
      <c r="N58" s="45" t="inlineStr">
        <is>
          <t>Y</t>
        </is>
      </c>
      <c r="O58" s="45" t="inlineStr">
        <is>
          <t>CHG-DM-2.2-01</t>
        </is>
      </c>
    </row>
    <row r="59">
      <c r="B59" s="45" t="inlineStr">
        <is>
          <t>SCR-DM-18</t>
        </is>
      </c>
      <c r="C59" s="45" t="inlineStr">
        <is>
          <t>Unapplied to Income</t>
        </is>
      </c>
      <c r="D59" s="45" t="inlineStr">
        <is>
          <t>Top management approver</t>
        </is>
      </c>
      <c r="E59" s="45" t="inlineStr">
        <is>
          <t>UF-C Migrated records on the business screens and the legacy batches</t>
        </is>
      </c>
      <c r="F59" s="10" t="n">
        <v>5</v>
      </c>
      <c r="G59" s="45" t="inlineStr">
        <is>
          <t>Pending approval</t>
        </is>
      </c>
      <c r="H59" s="45" t="inlineStr">
        <is>
          <t>19.5.1</t>
        </is>
      </c>
      <c r="I59" s="45" t="inlineStr">
        <is>
          <t>FR-DM-055</t>
        </is>
      </c>
      <c r="J59" s="45" t="inlineStr">
        <is>
          <t>SCR-DM-18_approve.png</t>
        </is>
      </c>
      <c r="K59" s="45" t="inlineStr">
        <is>
          <t>A batch waiting for top management</t>
        </is>
      </c>
      <c r="L59" s="45" t="inlineStr">
        <is>
          <t>Not started</t>
        </is>
      </c>
      <c r="M59" s="45" t="n"/>
      <c r="N59" s="45" t="inlineStr">
        <is>
          <t>Y</t>
        </is>
      </c>
      <c r="O59" s="45" t="inlineStr">
        <is>
          <t>CHG-DM-2.2-01</t>
        </is>
      </c>
    </row>
    <row r="60">
      <c r="B60" s="45" t="inlineStr">
        <is>
          <t>SCR-DM-19</t>
        </is>
      </c>
      <c r="C60" s="45" t="inlineStr">
        <is>
          <t>Legacy PR 2307 Reversal</t>
        </is>
      </c>
      <c r="D60" s="45" t="inlineStr">
        <is>
          <t>Cashiering user</t>
        </is>
      </c>
      <c r="E60" s="45" t="inlineStr">
        <is>
          <t>UF-C Migrated records on the business screens and the legacy batches</t>
        </is>
      </c>
      <c r="F60" s="10" t="n">
        <v>6</v>
      </c>
      <c r="G60" s="45" t="inlineStr">
        <is>
          <t>Default</t>
        </is>
      </c>
      <c r="H60" s="45" t="inlineStr">
        <is>
          <t>19.5.2</t>
        </is>
      </c>
      <c r="I60" s="45" t="inlineStr">
        <is>
          <t>FR-DM-071</t>
        </is>
      </c>
      <c r="J60" s="45" t="inlineStr">
        <is>
          <t>SCR-DM-19_draft.png</t>
        </is>
      </c>
      <c r="K60" s="45" t="inlineStr">
        <is>
          <t>A draft PR 2307 reversal batch with the legacy invoice to add</t>
        </is>
      </c>
      <c r="L60" s="45" t="inlineStr">
        <is>
          <t>Not started</t>
        </is>
      </c>
      <c r="M60" s="45" t="n"/>
      <c r="N60" s="45" t="inlineStr">
        <is>
          <t>Y</t>
        </is>
      </c>
      <c r="O60" s="45" t="inlineStr">
        <is>
          <t>CHG-DM-2.2-01</t>
        </is>
      </c>
    </row>
    <row r="61">
      <c r="B61" s="45" t="inlineStr">
        <is>
          <t>SCR-DM-20</t>
        </is>
      </c>
      <c r="C61" s="45" t="inlineStr">
        <is>
          <t>DP PR Legacy Reversal</t>
        </is>
      </c>
      <c r="D61" s="45" t="inlineStr">
        <is>
          <t>Commission user</t>
        </is>
      </c>
      <c r="E61" s="45" t="inlineStr">
        <is>
          <t>UF-C Migrated records on the business screens and the legacy batches</t>
        </is>
      </c>
      <c r="F61" s="10" t="n">
        <v>7</v>
      </c>
      <c r="G61" s="45" t="inlineStr">
        <is>
          <t>Default</t>
        </is>
      </c>
      <c r="H61" s="45" t="inlineStr">
        <is>
          <t>19.5.3</t>
        </is>
      </c>
      <c r="I61" s="45" t="inlineStr">
        <is>
          <t>FR-DM-070</t>
        </is>
      </c>
      <c r="J61" s="45" t="inlineStr">
        <is>
          <t>SCR-DM-20_draft.png</t>
        </is>
      </c>
      <c r="K61" s="45" t="inlineStr">
        <is>
          <t>A draft batch with the tagged legacy invoices to add</t>
        </is>
      </c>
      <c r="L61" s="45" t="inlineStr">
        <is>
          <t>Not started</t>
        </is>
      </c>
      <c r="M61" s="45" t="n"/>
      <c r="N61" s="45" t="inlineStr">
        <is>
          <t>Y</t>
        </is>
      </c>
      <c r="O61" s="45" t="inlineStr">
        <is>
          <t>CHG-DM-2.2-01</t>
        </is>
      </c>
    </row>
    <row r="62">
      <c r="B62" s="45" t="inlineStr">
        <is>
          <t>NAV-DM-01</t>
        </is>
      </c>
      <c r="C62" s="45" t="inlineStr">
        <is>
          <t>Data Migration Lead: landing page</t>
        </is>
      </c>
      <c r="D62" s="45" t="inlineStr">
        <is>
          <t>Data Migration Lead</t>
        </is>
      </c>
      <c r="E62" s="45" t="inlineStr">
        <is>
          <t>-</t>
        </is>
      </c>
      <c r="F62" s="10" t="n"/>
      <c r="G62" s="45" t="inlineStr">
        <is>
          <t>Landing page</t>
        </is>
      </c>
      <c r="H62" s="45" t="inlineStr">
        <is>
          <t>17.4</t>
        </is>
      </c>
      <c r="I62" s="45" t="inlineStr">
        <is>
          <t>-</t>
        </is>
      </c>
      <c r="J62" s="45" t="inlineStr">
        <is>
          <t>NAV-DM-01_landing.png</t>
        </is>
      </c>
      <c r="K62" s="45" t="inlineStr">
        <is>
          <t>Data Migration Lead: landing page after sign-in</t>
        </is>
      </c>
      <c r="L62" s="45" t="inlineStr">
        <is>
          <t>Not started</t>
        </is>
      </c>
      <c r="M62" s="45" t="n"/>
      <c r="N62" s="45" t="inlineStr">
        <is>
          <t>Y</t>
        </is>
      </c>
      <c r="O62" s="45" t="inlineStr">
        <is>
          <t>CHG-DM-2.1-01, CHG-DM-2.1-05</t>
        </is>
      </c>
    </row>
    <row r="63">
      <c r="B63" s="45" t="inlineStr">
        <is>
          <t>NAV-DM-01</t>
        </is>
      </c>
      <c r="C63" s="45" t="inlineStr">
        <is>
          <t>Data Migration Lead: menu</t>
        </is>
      </c>
      <c r="D63" s="45" t="inlineStr">
        <is>
          <t>Data Migration Lead</t>
        </is>
      </c>
      <c r="E63" s="45" t="inlineStr">
        <is>
          <t>-</t>
        </is>
      </c>
      <c r="F63" s="10" t="n"/>
      <c r="G63" s="45" t="inlineStr">
        <is>
          <t>Menu</t>
        </is>
      </c>
      <c r="H63" s="45" t="inlineStr">
        <is>
          <t>17.4</t>
        </is>
      </c>
      <c r="I63" s="45" t="inlineStr">
        <is>
          <t>-</t>
        </is>
      </c>
      <c r="J63" s="45" t="inlineStr">
        <is>
          <t>NAV-DM-01_menu.png</t>
        </is>
      </c>
      <c r="K63" s="45" t="inlineStr">
        <is>
          <t>Data Migration Lead: menu, every group open</t>
        </is>
      </c>
      <c r="L63" s="45" t="inlineStr">
        <is>
          <t>Not started</t>
        </is>
      </c>
      <c r="M63" s="45" t="n"/>
      <c r="N63" s="45" t="inlineStr">
        <is>
          <t>Y</t>
        </is>
      </c>
      <c r="O63" s="45" t="inlineStr">
        <is>
          <t>CHG-DM-2.1-01, CHG-DM-2.1-05</t>
        </is>
      </c>
    </row>
    <row r="64">
      <c r="B64" s="45" t="inlineStr">
        <is>
          <t>NAV-DM-02</t>
        </is>
      </c>
      <c r="C64" s="45" t="inlineStr">
        <is>
          <t>Data Steward: landing page</t>
        </is>
      </c>
      <c r="D64" s="45" t="inlineStr">
        <is>
          <t>Data Steward</t>
        </is>
      </c>
      <c r="E64" s="45" t="inlineStr">
        <is>
          <t>-</t>
        </is>
      </c>
      <c r="F64" s="10" t="n"/>
      <c r="G64" s="45" t="inlineStr">
        <is>
          <t>Landing page</t>
        </is>
      </c>
      <c r="H64" s="45" t="inlineStr">
        <is>
          <t>17.4</t>
        </is>
      </c>
      <c r="I64" s="45" t="inlineStr">
        <is>
          <t>-</t>
        </is>
      </c>
      <c r="J64" s="45" t="inlineStr">
        <is>
          <t>NAV-DM-02_landing.png</t>
        </is>
      </c>
      <c r="K64" s="45" t="inlineStr">
        <is>
          <t>Data Steward: landing page after sign-in</t>
        </is>
      </c>
      <c r="L64" s="45" t="inlineStr">
        <is>
          <t>Not started</t>
        </is>
      </c>
      <c r="M64" s="45" t="n"/>
      <c r="N64" s="45" t="inlineStr">
        <is>
          <t>Y</t>
        </is>
      </c>
      <c r="O64" s="45" t="inlineStr">
        <is>
          <t>CHG-DM-2.1-01</t>
        </is>
      </c>
    </row>
    <row r="65">
      <c r="B65" s="45" t="inlineStr">
        <is>
          <t>NAV-DM-02</t>
        </is>
      </c>
      <c r="C65" s="45" t="inlineStr">
        <is>
          <t>Data Steward: menu</t>
        </is>
      </c>
      <c r="D65" s="45" t="inlineStr">
        <is>
          <t>Data Steward</t>
        </is>
      </c>
      <c r="E65" s="45" t="inlineStr">
        <is>
          <t>-</t>
        </is>
      </c>
      <c r="F65" s="10" t="n"/>
      <c r="G65" s="45" t="inlineStr">
        <is>
          <t>Menu</t>
        </is>
      </c>
      <c r="H65" s="45" t="inlineStr">
        <is>
          <t>17.4</t>
        </is>
      </c>
      <c r="I65" s="45" t="inlineStr">
        <is>
          <t>-</t>
        </is>
      </c>
      <c r="J65" s="45" t="inlineStr">
        <is>
          <t>NAV-DM-02_menu.png</t>
        </is>
      </c>
      <c r="K65" s="45" t="inlineStr">
        <is>
          <t>Data Steward: menu, every group open</t>
        </is>
      </c>
      <c r="L65" s="45" t="inlineStr">
        <is>
          <t>Not started</t>
        </is>
      </c>
      <c r="M65" s="45" t="n"/>
      <c r="N65" s="45" t="inlineStr">
        <is>
          <t>Y</t>
        </is>
      </c>
      <c r="O65" s="45" t="inlineStr">
        <is>
          <t>CHG-DM-2.1-01</t>
        </is>
      </c>
    </row>
    <row r="66">
      <c r="B66" s="45" t="inlineStr">
        <is>
          <t>NAV-DM-03</t>
        </is>
      </c>
      <c r="C66" s="45" t="inlineStr">
        <is>
          <t>Data owner (business owner of an object): landing page</t>
        </is>
      </c>
      <c r="D66" s="45" t="inlineStr">
        <is>
          <t>Data owner (business owner of an object)</t>
        </is>
      </c>
      <c r="E66" s="45" t="inlineStr">
        <is>
          <t>-</t>
        </is>
      </c>
      <c r="F66" s="10" t="n"/>
      <c r="G66" s="45" t="inlineStr">
        <is>
          <t>Landing page</t>
        </is>
      </c>
      <c r="H66" s="45" t="inlineStr">
        <is>
          <t>17.4</t>
        </is>
      </c>
      <c r="I66" s="45" t="inlineStr">
        <is>
          <t>-</t>
        </is>
      </c>
      <c r="J66" s="45" t="inlineStr">
        <is>
          <t>NAV-DM-03_landing.png</t>
        </is>
      </c>
      <c r="K66" s="45" t="inlineStr">
        <is>
          <t>Data owner (business owner of an object): landing page after sign-in</t>
        </is>
      </c>
      <c r="L66" s="45" t="inlineStr">
        <is>
          <t>Not started</t>
        </is>
      </c>
      <c r="M66" s="45" t="n"/>
      <c r="N66" s="45" t="inlineStr">
        <is>
          <t>Y</t>
        </is>
      </c>
      <c r="O66" s="45" t="inlineStr">
        <is>
          <t>CHG-DM-2.1-01</t>
        </is>
      </c>
    </row>
    <row r="67">
      <c r="B67" s="45" t="inlineStr">
        <is>
          <t>NAV-DM-03</t>
        </is>
      </c>
      <c r="C67" s="45" t="inlineStr">
        <is>
          <t>Data owner (business owner of an object): menu</t>
        </is>
      </c>
      <c r="D67" s="45" t="inlineStr">
        <is>
          <t>Data owner (business owner of an object)</t>
        </is>
      </c>
      <c r="E67" s="45" t="inlineStr">
        <is>
          <t>-</t>
        </is>
      </c>
      <c r="F67" s="10" t="n"/>
      <c r="G67" s="45" t="inlineStr">
        <is>
          <t>Menu</t>
        </is>
      </c>
      <c r="H67" s="45" t="inlineStr">
        <is>
          <t>17.4</t>
        </is>
      </c>
      <c r="I67" s="45" t="inlineStr">
        <is>
          <t>-</t>
        </is>
      </c>
      <c r="J67" s="45" t="inlineStr">
        <is>
          <t>NAV-DM-03_menu.png</t>
        </is>
      </c>
      <c r="K67" s="45" t="inlineStr">
        <is>
          <t>Data owner (business owner of an object): menu, every group open</t>
        </is>
      </c>
      <c r="L67" s="45" t="inlineStr">
        <is>
          <t>Not started</t>
        </is>
      </c>
      <c r="M67" s="45" t="n"/>
      <c r="N67" s="45" t="inlineStr">
        <is>
          <t>Y</t>
        </is>
      </c>
      <c r="O67" s="45" t="inlineStr">
        <is>
          <t>CHG-DM-2.1-01</t>
        </is>
      </c>
    </row>
    <row r="68">
      <c r="B68" s="45" t="inlineStr">
        <is>
          <t>NAV-DM-04</t>
        </is>
      </c>
      <c r="C68" s="45" t="inlineStr">
        <is>
          <t>Migration Operator: landing page</t>
        </is>
      </c>
      <c r="D68" s="45" t="inlineStr">
        <is>
          <t>Migration Operator</t>
        </is>
      </c>
      <c r="E68" s="45" t="inlineStr">
        <is>
          <t>-</t>
        </is>
      </c>
      <c r="F68" s="10" t="n"/>
      <c r="G68" s="45" t="inlineStr">
        <is>
          <t>Landing page</t>
        </is>
      </c>
      <c r="H68" s="45" t="inlineStr">
        <is>
          <t>17.4</t>
        </is>
      </c>
      <c r="I68" s="45" t="inlineStr">
        <is>
          <t>-</t>
        </is>
      </c>
      <c r="J68" s="45" t="inlineStr">
        <is>
          <t>NAV-DM-04_landing.png</t>
        </is>
      </c>
      <c r="K68" s="45" t="inlineStr">
        <is>
          <t>Migration Operator: landing page after sign-in</t>
        </is>
      </c>
      <c r="L68" s="45" t="inlineStr">
        <is>
          <t>Not started</t>
        </is>
      </c>
      <c r="M68" s="45" t="n"/>
      <c r="N68" s="45" t="inlineStr">
        <is>
          <t>Y</t>
        </is>
      </c>
      <c r="O68" s="45" t="inlineStr">
        <is>
          <t>CHG-DM-2.1-01</t>
        </is>
      </c>
    </row>
    <row r="69">
      <c r="B69" s="45" t="inlineStr">
        <is>
          <t>NAV-DM-04</t>
        </is>
      </c>
      <c r="C69" s="45" t="inlineStr">
        <is>
          <t>Migration Operator: menu</t>
        </is>
      </c>
      <c r="D69" s="45" t="inlineStr">
        <is>
          <t>Migration Operator</t>
        </is>
      </c>
      <c r="E69" s="45" t="inlineStr">
        <is>
          <t>-</t>
        </is>
      </c>
      <c r="F69" s="10" t="n"/>
      <c r="G69" s="45" t="inlineStr">
        <is>
          <t>Menu</t>
        </is>
      </c>
      <c r="H69" s="45" t="inlineStr">
        <is>
          <t>17.4</t>
        </is>
      </c>
      <c r="I69" s="45" t="inlineStr">
        <is>
          <t>-</t>
        </is>
      </c>
      <c r="J69" s="45" t="inlineStr">
        <is>
          <t>NAV-DM-04_menu.png</t>
        </is>
      </c>
      <c r="K69" s="45" t="inlineStr">
        <is>
          <t>Migration Operator: menu, every group open</t>
        </is>
      </c>
      <c r="L69" s="45" t="inlineStr">
        <is>
          <t>Not started</t>
        </is>
      </c>
      <c r="M69" s="45" t="n"/>
      <c r="N69" s="45" t="inlineStr">
        <is>
          <t>Y</t>
        </is>
      </c>
      <c r="O69" s="45" t="inlineStr">
        <is>
          <t>CHG-DM-2.1-01</t>
        </is>
      </c>
    </row>
    <row r="70">
      <c r="B70" s="45" t="inlineStr">
        <is>
          <t>NAV-DM-05</t>
        </is>
      </c>
      <c r="C70" s="45" t="inlineStr">
        <is>
          <t>Reconciliation approver (Head of Comptrollership): landing page</t>
        </is>
      </c>
      <c r="D70" s="45" t="inlineStr">
        <is>
          <t>Reconciliation approver (Head of Comptrollership)</t>
        </is>
      </c>
      <c r="E70" s="45" t="inlineStr">
        <is>
          <t>-</t>
        </is>
      </c>
      <c r="F70" s="10" t="n"/>
      <c r="G70" s="45" t="inlineStr">
        <is>
          <t>Landing page</t>
        </is>
      </c>
      <c r="H70" s="45" t="inlineStr">
        <is>
          <t>17.4</t>
        </is>
      </c>
      <c r="I70" s="45" t="inlineStr">
        <is>
          <t>-</t>
        </is>
      </c>
      <c r="J70" s="45" t="inlineStr">
        <is>
          <t>NAV-DM-05_landing.png</t>
        </is>
      </c>
      <c r="K70" s="45" t="inlineStr">
        <is>
          <t>Reconciliation approver (Head of Comptrollership): landing page after sign-in</t>
        </is>
      </c>
      <c r="L70" s="45" t="inlineStr">
        <is>
          <t>Not started</t>
        </is>
      </c>
      <c r="M70" s="45" t="n"/>
      <c r="N70" s="45" t="inlineStr">
        <is>
          <t>Y</t>
        </is>
      </c>
      <c r="O70" s="45" t="inlineStr">
        <is>
          <t>CHG-DM-2.1-01</t>
        </is>
      </c>
    </row>
    <row r="71">
      <c r="B71" s="45" t="inlineStr">
        <is>
          <t>NAV-DM-05</t>
        </is>
      </c>
      <c r="C71" s="45" t="inlineStr">
        <is>
          <t>Reconciliation approver (Head of Comptrollership): menu</t>
        </is>
      </c>
      <c r="D71" s="45" t="inlineStr">
        <is>
          <t>Reconciliation approver (Head of Comptrollership)</t>
        </is>
      </c>
      <c r="E71" s="45" t="inlineStr">
        <is>
          <t>-</t>
        </is>
      </c>
      <c r="F71" s="10" t="n"/>
      <c r="G71" s="45" t="inlineStr">
        <is>
          <t>Menu</t>
        </is>
      </c>
      <c r="H71" s="45" t="inlineStr">
        <is>
          <t>17.4</t>
        </is>
      </c>
      <c r="I71" s="45" t="inlineStr">
        <is>
          <t>-</t>
        </is>
      </c>
      <c r="J71" s="45" t="inlineStr">
        <is>
          <t>NAV-DM-05_menu.png</t>
        </is>
      </c>
      <c r="K71" s="45" t="inlineStr">
        <is>
          <t>Reconciliation approver (Head of Comptrollership): menu, every group open</t>
        </is>
      </c>
      <c r="L71" s="45" t="inlineStr">
        <is>
          <t>Not started</t>
        </is>
      </c>
      <c r="M71" s="45" t="n"/>
      <c r="N71" s="45" t="inlineStr">
        <is>
          <t>Y</t>
        </is>
      </c>
      <c r="O71" s="45" t="inlineStr">
        <is>
          <t>CHG-DM-2.1-01</t>
        </is>
      </c>
    </row>
    <row r="72">
      <c r="B72" s="45" t="inlineStr">
        <is>
          <t>NAV-DM-06</t>
        </is>
      </c>
      <c r="C72" s="45" t="inlineStr">
        <is>
          <t>Go / no-go board: landing page</t>
        </is>
      </c>
      <c r="D72" s="45" t="inlineStr">
        <is>
          <t>Go / no-go board</t>
        </is>
      </c>
      <c r="E72" s="45" t="inlineStr">
        <is>
          <t>-</t>
        </is>
      </c>
      <c r="F72" s="10" t="n"/>
      <c r="G72" s="45" t="inlineStr">
        <is>
          <t>Landing page</t>
        </is>
      </c>
      <c r="H72" s="45" t="inlineStr">
        <is>
          <t>17.4</t>
        </is>
      </c>
      <c r="I72" s="45" t="inlineStr">
        <is>
          <t>-</t>
        </is>
      </c>
      <c r="J72" s="45" t="inlineStr">
        <is>
          <t>NAV-DM-06_landing.png</t>
        </is>
      </c>
      <c r="K72" s="45" t="inlineStr">
        <is>
          <t>Go / no-go board: landing page after sign-in</t>
        </is>
      </c>
      <c r="L72" s="45" t="inlineStr">
        <is>
          <t>Not started</t>
        </is>
      </c>
      <c r="M72" s="45" t="n"/>
      <c r="N72" s="45" t="inlineStr">
        <is>
          <t>Y</t>
        </is>
      </c>
      <c r="O72" s="45" t="inlineStr">
        <is>
          <t>CHG-DM-2.1-01</t>
        </is>
      </c>
    </row>
    <row r="73">
      <c r="B73" s="45" t="inlineStr">
        <is>
          <t>NAV-DM-06</t>
        </is>
      </c>
      <c r="C73" s="45" t="inlineStr">
        <is>
          <t>Go / no-go board: menu</t>
        </is>
      </c>
      <c r="D73" s="45" t="inlineStr">
        <is>
          <t>Go / no-go board</t>
        </is>
      </c>
      <c r="E73" s="45" t="inlineStr">
        <is>
          <t>-</t>
        </is>
      </c>
      <c r="F73" s="10" t="n"/>
      <c r="G73" s="45" t="inlineStr">
        <is>
          <t>Menu</t>
        </is>
      </c>
      <c r="H73" s="45" t="inlineStr">
        <is>
          <t>17.4</t>
        </is>
      </c>
      <c r="I73" s="45" t="inlineStr">
        <is>
          <t>-</t>
        </is>
      </c>
      <c r="J73" s="45" t="inlineStr">
        <is>
          <t>NAV-DM-06_menu.png</t>
        </is>
      </c>
      <c r="K73" s="45" t="inlineStr">
        <is>
          <t>Go / no-go board: menu, every group open</t>
        </is>
      </c>
      <c r="L73" s="45" t="inlineStr">
        <is>
          <t>Not started</t>
        </is>
      </c>
      <c r="M73" s="45" t="n"/>
      <c r="N73" s="45" t="inlineStr">
        <is>
          <t>Y</t>
        </is>
      </c>
      <c r="O73" s="45" t="inlineStr">
        <is>
          <t>CHG-DM-2.1-01</t>
        </is>
      </c>
    </row>
    <row r="74">
      <c r="B74" s="45" t="inlineStr">
        <is>
          <t>NAV-DM-07</t>
        </is>
      </c>
      <c r="C74" s="45" t="inlineStr">
        <is>
          <t>Comptrollership GL lead: landing page</t>
        </is>
      </c>
      <c r="D74" s="45" t="inlineStr">
        <is>
          <t>Comptrollership GL lead</t>
        </is>
      </c>
      <c r="E74" s="45" t="inlineStr">
        <is>
          <t>-</t>
        </is>
      </c>
      <c r="F74" s="10" t="n"/>
      <c r="G74" s="45" t="inlineStr">
        <is>
          <t>Landing page</t>
        </is>
      </c>
      <c r="H74" s="45" t="inlineStr">
        <is>
          <t>17.4</t>
        </is>
      </c>
      <c r="I74" s="45" t="inlineStr">
        <is>
          <t>-</t>
        </is>
      </c>
      <c r="J74" s="45" t="inlineStr">
        <is>
          <t>NAV-DM-07_landing.png</t>
        </is>
      </c>
      <c r="K74" s="45" t="inlineStr">
        <is>
          <t>Comptrollership GL lead: landing page after sign-in</t>
        </is>
      </c>
      <c r="L74" s="45" t="inlineStr">
        <is>
          <t>Not started</t>
        </is>
      </c>
      <c r="M74" s="45" t="n"/>
      <c r="N74" s="45" t="inlineStr">
        <is>
          <t>N</t>
        </is>
      </c>
      <c r="O74" s="45" t="n"/>
    </row>
    <row r="75">
      <c r="B75" s="45" t="inlineStr">
        <is>
          <t>NAV-DM-07</t>
        </is>
      </c>
      <c r="C75" s="45" t="inlineStr">
        <is>
          <t>Comptrollership GL lead: menu</t>
        </is>
      </c>
      <c r="D75" s="45" t="inlineStr">
        <is>
          <t>Comptrollership GL lead</t>
        </is>
      </c>
      <c r="E75" s="45" t="inlineStr">
        <is>
          <t>-</t>
        </is>
      </c>
      <c r="F75" s="10" t="n"/>
      <c r="G75" s="45" t="inlineStr">
        <is>
          <t>Menu</t>
        </is>
      </c>
      <c r="H75" s="45" t="inlineStr">
        <is>
          <t>17.4</t>
        </is>
      </c>
      <c r="I75" s="45" t="inlineStr">
        <is>
          <t>-</t>
        </is>
      </c>
      <c r="J75" s="45" t="inlineStr">
        <is>
          <t>NAV-DM-07_menu.png</t>
        </is>
      </c>
      <c r="K75" s="45" t="inlineStr">
        <is>
          <t>Comptrollership GL lead: menu, every group open</t>
        </is>
      </c>
      <c r="L75" s="45" t="inlineStr">
        <is>
          <t>Not started</t>
        </is>
      </c>
      <c r="M75" s="45" t="n"/>
      <c r="N75" s="45" t="inlineStr">
        <is>
          <t>N</t>
        </is>
      </c>
      <c r="O75" s="45" t="n"/>
    </row>
    <row r="76">
      <c r="B76" s="45" t="inlineStr">
        <is>
          <t>NAV-DM-08</t>
        </is>
      </c>
      <c r="C76" s="45" t="inlineStr">
        <is>
          <t>Audit / Compliance user: landing page</t>
        </is>
      </c>
      <c r="D76" s="45" t="inlineStr">
        <is>
          <t>Audit / Compliance user</t>
        </is>
      </c>
      <c r="E76" s="45" t="inlineStr">
        <is>
          <t>-</t>
        </is>
      </c>
      <c r="F76" s="10" t="n"/>
      <c r="G76" s="45" t="inlineStr">
        <is>
          <t>Landing page</t>
        </is>
      </c>
      <c r="H76" s="45" t="inlineStr">
        <is>
          <t>17.4</t>
        </is>
      </c>
      <c r="I76" s="45" t="inlineStr">
        <is>
          <t>-</t>
        </is>
      </c>
      <c r="J76" s="45" t="inlineStr">
        <is>
          <t>NAV-DM-08_landing.png</t>
        </is>
      </c>
      <c r="K76" s="45" t="inlineStr">
        <is>
          <t>Audit / Compliance user: landing page after sign-in</t>
        </is>
      </c>
      <c r="L76" s="45" t="inlineStr">
        <is>
          <t>Not started</t>
        </is>
      </c>
      <c r="M76" s="45" t="n"/>
      <c r="N76" s="45" t="inlineStr">
        <is>
          <t>N</t>
        </is>
      </c>
      <c r="O76" s="45" t="n"/>
    </row>
    <row r="77">
      <c r="B77" s="45" t="inlineStr">
        <is>
          <t>NAV-DM-08</t>
        </is>
      </c>
      <c r="C77" s="45" t="inlineStr">
        <is>
          <t>Audit / Compliance user: menu</t>
        </is>
      </c>
      <c r="D77" s="45" t="inlineStr">
        <is>
          <t>Audit / Compliance user</t>
        </is>
      </c>
      <c r="E77" s="45" t="inlineStr">
        <is>
          <t>-</t>
        </is>
      </c>
      <c r="F77" s="10" t="n"/>
      <c r="G77" s="45" t="inlineStr">
        <is>
          <t>Menu</t>
        </is>
      </c>
      <c r="H77" s="45" t="inlineStr">
        <is>
          <t>17.4</t>
        </is>
      </c>
      <c r="I77" s="45" t="inlineStr">
        <is>
          <t>-</t>
        </is>
      </c>
      <c r="J77" s="45" t="inlineStr">
        <is>
          <t>NAV-DM-08_menu.png</t>
        </is>
      </c>
      <c r="K77" s="45" t="inlineStr">
        <is>
          <t>Audit / Compliance user: menu, every group open</t>
        </is>
      </c>
      <c r="L77" s="45" t="inlineStr">
        <is>
          <t>Not started</t>
        </is>
      </c>
      <c r="M77" s="45" t="n"/>
      <c r="N77" s="45" t="inlineStr">
        <is>
          <t>N</t>
        </is>
      </c>
      <c r="O77" s="45" t="n"/>
    </row>
    <row r="78">
      <c r="B78" s="45" t="inlineStr">
        <is>
          <t>NAV-DM-09</t>
        </is>
      </c>
      <c r="C78" s="45" t="inlineStr">
        <is>
          <t>Compliance reviewer of the access log: landing page</t>
        </is>
      </c>
      <c r="D78" s="45" t="inlineStr">
        <is>
          <t>Compliance reviewer of the access log</t>
        </is>
      </c>
      <c r="E78" s="45" t="inlineStr">
        <is>
          <t>-</t>
        </is>
      </c>
      <c r="F78" s="10" t="n"/>
      <c r="G78" s="45" t="inlineStr">
        <is>
          <t>Landing page</t>
        </is>
      </c>
      <c r="H78" s="45" t="inlineStr">
        <is>
          <t>17.4</t>
        </is>
      </c>
      <c r="I78" s="45" t="inlineStr">
        <is>
          <t>-</t>
        </is>
      </c>
      <c r="J78" s="45" t="inlineStr">
        <is>
          <t>NAV-DM-09_landing.png</t>
        </is>
      </c>
      <c r="K78" s="45" t="inlineStr">
        <is>
          <t>Compliance reviewer of the access log: landing page after sign-in</t>
        </is>
      </c>
      <c r="L78" s="45" t="inlineStr">
        <is>
          <t>Not started</t>
        </is>
      </c>
      <c r="M78" s="45" t="n"/>
      <c r="N78" s="45" t="inlineStr">
        <is>
          <t>N</t>
        </is>
      </c>
      <c r="O78" s="45" t="n"/>
    </row>
    <row r="79">
      <c r="B79" s="45" t="inlineStr">
        <is>
          <t>NAV-DM-09</t>
        </is>
      </c>
      <c r="C79" s="45" t="inlineStr">
        <is>
          <t>Compliance reviewer of the access log: menu</t>
        </is>
      </c>
      <c r="D79" s="45" t="inlineStr">
        <is>
          <t>Compliance reviewer of the access log</t>
        </is>
      </c>
      <c r="E79" s="45" t="inlineStr">
        <is>
          <t>-</t>
        </is>
      </c>
      <c r="F79" s="10" t="n"/>
      <c r="G79" s="45" t="inlineStr">
        <is>
          <t>Menu</t>
        </is>
      </c>
      <c r="H79" s="45" t="inlineStr">
        <is>
          <t>17.4</t>
        </is>
      </c>
      <c r="I79" s="45" t="inlineStr">
        <is>
          <t>-</t>
        </is>
      </c>
      <c r="J79" s="45" t="inlineStr">
        <is>
          <t>NAV-DM-09_menu.png</t>
        </is>
      </c>
      <c r="K79" s="45" t="inlineStr">
        <is>
          <t>Compliance reviewer of the access log: menu, every group open</t>
        </is>
      </c>
      <c r="L79" s="45" t="inlineStr">
        <is>
          <t>Not started</t>
        </is>
      </c>
      <c r="M79" s="45" t="n"/>
      <c r="N79" s="45" t="inlineStr">
        <is>
          <t>N</t>
        </is>
      </c>
      <c r="O79" s="45" t="n"/>
    </row>
    <row r="80">
      <c r="B80" s="45" t="inlineStr">
        <is>
          <t>NAV-DM-10</t>
        </is>
      </c>
      <c r="C80" s="45" t="inlineStr">
        <is>
          <t>Cashiering user: landing page</t>
        </is>
      </c>
      <c r="D80" s="45" t="inlineStr">
        <is>
          <t>Cashiering user</t>
        </is>
      </c>
      <c r="E80" s="45" t="inlineStr">
        <is>
          <t>-</t>
        </is>
      </c>
      <c r="F80" s="10" t="n"/>
      <c r="G80" s="45" t="inlineStr">
        <is>
          <t>Landing page</t>
        </is>
      </c>
      <c r="H80" s="45" t="inlineStr">
        <is>
          <t>17.4</t>
        </is>
      </c>
      <c r="I80" s="45" t="inlineStr">
        <is>
          <t>-</t>
        </is>
      </c>
      <c r="J80" s="45" t="inlineStr">
        <is>
          <t>NAV-DM-10_landing.png</t>
        </is>
      </c>
      <c r="K80" s="45" t="inlineStr">
        <is>
          <t>Cashiering user: landing page after sign-in</t>
        </is>
      </c>
      <c r="L80" s="45" t="inlineStr">
        <is>
          <t>Not started</t>
        </is>
      </c>
      <c r="M80" s="45" t="n"/>
      <c r="N80" s="45" t="inlineStr">
        <is>
          <t>N</t>
        </is>
      </c>
      <c r="O80" s="45" t="n"/>
    </row>
    <row r="81">
      <c r="B81" s="45" t="inlineStr">
        <is>
          <t>NAV-DM-10</t>
        </is>
      </c>
      <c r="C81" s="45" t="inlineStr">
        <is>
          <t>Cashiering user: menu</t>
        </is>
      </c>
      <c r="D81" s="45" t="inlineStr">
        <is>
          <t>Cashiering user</t>
        </is>
      </c>
      <c r="E81" s="45" t="inlineStr">
        <is>
          <t>-</t>
        </is>
      </c>
      <c r="F81" s="10" t="n"/>
      <c r="G81" s="45" t="inlineStr">
        <is>
          <t>Menu</t>
        </is>
      </c>
      <c r="H81" s="45" t="inlineStr">
        <is>
          <t>17.4</t>
        </is>
      </c>
      <c r="I81" s="45" t="inlineStr">
        <is>
          <t>-</t>
        </is>
      </c>
      <c r="J81" s="45" t="inlineStr">
        <is>
          <t>NAV-DM-10_menu.png</t>
        </is>
      </c>
      <c r="K81" s="45" t="inlineStr">
        <is>
          <t>Cashiering user: menu, every group open</t>
        </is>
      </c>
      <c r="L81" s="45" t="inlineStr">
        <is>
          <t>Not started</t>
        </is>
      </c>
      <c r="M81" s="45" t="n"/>
      <c r="N81" s="45" t="inlineStr">
        <is>
          <t>N</t>
        </is>
      </c>
      <c r="O81" s="45" t="n"/>
    </row>
    <row r="82">
      <c r="B82" s="45" t="inlineStr">
        <is>
          <t>NAV-DM-11</t>
        </is>
      </c>
      <c r="C82" s="45" t="inlineStr">
        <is>
          <t>Cashiering team lead: landing page</t>
        </is>
      </c>
      <c r="D82" s="45" t="inlineStr">
        <is>
          <t>Cashiering team lead</t>
        </is>
      </c>
      <c r="E82" s="45" t="inlineStr">
        <is>
          <t>-</t>
        </is>
      </c>
      <c r="F82" s="10" t="n"/>
      <c r="G82" s="45" t="inlineStr">
        <is>
          <t>Landing page</t>
        </is>
      </c>
      <c r="H82" s="45" t="inlineStr">
        <is>
          <t>17.4</t>
        </is>
      </c>
      <c r="I82" s="45" t="inlineStr">
        <is>
          <t>-</t>
        </is>
      </c>
      <c r="J82" s="45" t="inlineStr">
        <is>
          <t>NAV-DM-11_landing.png</t>
        </is>
      </c>
      <c r="K82" s="45" t="inlineStr">
        <is>
          <t>Cashiering team lead: landing page after sign-in</t>
        </is>
      </c>
      <c r="L82" s="45" t="inlineStr">
        <is>
          <t>Not started</t>
        </is>
      </c>
      <c r="M82" s="45" t="n"/>
      <c r="N82" s="45" t="inlineStr">
        <is>
          <t>N</t>
        </is>
      </c>
      <c r="O82" s="45" t="n"/>
    </row>
    <row r="83">
      <c r="B83" s="45" t="inlineStr">
        <is>
          <t>NAV-DM-11</t>
        </is>
      </c>
      <c r="C83" s="45" t="inlineStr">
        <is>
          <t>Cashiering team lead: menu</t>
        </is>
      </c>
      <c r="D83" s="45" t="inlineStr">
        <is>
          <t>Cashiering team lead</t>
        </is>
      </c>
      <c r="E83" s="45" t="inlineStr">
        <is>
          <t>-</t>
        </is>
      </c>
      <c r="F83" s="10" t="n"/>
      <c r="G83" s="45" t="inlineStr">
        <is>
          <t>Menu</t>
        </is>
      </c>
      <c r="H83" s="45" t="inlineStr">
        <is>
          <t>17.4</t>
        </is>
      </c>
      <c r="I83" s="45" t="inlineStr">
        <is>
          <t>-</t>
        </is>
      </c>
      <c r="J83" s="45" t="inlineStr">
        <is>
          <t>NAV-DM-11_menu.png</t>
        </is>
      </c>
      <c r="K83" s="45" t="inlineStr">
        <is>
          <t>Cashiering team lead: menu, every group open</t>
        </is>
      </c>
      <c r="L83" s="45" t="inlineStr">
        <is>
          <t>Not started</t>
        </is>
      </c>
      <c r="M83" s="45" t="n"/>
      <c r="N83" s="45" t="inlineStr">
        <is>
          <t>N</t>
        </is>
      </c>
      <c r="O83" s="45" t="n"/>
    </row>
    <row r="84">
      <c r="B84" s="45" t="inlineStr">
        <is>
          <t>NAV-DM-12</t>
        </is>
      </c>
      <c r="C84" s="45" t="inlineStr">
        <is>
          <t>Top management approver: landing page</t>
        </is>
      </c>
      <c r="D84" s="45" t="inlineStr">
        <is>
          <t>Top management approver</t>
        </is>
      </c>
      <c r="E84" s="45" t="inlineStr">
        <is>
          <t>-</t>
        </is>
      </c>
      <c r="F84" s="10" t="n"/>
      <c r="G84" s="45" t="inlineStr">
        <is>
          <t>Landing page</t>
        </is>
      </c>
      <c r="H84" s="45" t="inlineStr">
        <is>
          <t>17.4</t>
        </is>
      </c>
      <c r="I84" s="45" t="inlineStr">
        <is>
          <t>-</t>
        </is>
      </c>
      <c r="J84" s="45" t="inlineStr">
        <is>
          <t>NAV-DM-12_landing.png</t>
        </is>
      </c>
      <c r="K84" s="45" t="inlineStr">
        <is>
          <t>Top management approver: landing page after sign-in</t>
        </is>
      </c>
      <c r="L84" s="45" t="inlineStr">
        <is>
          <t>Not started</t>
        </is>
      </c>
      <c r="M84" s="45" t="n"/>
      <c r="N84" s="45" t="inlineStr">
        <is>
          <t>N</t>
        </is>
      </c>
      <c r="O84" s="45" t="n"/>
    </row>
    <row r="85">
      <c r="B85" s="45" t="inlineStr">
        <is>
          <t>NAV-DM-12</t>
        </is>
      </c>
      <c r="C85" s="45" t="inlineStr">
        <is>
          <t>Top management approver: menu</t>
        </is>
      </c>
      <c r="D85" s="45" t="inlineStr">
        <is>
          <t>Top management approver</t>
        </is>
      </c>
      <c r="E85" s="45" t="inlineStr">
        <is>
          <t>-</t>
        </is>
      </c>
      <c r="F85" s="10" t="n"/>
      <c r="G85" s="45" t="inlineStr">
        <is>
          <t>Menu</t>
        </is>
      </c>
      <c r="H85" s="45" t="inlineStr">
        <is>
          <t>17.4</t>
        </is>
      </c>
      <c r="I85" s="45" t="inlineStr">
        <is>
          <t>-</t>
        </is>
      </c>
      <c r="J85" s="45" t="inlineStr">
        <is>
          <t>NAV-DM-12_menu.png</t>
        </is>
      </c>
      <c r="K85" s="45" t="inlineStr">
        <is>
          <t>Top management approver: menu, every group open</t>
        </is>
      </c>
      <c r="L85" s="45" t="inlineStr">
        <is>
          <t>Not started</t>
        </is>
      </c>
      <c r="M85" s="45" t="n"/>
      <c r="N85" s="45" t="inlineStr">
        <is>
          <t>N</t>
        </is>
      </c>
      <c r="O85" s="45" t="n"/>
    </row>
    <row r="86">
      <c r="B86" s="45" t="inlineStr">
        <is>
          <t>NAV-DM-13</t>
        </is>
      </c>
      <c r="C86" s="45" t="inlineStr">
        <is>
          <t>Commission user: landing page</t>
        </is>
      </c>
      <c r="D86" s="45" t="inlineStr">
        <is>
          <t>Commission user</t>
        </is>
      </c>
      <c r="E86" s="45" t="inlineStr">
        <is>
          <t>-</t>
        </is>
      </c>
      <c r="F86" s="10" t="n"/>
      <c r="G86" s="45" t="inlineStr">
        <is>
          <t>Landing page</t>
        </is>
      </c>
      <c r="H86" s="45" t="inlineStr">
        <is>
          <t>17.4</t>
        </is>
      </c>
      <c r="I86" s="45" t="inlineStr">
        <is>
          <t>-</t>
        </is>
      </c>
      <c r="J86" s="45" t="inlineStr">
        <is>
          <t>NAV-DM-13_landing.png</t>
        </is>
      </c>
      <c r="K86" s="45" t="inlineStr">
        <is>
          <t>Commission user: landing page after sign-in</t>
        </is>
      </c>
      <c r="L86" s="45" t="inlineStr">
        <is>
          <t>Not started</t>
        </is>
      </c>
      <c r="M86" s="45" t="n"/>
      <c r="N86" s="45" t="inlineStr">
        <is>
          <t>N</t>
        </is>
      </c>
      <c r="O86" s="45" t="n"/>
    </row>
    <row r="87">
      <c r="B87" s="45" t="inlineStr">
        <is>
          <t>NAV-DM-13</t>
        </is>
      </c>
      <c r="C87" s="45" t="inlineStr">
        <is>
          <t>Commission user: menu</t>
        </is>
      </c>
      <c r="D87" s="45" t="inlineStr">
        <is>
          <t>Commission user</t>
        </is>
      </c>
      <c r="E87" s="45" t="inlineStr">
        <is>
          <t>-</t>
        </is>
      </c>
      <c r="F87" s="10" t="n"/>
      <c r="G87" s="45" t="inlineStr">
        <is>
          <t>Menu</t>
        </is>
      </c>
      <c r="H87" s="45" t="inlineStr">
        <is>
          <t>17.4</t>
        </is>
      </c>
      <c r="I87" s="45" t="inlineStr">
        <is>
          <t>-</t>
        </is>
      </c>
      <c r="J87" s="45" t="inlineStr">
        <is>
          <t>NAV-DM-13_menu.png</t>
        </is>
      </c>
      <c r="K87" s="45" t="inlineStr">
        <is>
          <t>Commission user: menu, every group open</t>
        </is>
      </c>
      <c r="L87" s="45" t="inlineStr">
        <is>
          <t>Not started</t>
        </is>
      </c>
      <c r="M87" s="45" t="n"/>
      <c r="N87" s="45" t="inlineStr">
        <is>
          <t>N</t>
        </is>
      </c>
      <c r="O87" s="45" t="n"/>
    </row>
    <row r="88">
      <c r="B88" s="45" t="inlineStr">
        <is>
          <t>NAV-DM-14</t>
        </is>
      </c>
      <c r="C88" s="45" t="inlineStr">
        <is>
          <t>Commission team lead: landing page</t>
        </is>
      </c>
      <c r="D88" s="45" t="inlineStr">
        <is>
          <t>Commission team lead</t>
        </is>
      </c>
      <c r="E88" s="45" t="inlineStr">
        <is>
          <t>-</t>
        </is>
      </c>
      <c r="F88" s="10" t="n"/>
      <c r="G88" s="45" t="inlineStr">
        <is>
          <t>Landing page</t>
        </is>
      </c>
      <c r="H88" s="45" t="inlineStr">
        <is>
          <t>17.4</t>
        </is>
      </c>
      <c r="I88" s="45" t="inlineStr">
        <is>
          <t>-</t>
        </is>
      </c>
      <c r="J88" s="45" t="inlineStr">
        <is>
          <t>NAV-DM-14_landing.png</t>
        </is>
      </c>
      <c r="K88" s="45" t="inlineStr">
        <is>
          <t>Commission team lead: landing page after sign-in</t>
        </is>
      </c>
      <c r="L88" s="45" t="inlineStr">
        <is>
          <t>Not started</t>
        </is>
      </c>
      <c r="M88" s="45" t="n"/>
      <c r="N88" s="45" t="inlineStr">
        <is>
          <t>N</t>
        </is>
      </c>
      <c r="O88" s="45" t="n"/>
    </row>
    <row r="89">
      <c r="B89" s="45" t="inlineStr">
        <is>
          <t>NAV-DM-14</t>
        </is>
      </c>
      <c r="C89" s="45" t="inlineStr">
        <is>
          <t>Commission team lead: menu</t>
        </is>
      </c>
      <c r="D89" s="45" t="inlineStr">
        <is>
          <t>Commission team lead</t>
        </is>
      </c>
      <c r="E89" s="45" t="inlineStr">
        <is>
          <t>-</t>
        </is>
      </c>
      <c r="F89" s="10" t="n"/>
      <c r="G89" s="45" t="inlineStr">
        <is>
          <t>Menu</t>
        </is>
      </c>
      <c r="H89" s="45" t="inlineStr">
        <is>
          <t>17.4</t>
        </is>
      </c>
      <c r="I89" s="45" t="inlineStr">
        <is>
          <t>-</t>
        </is>
      </c>
      <c r="J89" s="45" t="inlineStr">
        <is>
          <t>NAV-DM-14_menu.png</t>
        </is>
      </c>
      <c r="K89" s="45" t="inlineStr">
        <is>
          <t>Commission team lead: menu, every group open</t>
        </is>
      </c>
      <c r="L89" s="45" t="inlineStr">
        <is>
          <t>Not started</t>
        </is>
      </c>
      <c r="M89" s="45" t="n"/>
      <c r="N89" s="45" t="inlineStr">
        <is>
          <t>N</t>
        </is>
      </c>
      <c r="O89" s="45" t="n"/>
    </row>
    <row r="90">
      <c r="B90" s="45" t="inlineStr">
        <is>
          <t>NAV-DM-15</t>
        </is>
      </c>
      <c r="C90" s="45" t="inlineStr">
        <is>
          <t>Marketing Account Officer: landing page</t>
        </is>
      </c>
      <c r="D90" s="45" t="inlineStr">
        <is>
          <t>Marketing Account Officer</t>
        </is>
      </c>
      <c r="E90" s="45" t="inlineStr">
        <is>
          <t>-</t>
        </is>
      </c>
      <c r="F90" s="10" t="n"/>
      <c r="G90" s="45" t="inlineStr">
        <is>
          <t>Landing page</t>
        </is>
      </c>
      <c r="H90" s="45" t="inlineStr">
        <is>
          <t>17.4</t>
        </is>
      </c>
      <c r="I90" s="45" t="inlineStr">
        <is>
          <t>-</t>
        </is>
      </c>
      <c r="J90" s="45" t="inlineStr">
        <is>
          <t>NAV-DM-15_landing.png</t>
        </is>
      </c>
      <c r="K90" s="45" t="inlineStr">
        <is>
          <t>Marketing Account Officer: landing page after sign-in</t>
        </is>
      </c>
      <c r="L90" s="45" t="inlineStr">
        <is>
          <t>Not started</t>
        </is>
      </c>
      <c r="M90" s="45" t="n"/>
      <c r="N90" s="45" t="inlineStr">
        <is>
          <t>N</t>
        </is>
      </c>
      <c r="O90" s="45" t="n"/>
    </row>
    <row r="91">
      <c r="B91" s="45" t="inlineStr">
        <is>
          <t>NAV-DM-15</t>
        </is>
      </c>
      <c r="C91" s="45" t="inlineStr">
        <is>
          <t>Marketing Account Officer: menu</t>
        </is>
      </c>
      <c r="D91" s="45" t="inlineStr">
        <is>
          <t>Marketing Account Officer</t>
        </is>
      </c>
      <c r="E91" s="45" t="inlineStr">
        <is>
          <t>-</t>
        </is>
      </c>
      <c r="F91" s="10" t="n"/>
      <c r="G91" s="45" t="inlineStr">
        <is>
          <t>Menu</t>
        </is>
      </c>
      <c r="H91" s="45" t="inlineStr">
        <is>
          <t>17.4</t>
        </is>
      </c>
      <c r="I91" s="45" t="inlineStr">
        <is>
          <t>-</t>
        </is>
      </c>
      <c r="J91" s="45" t="inlineStr">
        <is>
          <t>NAV-DM-15_menu.png</t>
        </is>
      </c>
      <c r="K91" s="45" t="inlineStr">
        <is>
          <t>Marketing Account Officer: menu, every group open</t>
        </is>
      </c>
      <c r="L91" s="45" t="inlineStr">
        <is>
          <t>Not started</t>
        </is>
      </c>
      <c r="M91" s="45" t="n"/>
      <c r="N91" s="45" t="inlineStr">
        <is>
          <t>N</t>
        </is>
      </c>
      <c r="O91" s="45" t="n"/>
    </row>
    <row r="92">
      <c r="B92" s="45" t="inlineStr">
        <is>
          <t>SCR-DM-14</t>
        </is>
      </c>
      <c r="C92" s="45" t="inlineStr">
        <is>
          <t>Legacy Inquiry</t>
        </is>
      </c>
      <c r="D92" s="45" t="inlineStr">
        <is>
          <t>Audit / Compliance user</t>
        </is>
      </c>
      <c r="E92" s="45" t="inlineStr">
        <is>
          <t>-</t>
        </is>
      </c>
      <c r="F92" s="10" t="n"/>
      <c r="G92" s="45" t="inlineStr">
        <is>
          <t>Empty list</t>
        </is>
      </c>
      <c r="H92" s="45" t="inlineStr">
        <is>
          <t>19.3.1</t>
        </is>
      </c>
      <c r="I92" s="45" t="inlineStr">
        <is>
          <t>FR-DM-110</t>
        </is>
      </c>
      <c r="J92" s="45" t="inlineStr">
        <is>
          <t>SCR-DM-14_no-results.png</t>
        </is>
      </c>
      <c r="K92" s="45" t="inlineStr">
        <is>
          <t>A search that finds no legacy record</t>
        </is>
      </c>
      <c r="L92" s="45" t="inlineStr">
        <is>
          <t>Not started</t>
        </is>
      </c>
      <c r="M92" s="45" t="n"/>
      <c r="N92" s="45" t="inlineStr">
        <is>
          <t>Y</t>
        </is>
      </c>
      <c r="O92" s="45" t="inlineStr">
        <is>
          <t>CHG-DM-2.2-01</t>
        </is>
      </c>
    </row>
    <row r="93">
      <c r="B93" s="46" t="n"/>
      <c r="C93" s="46" t="n"/>
      <c r="D93" s="46" t="n"/>
      <c r="E93" s="46" t="n"/>
      <c r="G93" s="46" t="n"/>
      <c r="H93" s="46" t="n"/>
      <c r="I93" s="46" t="n"/>
      <c r="J93" s="46" t="n"/>
      <c r="K93" s="46" t="n"/>
      <c r="L93" s="46" t="n"/>
      <c r="M93" s="46" t="n"/>
      <c r="N93" s="46" t="n"/>
      <c r="O93" s="46" t="n"/>
    </row>
    <row r="94">
      <c r="B94" s="46" t="n"/>
      <c r="C94" s="46" t="n"/>
      <c r="D94" s="46" t="n"/>
      <c r="E94" s="46" t="n"/>
      <c r="G94" s="46" t="n"/>
      <c r="H94" s="46" t="n"/>
      <c r="I94" s="46" t="n"/>
      <c r="J94" s="46" t="n"/>
      <c r="K94" s="46" t="n"/>
      <c r="L94" s="46" t="n"/>
      <c r="M94" s="46" t="n"/>
      <c r="N94" s="46" t="n"/>
      <c r="O94" s="46" t="n"/>
    </row>
    <row r="95">
      <c r="B95" s="46" t="n"/>
      <c r="C95" s="46" t="n"/>
      <c r="D95" s="46" t="n"/>
      <c r="E95" s="46" t="n"/>
      <c r="G95" s="46" t="n"/>
      <c r="H95" s="46" t="n"/>
      <c r="I95" s="46" t="n"/>
      <c r="J95" s="46" t="n"/>
      <c r="K95" s="46" t="n"/>
      <c r="L95" s="46" t="n"/>
      <c r="M95" s="46" t="n"/>
      <c r="N95" s="46" t="n"/>
      <c r="O95" s="46" t="n"/>
    </row>
    <row r="96">
      <c r="B96" s="46" t="n"/>
      <c r="C96" s="46" t="n"/>
      <c r="D96" s="46" t="n"/>
      <c r="E96" s="46" t="n"/>
      <c r="G96" s="46" t="n"/>
      <c r="H96" s="46" t="n"/>
      <c r="I96" s="46" t="n"/>
      <c r="J96" s="46" t="n"/>
      <c r="K96" s="46" t="n"/>
      <c r="L96" s="46" t="n"/>
      <c r="M96" s="46" t="n"/>
      <c r="N96" s="46" t="n"/>
      <c r="O96" s="46" t="n"/>
    </row>
    <row r="97">
      <c r="B97" s="46" t="n"/>
      <c r="C97" s="46" t="n"/>
      <c r="D97" s="46" t="n"/>
      <c r="E97" s="46" t="n"/>
      <c r="G97" s="46" t="n"/>
      <c r="H97" s="46" t="n"/>
      <c r="I97" s="46" t="n"/>
      <c r="J97" s="46" t="n"/>
      <c r="K97" s="46" t="n"/>
      <c r="L97" s="46" t="n"/>
      <c r="M97" s="46" t="n"/>
      <c r="N97" s="46" t="n"/>
      <c r="O97" s="46" t="n"/>
    </row>
    <row r="98">
      <c r="B98" s="46" t="n"/>
      <c r="C98" s="46" t="n"/>
      <c r="D98" s="46" t="n"/>
      <c r="E98" s="46" t="n"/>
      <c r="G98" s="46" t="n"/>
      <c r="H98" s="46" t="n"/>
      <c r="I98" s="46" t="n"/>
      <c r="J98" s="46" t="n"/>
      <c r="K98" s="46" t="n"/>
      <c r="L98" s="46" t="n"/>
      <c r="M98" s="46" t="n"/>
      <c r="N98" s="46" t="n"/>
      <c r="O98" s="46" t="n"/>
    </row>
    <row r="99">
      <c r="B99" s="46" t="n"/>
      <c r="C99" s="46" t="n"/>
      <c r="D99" s="46" t="n"/>
      <c r="E99" s="46" t="n"/>
      <c r="G99" s="46" t="n"/>
      <c r="H99" s="46" t="n"/>
      <c r="I99" s="46" t="n"/>
      <c r="J99" s="46" t="n"/>
      <c r="K99" s="46" t="n"/>
      <c r="L99" s="46" t="n"/>
      <c r="M99" s="46" t="n"/>
      <c r="N99" s="46" t="n"/>
      <c r="O99" s="46" t="n"/>
    </row>
    <row r="100">
      <c r="B100" s="46" t="n"/>
      <c r="C100" s="46" t="n"/>
      <c r="D100" s="46" t="n"/>
      <c r="E100" s="46" t="n"/>
      <c r="G100" s="46" t="n"/>
      <c r="H100" s="46" t="n"/>
      <c r="I100" s="46" t="n"/>
      <c r="J100" s="46" t="n"/>
      <c r="K100" s="46" t="n"/>
      <c r="L100" s="46" t="n"/>
      <c r="M100" s="46" t="n"/>
      <c r="N100" s="46" t="n"/>
      <c r="O100" s="46" t="n"/>
    </row>
    <row r="101">
      <c r="B101" s="46" t="n"/>
      <c r="C101" s="46" t="n"/>
      <c r="D101" s="46" t="n"/>
      <c r="E101" s="46" t="n"/>
      <c r="G101" s="46" t="n"/>
      <c r="H101" s="46" t="n"/>
      <c r="I101" s="46" t="n"/>
      <c r="J101" s="46" t="n"/>
      <c r="K101" s="46" t="n"/>
      <c r="L101" s="46" t="n"/>
      <c r="M101" s="46" t="n"/>
      <c r="N101" s="46" t="n"/>
      <c r="O101" s="46" t="n"/>
    </row>
    <row r="102">
      <c r="B102" s="46" t="n"/>
      <c r="C102" s="46" t="n"/>
      <c r="D102" s="46" t="n"/>
      <c r="E102" s="46" t="n"/>
      <c r="G102" s="46" t="n"/>
      <c r="H102" s="46" t="n"/>
      <c r="I102" s="46" t="n"/>
      <c r="J102" s="46" t="n"/>
      <c r="K102" s="46" t="n"/>
      <c r="L102" s="46" t="n"/>
      <c r="M102" s="46" t="n"/>
      <c r="N102" s="46" t="n"/>
      <c r="O102" s="46" t="n"/>
    </row>
    <row r="103">
      <c r="B103" s="46" t="n"/>
      <c r="C103" s="46" t="n"/>
      <c r="D103" s="46" t="n"/>
      <c r="E103" s="46" t="n"/>
      <c r="G103" s="46" t="n"/>
      <c r="H103" s="46" t="n"/>
      <c r="I103" s="46" t="n"/>
      <c r="J103" s="46" t="n"/>
      <c r="K103" s="46" t="n"/>
      <c r="L103" s="46" t="n"/>
      <c r="M103" s="46" t="n"/>
      <c r="N103" s="46" t="n"/>
      <c r="O103" s="46" t="n"/>
    </row>
    <row r="104">
      <c r="B104" s="46" t="n"/>
      <c r="C104" s="46" t="n"/>
      <c r="D104" s="46" t="n"/>
      <c r="E104" s="46" t="n"/>
      <c r="G104" s="46" t="n"/>
      <c r="H104" s="46" t="n"/>
      <c r="I104" s="46" t="n"/>
      <c r="J104" s="46" t="n"/>
      <c r="K104" s="46" t="n"/>
      <c r="L104" s="46" t="n"/>
      <c r="M104" s="46" t="n"/>
      <c r="N104" s="46" t="n"/>
      <c r="O104" s="46" t="n"/>
    </row>
    <row r="105">
      <c r="B105" s="46" t="n"/>
      <c r="C105" s="46" t="n"/>
      <c r="D105" s="46" t="n"/>
      <c r="E105" s="46" t="n"/>
      <c r="G105" s="46" t="n"/>
      <c r="H105" s="46" t="n"/>
      <c r="I105" s="46" t="n"/>
      <c r="J105" s="46" t="n"/>
      <c r="K105" s="46" t="n"/>
      <c r="L105" s="46" t="n"/>
      <c r="M105" s="46" t="n"/>
      <c r="N105" s="46" t="n"/>
      <c r="O105" s="46" t="n"/>
    </row>
    <row r="106">
      <c r="B106" s="46" t="n"/>
      <c r="C106" s="46" t="n"/>
      <c r="D106" s="46" t="n"/>
      <c r="E106" s="46" t="n"/>
      <c r="G106" s="46" t="n"/>
      <c r="H106" s="46" t="n"/>
      <c r="I106" s="46" t="n"/>
      <c r="J106" s="46" t="n"/>
      <c r="K106" s="46" t="n"/>
      <c r="L106" s="46" t="n"/>
      <c r="M106" s="46" t="n"/>
      <c r="N106" s="46" t="n"/>
      <c r="O106" s="46" t="n"/>
    </row>
    <row r="107">
      <c r="B107" s="46" t="n"/>
      <c r="C107" s="46" t="n"/>
      <c r="D107" s="46" t="n"/>
      <c r="E107" s="46" t="n"/>
      <c r="G107" s="46" t="n"/>
      <c r="H107" s="46" t="n"/>
      <c r="I107" s="46" t="n"/>
      <c r="J107" s="46" t="n"/>
      <c r="K107" s="46" t="n"/>
      <c r="L107" s="46" t="n"/>
      <c r="M107" s="46" t="n"/>
      <c r="N107" s="46" t="n"/>
      <c r="O107" s="46" t="n"/>
    </row>
    <row r="108">
      <c r="B108" s="46" t="n"/>
      <c r="C108" s="46" t="n"/>
      <c r="D108" s="46" t="n"/>
      <c r="E108" s="46" t="n"/>
      <c r="G108" s="46" t="n"/>
      <c r="H108" s="46" t="n"/>
      <c r="I108" s="46" t="n"/>
      <c r="J108" s="46" t="n"/>
      <c r="K108" s="46" t="n"/>
      <c r="L108" s="46" t="n"/>
      <c r="M108" s="46" t="n"/>
      <c r="N108" s="46" t="n"/>
      <c r="O108" s="46" t="n"/>
    </row>
    <row r="109">
      <c r="B109" s="46" t="n"/>
      <c r="C109" s="46" t="n"/>
      <c r="D109" s="46" t="n"/>
      <c r="E109" s="46" t="n"/>
      <c r="G109" s="46" t="n"/>
      <c r="H109" s="46" t="n"/>
      <c r="I109" s="46" t="n"/>
      <c r="J109" s="46" t="n"/>
      <c r="K109" s="46" t="n"/>
      <c r="L109" s="46" t="n"/>
      <c r="M109" s="46" t="n"/>
      <c r="N109" s="46" t="n"/>
      <c r="O109" s="46" t="n"/>
    </row>
    <row r="110">
      <c r="B110" s="46" t="n"/>
      <c r="C110" s="46" t="n"/>
      <c r="D110" s="46" t="n"/>
      <c r="E110" s="46" t="n"/>
      <c r="G110" s="46" t="n"/>
      <c r="H110" s="46" t="n"/>
      <c r="I110" s="46" t="n"/>
      <c r="J110" s="46" t="n"/>
      <c r="K110" s="46" t="n"/>
      <c r="L110" s="46" t="n"/>
      <c r="M110" s="46" t="n"/>
      <c r="N110" s="46" t="n"/>
      <c r="O110" s="46" t="n"/>
    </row>
    <row r="111">
      <c r="B111" s="46" t="n"/>
      <c r="C111" s="46" t="n"/>
      <c r="D111" s="46" t="n"/>
      <c r="E111" s="46" t="n"/>
      <c r="G111" s="46" t="n"/>
      <c r="H111" s="46" t="n"/>
      <c r="I111" s="46" t="n"/>
      <c r="J111" s="46" t="n"/>
      <c r="K111" s="46" t="n"/>
      <c r="L111" s="46" t="n"/>
      <c r="M111" s="46" t="n"/>
      <c r="N111" s="46" t="n"/>
      <c r="O111" s="46" t="n"/>
    </row>
    <row r="112">
      <c r="B112" s="46" t="n"/>
      <c r="C112" s="46" t="n"/>
      <c r="D112" s="46" t="n"/>
      <c r="E112" s="46" t="n"/>
      <c r="G112" s="46" t="n"/>
      <c r="H112" s="46" t="n"/>
      <c r="I112" s="46" t="n"/>
      <c r="J112" s="46" t="n"/>
      <c r="K112" s="46" t="n"/>
      <c r="L112" s="46" t="n"/>
      <c r="M112" s="46" t="n"/>
      <c r="N112" s="46" t="n"/>
      <c r="O112" s="46" t="n"/>
    </row>
    <row r="113">
      <c r="B113" s="46" t="n"/>
      <c r="C113" s="46" t="n"/>
      <c r="D113" s="46" t="n"/>
      <c r="E113" s="46" t="n"/>
      <c r="G113" s="46" t="n"/>
      <c r="H113" s="46" t="n"/>
      <c r="I113" s="46" t="n"/>
      <c r="J113" s="46" t="n"/>
      <c r="K113" s="46" t="n"/>
      <c r="L113" s="46" t="n"/>
      <c r="M113" s="46" t="n"/>
      <c r="N113" s="46" t="n"/>
      <c r="O113" s="46" t="n"/>
    </row>
    <row r="114">
      <c r="B114" s="46" t="n"/>
      <c r="C114" s="46" t="n"/>
      <c r="D114" s="46" t="n"/>
      <c r="E114" s="46" t="n"/>
      <c r="G114" s="46" t="n"/>
      <c r="H114" s="46" t="n"/>
      <c r="I114" s="46" t="n"/>
      <c r="J114" s="46" t="n"/>
      <c r="K114" s="46" t="n"/>
      <c r="L114" s="46" t="n"/>
      <c r="M114" s="46" t="n"/>
      <c r="N114" s="46" t="n"/>
      <c r="O114" s="46" t="n"/>
    </row>
    <row r="115">
      <c r="B115" s="46" t="n"/>
      <c r="C115" s="46" t="n"/>
      <c r="D115" s="46" t="n"/>
      <c r="E115" s="46" t="n"/>
      <c r="G115" s="46" t="n"/>
      <c r="H115" s="46" t="n"/>
      <c r="I115" s="46" t="n"/>
      <c r="J115" s="46" t="n"/>
      <c r="K115" s="46" t="n"/>
      <c r="L115" s="46" t="n"/>
      <c r="M115" s="46" t="n"/>
      <c r="N115" s="46" t="n"/>
      <c r="O115" s="46" t="n"/>
    </row>
    <row r="116">
      <c r="B116" s="46" t="n"/>
      <c r="C116" s="46" t="n"/>
      <c r="D116" s="46" t="n"/>
      <c r="E116" s="46" t="n"/>
      <c r="G116" s="46" t="n"/>
      <c r="H116" s="46" t="n"/>
      <c r="I116" s="46" t="n"/>
      <c r="J116" s="46" t="n"/>
      <c r="K116" s="46" t="n"/>
      <c r="L116" s="46" t="n"/>
      <c r="M116" s="46" t="n"/>
      <c r="N116" s="46" t="n"/>
      <c r="O116" s="46" t="n"/>
    </row>
    <row r="117">
      <c r="B117" s="46" t="n"/>
      <c r="C117" s="46" t="n"/>
      <c r="D117" s="46" t="n"/>
      <c r="E117" s="46" t="n"/>
      <c r="G117" s="46" t="n"/>
      <c r="H117" s="46" t="n"/>
      <c r="I117" s="46" t="n"/>
      <c r="J117" s="46" t="n"/>
      <c r="K117" s="46" t="n"/>
      <c r="L117" s="46" t="n"/>
      <c r="M117" s="46" t="n"/>
      <c r="N117" s="46" t="n"/>
      <c r="O117" s="46" t="n"/>
    </row>
    <row r="118">
      <c r="B118" s="46" t="n"/>
      <c r="C118" s="46" t="n"/>
      <c r="D118" s="46" t="n"/>
      <c r="E118" s="46" t="n"/>
      <c r="G118" s="46" t="n"/>
      <c r="H118" s="46" t="n"/>
      <c r="I118" s="46" t="n"/>
      <c r="J118" s="46" t="n"/>
      <c r="K118" s="46" t="n"/>
      <c r="L118" s="46" t="n"/>
      <c r="M118" s="46" t="n"/>
      <c r="N118" s="46" t="n"/>
      <c r="O118" s="46" t="n"/>
    </row>
    <row r="119">
      <c r="B119" s="46" t="n"/>
      <c r="C119" s="46" t="n"/>
      <c r="D119" s="46" t="n"/>
      <c r="E119" s="46" t="n"/>
      <c r="G119" s="46" t="n"/>
      <c r="H119" s="46" t="n"/>
      <c r="I119" s="46" t="n"/>
      <c r="J119" s="46" t="n"/>
      <c r="K119" s="46" t="n"/>
      <c r="L119" s="46" t="n"/>
      <c r="M119" s="46" t="n"/>
      <c r="N119" s="46" t="n"/>
      <c r="O119" s="46" t="n"/>
    </row>
    <row r="120">
      <c r="B120" s="46" t="n"/>
      <c r="C120" s="46" t="n"/>
      <c r="D120" s="46" t="n"/>
      <c r="E120" s="46" t="n"/>
      <c r="G120" s="46" t="n"/>
      <c r="H120" s="46" t="n"/>
      <c r="I120" s="46" t="n"/>
      <c r="J120" s="46" t="n"/>
      <c r="K120" s="46" t="n"/>
      <c r="L120" s="46" t="n"/>
      <c r="M120" s="46" t="n"/>
      <c r="N120" s="46" t="n"/>
      <c r="O120" s="46" t="n"/>
    </row>
    <row r="121">
      <c r="B121" s="46" t="n"/>
      <c r="C121" s="46" t="n"/>
      <c r="D121" s="46" t="n"/>
      <c r="E121" s="46" t="n"/>
      <c r="G121" s="46" t="n"/>
      <c r="H121" s="46" t="n"/>
      <c r="I121" s="46" t="n"/>
      <c r="J121" s="46" t="n"/>
      <c r="K121" s="46" t="n"/>
      <c r="L121" s="46" t="n"/>
      <c r="M121" s="46" t="n"/>
      <c r="N121" s="46" t="n"/>
      <c r="O121" s="46" t="n"/>
    </row>
    <row r="122">
      <c r="B122" s="46" t="n"/>
      <c r="C122" s="46" t="n"/>
      <c r="D122" s="46" t="n"/>
      <c r="E122" s="46" t="n"/>
      <c r="G122" s="46" t="n"/>
      <c r="H122" s="46" t="n"/>
      <c r="I122" s="46" t="n"/>
      <c r="J122" s="46" t="n"/>
      <c r="K122" s="46" t="n"/>
      <c r="L122" s="46" t="n"/>
      <c r="M122" s="46" t="n"/>
      <c r="N122" s="46" t="n"/>
      <c r="O122" s="46" t="n"/>
    </row>
    <row r="123">
      <c r="B123" s="46" t="n"/>
      <c r="C123" s="46" t="n"/>
      <c r="D123" s="46" t="n"/>
      <c r="E123" s="46" t="n"/>
      <c r="G123" s="46" t="n"/>
      <c r="H123" s="46" t="n"/>
      <c r="I123" s="46" t="n"/>
      <c r="J123" s="46" t="n"/>
      <c r="K123" s="46" t="n"/>
      <c r="L123" s="46" t="n"/>
      <c r="M123" s="46" t="n"/>
      <c r="N123" s="46" t="n"/>
      <c r="O123" s="46" t="n"/>
    </row>
    <row r="124">
      <c r="B124" s="46" t="n"/>
      <c r="C124" s="46" t="n"/>
      <c r="D124" s="46" t="n"/>
      <c r="E124" s="46" t="n"/>
      <c r="G124" s="46" t="n"/>
      <c r="H124" s="46" t="n"/>
      <c r="I124" s="46" t="n"/>
      <c r="J124" s="46" t="n"/>
      <c r="K124" s="46" t="n"/>
      <c r="L124" s="46" t="n"/>
      <c r="M124" s="46" t="n"/>
      <c r="N124" s="46" t="n"/>
      <c r="O124" s="46" t="n"/>
    </row>
    <row r="125">
      <c r="B125" s="46" t="n"/>
      <c r="C125" s="46" t="n"/>
      <c r="D125" s="46" t="n"/>
      <c r="E125" s="46" t="n"/>
      <c r="G125" s="46" t="n"/>
      <c r="H125" s="46" t="n"/>
      <c r="I125" s="46" t="n"/>
      <c r="J125" s="46" t="n"/>
      <c r="K125" s="46" t="n"/>
      <c r="L125" s="46" t="n"/>
      <c r="M125" s="46" t="n"/>
      <c r="N125" s="46" t="n"/>
      <c r="O125" s="46" t="n"/>
    </row>
    <row r="126">
      <c r="B126" s="46" t="n"/>
      <c r="C126" s="46" t="n"/>
      <c r="D126" s="46" t="n"/>
      <c r="E126" s="46" t="n"/>
      <c r="G126" s="46" t="n"/>
      <c r="H126" s="46" t="n"/>
      <c r="I126" s="46" t="n"/>
      <c r="J126" s="46" t="n"/>
      <c r="K126" s="46" t="n"/>
      <c r="L126" s="46" t="n"/>
      <c r="M126" s="46" t="n"/>
      <c r="N126" s="46" t="n"/>
      <c r="O126" s="46" t="n"/>
    </row>
    <row r="127">
      <c r="B127" s="46" t="n"/>
      <c r="C127" s="46" t="n"/>
      <c r="D127" s="46" t="n"/>
      <c r="E127" s="46" t="n"/>
      <c r="G127" s="46" t="n"/>
      <c r="H127" s="46" t="n"/>
      <c r="I127" s="46" t="n"/>
      <c r="J127" s="46" t="n"/>
      <c r="K127" s="46" t="n"/>
      <c r="L127" s="46" t="n"/>
      <c r="M127" s="46" t="n"/>
      <c r="N127" s="46" t="n"/>
      <c r="O127" s="46" t="n"/>
    </row>
    <row r="128">
      <c r="B128" s="46" t="n"/>
      <c r="C128" s="46" t="n"/>
      <c r="D128" s="46" t="n"/>
      <c r="E128" s="46" t="n"/>
      <c r="G128" s="46" t="n"/>
      <c r="H128" s="46" t="n"/>
      <c r="I128" s="46" t="n"/>
      <c r="J128" s="46" t="n"/>
      <c r="K128" s="46" t="n"/>
      <c r="L128" s="46" t="n"/>
      <c r="M128" s="46" t="n"/>
      <c r="N128" s="46" t="n"/>
      <c r="O128" s="46" t="n"/>
    </row>
    <row r="129">
      <c r="B129" s="46" t="n"/>
      <c r="C129" s="46" t="n"/>
      <c r="D129" s="46" t="n"/>
      <c r="E129" s="46" t="n"/>
      <c r="G129" s="46" t="n"/>
      <c r="H129" s="46" t="n"/>
      <c r="I129" s="46" t="n"/>
      <c r="J129" s="46" t="n"/>
      <c r="K129" s="46" t="n"/>
      <c r="L129" s="46" t="n"/>
      <c r="M129" s="46" t="n"/>
      <c r="N129" s="46" t="n"/>
      <c r="O129" s="46" t="n"/>
    </row>
    <row r="130">
      <c r="B130" s="46" t="n"/>
      <c r="C130" s="46" t="n"/>
      <c r="D130" s="46" t="n"/>
      <c r="E130" s="46" t="n"/>
      <c r="G130" s="46" t="n"/>
      <c r="H130" s="46" t="n"/>
      <c r="I130" s="46" t="n"/>
      <c r="J130" s="46" t="n"/>
      <c r="K130" s="46" t="n"/>
      <c r="L130" s="46" t="n"/>
      <c r="M130" s="46" t="n"/>
      <c r="N130" s="46" t="n"/>
      <c r="O130" s="46" t="n"/>
    </row>
    <row r="131">
      <c r="B131" s="46" t="n"/>
      <c r="C131" s="46" t="n"/>
      <c r="D131" s="46" t="n"/>
      <c r="E131" s="46" t="n"/>
      <c r="G131" s="46" t="n"/>
      <c r="H131" s="46" t="n"/>
      <c r="I131" s="46" t="n"/>
      <c r="J131" s="46" t="n"/>
      <c r="K131" s="46" t="n"/>
      <c r="L131" s="46" t="n"/>
      <c r="M131" s="46" t="n"/>
      <c r="N131" s="46" t="n"/>
      <c r="O131" s="46" t="n"/>
    </row>
    <row r="132">
      <c r="B132" s="46" t="n"/>
      <c r="C132" s="46" t="n"/>
      <c r="D132" s="46" t="n"/>
      <c r="E132" s="46" t="n"/>
      <c r="G132" s="46" t="n"/>
      <c r="H132" s="46" t="n"/>
      <c r="I132" s="46" t="n"/>
      <c r="J132" s="46" t="n"/>
      <c r="K132" s="46" t="n"/>
      <c r="L132" s="46" t="n"/>
      <c r="M132" s="46" t="n"/>
      <c r="N132" s="46" t="n"/>
      <c r="O132" s="46" t="n"/>
    </row>
    <row r="133">
      <c r="B133" s="46" t="n"/>
      <c r="C133" s="46" t="n"/>
      <c r="D133" s="46" t="n"/>
      <c r="E133" s="46" t="n"/>
      <c r="G133" s="46" t="n"/>
      <c r="H133" s="46" t="n"/>
      <c r="I133" s="46" t="n"/>
      <c r="J133" s="46" t="n"/>
      <c r="K133" s="46" t="n"/>
      <c r="L133" s="46" t="n"/>
      <c r="M133" s="46" t="n"/>
      <c r="N133" s="46" t="n"/>
      <c r="O133" s="46" t="n"/>
    </row>
    <row r="134">
      <c r="B134" s="46" t="n"/>
      <c r="C134" s="46" t="n"/>
      <c r="D134" s="46" t="n"/>
      <c r="E134" s="46" t="n"/>
      <c r="G134" s="46" t="n"/>
      <c r="H134" s="46" t="n"/>
      <c r="I134" s="46" t="n"/>
      <c r="J134" s="46" t="n"/>
      <c r="K134" s="46" t="n"/>
      <c r="L134" s="46" t="n"/>
      <c r="M134" s="46" t="n"/>
      <c r="N134" s="46" t="n"/>
      <c r="O134" s="46" t="n"/>
    </row>
    <row r="135">
      <c r="B135" s="46" t="n"/>
      <c r="C135" s="46" t="n"/>
      <c r="D135" s="46" t="n"/>
      <c r="E135" s="46" t="n"/>
      <c r="G135" s="46" t="n"/>
      <c r="H135" s="46" t="n"/>
      <c r="I135" s="46" t="n"/>
      <c r="J135" s="46" t="n"/>
      <c r="K135" s="46" t="n"/>
      <c r="L135" s="46" t="n"/>
      <c r="M135" s="46" t="n"/>
      <c r="N135" s="46" t="n"/>
      <c r="O135" s="46" t="n"/>
    </row>
    <row r="136">
      <c r="B136" s="46" t="n"/>
      <c r="C136" s="46" t="n"/>
      <c r="D136" s="46" t="n"/>
      <c r="E136" s="46" t="n"/>
      <c r="G136" s="46" t="n"/>
      <c r="H136" s="46" t="n"/>
      <c r="I136" s="46" t="n"/>
      <c r="J136" s="46" t="n"/>
      <c r="K136" s="46" t="n"/>
      <c r="L136" s="46" t="n"/>
      <c r="M136" s="46" t="n"/>
      <c r="N136" s="46" t="n"/>
      <c r="O136" s="46" t="n"/>
    </row>
    <row r="137">
      <c r="B137" s="46" t="n"/>
      <c r="C137" s="46" t="n"/>
      <c r="D137" s="46" t="n"/>
      <c r="E137" s="46" t="n"/>
      <c r="G137" s="46" t="n"/>
      <c r="H137" s="46" t="n"/>
      <c r="I137" s="46" t="n"/>
      <c r="J137" s="46" t="n"/>
      <c r="K137" s="46" t="n"/>
      <c r="L137" s="46" t="n"/>
      <c r="M137" s="46" t="n"/>
      <c r="N137" s="46" t="n"/>
      <c r="O137" s="46" t="n"/>
    </row>
    <row r="138">
      <c r="B138" s="46" t="n"/>
      <c r="C138" s="46" t="n"/>
      <c r="D138" s="46" t="n"/>
      <c r="E138" s="46" t="n"/>
      <c r="G138" s="46" t="n"/>
      <c r="H138" s="46" t="n"/>
      <c r="I138" s="46" t="n"/>
      <c r="J138" s="46" t="n"/>
      <c r="K138" s="46" t="n"/>
      <c r="L138" s="46" t="n"/>
      <c r="M138" s="46" t="n"/>
      <c r="N138" s="46" t="n"/>
      <c r="O138" s="46" t="n"/>
    </row>
    <row r="139">
      <c r="B139" s="46" t="n"/>
      <c r="C139" s="46" t="n"/>
      <c r="D139" s="46" t="n"/>
      <c r="E139" s="46" t="n"/>
      <c r="G139" s="46" t="n"/>
      <c r="H139" s="46" t="n"/>
      <c r="I139" s="46" t="n"/>
      <c r="J139" s="46" t="n"/>
      <c r="K139" s="46" t="n"/>
      <c r="L139" s="46" t="n"/>
      <c r="M139" s="46" t="n"/>
      <c r="N139" s="46" t="n"/>
      <c r="O139" s="46" t="n"/>
    </row>
    <row r="140">
      <c r="B140" s="46" t="n"/>
      <c r="C140" s="46" t="n"/>
      <c r="D140" s="46" t="n"/>
      <c r="E140" s="46" t="n"/>
      <c r="G140" s="46" t="n"/>
      <c r="H140" s="46" t="n"/>
      <c r="I140" s="46" t="n"/>
      <c r="J140" s="46" t="n"/>
      <c r="K140" s="46" t="n"/>
      <c r="L140" s="46" t="n"/>
      <c r="M140" s="46" t="n"/>
      <c r="N140" s="46" t="n"/>
      <c r="O140" s="46" t="n"/>
    </row>
    <row r="141">
      <c r="B141" s="46" t="n"/>
      <c r="C141" s="46" t="n"/>
      <c r="D141" s="46" t="n"/>
      <c r="E141" s="46" t="n"/>
      <c r="G141" s="46" t="n"/>
      <c r="H141" s="46" t="n"/>
      <c r="I141" s="46" t="n"/>
      <c r="J141" s="46" t="n"/>
      <c r="K141" s="46" t="n"/>
      <c r="L141" s="46" t="n"/>
      <c r="M141" s="46" t="n"/>
      <c r="N141" s="46" t="n"/>
      <c r="O141" s="46" t="n"/>
    </row>
    <row r="142">
      <c r="B142" s="46" t="n"/>
      <c r="C142" s="46" t="n"/>
      <c r="D142" s="46" t="n"/>
      <c r="E142" s="46" t="n"/>
      <c r="G142" s="46" t="n"/>
      <c r="H142" s="46" t="n"/>
      <c r="I142" s="46" t="n"/>
      <c r="J142" s="46" t="n"/>
      <c r="K142" s="46" t="n"/>
      <c r="L142" s="46" t="n"/>
      <c r="M142" s="46" t="n"/>
      <c r="N142" s="46" t="n"/>
      <c r="O142" s="46" t="n"/>
    </row>
    <row r="143">
      <c r="B143" s="46" t="n"/>
      <c r="C143" s="46" t="n"/>
      <c r="D143" s="46" t="n"/>
      <c r="E143" s="46" t="n"/>
      <c r="G143" s="46" t="n"/>
      <c r="H143" s="46" t="n"/>
      <c r="I143" s="46" t="n"/>
      <c r="J143" s="46" t="n"/>
      <c r="K143" s="46" t="n"/>
      <c r="L143" s="46" t="n"/>
      <c r="M143" s="46" t="n"/>
      <c r="N143" s="46" t="n"/>
      <c r="O143" s="46" t="n"/>
    </row>
    <row r="144">
      <c r="B144" s="46" t="n"/>
      <c r="C144" s="46" t="n"/>
      <c r="D144" s="46" t="n"/>
      <c r="E144" s="46" t="n"/>
      <c r="G144" s="46" t="n"/>
      <c r="H144" s="46" t="n"/>
      <c r="I144" s="46" t="n"/>
      <c r="J144" s="46" t="n"/>
      <c r="K144" s="46" t="n"/>
      <c r="L144" s="46" t="n"/>
      <c r="M144" s="46" t="n"/>
      <c r="N144" s="46" t="n"/>
      <c r="O144" s="46" t="n"/>
    </row>
    <row r="145">
      <c r="B145" s="46" t="n"/>
      <c r="C145" s="46" t="n"/>
      <c r="D145" s="46" t="n"/>
      <c r="E145" s="46" t="n"/>
      <c r="G145" s="46" t="n"/>
      <c r="H145" s="46" t="n"/>
      <c r="I145" s="46" t="n"/>
      <c r="J145" s="46" t="n"/>
      <c r="K145" s="46" t="n"/>
      <c r="L145" s="46" t="n"/>
      <c r="M145" s="46" t="n"/>
      <c r="N145" s="46" t="n"/>
      <c r="O145" s="46" t="n"/>
    </row>
    <row r="146">
      <c r="B146" s="46" t="n"/>
      <c r="C146" s="46" t="n"/>
      <c r="D146" s="46" t="n"/>
      <c r="E146" s="46" t="n"/>
      <c r="G146" s="46" t="n"/>
      <c r="H146" s="46" t="n"/>
      <c r="I146" s="46" t="n"/>
      <c r="J146" s="46" t="n"/>
      <c r="K146" s="46" t="n"/>
      <c r="L146" s="46" t="n"/>
      <c r="M146" s="46" t="n"/>
      <c r="N146" s="46" t="n"/>
      <c r="O146" s="46" t="n"/>
    </row>
    <row r="147">
      <c r="B147" s="46" t="n"/>
      <c r="C147" s="46" t="n"/>
      <c r="D147" s="46" t="n"/>
      <c r="E147" s="46" t="n"/>
      <c r="G147" s="46" t="n"/>
      <c r="H147" s="46" t="n"/>
      <c r="I147" s="46" t="n"/>
      <c r="J147" s="46" t="n"/>
      <c r="K147" s="46" t="n"/>
      <c r="L147" s="46" t="n"/>
      <c r="M147" s="46" t="n"/>
      <c r="N147" s="46" t="n"/>
      <c r="O147" s="46" t="n"/>
    </row>
    <row r="148">
      <c r="B148" s="46" t="n"/>
      <c r="C148" s="46" t="n"/>
      <c r="D148" s="46" t="n"/>
      <c r="E148" s="46" t="n"/>
      <c r="G148" s="46" t="n"/>
      <c r="H148" s="46" t="n"/>
      <c r="I148" s="46" t="n"/>
      <c r="J148" s="46" t="n"/>
      <c r="K148" s="46" t="n"/>
      <c r="L148" s="46" t="n"/>
      <c r="M148" s="46" t="n"/>
      <c r="N148" s="46" t="n"/>
      <c r="O148" s="46" t="n"/>
    </row>
    <row r="149">
      <c r="B149" s="46" t="n"/>
      <c r="C149" s="46" t="n"/>
      <c r="D149" s="46" t="n"/>
      <c r="E149" s="46" t="n"/>
      <c r="G149" s="46" t="n"/>
      <c r="H149" s="46" t="n"/>
      <c r="I149" s="46" t="n"/>
      <c r="J149" s="46" t="n"/>
      <c r="K149" s="46" t="n"/>
      <c r="L149" s="46" t="n"/>
      <c r="M149" s="46" t="n"/>
      <c r="N149" s="46" t="n"/>
      <c r="O149" s="46" t="n"/>
    </row>
    <row r="150">
      <c r="B150" s="46" t="n"/>
      <c r="C150" s="46" t="n"/>
      <c r="D150" s="46" t="n"/>
      <c r="E150" s="46" t="n"/>
      <c r="G150" s="46" t="n"/>
      <c r="H150" s="46" t="n"/>
      <c r="I150" s="46" t="n"/>
      <c r="J150" s="46" t="n"/>
      <c r="K150" s="46" t="n"/>
      <c r="L150" s="46" t="n"/>
      <c r="M150" s="46" t="n"/>
      <c r="N150" s="46" t="n"/>
      <c r="O150" s="46" t="n"/>
    </row>
    <row r="151">
      <c r="B151" s="46" t="n"/>
      <c r="C151" s="46" t="n"/>
      <c r="D151" s="46" t="n"/>
      <c r="E151" s="46" t="n"/>
      <c r="G151" s="46" t="n"/>
      <c r="H151" s="46" t="n"/>
      <c r="I151" s="46" t="n"/>
      <c r="J151" s="46" t="n"/>
      <c r="K151" s="46" t="n"/>
      <c r="L151" s="46" t="n"/>
      <c r="M151" s="46" t="n"/>
      <c r="N151" s="46" t="n"/>
      <c r="O151" s="46" t="n"/>
    </row>
    <row r="152">
      <c r="B152" s="46" t="n"/>
      <c r="C152" s="46" t="n"/>
      <c r="D152" s="46" t="n"/>
      <c r="E152" s="46" t="n"/>
      <c r="G152" s="46" t="n"/>
      <c r="H152" s="46" t="n"/>
      <c r="I152" s="46" t="n"/>
      <c r="J152" s="46" t="n"/>
      <c r="K152" s="46" t="n"/>
      <c r="L152" s="46" t="n"/>
      <c r="M152" s="46" t="n"/>
      <c r="N152" s="46" t="n"/>
      <c r="O152" s="46" t="n"/>
    </row>
  </sheetData>
  <mergeCells count="7">
    <mergeCell ref="B8:O8"/>
    <mergeCell ref="B4:O4"/>
    <mergeCell ref="B6:O6"/>
    <mergeCell ref="B10:C10"/>
    <mergeCell ref="B7:O7"/>
    <mergeCell ref="B3:O3"/>
    <mergeCell ref="B5:O5"/>
  </mergeCells>
  <conditionalFormatting sqref="E9">
    <cfRule type="cellIs" priority="1" operator="greaterThan" dxfId="4">
      <formula>0</formula>
    </cfRule>
  </conditionalFormatting>
  <conditionalFormatting sqref="B17:B152">
    <cfRule type="expression" priority="2" dxfId="5">
      <formula>AND(LEN($B17&amp;$C17&amp;$D17&amp;$E17&amp;$F17&amp;$G17&amp;$H17&amp;$I17&amp;$J17&amp;$K17&amp;$L17&amp;$M17&amp;$N17&amp;$O17)&gt;0,B17="")</formula>
    </cfRule>
  </conditionalFormatting>
  <conditionalFormatting sqref="C17:C152">
    <cfRule type="expression" priority="3" dxfId="5">
      <formula>AND(LEN($B17&amp;$C17&amp;$D17&amp;$E17&amp;$F17&amp;$G17&amp;$H17&amp;$I17&amp;$J17&amp;$K17&amp;$L17&amp;$M17&amp;$N17&amp;$O17)&gt;0,C17="")</formula>
    </cfRule>
  </conditionalFormatting>
  <conditionalFormatting sqref="D17:D152">
    <cfRule type="expression" priority="4" dxfId="5">
      <formula>AND(LEN($B17&amp;$C17&amp;$D17&amp;$E17&amp;$F17&amp;$G17&amp;$H17&amp;$I17&amp;$J17&amp;$K17&amp;$L17&amp;$M17&amp;$N17&amp;$O17)&gt;0,D17="")</formula>
    </cfRule>
  </conditionalFormatting>
  <conditionalFormatting sqref="G17:G152">
    <cfRule type="expression" priority="5" dxfId="5">
      <formula>AND(LEN($B17&amp;$C17&amp;$D17&amp;$E17&amp;$F17&amp;$G17&amp;$H17&amp;$I17&amp;$J17&amp;$K17&amp;$L17&amp;$M17&amp;$N17&amp;$O17)&gt;0,G17="")</formula>
    </cfRule>
  </conditionalFormatting>
  <conditionalFormatting sqref="H17:H152">
    <cfRule type="expression" priority="6" dxfId="5">
      <formula>AND(LEN($B17&amp;$C17&amp;$D17&amp;$E17&amp;$F17&amp;$G17&amp;$H17&amp;$I17&amp;$J17&amp;$K17&amp;$L17&amp;$M17&amp;$N17&amp;$O17)&gt;0,H17="")</formula>
    </cfRule>
  </conditionalFormatting>
  <conditionalFormatting sqref="J17:J152">
    <cfRule type="expression" priority="7" dxfId="5">
      <formula>AND(LEN($B17&amp;$C17&amp;$D17&amp;$E17&amp;$F17&amp;$G17&amp;$H17&amp;$I17&amp;$J17&amp;$K17&amp;$L17&amp;$M17&amp;$N17&amp;$O17)&gt;0,J17="")</formula>
    </cfRule>
  </conditionalFormatting>
  <conditionalFormatting sqref="L17:L152">
    <cfRule type="expression" priority="8" dxfId="5">
      <formula>AND(LEN($B17&amp;$C17&amp;$D17&amp;$E17&amp;$F17&amp;$G17&amp;$H17&amp;$I17&amp;$J17&amp;$K17&amp;$L17&amp;$M17&amp;$N17&amp;$O17)&gt;0,L17="")</formula>
    </cfRule>
  </conditionalFormatting>
  <conditionalFormatting sqref="N17:N152">
    <cfRule type="expression" priority="9" dxfId="5">
      <formula>AND(LEN($B17&amp;$C17&amp;$D17&amp;$E17&amp;$F17&amp;$G17&amp;$H17&amp;$I17&amp;$J17&amp;$K17&amp;$L17&amp;$M17&amp;$N17&amp;$O17)&gt;0,N17="")</formula>
    </cfRule>
  </conditionalFormatting>
  <dataValidations count="15">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152" showDropDown="0" showInputMessage="1" showErrorMessage="0" allowBlank="1" promptTitle="Screen ID" prompt="Yes. The screen of the image, as in the FRS and the deck"/>
    <dataValidation sqref="C17:C152" showDropDown="0" showInputMessage="1" showErrorMessage="0" allowBlank="1" promptTitle="Screen name" prompt="Yes. The title of the screen"/>
    <dataValidation sqref="D17:D152" showDropDown="0" showInputMessage="1" showErrorMessage="0" allowBlank="1" promptTitle="Persona(s)" prompt="Yes. The personas who see the screen in this state"/>
    <dataValidation sqref="E17:E152" showDropDown="0" showInputMessage="1" showErrorMessage="0" allowBlank="1" promptTitle="Flow" prompt="No. The end-to-end flow that shows the image, if any"/>
    <dataValidation sqref="F17:F152" showDropDown="0" showInputMessage="1" showErrorMessage="1" allowBlank="1" errorTitle="Step" error="Enter a whole number from 1 to 99." promptTitle="Step" prompt="No. The step of the flow Allowed: A whole number from 1 to 99" type="whole" operator="between">
      <formula1>1</formula1>
      <formula2>99</formula2>
    </dataValidation>
    <dataValidation sqref="G17:G152" showDropDown="0" showInputMessage="1" showErrorMessage="1" allowBlank="1" errorTitle="State" error="Choose a value of the list State of a screen image (sheet Reference lists)." promptTitle="State" prompt="Yes. The state of the screen on the image Allowed: List State of a screen image: 12 values, see Reference lists" type="list" errorStyle="stop">
      <formula1>=LIST_UX_STATE</formula1>
    </dataValidation>
    <dataValidation sqref="H17:H152" showDropDown="0" showInputMessage="1" showErrorMessage="0" allowBlank="1" promptTitle="FRS section" prompt="Yes. The section of the FRS (or handbook) that specifies the screen"/>
    <dataValidation sqref="I17:I152" showDropDown="0" showInputMessage="1" showErrorMessage="0" allowBlank="1" promptTitle="Requirement IDs" prompt="No. The functional requirements of the screen"/>
    <dataValidation sqref="J17:J152" showDropDown="0" showInputMessage="1" showErrorMessage="0" allowBlank="1" promptTitle="Image file" prompt="Yes. The file of the image package (09)"/>
    <dataValidation sqref="K17:K152" showDropDown="0" showInputMessage="1" showErrorMessage="0" allowBlank="1" promptTitle="What the image shows" prompt="No. The caption of the image"/>
    <dataValidation sqref="L17:L152" showDropDown="0" showInputMessage="1" showErrorMessage="1" allowBlank="1" errorTitle="UXD status" error="Choose a value of the list UXD status (sheet Reference lists)." promptTitle="UXD status" prompt="Yes. The status of the design of this screen state, kept by the UX Design team Allowed: Not started, In design, Ready for review, Approved (list UXD status)" type="list" errorStyle="stop">
      <formula1>=LIST_UXD_STATUS</formula1>
    </dataValidation>
    <dataValidation sqref="M17:M152" showDropDown="0" showInputMessage="1" showErrorMessage="0" allowBlank="1" promptTitle="UXD comments" prompt="No. Comments of the UX Design team on the screen state"/>
    <dataValidation sqref="N17:N152" showDropDown="0" showInputMessage="1" showErrorMessage="1" allowBlank="1" errorTitle="Changed in this issue" error="Choose a value of the list Yes or no (sheet Reference lists)." promptTitle="Changed in this issue" prompt="Yes. Y when the image is new or changed in this issue of the set Allowed: Y or N" type="list" errorStyle="stop">
      <formula1>=LIST_YES_NO</formula1>
    </dataValidation>
    <dataValidation sqref="O17:O152" showDropDown="0" showInputMessage="1" showErrorMessage="0" allowBlank="1" promptTitle="Change reference" prompt="Conditional: when Changed in this issue is Y. The change reference (comment, change request or issue change) that changed the image"/>
  </dataValidations>
  <hyperlinks>
    <hyperlink ref="A2" location="'Start here'!A1"/>
    <hyperlink ref="O2" location="'Questions and comments'!A1"/>
    <hyperlink ref="G14" location="'Reference lists'!A7"/>
    <hyperlink ref="L14" location="'Reference lists'!A19"/>
  </hyperlinks>
  <printOptions horizontalCentered="1"/>
  <pageMargins left="0.4" right="0.4" top="0.6" bottom="0.6" header="0.5" footer="0.5"/>
  <pageSetup orientation="landscape" paperSize="9" fitToHeight="0" fitToWidth="1"/>
  <headerFooter>
    <oddHeader>&amp;L&amp;8 &amp;K004EA8UX screen register BRD-13 Data Migration&amp;R&amp;8 &amp;K656565BDO Insure | BIBS – BDOI Broker System</oddHeader>
    <oddFooter>&amp;L&amp;8 &amp;K656565Confidential – BDOI&amp;C&amp;8 &amp;K656565Page &amp;P of &amp;N&amp;R&amp;8 &amp;K656565Version 2.0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E31"/>
  <sheetViews>
    <sheetView showGridLines="0" tabSelected="0" workbookViewId="0">
      <pane ySplit="4" topLeftCell="A5" activePane="bottomLeft" state="frozen"/>
      <selection pane="bottomLeft" activeCell="A1" sqref="A1"/>
    </sheetView>
  </sheetViews>
  <sheetFormatPr baseColWidth="8" defaultRowHeight="15"/>
  <cols>
    <col width="30" customWidth="1" min="1" max="1"/>
    <col width="34" customWidth="1" min="2" max="2"/>
    <col width="26" customWidth="1" min="3" max="3"/>
    <col width="44" customWidth="1" min="4" max="4"/>
    <col width="60" customWidth="1" min="5" max="5"/>
  </cols>
  <sheetData>
    <row r="1" ht="26" customHeight="1">
      <c r="A1" s="20" t="inlineStr">
        <is>
          <t>Reference lists</t>
        </is>
      </c>
    </row>
    <row r="2">
      <c r="A2" s="22" t="inlineStr">
        <is>
          <t>← Back to Start here</t>
        </is>
      </c>
      <c r="B2" s="47" t="inlineStr">
        <is>
          <t>Every list of allowed values used by the drop-downs, with its code and label. A drop-down accepts the codes of its list.</t>
        </is>
      </c>
    </row>
    <row r="4">
      <c r="A4" s="48" t="inlineStr">
        <is>
          <t>List</t>
        </is>
      </c>
      <c r="B4" s="48" t="inlineStr">
        <is>
          <t>Used in</t>
        </is>
      </c>
      <c r="C4" s="48" t="inlineStr">
        <is>
          <t>Code</t>
        </is>
      </c>
      <c r="D4" s="48" t="inlineStr">
        <is>
          <t>Label</t>
        </is>
      </c>
      <c r="E4" s="48" t="inlineStr">
        <is>
          <t>Note</t>
        </is>
      </c>
    </row>
    <row r="5" ht="28" customHeight="1">
      <c r="A5" s="36" t="inlineStr">
        <is>
          <t>Yes or no (YES_NO)</t>
        </is>
      </c>
      <c r="B5" s="49" t="inlineStr">
        <is>
          <t>UX screen register: Changed in this issue</t>
        </is>
      </c>
      <c r="C5" s="50" t="inlineStr">
        <is>
          <t>Y</t>
        </is>
      </c>
      <c r="D5" s="49" t="inlineStr">
        <is>
          <t>Yes</t>
        </is>
      </c>
      <c r="E5" s="49" t="n"/>
    </row>
    <row r="6">
      <c r="A6" s="36" t="n"/>
      <c r="B6" s="49" t="n"/>
      <c r="C6" s="50" t="inlineStr">
        <is>
          <t>N</t>
        </is>
      </c>
      <c r="D6" s="49" t="inlineStr">
        <is>
          <t>No</t>
        </is>
      </c>
      <c r="E6" s="49" t="n"/>
    </row>
    <row r="7">
      <c r="A7" s="51" t="inlineStr">
        <is>
          <t>State of a screen image (UX_STATE)</t>
        </is>
      </c>
      <c r="B7" s="14" t="inlineStr">
        <is>
          <t>UX screen register: State</t>
        </is>
      </c>
      <c r="C7" s="52" t="inlineStr">
        <is>
          <t>Default</t>
        </is>
      </c>
      <c r="D7" s="14" t="n"/>
      <c r="E7" s="14" t="n"/>
    </row>
    <row r="8">
      <c r="A8" s="51" t="n"/>
      <c r="B8" s="14" t="n"/>
      <c r="C8" s="52" t="inlineStr">
        <is>
          <t>Filled</t>
        </is>
      </c>
      <c r="D8" s="14" t="n"/>
      <c r="E8" s="14" t="n"/>
    </row>
    <row r="9">
      <c r="A9" s="51" t="n"/>
      <c r="B9" s="14" t="n"/>
      <c r="C9" s="52" t="inlineStr">
        <is>
          <t>Validation error</t>
        </is>
      </c>
      <c r="D9" s="14" t="n"/>
      <c r="E9" s="14" t="n"/>
    </row>
    <row r="10">
      <c r="A10" s="51" t="n"/>
      <c r="B10" s="14" t="n"/>
      <c r="C10" s="52" t="inlineStr">
        <is>
          <t>Confirmation with reason</t>
        </is>
      </c>
      <c r="D10" s="14" t="n"/>
      <c r="E10" s="14" t="n"/>
    </row>
    <row r="11">
      <c r="A11" s="51" t="n"/>
      <c r="B11" s="14" t="n"/>
      <c r="C11" s="52" t="inlineStr">
        <is>
          <t>Success message</t>
        </is>
      </c>
      <c r="D11" s="14" t="n"/>
      <c r="E11" s="14" t="n"/>
    </row>
    <row r="12">
      <c r="A12" s="51" t="n"/>
      <c r="B12" s="14" t="n"/>
      <c r="C12" s="52" t="inlineStr">
        <is>
          <t>Empty list</t>
        </is>
      </c>
      <c r="D12" s="14" t="n"/>
      <c r="E12" s="14" t="n"/>
    </row>
    <row r="13">
      <c r="A13" s="51" t="n"/>
      <c r="B13" s="14" t="n"/>
      <c r="C13" s="52" t="inlineStr">
        <is>
          <t>Read-only or locked</t>
        </is>
      </c>
      <c r="D13" s="14" t="n"/>
      <c r="E13" s="14" t="n"/>
    </row>
    <row r="14">
      <c r="A14" s="51" t="n"/>
      <c r="B14" s="14" t="n"/>
      <c r="C14" s="52" t="inlineStr">
        <is>
          <t>Pending approval</t>
        </is>
      </c>
      <c r="D14" s="14" t="n"/>
      <c r="E14" s="14" t="n"/>
    </row>
    <row r="15">
      <c r="A15" s="51" t="n"/>
      <c r="B15" s="14" t="n"/>
      <c r="C15" s="52" t="inlineStr">
        <is>
          <t>Rejected or returned</t>
        </is>
      </c>
      <c r="D15" s="14" t="n"/>
      <c r="E15" s="14" t="n"/>
    </row>
    <row r="16">
      <c r="A16" s="51" t="n"/>
      <c r="B16" s="14" t="n"/>
      <c r="C16" s="52" t="inlineStr">
        <is>
          <t>Document as received</t>
        </is>
      </c>
      <c r="D16" s="14" t="n"/>
      <c r="E16" s="14" t="n"/>
    </row>
    <row r="17">
      <c r="A17" s="51" t="n"/>
      <c r="B17" s="14" t="n"/>
      <c r="C17" s="52" t="inlineStr">
        <is>
          <t>Landing page</t>
        </is>
      </c>
      <c r="D17" s="14" t="n"/>
      <c r="E17" s="14" t="n"/>
    </row>
    <row r="18">
      <c r="A18" s="51" t="n"/>
      <c r="B18" s="14" t="n"/>
      <c r="C18" s="52" t="inlineStr">
        <is>
          <t>Menu</t>
        </is>
      </c>
      <c r="D18" s="14" t="n"/>
      <c r="E18" s="14" t="n"/>
    </row>
    <row r="19">
      <c r="A19" s="36" t="inlineStr">
        <is>
          <t>UXD status (UXD_STATUS)</t>
        </is>
      </c>
      <c r="B19" s="49" t="inlineStr">
        <is>
          <t>UX screen register: UXD status</t>
        </is>
      </c>
      <c r="C19" s="50" t="inlineStr">
        <is>
          <t>Not started</t>
        </is>
      </c>
      <c r="D19" s="49" t="n"/>
      <c r="E19" s="49" t="n"/>
    </row>
    <row r="20">
      <c r="A20" s="36" t="n"/>
      <c r="B20" s="49" t="n"/>
      <c r="C20" s="50" t="inlineStr">
        <is>
          <t>In design</t>
        </is>
      </c>
      <c r="D20" s="49" t="n"/>
      <c r="E20" s="49" t="n"/>
    </row>
    <row r="21">
      <c r="A21" s="36" t="n"/>
      <c r="B21" s="49" t="n"/>
      <c r="C21" s="50" t="inlineStr">
        <is>
          <t>Ready for review</t>
        </is>
      </c>
      <c r="D21" s="49" t="n"/>
      <c r="E21" s="49" t="n"/>
    </row>
    <row r="22">
      <c r="A22" s="36" t="n"/>
      <c r="B22" s="49" t="n"/>
      <c r="C22" s="50" t="inlineStr">
        <is>
          <t>Approved</t>
        </is>
      </c>
      <c r="D22" s="49" t="n"/>
      <c r="E22" s="49" t="n"/>
    </row>
    <row r="23" ht="28" customHeight="1">
      <c r="A23" s="51" t="inlineStr">
        <is>
          <t>Templates of this workbook (TEMPLATES)</t>
        </is>
      </c>
      <c r="B23" s="14" t="inlineStr">
        <is>
          <t>Questions and comments: Template</t>
        </is>
      </c>
      <c r="C23" s="52" t="inlineStr">
        <is>
          <t>UXR UX screen register</t>
        </is>
      </c>
      <c r="D23" s="14" t="n"/>
      <c r="E23" s="14" t="n"/>
    </row>
    <row r="24">
      <c r="A24" s="51" t="n"/>
      <c r="B24" s="14" t="n"/>
      <c r="C24" s="52" t="inlineStr">
        <is>
          <t>General</t>
        </is>
      </c>
      <c r="D24" s="14" t="n"/>
      <c r="E24" s="14" t="n"/>
    </row>
    <row r="25">
      <c r="A25" s="36" t="inlineStr">
        <is>
          <t>Question status (QUESTION_STATUS)</t>
        </is>
      </c>
      <c r="B25" s="49" t="inlineStr">
        <is>
          <t>Questions and comments: Status</t>
        </is>
      </c>
      <c r="C25" s="50" t="inlineStr">
        <is>
          <t>Open</t>
        </is>
      </c>
      <c r="D25" s="49" t="n"/>
      <c r="E25" s="49" t="n"/>
    </row>
    <row r="26">
      <c r="A26" s="36" t="n"/>
      <c r="B26" s="49" t="n"/>
      <c r="C26" s="50" t="inlineStr">
        <is>
          <t>Answered</t>
        </is>
      </c>
      <c r="D26" s="49" t="n"/>
      <c r="E26" s="49" t="n"/>
    </row>
    <row r="27">
      <c r="A27" s="36" t="n"/>
      <c r="B27" s="49" t="n"/>
      <c r="C27" s="50" t="inlineStr">
        <is>
          <t>Closed</t>
        </is>
      </c>
      <c r="D27" s="49" t="n"/>
      <c r="E27" s="49" t="n"/>
    </row>
    <row r="28">
      <c r="A28" s="51" t="inlineStr">
        <is>
          <t>Status (STATUS)</t>
        </is>
      </c>
      <c r="B28" s="14" t="inlineStr">
        <is>
          <t>Start here: Status</t>
        </is>
      </c>
      <c r="C28" s="52" t="inlineStr">
        <is>
          <t>Not started</t>
        </is>
      </c>
      <c r="D28" s="14" t="n"/>
      <c r="E28" s="14" t="n"/>
    </row>
    <row r="29">
      <c r="A29" s="51" t="n"/>
      <c r="B29" s="14" t="n"/>
      <c r="C29" s="52" t="inlineStr">
        <is>
          <t>In progress</t>
        </is>
      </c>
      <c r="D29" s="14" t="n"/>
      <c r="E29" s="14" t="n"/>
    </row>
    <row r="30">
      <c r="A30" s="51" t="n"/>
      <c r="B30" s="14" t="n"/>
      <c r="C30" s="52" t="inlineStr">
        <is>
          <t>Ready for review</t>
        </is>
      </c>
      <c r="D30" s="14" t="n"/>
      <c r="E30" s="14" t="n"/>
    </row>
    <row r="31">
      <c r="A31" s="51" t="n"/>
      <c r="B31" s="14" t="n"/>
      <c r="C31" s="52" t="inlineStr">
        <is>
          <t>Confirmed</t>
        </is>
      </c>
      <c r="D31" s="14" t="n"/>
      <c r="E31" s="14" t="n"/>
    </row>
  </sheetData>
  <autoFilter ref="A4:E31"/>
  <hyperlinks>
    <hyperlink ref="A2" location="'Start here'!A1"/>
  </hyperlinks>
  <printOptions horizontalCentered="1"/>
  <pageMargins left="0.4" right="0.4" top="0.6" bottom="0.6" header="0.5" footer="0.5"/>
  <pageSetup orientation="landscape" paperSize="9" fitToHeight="0" fitToWidth="1"/>
  <headerFooter>
    <oddHeader>&amp;L&amp;8 &amp;K004EA8UX screen register BRD-13 Data Migration&amp;R&amp;8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I104"/>
  <sheetViews>
    <sheetView showGridLines="0" tabSelected="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26" customWidth="1" min="3" max="3"/>
    <col width="50" customWidth="1" min="4" max="4"/>
    <col width="20" customWidth="1" min="5" max="5"/>
    <col width="13" customWidth="1" min="6" max="6"/>
    <col width="50" customWidth="1" min="7" max="7"/>
    <col width="20" customWidth="1" min="8" max="8"/>
    <col width="12" customWidth="1" min="9" max="9"/>
  </cols>
  <sheetData>
    <row r="1" ht="26" customHeight="1">
      <c r="A1" s="20" t="inlineStr">
        <is>
          <t>Questions and comments</t>
        </is>
      </c>
    </row>
    <row r="2">
      <c r="A2" s="22" t="inlineStr">
        <is>
          <t>← Back to Start here</t>
        </is>
      </c>
      <c r="B2" s="47" t="inlineStr">
        <is>
          <t>Raise a question or a comment on a template or a column; the iorta TechNXT project team answers here.</t>
        </is>
      </c>
    </row>
    <row r="4">
      <c r="A4" s="11" t="inlineStr">
        <is>
          <t>No.</t>
        </is>
      </c>
      <c r="B4" s="11" t="inlineStr">
        <is>
          <t>Template</t>
        </is>
      </c>
      <c r="C4" s="11" t="inlineStr">
        <is>
          <t>Column</t>
        </is>
      </c>
      <c r="D4" s="11" t="inlineStr">
        <is>
          <t>Question / comment</t>
        </is>
      </c>
      <c r="E4" s="11" t="inlineStr">
        <is>
          <t>Raised by</t>
        </is>
      </c>
      <c r="F4" s="11" t="inlineStr">
        <is>
          <t>Date</t>
        </is>
      </c>
      <c r="G4" s="11" t="inlineStr">
        <is>
          <t>Answer</t>
        </is>
      </c>
      <c r="H4" s="11" t="inlineStr">
        <is>
          <t>Answered by</t>
        </is>
      </c>
      <c r="I4" s="11" t="inlineStr">
        <is>
          <t>Status</t>
        </is>
      </c>
    </row>
    <row r="5">
      <c r="A5" s="53" t="n">
        <v>1</v>
      </c>
      <c r="B5" s="14" t="n"/>
      <c r="C5" s="14" t="n"/>
      <c r="D5" s="14" t="n"/>
      <c r="E5" s="14" t="n"/>
      <c r="F5" s="54" t="n"/>
      <c r="G5" s="14" t="n"/>
      <c r="H5" s="14" t="n"/>
      <c r="I5" s="14" t="n"/>
    </row>
    <row r="6">
      <c r="A6" s="53" t="n">
        <v>2</v>
      </c>
      <c r="B6" s="14" t="n"/>
      <c r="C6" s="14" t="n"/>
      <c r="D6" s="14" t="n"/>
      <c r="E6" s="14" t="n"/>
      <c r="F6" s="54" t="n"/>
      <c r="G6" s="14" t="n"/>
      <c r="H6" s="14" t="n"/>
      <c r="I6" s="14" t="n"/>
    </row>
    <row r="7">
      <c r="A7" s="53" t="n">
        <v>3</v>
      </c>
      <c r="B7" s="14" t="n"/>
      <c r="C7" s="14" t="n"/>
      <c r="D7" s="14" t="n"/>
      <c r="E7" s="14" t="n"/>
      <c r="F7" s="54" t="n"/>
      <c r="G7" s="14" t="n"/>
      <c r="H7" s="14" t="n"/>
      <c r="I7" s="14" t="n"/>
    </row>
    <row r="8">
      <c r="A8" s="53" t="n">
        <v>4</v>
      </c>
      <c r="B8" s="14" t="n"/>
      <c r="C8" s="14" t="n"/>
      <c r="D8" s="14" t="n"/>
      <c r="E8" s="14" t="n"/>
      <c r="F8" s="54" t="n"/>
      <c r="G8" s="14" t="n"/>
      <c r="H8" s="14" t="n"/>
      <c r="I8" s="14" t="n"/>
    </row>
    <row r="9">
      <c r="A9" s="53" t="n">
        <v>5</v>
      </c>
      <c r="B9" s="14" t="n"/>
      <c r="C9" s="14" t="n"/>
      <c r="D9" s="14" t="n"/>
      <c r="E9" s="14" t="n"/>
      <c r="F9" s="54" t="n"/>
      <c r="G9" s="14" t="n"/>
      <c r="H9" s="14" t="n"/>
      <c r="I9" s="14" t="n"/>
    </row>
    <row r="10">
      <c r="A10" s="53" t="n">
        <v>6</v>
      </c>
      <c r="B10" s="14" t="n"/>
      <c r="C10" s="14" t="n"/>
      <c r="D10" s="14" t="n"/>
      <c r="E10" s="14" t="n"/>
      <c r="F10" s="54" t="n"/>
      <c r="G10" s="14" t="n"/>
      <c r="H10" s="14" t="n"/>
      <c r="I10" s="14" t="n"/>
    </row>
    <row r="11">
      <c r="A11" s="53" t="n">
        <v>7</v>
      </c>
      <c r="B11" s="14" t="n"/>
      <c r="C11" s="14" t="n"/>
      <c r="D11" s="14" t="n"/>
      <c r="E11" s="14" t="n"/>
      <c r="F11" s="54" t="n"/>
      <c r="G11" s="14" t="n"/>
      <c r="H11" s="14" t="n"/>
      <c r="I11" s="14" t="n"/>
    </row>
    <row r="12">
      <c r="A12" s="53" t="n">
        <v>8</v>
      </c>
      <c r="B12" s="14" t="n"/>
      <c r="C12" s="14" t="n"/>
      <c r="D12" s="14" t="n"/>
      <c r="E12" s="14" t="n"/>
      <c r="F12" s="54" t="n"/>
      <c r="G12" s="14" t="n"/>
      <c r="H12" s="14" t="n"/>
      <c r="I12" s="14" t="n"/>
    </row>
    <row r="13">
      <c r="A13" s="53" t="n">
        <v>9</v>
      </c>
      <c r="B13" s="14" t="n"/>
      <c r="C13" s="14" t="n"/>
      <c r="D13" s="14" t="n"/>
      <c r="E13" s="14" t="n"/>
      <c r="F13" s="54" t="n"/>
      <c r="G13" s="14" t="n"/>
      <c r="H13" s="14" t="n"/>
      <c r="I13" s="14" t="n"/>
    </row>
    <row r="14">
      <c r="A14" s="53" t="n">
        <v>10</v>
      </c>
      <c r="B14" s="14" t="n"/>
      <c r="C14" s="14" t="n"/>
      <c r="D14" s="14" t="n"/>
      <c r="E14" s="14" t="n"/>
      <c r="F14" s="54" t="n"/>
      <c r="G14" s="14" t="n"/>
      <c r="H14" s="14" t="n"/>
      <c r="I14" s="14" t="n"/>
    </row>
    <row r="15">
      <c r="A15" s="53" t="n">
        <v>11</v>
      </c>
      <c r="B15" s="14" t="n"/>
      <c r="C15" s="14" t="n"/>
      <c r="D15" s="14" t="n"/>
      <c r="E15" s="14" t="n"/>
      <c r="F15" s="54" t="n"/>
      <c r="G15" s="14" t="n"/>
      <c r="H15" s="14" t="n"/>
      <c r="I15" s="14" t="n"/>
    </row>
    <row r="16">
      <c r="A16" s="53" t="n">
        <v>12</v>
      </c>
      <c r="B16" s="14" t="n"/>
      <c r="C16" s="14" t="n"/>
      <c r="D16" s="14" t="n"/>
      <c r="E16" s="14" t="n"/>
      <c r="F16" s="54" t="n"/>
      <c r="G16" s="14" t="n"/>
      <c r="H16" s="14" t="n"/>
      <c r="I16" s="14" t="n"/>
    </row>
    <row r="17">
      <c r="A17" s="53" t="n">
        <v>13</v>
      </c>
      <c r="B17" s="14" t="n"/>
      <c r="C17" s="14" t="n"/>
      <c r="D17" s="14" t="n"/>
      <c r="E17" s="14" t="n"/>
      <c r="F17" s="54" t="n"/>
      <c r="G17" s="14" t="n"/>
      <c r="H17" s="14" t="n"/>
      <c r="I17" s="14" t="n"/>
    </row>
    <row r="18">
      <c r="A18" s="53" t="n">
        <v>14</v>
      </c>
      <c r="B18" s="14" t="n"/>
      <c r="C18" s="14" t="n"/>
      <c r="D18" s="14" t="n"/>
      <c r="E18" s="14" t="n"/>
      <c r="F18" s="54" t="n"/>
      <c r="G18" s="14" t="n"/>
      <c r="H18" s="14" t="n"/>
      <c r="I18" s="14" t="n"/>
    </row>
    <row r="19">
      <c r="A19" s="53" t="n">
        <v>15</v>
      </c>
      <c r="B19" s="14" t="n"/>
      <c r="C19" s="14" t="n"/>
      <c r="D19" s="14" t="n"/>
      <c r="E19" s="14" t="n"/>
      <c r="F19" s="54" t="n"/>
      <c r="G19" s="14" t="n"/>
      <c r="H19" s="14" t="n"/>
      <c r="I19" s="14" t="n"/>
    </row>
    <row r="20">
      <c r="A20" s="53" t="n">
        <v>16</v>
      </c>
      <c r="B20" s="14" t="n"/>
      <c r="C20" s="14" t="n"/>
      <c r="D20" s="14" t="n"/>
      <c r="E20" s="14" t="n"/>
      <c r="F20" s="54" t="n"/>
      <c r="G20" s="14" t="n"/>
      <c r="H20" s="14" t="n"/>
      <c r="I20" s="14" t="n"/>
    </row>
    <row r="21">
      <c r="A21" s="53" t="n">
        <v>17</v>
      </c>
      <c r="B21" s="14" t="n"/>
      <c r="C21" s="14" t="n"/>
      <c r="D21" s="14" t="n"/>
      <c r="E21" s="14" t="n"/>
      <c r="F21" s="54" t="n"/>
      <c r="G21" s="14" t="n"/>
      <c r="H21" s="14" t="n"/>
      <c r="I21" s="14" t="n"/>
    </row>
    <row r="22">
      <c r="A22" s="53" t="n">
        <v>18</v>
      </c>
      <c r="B22" s="14" t="n"/>
      <c r="C22" s="14" t="n"/>
      <c r="D22" s="14" t="n"/>
      <c r="E22" s="14" t="n"/>
      <c r="F22" s="54" t="n"/>
      <c r="G22" s="14" t="n"/>
      <c r="H22" s="14" t="n"/>
      <c r="I22" s="14" t="n"/>
    </row>
    <row r="23">
      <c r="A23" s="53" t="n">
        <v>19</v>
      </c>
      <c r="B23" s="14" t="n"/>
      <c r="C23" s="14" t="n"/>
      <c r="D23" s="14" t="n"/>
      <c r="E23" s="14" t="n"/>
      <c r="F23" s="54" t="n"/>
      <c r="G23" s="14" t="n"/>
      <c r="H23" s="14" t="n"/>
      <c r="I23" s="14" t="n"/>
    </row>
    <row r="24">
      <c r="A24" s="53" t="n">
        <v>20</v>
      </c>
      <c r="B24" s="14" t="n"/>
      <c r="C24" s="14" t="n"/>
      <c r="D24" s="14" t="n"/>
      <c r="E24" s="14" t="n"/>
      <c r="F24" s="54" t="n"/>
      <c r="G24" s="14" t="n"/>
      <c r="H24" s="14" t="n"/>
      <c r="I24" s="14" t="n"/>
    </row>
    <row r="25">
      <c r="A25" s="53" t="n">
        <v>21</v>
      </c>
      <c r="B25" s="14" t="n"/>
      <c r="C25" s="14" t="n"/>
      <c r="D25" s="14" t="n"/>
      <c r="E25" s="14" t="n"/>
      <c r="F25" s="54" t="n"/>
      <c r="G25" s="14" t="n"/>
      <c r="H25" s="14" t="n"/>
      <c r="I25" s="14" t="n"/>
    </row>
    <row r="26">
      <c r="A26" s="53" t="n">
        <v>22</v>
      </c>
      <c r="B26" s="14" t="n"/>
      <c r="C26" s="14" t="n"/>
      <c r="D26" s="14" t="n"/>
      <c r="E26" s="14" t="n"/>
      <c r="F26" s="54" t="n"/>
      <c r="G26" s="14" t="n"/>
      <c r="H26" s="14" t="n"/>
      <c r="I26" s="14" t="n"/>
    </row>
    <row r="27">
      <c r="A27" s="53" t="n">
        <v>23</v>
      </c>
      <c r="B27" s="14" t="n"/>
      <c r="C27" s="14" t="n"/>
      <c r="D27" s="14" t="n"/>
      <c r="E27" s="14" t="n"/>
      <c r="F27" s="54" t="n"/>
      <c r="G27" s="14" t="n"/>
      <c r="H27" s="14" t="n"/>
      <c r="I27" s="14" t="n"/>
    </row>
    <row r="28">
      <c r="A28" s="53" t="n">
        <v>24</v>
      </c>
      <c r="B28" s="14" t="n"/>
      <c r="C28" s="14" t="n"/>
      <c r="D28" s="14" t="n"/>
      <c r="E28" s="14" t="n"/>
      <c r="F28" s="54" t="n"/>
      <c r="G28" s="14" t="n"/>
      <c r="H28" s="14" t="n"/>
      <c r="I28" s="14" t="n"/>
    </row>
    <row r="29">
      <c r="A29" s="53" t="n">
        <v>25</v>
      </c>
      <c r="B29" s="14" t="n"/>
      <c r="C29" s="14" t="n"/>
      <c r="D29" s="14" t="n"/>
      <c r="E29" s="14" t="n"/>
      <c r="F29" s="54" t="n"/>
      <c r="G29" s="14" t="n"/>
      <c r="H29" s="14" t="n"/>
      <c r="I29" s="14" t="n"/>
    </row>
    <row r="30">
      <c r="A30" s="53" t="n">
        <v>26</v>
      </c>
      <c r="B30" s="14" t="n"/>
      <c r="C30" s="14" t="n"/>
      <c r="D30" s="14" t="n"/>
      <c r="E30" s="14" t="n"/>
      <c r="F30" s="54" t="n"/>
      <c r="G30" s="14" t="n"/>
      <c r="H30" s="14" t="n"/>
      <c r="I30" s="14" t="n"/>
    </row>
    <row r="31">
      <c r="A31" s="53" t="n">
        <v>27</v>
      </c>
      <c r="B31" s="14" t="n"/>
      <c r="C31" s="14" t="n"/>
      <c r="D31" s="14" t="n"/>
      <c r="E31" s="14" t="n"/>
      <c r="F31" s="54" t="n"/>
      <c r="G31" s="14" t="n"/>
      <c r="H31" s="14" t="n"/>
      <c r="I31" s="14" t="n"/>
    </row>
    <row r="32">
      <c r="A32" s="53" t="n">
        <v>28</v>
      </c>
      <c r="B32" s="14" t="n"/>
      <c r="C32" s="14" t="n"/>
      <c r="D32" s="14" t="n"/>
      <c r="E32" s="14" t="n"/>
      <c r="F32" s="54" t="n"/>
      <c r="G32" s="14" t="n"/>
      <c r="H32" s="14" t="n"/>
      <c r="I32" s="14" t="n"/>
    </row>
    <row r="33">
      <c r="A33" s="53" t="n">
        <v>29</v>
      </c>
      <c r="B33" s="14" t="n"/>
      <c r="C33" s="14" t="n"/>
      <c r="D33" s="14" t="n"/>
      <c r="E33" s="14" t="n"/>
      <c r="F33" s="54" t="n"/>
      <c r="G33" s="14" t="n"/>
      <c r="H33" s="14" t="n"/>
      <c r="I33" s="14" t="n"/>
    </row>
    <row r="34">
      <c r="A34" s="53" t="n">
        <v>30</v>
      </c>
      <c r="B34" s="14" t="n"/>
      <c r="C34" s="14" t="n"/>
      <c r="D34" s="14" t="n"/>
      <c r="E34" s="14" t="n"/>
      <c r="F34" s="54" t="n"/>
      <c r="G34" s="14" t="n"/>
      <c r="H34" s="14" t="n"/>
      <c r="I34" s="14" t="n"/>
    </row>
    <row r="35">
      <c r="A35" s="53" t="n">
        <v>31</v>
      </c>
      <c r="B35" s="14" t="n"/>
      <c r="C35" s="14" t="n"/>
      <c r="D35" s="14" t="n"/>
      <c r="E35" s="14" t="n"/>
      <c r="F35" s="54" t="n"/>
      <c r="G35" s="14" t="n"/>
      <c r="H35" s="14" t="n"/>
      <c r="I35" s="14" t="n"/>
    </row>
    <row r="36">
      <c r="A36" s="53" t="n">
        <v>32</v>
      </c>
      <c r="B36" s="14" t="n"/>
      <c r="C36" s="14" t="n"/>
      <c r="D36" s="14" t="n"/>
      <c r="E36" s="14" t="n"/>
      <c r="F36" s="54" t="n"/>
      <c r="G36" s="14" t="n"/>
      <c r="H36" s="14" t="n"/>
      <c r="I36" s="14" t="n"/>
    </row>
    <row r="37">
      <c r="A37" s="53" t="n">
        <v>33</v>
      </c>
      <c r="B37" s="14" t="n"/>
      <c r="C37" s="14" t="n"/>
      <c r="D37" s="14" t="n"/>
      <c r="E37" s="14" t="n"/>
      <c r="F37" s="54" t="n"/>
      <c r="G37" s="14" t="n"/>
      <c r="H37" s="14" t="n"/>
      <c r="I37" s="14" t="n"/>
    </row>
    <row r="38">
      <c r="A38" s="53" t="n">
        <v>34</v>
      </c>
      <c r="B38" s="14" t="n"/>
      <c r="C38" s="14" t="n"/>
      <c r="D38" s="14" t="n"/>
      <c r="E38" s="14" t="n"/>
      <c r="F38" s="54" t="n"/>
      <c r="G38" s="14" t="n"/>
      <c r="H38" s="14" t="n"/>
      <c r="I38" s="14" t="n"/>
    </row>
    <row r="39">
      <c r="A39" s="53" t="n">
        <v>35</v>
      </c>
      <c r="B39" s="14" t="n"/>
      <c r="C39" s="14" t="n"/>
      <c r="D39" s="14" t="n"/>
      <c r="E39" s="14" t="n"/>
      <c r="F39" s="54" t="n"/>
      <c r="G39" s="14" t="n"/>
      <c r="H39" s="14" t="n"/>
      <c r="I39" s="14" t="n"/>
    </row>
    <row r="40">
      <c r="A40" s="53" t="n">
        <v>36</v>
      </c>
      <c r="B40" s="14" t="n"/>
      <c r="C40" s="14" t="n"/>
      <c r="D40" s="14" t="n"/>
      <c r="E40" s="14" t="n"/>
      <c r="F40" s="54" t="n"/>
      <c r="G40" s="14" t="n"/>
      <c r="H40" s="14" t="n"/>
      <c r="I40" s="14" t="n"/>
    </row>
    <row r="41">
      <c r="A41" s="53" t="n">
        <v>37</v>
      </c>
      <c r="B41" s="14" t="n"/>
      <c r="C41" s="14" t="n"/>
      <c r="D41" s="14" t="n"/>
      <c r="E41" s="14" t="n"/>
      <c r="F41" s="54" t="n"/>
      <c r="G41" s="14" t="n"/>
      <c r="H41" s="14" t="n"/>
      <c r="I41" s="14" t="n"/>
    </row>
    <row r="42">
      <c r="A42" s="53" t="n">
        <v>38</v>
      </c>
      <c r="B42" s="14" t="n"/>
      <c r="C42" s="14" t="n"/>
      <c r="D42" s="14" t="n"/>
      <c r="E42" s="14" t="n"/>
      <c r="F42" s="54" t="n"/>
      <c r="G42" s="14" t="n"/>
      <c r="H42" s="14" t="n"/>
      <c r="I42" s="14" t="n"/>
    </row>
    <row r="43">
      <c r="A43" s="53" t="n">
        <v>39</v>
      </c>
      <c r="B43" s="14" t="n"/>
      <c r="C43" s="14" t="n"/>
      <c r="D43" s="14" t="n"/>
      <c r="E43" s="14" t="n"/>
      <c r="F43" s="54" t="n"/>
      <c r="G43" s="14" t="n"/>
      <c r="H43" s="14" t="n"/>
      <c r="I43" s="14" t="n"/>
    </row>
    <row r="44">
      <c r="A44" s="53" t="n">
        <v>40</v>
      </c>
      <c r="B44" s="14" t="n"/>
      <c r="C44" s="14" t="n"/>
      <c r="D44" s="14" t="n"/>
      <c r="E44" s="14" t="n"/>
      <c r="F44" s="54" t="n"/>
      <c r="G44" s="14" t="n"/>
      <c r="H44" s="14" t="n"/>
      <c r="I44" s="14" t="n"/>
    </row>
    <row r="45">
      <c r="A45" s="53" t="n">
        <v>41</v>
      </c>
      <c r="B45" s="14" t="n"/>
      <c r="C45" s="14" t="n"/>
      <c r="D45" s="14" t="n"/>
      <c r="E45" s="14" t="n"/>
      <c r="F45" s="54" t="n"/>
      <c r="G45" s="14" t="n"/>
      <c r="H45" s="14" t="n"/>
      <c r="I45" s="14" t="n"/>
    </row>
    <row r="46">
      <c r="A46" s="53" t="n">
        <v>42</v>
      </c>
      <c r="B46" s="14" t="n"/>
      <c r="C46" s="14" t="n"/>
      <c r="D46" s="14" t="n"/>
      <c r="E46" s="14" t="n"/>
      <c r="F46" s="54" t="n"/>
      <c r="G46" s="14" t="n"/>
      <c r="H46" s="14" t="n"/>
      <c r="I46" s="14" t="n"/>
    </row>
    <row r="47">
      <c r="A47" s="53" t="n">
        <v>43</v>
      </c>
      <c r="B47" s="14" t="n"/>
      <c r="C47" s="14" t="n"/>
      <c r="D47" s="14" t="n"/>
      <c r="E47" s="14" t="n"/>
      <c r="F47" s="54" t="n"/>
      <c r="G47" s="14" t="n"/>
      <c r="H47" s="14" t="n"/>
      <c r="I47" s="14" t="n"/>
    </row>
    <row r="48">
      <c r="A48" s="53" t="n">
        <v>44</v>
      </c>
      <c r="B48" s="14" t="n"/>
      <c r="C48" s="14" t="n"/>
      <c r="D48" s="14" t="n"/>
      <c r="E48" s="14" t="n"/>
      <c r="F48" s="54" t="n"/>
      <c r="G48" s="14" t="n"/>
      <c r="H48" s="14" t="n"/>
      <c r="I48" s="14" t="n"/>
    </row>
    <row r="49">
      <c r="A49" s="53" t="n">
        <v>45</v>
      </c>
      <c r="B49" s="14" t="n"/>
      <c r="C49" s="14" t="n"/>
      <c r="D49" s="14" t="n"/>
      <c r="E49" s="14" t="n"/>
      <c r="F49" s="54" t="n"/>
      <c r="G49" s="14" t="n"/>
      <c r="H49" s="14" t="n"/>
      <c r="I49" s="14" t="n"/>
    </row>
    <row r="50">
      <c r="A50" s="53" t="n">
        <v>46</v>
      </c>
      <c r="B50" s="14" t="n"/>
      <c r="C50" s="14" t="n"/>
      <c r="D50" s="14" t="n"/>
      <c r="E50" s="14" t="n"/>
      <c r="F50" s="54" t="n"/>
      <c r="G50" s="14" t="n"/>
      <c r="H50" s="14" t="n"/>
      <c r="I50" s="14" t="n"/>
    </row>
    <row r="51">
      <c r="A51" s="53" t="n">
        <v>47</v>
      </c>
      <c r="B51" s="14" t="n"/>
      <c r="C51" s="14" t="n"/>
      <c r="D51" s="14" t="n"/>
      <c r="E51" s="14" t="n"/>
      <c r="F51" s="54" t="n"/>
      <c r="G51" s="14" t="n"/>
      <c r="H51" s="14" t="n"/>
      <c r="I51" s="14" t="n"/>
    </row>
    <row r="52">
      <c r="A52" s="53" t="n">
        <v>48</v>
      </c>
      <c r="B52" s="14" t="n"/>
      <c r="C52" s="14" t="n"/>
      <c r="D52" s="14" t="n"/>
      <c r="E52" s="14" t="n"/>
      <c r="F52" s="54" t="n"/>
      <c r="G52" s="14" t="n"/>
      <c r="H52" s="14" t="n"/>
      <c r="I52" s="14" t="n"/>
    </row>
    <row r="53">
      <c r="A53" s="53" t="n">
        <v>49</v>
      </c>
      <c r="B53" s="14" t="n"/>
      <c r="C53" s="14" t="n"/>
      <c r="D53" s="14" t="n"/>
      <c r="E53" s="14" t="n"/>
      <c r="F53" s="54" t="n"/>
      <c r="G53" s="14" t="n"/>
      <c r="H53" s="14" t="n"/>
      <c r="I53" s="14" t="n"/>
    </row>
    <row r="54">
      <c r="A54" s="53" t="n">
        <v>50</v>
      </c>
      <c r="B54" s="14" t="n"/>
      <c r="C54" s="14" t="n"/>
      <c r="D54" s="14" t="n"/>
      <c r="E54" s="14" t="n"/>
      <c r="F54" s="54" t="n"/>
      <c r="G54" s="14" t="n"/>
      <c r="H54" s="14" t="n"/>
      <c r="I54" s="14" t="n"/>
    </row>
    <row r="55">
      <c r="A55" s="53" t="n">
        <v>51</v>
      </c>
      <c r="B55" s="14" t="n"/>
      <c r="C55" s="14" t="n"/>
      <c r="D55" s="14" t="n"/>
      <c r="E55" s="14" t="n"/>
      <c r="F55" s="54" t="n"/>
      <c r="G55" s="14" t="n"/>
      <c r="H55" s="14" t="n"/>
      <c r="I55" s="14" t="n"/>
    </row>
    <row r="56">
      <c r="A56" s="53" t="n">
        <v>52</v>
      </c>
      <c r="B56" s="14" t="n"/>
      <c r="C56" s="14" t="n"/>
      <c r="D56" s="14" t="n"/>
      <c r="E56" s="14" t="n"/>
      <c r="F56" s="54" t="n"/>
      <c r="G56" s="14" t="n"/>
      <c r="H56" s="14" t="n"/>
      <c r="I56" s="14" t="n"/>
    </row>
    <row r="57">
      <c r="A57" s="53" t="n">
        <v>53</v>
      </c>
      <c r="B57" s="14" t="n"/>
      <c r="C57" s="14" t="n"/>
      <c r="D57" s="14" t="n"/>
      <c r="E57" s="14" t="n"/>
      <c r="F57" s="54" t="n"/>
      <c r="G57" s="14" t="n"/>
      <c r="H57" s="14" t="n"/>
      <c r="I57" s="14" t="n"/>
    </row>
    <row r="58">
      <c r="A58" s="53" t="n">
        <v>54</v>
      </c>
      <c r="B58" s="14" t="n"/>
      <c r="C58" s="14" t="n"/>
      <c r="D58" s="14" t="n"/>
      <c r="E58" s="14" t="n"/>
      <c r="F58" s="54" t="n"/>
      <c r="G58" s="14" t="n"/>
      <c r="H58" s="14" t="n"/>
      <c r="I58" s="14" t="n"/>
    </row>
    <row r="59">
      <c r="A59" s="53" t="n">
        <v>55</v>
      </c>
      <c r="B59" s="14" t="n"/>
      <c r="C59" s="14" t="n"/>
      <c r="D59" s="14" t="n"/>
      <c r="E59" s="14" t="n"/>
      <c r="F59" s="54" t="n"/>
      <c r="G59" s="14" t="n"/>
      <c r="H59" s="14" t="n"/>
      <c r="I59" s="14" t="n"/>
    </row>
    <row r="60">
      <c r="A60" s="53" t="n">
        <v>56</v>
      </c>
      <c r="B60" s="14" t="n"/>
      <c r="C60" s="14" t="n"/>
      <c r="D60" s="14" t="n"/>
      <c r="E60" s="14" t="n"/>
      <c r="F60" s="54" t="n"/>
      <c r="G60" s="14" t="n"/>
      <c r="H60" s="14" t="n"/>
      <c r="I60" s="14" t="n"/>
    </row>
    <row r="61">
      <c r="A61" s="53" t="n">
        <v>57</v>
      </c>
      <c r="B61" s="14" t="n"/>
      <c r="C61" s="14" t="n"/>
      <c r="D61" s="14" t="n"/>
      <c r="E61" s="14" t="n"/>
      <c r="F61" s="54" t="n"/>
      <c r="G61" s="14" t="n"/>
      <c r="H61" s="14" t="n"/>
      <c r="I61" s="14" t="n"/>
    </row>
    <row r="62">
      <c r="A62" s="53" t="n">
        <v>58</v>
      </c>
      <c r="B62" s="14" t="n"/>
      <c r="C62" s="14" t="n"/>
      <c r="D62" s="14" t="n"/>
      <c r="E62" s="14" t="n"/>
      <c r="F62" s="54" t="n"/>
      <c r="G62" s="14" t="n"/>
      <c r="H62" s="14" t="n"/>
      <c r="I62" s="14" t="n"/>
    </row>
    <row r="63">
      <c r="A63" s="53" t="n">
        <v>59</v>
      </c>
      <c r="B63" s="14" t="n"/>
      <c r="C63" s="14" t="n"/>
      <c r="D63" s="14" t="n"/>
      <c r="E63" s="14" t="n"/>
      <c r="F63" s="54" t="n"/>
      <c r="G63" s="14" t="n"/>
      <c r="H63" s="14" t="n"/>
      <c r="I63" s="14" t="n"/>
    </row>
    <row r="64">
      <c r="A64" s="53" t="n">
        <v>60</v>
      </c>
      <c r="B64" s="14" t="n"/>
      <c r="C64" s="14" t="n"/>
      <c r="D64" s="14" t="n"/>
      <c r="E64" s="14" t="n"/>
      <c r="F64" s="54" t="n"/>
      <c r="G64" s="14" t="n"/>
      <c r="H64" s="14" t="n"/>
      <c r="I64" s="14" t="n"/>
    </row>
    <row r="65">
      <c r="A65" s="53" t="n">
        <v>61</v>
      </c>
      <c r="B65" s="14" t="n"/>
      <c r="C65" s="14" t="n"/>
      <c r="D65" s="14" t="n"/>
      <c r="E65" s="14" t="n"/>
      <c r="F65" s="54" t="n"/>
      <c r="G65" s="14" t="n"/>
      <c r="H65" s="14" t="n"/>
      <c r="I65" s="14" t="n"/>
    </row>
    <row r="66">
      <c r="A66" s="53" t="n">
        <v>62</v>
      </c>
      <c r="B66" s="14" t="n"/>
      <c r="C66" s="14" t="n"/>
      <c r="D66" s="14" t="n"/>
      <c r="E66" s="14" t="n"/>
      <c r="F66" s="54" t="n"/>
      <c r="G66" s="14" t="n"/>
      <c r="H66" s="14" t="n"/>
      <c r="I66" s="14" t="n"/>
    </row>
    <row r="67">
      <c r="A67" s="53" t="n">
        <v>63</v>
      </c>
      <c r="B67" s="14" t="n"/>
      <c r="C67" s="14" t="n"/>
      <c r="D67" s="14" t="n"/>
      <c r="E67" s="14" t="n"/>
      <c r="F67" s="54" t="n"/>
      <c r="G67" s="14" t="n"/>
      <c r="H67" s="14" t="n"/>
      <c r="I67" s="14" t="n"/>
    </row>
    <row r="68">
      <c r="A68" s="53" t="n">
        <v>64</v>
      </c>
      <c r="B68" s="14" t="n"/>
      <c r="C68" s="14" t="n"/>
      <c r="D68" s="14" t="n"/>
      <c r="E68" s="14" t="n"/>
      <c r="F68" s="54" t="n"/>
      <c r="G68" s="14" t="n"/>
      <c r="H68" s="14" t="n"/>
      <c r="I68" s="14" t="n"/>
    </row>
    <row r="69">
      <c r="A69" s="53" t="n">
        <v>65</v>
      </c>
      <c r="B69" s="14" t="n"/>
      <c r="C69" s="14" t="n"/>
      <c r="D69" s="14" t="n"/>
      <c r="E69" s="14" t="n"/>
      <c r="F69" s="54" t="n"/>
      <c r="G69" s="14" t="n"/>
      <c r="H69" s="14" t="n"/>
      <c r="I69" s="14" t="n"/>
    </row>
    <row r="70">
      <c r="A70" s="53" t="n">
        <v>66</v>
      </c>
      <c r="B70" s="14" t="n"/>
      <c r="C70" s="14" t="n"/>
      <c r="D70" s="14" t="n"/>
      <c r="E70" s="14" t="n"/>
      <c r="F70" s="54" t="n"/>
      <c r="G70" s="14" t="n"/>
      <c r="H70" s="14" t="n"/>
      <c r="I70" s="14" t="n"/>
    </row>
    <row r="71">
      <c r="A71" s="53" t="n">
        <v>67</v>
      </c>
      <c r="B71" s="14" t="n"/>
      <c r="C71" s="14" t="n"/>
      <c r="D71" s="14" t="n"/>
      <c r="E71" s="14" t="n"/>
      <c r="F71" s="54" t="n"/>
      <c r="G71" s="14" t="n"/>
      <c r="H71" s="14" t="n"/>
      <c r="I71" s="14" t="n"/>
    </row>
    <row r="72">
      <c r="A72" s="53" t="n">
        <v>68</v>
      </c>
      <c r="B72" s="14" t="n"/>
      <c r="C72" s="14" t="n"/>
      <c r="D72" s="14" t="n"/>
      <c r="E72" s="14" t="n"/>
      <c r="F72" s="54" t="n"/>
      <c r="G72" s="14" t="n"/>
      <c r="H72" s="14" t="n"/>
      <c r="I72" s="14" t="n"/>
    </row>
    <row r="73">
      <c r="A73" s="53" t="n">
        <v>69</v>
      </c>
      <c r="B73" s="14" t="n"/>
      <c r="C73" s="14" t="n"/>
      <c r="D73" s="14" t="n"/>
      <c r="E73" s="14" t="n"/>
      <c r="F73" s="54" t="n"/>
      <c r="G73" s="14" t="n"/>
      <c r="H73" s="14" t="n"/>
      <c r="I73" s="14" t="n"/>
    </row>
    <row r="74">
      <c r="A74" s="53" t="n">
        <v>70</v>
      </c>
      <c r="B74" s="14" t="n"/>
      <c r="C74" s="14" t="n"/>
      <c r="D74" s="14" t="n"/>
      <c r="E74" s="14" t="n"/>
      <c r="F74" s="54" t="n"/>
      <c r="G74" s="14" t="n"/>
      <c r="H74" s="14" t="n"/>
      <c r="I74" s="14" t="n"/>
    </row>
    <row r="75">
      <c r="A75" s="53" t="n">
        <v>71</v>
      </c>
      <c r="B75" s="14" t="n"/>
      <c r="C75" s="14" t="n"/>
      <c r="D75" s="14" t="n"/>
      <c r="E75" s="14" t="n"/>
      <c r="F75" s="54" t="n"/>
      <c r="G75" s="14" t="n"/>
      <c r="H75" s="14" t="n"/>
      <c r="I75" s="14" t="n"/>
    </row>
    <row r="76">
      <c r="A76" s="53" t="n">
        <v>72</v>
      </c>
      <c r="B76" s="14" t="n"/>
      <c r="C76" s="14" t="n"/>
      <c r="D76" s="14" t="n"/>
      <c r="E76" s="14" t="n"/>
      <c r="F76" s="54" t="n"/>
      <c r="G76" s="14" t="n"/>
      <c r="H76" s="14" t="n"/>
      <c r="I76" s="14" t="n"/>
    </row>
    <row r="77">
      <c r="A77" s="53" t="n">
        <v>73</v>
      </c>
      <c r="B77" s="14" t="n"/>
      <c r="C77" s="14" t="n"/>
      <c r="D77" s="14" t="n"/>
      <c r="E77" s="14" t="n"/>
      <c r="F77" s="54" t="n"/>
      <c r="G77" s="14" t="n"/>
      <c r="H77" s="14" t="n"/>
      <c r="I77" s="14" t="n"/>
    </row>
    <row r="78">
      <c r="A78" s="53" t="n">
        <v>74</v>
      </c>
      <c r="B78" s="14" t="n"/>
      <c r="C78" s="14" t="n"/>
      <c r="D78" s="14" t="n"/>
      <c r="E78" s="14" t="n"/>
      <c r="F78" s="54" t="n"/>
      <c r="G78" s="14" t="n"/>
      <c r="H78" s="14" t="n"/>
      <c r="I78" s="14" t="n"/>
    </row>
    <row r="79">
      <c r="A79" s="53" t="n">
        <v>75</v>
      </c>
      <c r="B79" s="14" t="n"/>
      <c r="C79" s="14" t="n"/>
      <c r="D79" s="14" t="n"/>
      <c r="E79" s="14" t="n"/>
      <c r="F79" s="54" t="n"/>
      <c r="G79" s="14" t="n"/>
      <c r="H79" s="14" t="n"/>
      <c r="I79" s="14" t="n"/>
    </row>
    <row r="80">
      <c r="A80" s="53" t="n">
        <v>76</v>
      </c>
      <c r="B80" s="14" t="n"/>
      <c r="C80" s="14" t="n"/>
      <c r="D80" s="14" t="n"/>
      <c r="E80" s="14" t="n"/>
      <c r="F80" s="54" t="n"/>
      <c r="G80" s="14" t="n"/>
      <c r="H80" s="14" t="n"/>
      <c r="I80" s="14" t="n"/>
    </row>
    <row r="81">
      <c r="A81" s="53" t="n">
        <v>77</v>
      </c>
      <c r="B81" s="14" t="n"/>
      <c r="C81" s="14" t="n"/>
      <c r="D81" s="14" t="n"/>
      <c r="E81" s="14" t="n"/>
      <c r="F81" s="54" t="n"/>
      <c r="G81" s="14" t="n"/>
      <c r="H81" s="14" t="n"/>
      <c r="I81" s="14" t="n"/>
    </row>
    <row r="82">
      <c r="A82" s="53" t="n">
        <v>78</v>
      </c>
      <c r="B82" s="14" t="n"/>
      <c r="C82" s="14" t="n"/>
      <c r="D82" s="14" t="n"/>
      <c r="E82" s="14" t="n"/>
      <c r="F82" s="54" t="n"/>
      <c r="G82" s="14" t="n"/>
      <c r="H82" s="14" t="n"/>
      <c r="I82" s="14" t="n"/>
    </row>
    <row r="83">
      <c r="A83" s="53" t="n">
        <v>79</v>
      </c>
      <c r="B83" s="14" t="n"/>
      <c r="C83" s="14" t="n"/>
      <c r="D83" s="14" t="n"/>
      <c r="E83" s="14" t="n"/>
      <c r="F83" s="54" t="n"/>
      <c r="G83" s="14" t="n"/>
      <c r="H83" s="14" t="n"/>
      <c r="I83" s="14" t="n"/>
    </row>
    <row r="84">
      <c r="A84" s="53" t="n">
        <v>80</v>
      </c>
      <c r="B84" s="14" t="n"/>
      <c r="C84" s="14" t="n"/>
      <c r="D84" s="14" t="n"/>
      <c r="E84" s="14" t="n"/>
      <c r="F84" s="54" t="n"/>
      <c r="G84" s="14" t="n"/>
      <c r="H84" s="14" t="n"/>
      <c r="I84" s="14" t="n"/>
    </row>
    <row r="85">
      <c r="A85" s="53" t="n">
        <v>81</v>
      </c>
      <c r="B85" s="14" t="n"/>
      <c r="C85" s="14" t="n"/>
      <c r="D85" s="14" t="n"/>
      <c r="E85" s="14" t="n"/>
      <c r="F85" s="54" t="n"/>
      <c r="G85" s="14" t="n"/>
      <c r="H85" s="14" t="n"/>
      <c r="I85" s="14" t="n"/>
    </row>
    <row r="86">
      <c r="A86" s="53" t="n">
        <v>82</v>
      </c>
      <c r="B86" s="14" t="n"/>
      <c r="C86" s="14" t="n"/>
      <c r="D86" s="14" t="n"/>
      <c r="E86" s="14" t="n"/>
      <c r="F86" s="54" t="n"/>
      <c r="G86" s="14" t="n"/>
      <c r="H86" s="14" t="n"/>
      <c r="I86" s="14" t="n"/>
    </row>
    <row r="87">
      <c r="A87" s="53" t="n">
        <v>83</v>
      </c>
      <c r="B87" s="14" t="n"/>
      <c r="C87" s="14" t="n"/>
      <c r="D87" s="14" t="n"/>
      <c r="E87" s="14" t="n"/>
      <c r="F87" s="54" t="n"/>
      <c r="G87" s="14" t="n"/>
      <c r="H87" s="14" t="n"/>
      <c r="I87" s="14" t="n"/>
    </row>
    <row r="88">
      <c r="A88" s="53" t="n">
        <v>84</v>
      </c>
      <c r="B88" s="14" t="n"/>
      <c r="C88" s="14" t="n"/>
      <c r="D88" s="14" t="n"/>
      <c r="E88" s="14" t="n"/>
      <c r="F88" s="54" t="n"/>
      <c r="G88" s="14" t="n"/>
      <c r="H88" s="14" t="n"/>
      <c r="I88" s="14" t="n"/>
    </row>
    <row r="89">
      <c r="A89" s="53" t="n">
        <v>85</v>
      </c>
      <c r="B89" s="14" t="n"/>
      <c r="C89" s="14" t="n"/>
      <c r="D89" s="14" t="n"/>
      <c r="E89" s="14" t="n"/>
      <c r="F89" s="54" t="n"/>
      <c r="G89" s="14" t="n"/>
      <c r="H89" s="14" t="n"/>
      <c r="I89" s="14" t="n"/>
    </row>
    <row r="90">
      <c r="A90" s="53" t="n">
        <v>86</v>
      </c>
      <c r="B90" s="14" t="n"/>
      <c r="C90" s="14" t="n"/>
      <c r="D90" s="14" t="n"/>
      <c r="E90" s="14" t="n"/>
      <c r="F90" s="54" t="n"/>
      <c r="G90" s="14" t="n"/>
      <c r="H90" s="14" t="n"/>
      <c r="I90" s="14" t="n"/>
    </row>
    <row r="91">
      <c r="A91" s="53" t="n">
        <v>87</v>
      </c>
      <c r="B91" s="14" t="n"/>
      <c r="C91" s="14" t="n"/>
      <c r="D91" s="14" t="n"/>
      <c r="E91" s="14" t="n"/>
      <c r="F91" s="54" t="n"/>
      <c r="G91" s="14" t="n"/>
      <c r="H91" s="14" t="n"/>
      <c r="I91" s="14" t="n"/>
    </row>
    <row r="92">
      <c r="A92" s="53" t="n">
        <v>88</v>
      </c>
      <c r="B92" s="14" t="n"/>
      <c r="C92" s="14" t="n"/>
      <c r="D92" s="14" t="n"/>
      <c r="E92" s="14" t="n"/>
      <c r="F92" s="54" t="n"/>
      <c r="G92" s="14" t="n"/>
      <c r="H92" s="14" t="n"/>
      <c r="I92" s="14" t="n"/>
    </row>
    <row r="93">
      <c r="A93" s="53" t="n">
        <v>89</v>
      </c>
      <c r="B93" s="14" t="n"/>
      <c r="C93" s="14" t="n"/>
      <c r="D93" s="14" t="n"/>
      <c r="E93" s="14" t="n"/>
      <c r="F93" s="54" t="n"/>
      <c r="G93" s="14" t="n"/>
      <c r="H93" s="14" t="n"/>
      <c r="I93" s="14" t="n"/>
    </row>
    <row r="94">
      <c r="A94" s="53" t="n">
        <v>90</v>
      </c>
      <c r="B94" s="14" t="n"/>
      <c r="C94" s="14" t="n"/>
      <c r="D94" s="14" t="n"/>
      <c r="E94" s="14" t="n"/>
      <c r="F94" s="54" t="n"/>
      <c r="G94" s="14" t="n"/>
      <c r="H94" s="14" t="n"/>
      <c r="I94" s="14" t="n"/>
    </row>
    <row r="95">
      <c r="A95" s="53" t="n">
        <v>91</v>
      </c>
      <c r="B95" s="14" t="n"/>
      <c r="C95" s="14" t="n"/>
      <c r="D95" s="14" t="n"/>
      <c r="E95" s="14" t="n"/>
      <c r="F95" s="54" t="n"/>
      <c r="G95" s="14" t="n"/>
      <c r="H95" s="14" t="n"/>
      <c r="I95" s="14" t="n"/>
    </row>
    <row r="96">
      <c r="A96" s="53" t="n">
        <v>92</v>
      </c>
      <c r="B96" s="14" t="n"/>
      <c r="C96" s="14" t="n"/>
      <c r="D96" s="14" t="n"/>
      <c r="E96" s="14" t="n"/>
      <c r="F96" s="54" t="n"/>
      <c r="G96" s="14" t="n"/>
      <c r="H96" s="14" t="n"/>
      <c r="I96" s="14" t="n"/>
    </row>
    <row r="97">
      <c r="A97" s="53" t="n">
        <v>93</v>
      </c>
      <c r="B97" s="14" t="n"/>
      <c r="C97" s="14" t="n"/>
      <c r="D97" s="14" t="n"/>
      <c r="E97" s="14" t="n"/>
      <c r="F97" s="54" t="n"/>
      <c r="G97" s="14" t="n"/>
      <c r="H97" s="14" t="n"/>
      <c r="I97" s="14" t="n"/>
    </row>
    <row r="98">
      <c r="A98" s="53" t="n">
        <v>94</v>
      </c>
      <c r="B98" s="14" t="n"/>
      <c r="C98" s="14" t="n"/>
      <c r="D98" s="14" t="n"/>
      <c r="E98" s="14" t="n"/>
      <c r="F98" s="54" t="n"/>
      <c r="G98" s="14" t="n"/>
      <c r="H98" s="14" t="n"/>
      <c r="I98" s="14" t="n"/>
    </row>
    <row r="99">
      <c r="A99" s="53" t="n">
        <v>95</v>
      </c>
      <c r="B99" s="14" t="n"/>
      <c r="C99" s="14" t="n"/>
      <c r="D99" s="14" t="n"/>
      <c r="E99" s="14" t="n"/>
      <c r="F99" s="54" t="n"/>
      <c r="G99" s="14" t="n"/>
      <c r="H99" s="14" t="n"/>
      <c r="I99" s="14" t="n"/>
    </row>
    <row r="100">
      <c r="A100" s="53" t="n">
        <v>96</v>
      </c>
      <c r="B100" s="14" t="n"/>
      <c r="C100" s="14" t="n"/>
      <c r="D100" s="14" t="n"/>
      <c r="E100" s="14" t="n"/>
      <c r="F100" s="54" t="n"/>
      <c r="G100" s="14" t="n"/>
      <c r="H100" s="14" t="n"/>
      <c r="I100" s="14" t="n"/>
    </row>
    <row r="101">
      <c r="A101" s="53" t="n">
        <v>97</v>
      </c>
      <c r="B101" s="14" t="n"/>
      <c r="C101" s="14" t="n"/>
      <c r="D101" s="14" t="n"/>
      <c r="E101" s="14" t="n"/>
      <c r="F101" s="54" t="n"/>
      <c r="G101" s="14" t="n"/>
      <c r="H101" s="14" t="n"/>
      <c r="I101" s="14" t="n"/>
    </row>
    <row r="102">
      <c r="A102" s="53" t="n">
        <v>98</v>
      </c>
      <c r="B102" s="14" t="n"/>
      <c r="C102" s="14" t="n"/>
      <c r="D102" s="14" t="n"/>
      <c r="E102" s="14" t="n"/>
      <c r="F102" s="54" t="n"/>
      <c r="G102" s="14" t="n"/>
      <c r="H102" s="14" t="n"/>
      <c r="I102" s="14" t="n"/>
    </row>
    <row r="103">
      <c r="A103" s="53" t="n">
        <v>99</v>
      </c>
      <c r="B103" s="14" t="n"/>
      <c r="C103" s="14" t="n"/>
      <c r="D103" s="14" t="n"/>
      <c r="E103" s="14" t="n"/>
      <c r="F103" s="54" t="n"/>
      <c r="G103" s="14" t="n"/>
      <c r="H103" s="14" t="n"/>
      <c r="I103" s="14" t="n"/>
    </row>
    <row r="104">
      <c r="A104" s="53" t="n">
        <v>100</v>
      </c>
      <c r="B104" s="14" t="n"/>
      <c r="C104" s="14" t="n"/>
      <c r="D104" s="14" t="n"/>
      <c r="E104" s="14" t="n"/>
      <c r="F104" s="54" t="n"/>
      <c r="G104" s="14" t="n"/>
      <c r="H104" s="14" t="n"/>
      <c r="I104" s="14" t="n"/>
    </row>
  </sheetData>
  <autoFilter ref="A4:I104"/>
  <conditionalFormatting sqref="I5:I104">
    <cfRule type="cellIs" priority="1" operator="equal" dxfId="1" stopIfTrue="1">
      <formula>"Open"</formula>
    </cfRule>
    <cfRule type="cellIs" priority="2" operator="equal" dxfId="2" stopIfTrue="1">
      <formula>"Answered"</formula>
    </cfRule>
    <cfRule type="cellIs" priority="3" operator="equal" dxfId="3" stopIfTrue="1">
      <formula>"Closed"</formula>
    </cfRule>
  </conditionalFormatting>
  <dataValidations count="4">
    <dataValidation sqref="B5:B104" showDropDown="0" showInputMessage="1" showErrorMessage="1" allowBlank="1" errorTitle="Template" error="Choose a value of the list Templates of this workbook (sheet Reference lists)." promptTitle="Template" prompt="The template the question is about" type="list" errorStyle="stop">
      <formula1>=LIST_TEMPLATES</formula1>
    </dataValidation>
    <dataValidation sqref="C5:C104" showDropDown="0" showInputMessage="1" showErrorMessage="0" allowBlank="1" promptTitle="Column" prompt="The column header as on the template sheet; blank for the whole template"/>
    <dataValidation sqref="F5:F104" showDropDown="0" showInputMessage="0" showErrorMessage="1" allowBlank="1" errorTitle="Date" error="Enter a date." type="date" operator="greaterThan">
      <formula1>DATE(2026,1,1)</formula1>
    </dataValidation>
    <dataValidation sqref="I5:I104" showDropDown="0" showInputMessage="1" showErrorMessage="1" allowBlank="1" errorTitle="Status" error="Choose a value of the list Question status (sheet Reference lists)." promptTitle="Status" prompt="Open, Answered or Closed" type="list" errorStyle="stop">
      <formula1>=LIST_QUESTION_STATUS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&amp;K004EA8UX screen register BRD-13 Data Migration&amp;R&amp;8 &amp;K656565BDO Insure | BIBS – BDOI Broker System</oddHeader>
    <oddFooter>&amp;L&amp;8 &amp;K656565Confidential – BDOI&amp;C&amp;8 &amp;K656565Page &amp;P of &amp;N&amp;R&amp;8 &amp;K656565Version 2.0</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UX screen register BRD-13 Data Migration</dc:title>
  <dc:subject xmlns:dc="http://purl.org/dc/elements/1.1/">BIBS – BDOI Broker System</dc:subject>
  <dcterms:created xmlns:dcterms="http://purl.org/dc/terms/" xmlns:xsi="http://www.w3.org/2001/XMLSchema-instance" xsi:type="dcterms:W3CDTF">2026-10-02T13:30:30Z</dcterms:created>
  <dcterms:modified xmlns:dcterms="http://purl.org/dc/terms/" xmlns:xsi="http://www.w3.org/2001/XMLSchema-instance" xsi:type="dcterms:W3CDTF">2026-10-02T13:30:31Z</dcterms:modified>
  <cp:keywords>UX screen register, BRD-13, BIBS, BDOI</cp:keywords>
</cp:coreProperties>
</file>